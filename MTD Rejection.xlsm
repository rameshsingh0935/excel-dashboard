
<file path=[Content_Types].xml><?xml version="1.0" encoding="utf-8"?>
<Types xmlns="http://schemas.openxmlformats.org/package/2006/content-types">
  <Default Extension="png" ContentType="image/png"/>
  <Default Extension="bin" ContentType="application/vnd.ms-office.vbaProject"/>
  <Default Extension="svg" ContentType="image/svg+xml"/>
  <Default Extension="rels" ContentType="application/vnd.openxmlformats-package.relationships+xml"/>
  <Default Extension="xml" ContentType="application/xml"/>
  <Default Extension="data" ContentType="application/vnd.openxmlformats-officedocument.model+data"/>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pivotCache/pivotCacheDefinition10.xml" ContentType="application/vnd.openxmlformats-officedocument.spreadsheetml.pivotCacheDefinition+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ml.chartshapes+xml"/>
  <Override PartName="/xl/charts/chart9.xml" ContentType="application/vnd.openxmlformats-officedocument.drawingml.chart+xml"/>
  <Override PartName="/xl/charts/style7.xml" ContentType="application/vnd.ms-office.chartstyle+xml"/>
  <Override PartName="/xl/charts/colors7.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D:\Portfolio\"/>
    </mc:Choice>
  </mc:AlternateContent>
  <bookViews>
    <workbookView xWindow="-120" yWindow="-120" windowWidth="20730" windowHeight="11040" firstSheet="1" activeTab="1"/>
  </bookViews>
  <sheets>
    <sheet name="Pivot" sheetId="5" state="veryHidden" r:id="rId1"/>
    <sheet name="Dashboard" sheetId="6" r:id="rId2"/>
    <sheet name="RejectionData" sheetId="1" state="veryHidden" r:id="rId3"/>
    <sheet name="Old Data" sheetId="3" state="veryHidden" r:id="rId4"/>
    <sheet name="CheckName" sheetId="2" state="veryHidden" r:id="rId5"/>
  </sheets>
  <definedNames>
    <definedName name="_xlnm._FilterDatabase" localSheetId="4" hidden="1">CheckName!$A$1:$B$450</definedName>
    <definedName name="_xlnm._FilterDatabase" localSheetId="2" hidden="1">RejectionData!$A$1:$M$484</definedName>
    <definedName name="_xlcn.WorksheetConnection_MTDRejection.xlsxMTDRejection1" hidden="1">MTDRejection[]</definedName>
    <definedName name="Slicer_Checks">#N/A</definedName>
    <definedName name="Slicer_CheckStatus">#N/A</definedName>
    <definedName name="Timeline_RejectionDate">#N/A</definedName>
  </definedNames>
  <calcPr calcId="191029"/>
  <pivotCaches>
    <pivotCache cacheId="0" r:id="rId6"/>
    <pivotCache cacheId="1" r:id="rId7"/>
    <pivotCache cacheId="2" r:id="rId8"/>
    <pivotCache cacheId="3" r:id="rId9"/>
    <pivotCache cacheId="4" r:id="rId10"/>
    <pivotCache cacheId="5" r:id="rId11"/>
    <pivotCache cacheId="6" r:id="rId12"/>
    <pivotCache cacheId="7" r:id="rId13"/>
  </pivotCaches>
  <extLst>
    <ext xmlns:x14="http://schemas.microsoft.com/office/spreadsheetml/2009/9/main" uri="{876F7934-8845-4945-9796-88D515C7AA90}">
      <x14:pivotCaches>
        <pivotCache cacheId="8" r:id="rId14"/>
      </x14:pivotCaches>
    </ext>
    <ext xmlns:x14="http://schemas.microsoft.com/office/spreadsheetml/2009/9/main" uri="{BBE1A952-AA13-448e-AADC-164F8A28A991}">
      <x14:slicerCaches>
        <x14:slicerCache r:id="rId15"/>
        <x14:slicerCache r:id="rId16"/>
      </x14:slicerCaches>
    </ext>
    <ext xmlns:x14="http://schemas.microsoft.com/office/spreadsheetml/2009/9/main" uri="{79F54976-1DA5-4618-B147-4CDE4B953A38}">
      <x14:workbookPr/>
    </ext>
    <ext xmlns:x15="http://schemas.microsoft.com/office/spreadsheetml/2010/11/main" uri="{A2CB5862-8E78-49c6-8D9D-AF26E26ADB89}">
      <x15:timelineCachePivotCaches>
        <pivotCache cacheId="9" r:id="rId17"/>
      </x15:timelineCachePivotCaches>
    </ext>
    <ext xmlns:x15="http://schemas.microsoft.com/office/spreadsheetml/2010/11/main" uri="{D0CA8CA8-9F24-4464-BF8E-62219DCF47F9}">
      <x15:timelineCacheRefs>
        <x15:timelineCacheRef r:id="rId18"/>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MTDRejection" name="MTDRejection" connection="WorksheetConnection_MTD Rejection.xlsx!MTDRejection"/>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4650" i="1" l="1"/>
  <c r="M4651" i="1"/>
  <c r="N4650" i="1"/>
  <c r="N4651" i="1"/>
  <c r="M4626" i="1"/>
  <c r="M4627" i="1"/>
  <c r="M4628" i="1"/>
  <c r="M4629" i="1"/>
  <c r="M4630" i="1"/>
  <c r="M4631" i="1"/>
  <c r="M4632" i="1"/>
  <c r="M4633" i="1"/>
  <c r="M4634" i="1"/>
  <c r="M4635" i="1"/>
  <c r="M4636" i="1"/>
  <c r="M4637" i="1"/>
  <c r="M4638" i="1"/>
  <c r="M4639" i="1"/>
  <c r="M4640" i="1"/>
  <c r="M4641" i="1"/>
  <c r="M4642" i="1"/>
  <c r="M4643" i="1"/>
  <c r="M4644" i="1"/>
  <c r="M4645" i="1"/>
  <c r="M4646" i="1"/>
  <c r="M4647" i="1"/>
  <c r="M4648" i="1"/>
  <c r="M4649" i="1"/>
  <c r="N4626" i="1"/>
  <c r="N4627" i="1"/>
  <c r="N4628" i="1"/>
  <c r="N4629" i="1"/>
  <c r="N4630" i="1"/>
  <c r="N4631" i="1"/>
  <c r="N4632" i="1"/>
  <c r="N4633" i="1"/>
  <c r="N4634" i="1"/>
  <c r="N4635" i="1"/>
  <c r="N4636" i="1"/>
  <c r="N4637" i="1"/>
  <c r="N4638" i="1"/>
  <c r="N4639" i="1"/>
  <c r="N4640" i="1"/>
  <c r="N4641" i="1"/>
  <c r="N4642" i="1"/>
  <c r="N4643" i="1"/>
  <c r="N4644" i="1"/>
  <c r="N4645" i="1"/>
  <c r="N4646" i="1"/>
  <c r="N4647" i="1"/>
  <c r="N4648" i="1"/>
  <c r="N4649" i="1"/>
  <c r="M4592" i="1"/>
  <c r="M4593" i="1"/>
  <c r="M4594" i="1"/>
  <c r="M4595" i="1"/>
  <c r="M4596" i="1"/>
  <c r="M4597" i="1"/>
  <c r="M4598" i="1"/>
  <c r="M4599" i="1"/>
  <c r="M4600" i="1"/>
  <c r="M4601" i="1"/>
  <c r="M4602" i="1"/>
  <c r="M4603" i="1"/>
  <c r="M4604" i="1"/>
  <c r="M4605" i="1"/>
  <c r="M4606" i="1"/>
  <c r="M4607" i="1"/>
  <c r="M4608" i="1"/>
  <c r="M4609" i="1"/>
  <c r="M4610" i="1"/>
  <c r="M4611" i="1"/>
  <c r="M4612" i="1"/>
  <c r="M4613" i="1"/>
  <c r="M4614" i="1"/>
  <c r="M4615" i="1"/>
  <c r="M4616" i="1"/>
  <c r="M4617" i="1"/>
  <c r="M4618" i="1"/>
  <c r="M4619" i="1"/>
  <c r="M4620" i="1"/>
  <c r="M4621" i="1"/>
  <c r="M4622" i="1"/>
  <c r="M4623" i="1"/>
  <c r="M4624" i="1"/>
  <c r="M4625" i="1"/>
  <c r="N4592" i="1"/>
  <c r="N4593" i="1"/>
  <c r="N4594" i="1"/>
  <c r="N4595" i="1"/>
  <c r="N4596" i="1"/>
  <c r="N4597" i="1"/>
  <c r="N4598" i="1"/>
  <c r="N4599" i="1"/>
  <c r="N4600" i="1"/>
  <c r="N4601" i="1"/>
  <c r="N4602" i="1"/>
  <c r="N4603" i="1"/>
  <c r="N4604" i="1"/>
  <c r="N4605" i="1"/>
  <c r="N4606" i="1"/>
  <c r="N4607" i="1"/>
  <c r="N4608" i="1"/>
  <c r="N4609" i="1"/>
  <c r="N4610" i="1"/>
  <c r="N4611" i="1"/>
  <c r="N4612" i="1"/>
  <c r="N4613" i="1"/>
  <c r="N4614" i="1"/>
  <c r="N4615" i="1"/>
  <c r="N4616" i="1"/>
  <c r="N4617" i="1"/>
  <c r="N4618" i="1"/>
  <c r="N4619" i="1"/>
  <c r="N4620" i="1"/>
  <c r="N4621" i="1"/>
  <c r="N4622" i="1"/>
  <c r="N4623" i="1"/>
  <c r="N4624" i="1"/>
  <c r="N4625" i="1"/>
  <c r="M4572" i="1"/>
  <c r="M4573" i="1"/>
  <c r="M4574" i="1"/>
  <c r="M4575" i="1"/>
  <c r="M4576" i="1"/>
  <c r="M4577" i="1"/>
  <c r="M4578" i="1"/>
  <c r="M4579" i="1"/>
  <c r="M4580" i="1"/>
  <c r="M4581" i="1"/>
  <c r="M4582" i="1"/>
  <c r="M4583" i="1"/>
  <c r="M4584" i="1"/>
  <c r="M4585" i="1"/>
  <c r="M4586" i="1"/>
  <c r="M4587" i="1"/>
  <c r="M4588" i="1"/>
  <c r="M4589" i="1"/>
  <c r="M4590" i="1"/>
  <c r="M4591" i="1"/>
  <c r="N4572" i="1"/>
  <c r="N4573" i="1"/>
  <c r="N4574" i="1"/>
  <c r="N4575" i="1"/>
  <c r="N4576" i="1"/>
  <c r="N4577" i="1"/>
  <c r="N4578" i="1"/>
  <c r="N4579" i="1"/>
  <c r="N4580" i="1"/>
  <c r="N4581" i="1"/>
  <c r="N4582" i="1"/>
  <c r="N4583" i="1"/>
  <c r="N4584" i="1"/>
  <c r="N4585" i="1"/>
  <c r="N4586" i="1"/>
  <c r="N4587" i="1"/>
  <c r="N4588" i="1"/>
  <c r="N4589" i="1"/>
  <c r="N4590" i="1"/>
  <c r="N4591" i="1"/>
  <c r="M4559" i="1"/>
  <c r="M4560" i="1"/>
  <c r="M4561" i="1"/>
  <c r="M4562" i="1"/>
  <c r="M4563" i="1"/>
  <c r="M4564" i="1"/>
  <c r="M4565" i="1"/>
  <c r="M4566" i="1"/>
  <c r="M4567" i="1"/>
  <c r="M4568" i="1"/>
  <c r="M4569" i="1"/>
  <c r="M4570" i="1"/>
  <c r="M4571" i="1"/>
  <c r="N4559" i="1"/>
  <c r="N4560" i="1"/>
  <c r="N4561" i="1"/>
  <c r="N4562" i="1"/>
  <c r="N4563" i="1"/>
  <c r="N4564" i="1"/>
  <c r="N4565" i="1"/>
  <c r="N4566" i="1"/>
  <c r="N4567" i="1"/>
  <c r="N4568" i="1"/>
  <c r="N4569" i="1"/>
  <c r="N4570" i="1"/>
  <c r="N4571" i="1"/>
  <c r="M4558" i="1"/>
  <c r="N4558" i="1"/>
  <c r="M4557" i="1"/>
  <c r="N4557" i="1"/>
  <c r="M4556" i="1"/>
  <c r="N4556" i="1"/>
  <c r="M4555" i="1"/>
  <c r="N4555" i="1"/>
  <c r="M4554" i="1"/>
  <c r="N4554" i="1"/>
  <c r="M4552" i="1"/>
  <c r="M4553" i="1"/>
  <c r="N4552" i="1"/>
  <c r="N4553" i="1"/>
  <c r="M4551" i="1"/>
  <c r="N4551" i="1"/>
  <c r="M4549" i="1"/>
  <c r="M4550" i="1"/>
  <c r="N4549" i="1"/>
  <c r="N4550" i="1"/>
  <c r="M4548" i="1"/>
  <c r="N4548" i="1"/>
  <c r="M4547" i="1"/>
  <c r="N4547" i="1"/>
  <c r="M4544" i="1"/>
  <c r="M4545" i="1"/>
  <c r="M4546" i="1"/>
  <c r="N4544" i="1"/>
  <c r="N4545" i="1"/>
  <c r="N4546" i="1"/>
  <c r="M4543" i="1"/>
  <c r="N4543" i="1"/>
  <c r="M4542" i="1"/>
  <c r="N4542" i="1"/>
  <c r="M4541" i="1"/>
  <c r="N4541" i="1"/>
  <c r="M4540" i="1"/>
  <c r="N4540" i="1"/>
  <c r="M4539" i="1"/>
  <c r="N4539" i="1"/>
  <c r="M4537" i="1"/>
  <c r="M4538" i="1"/>
  <c r="N4537" i="1"/>
  <c r="N4538" i="1"/>
  <c r="M4536" i="1"/>
  <c r="N4536" i="1"/>
  <c r="M4486" i="1"/>
  <c r="M4487" i="1"/>
  <c r="M4488" i="1"/>
  <c r="M4489" i="1"/>
  <c r="M4490" i="1"/>
  <c r="M4491" i="1"/>
  <c r="M4492" i="1"/>
  <c r="M4493" i="1"/>
  <c r="M4494" i="1"/>
  <c r="M4495" i="1"/>
  <c r="M4496" i="1"/>
  <c r="M4497" i="1"/>
  <c r="M4498" i="1"/>
  <c r="M4499" i="1"/>
  <c r="M4500" i="1"/>
  <c r="M4501" i="1"/>
  <c r="M4502" i="1"/>
  <c r="M4503" i="1"/>
  <c r="M4504" i="1"/>
  <c r="M4505" i="1"/>
  <c r="M4506" i="1"/>
  <c r="M4507" i="1"/>
  <c r="M4508" i="1"/>
  <c r="M4509" i="1"/>
  <c r="M4510" i="1"/>
  <c r="M4511" i="1"/>
  <c r="M4512" i="1"/>
  <c r="M4513" i="1"/>
  <c r="M4514" i="1"/>
  <c r="M4515" i="1"/>
  <c r="M4516" i="1"/>
  <c r="M4517" i="1"/>
  <c r="M4518" i="1"/>
  <c r="M4519" i="1"/>
  <c r="M4520" i="1"/>
  <c r="M4521" i="1"/>
  <c r="M4522" i="1"/>
  <c r="M4523" i="1"/>
  <c r="M4524" i="1"/>
  <c r="M4525" i="1"/>
  <c r="M4526" i="1"/>
  <c r="M4527" i="1"/>
  <c r="M4528" i="1"/>
  <c r="M4529" i="1"/>
  <c r="M4530" i="1"/>
  <c r="M4531" i="1"/>
  <c r="M4532" i="1"/>
  <c r="M4533" i="1"/>
  <c r="M4534" i="1"/>
  <c r="M4535" i="1"/>
  <c r="N4486" i="1"/>
  <c r="N4487" i="1"/>
  <c r="N4488" i="1"/>
  <c r="N4489" i="1"/>
  <c r="N4490" i="1"/>
  <c r="N4491" i="1"/>
  <c r="N4492" i="1"/>
  <c r="N4493" i="1"/>
  <c r="N4494" i="1"/>
  <c r="N4495" i="1"/>
  <c r="N4496" i="1"/>
  <c r="N4497" i="1"/>
  <c r="N4498" i="1"/>
  <c r="N4499" i="1"/>
  <c r="N4500" i="1"/>
  <c r="N4501" i="1"/>
  <c r="N4502" i="1"/>
  <c r="N4503" i="1"/>
  <c r="N4504" i="1"/>
  <c r="N4505" i="1"/>
  <c r="N4506" i="1"/>
  <c r="N4507" i="1"/>
  <c r="N4508" i="1"/>
  <c r="N4509" i="1"/>
  <c r="N4510" i="1"/>
  <c r="N4511" i="1"/>
  <c r="N4512" i="1"/>
  <c r="N4513" i="1"/>
  <c r="N4514" i="1"/>
  <c r="N4515" i="1"/>
  <c r="N4516" i="1"/>
  <c r="N4517" i="1"/>
  <c r="N4518" i="1"/>
  <c r="N4519" i="1"/>
  <c r="N4520" i="1"/>
  <c r="N4521" i="1"/>
  <c r="N4522" i="1"/>
  <c r="N4523" i="1"/>
  <c r="N4524" i="1"/>
  <c r="N4525" i="1"/>
  <c r="N4526" i="1"/>
  <c r="N4527" i="1"/>
  <c r="N4528" i="1"/>
  <c r="N4529" i="1"/>
  <c r="N4530" i="1"/>
  <c r="N4531" i="1"/>
  <c r="N4532" i="1"/>
  <c r="N4533" i="1"/>
  <c r="N4534" i="1"/>
  <c r="N4535" i="1"/>
  <c r="M4474" i="1"/>
  <c r="M4475" i="1"/>
  <c r="M4476" i="1"/>
  <c r="M4477" i="1"/>
  <c r="M4478" i="1"/>
  <c r="M4479" i="1"/>
  <c r="M4480" i="1"/>
  <c r="M4481" i="1"/>
  <c r="M4482" i="1"/>
  <c r="M4483" i="1"/>
  <c r="M4484" i="1"/>
  <c r="M4485" i="1"/>
  <c r="N4474" i="1"/>
  <c r="N4475" i="1"/>
  <c r="N4476" i="1"/>
  <c r="N4477" i="1"/>
  <c r="N4478" i="1"/>
  <c r="N4479" i="1"/>
  <c r="N4480" i="1"/>
  <c r="N4481" i="1"/>
  <c r="N4482" i="1"/>
  <c r="N4483" i="1"/>
  <c r="N4484" i="1"/>
  <c r="N4485" i="1"/>
  <c r="M4421" i="1"/>
  <c r="M4422" i="1"/>
  <c r="M4423" i="1"/>
  <c r="M4424" i="1"/>
  <c r="M4425" i="1"/>
  <c r="M4426" i="1"/>
  <c r="M4427" i="1"/>
  <c r="M4428" i="1"/>
  <c r="M4429" i="1"/>
  <c r="M4430" i="1"/>
  <c r="M4431" i="1"/>
  <c r="M4432" i="1"/>
  <c r="M4433" i="1"/>
  <c r="M4434" i="1"/>
  <c r="M4435" i="1"/>
  <c r="M4436" i="1"/>
  <c r="M4437" i="1"/>
  <c r="M4438" i="1"/>
  <c r="M4439" i="1"/>
  <c r="M4440" i="1"/>
  <c r="M4441" i="1"/>
  <c r="M4442" i="1"/>
  <c r="M4443" i="1"/>
  <c r="M4444" i="1"/>
  <c r="M4445" i="1"/>
  <c r="M4446" i="1"/>
  <c r="M4447" i="1"/>
  <c r="M4448" i="1"/>
  <c r="M4449" i="1"/>
  <c r="M4450" i="1"/>
  <c r="M4451" i="1"/>
  <c r="M4452" i="1"/>
  <c r="M4453" i="1"/>
  <c r="M4454" i="1"/>
  <c r="M4455" i="1"/>
  <c r="M4456" i="1"/>
  <c r="M4457" i="1"/>
  <c r="M4458" i="1"/>
  <c r="M4459" i="1"/>
  <c r="M4460" i="1"/>
  <c r="M4461" i="1"/>
  <c r="M4462" i="1"/>
  <c r="M4463" i="1"/>
  <c r="M4464" i="1"/>
  <c r="M4465" i="1"/>
  <c r="M4466" i="1"/>
  <c r="M4467" i="1"/>
  <c r="M4468" i="1"/>
  <c r="M4469" i="1"/>
  <c r="M4470" i="1"/>
  <c r="M4471" i="1"/>
  <c r="M4472" i="1"/>
  <c r="M4473" i="1"/>
  <c r="N4421" i="1"/>
  <c r="N4422" i="1"/>
  <c r="N4423" i="1"/>
  <c r="N4424" i="1"/>
  <c r="N4425" i="1"/>
  <c r="N4426" i="1"/>
  <c r="N4427" i="1"/>
  <c r="N4428" i="1"/>
  <c r="N4429" i="1"/>
  <c r="N4430" i="1"/>
  <c r="N4431" i="1"/>
  <c r="N4432" i="1"/>
  <c r="N4433" i="1"/>
  <c r="N4434" i="1"/>
  <c r="N4435" i="1"/>
  <c r="N4436" i="1"/>
  <c r="N4437" i="1"/>
  <c r="N4438" i="1"/>
  <c r="N4439" i="1"/>
  <c r="N4440" i="1"/>
  <c r="N4441" i="1"/>
  <c r="N4442" i="1"/>
  <c r="N4443" i="1"/>
  <c r="N4444" i="1"/>
  <c r="N4445" i="1"/>
  <c r="N4446" i="1"/>
  <c r="N4447" i="1"/>
  <c r="N4448" i="1"/>
  <c r="N4449" i="1"/>
  <c r="N4450" i="1"/>
  <c r="N4451" i="1"/>
  <c r="N4452" i="1"/>
  <c r="N4453" i="1"/>
  <c r="N4454" i="1"/>
  <c r="N4455" i="1"/>
  <c r="N4456" i="1"/>
  <c r="N4457" i="1"/>
  <c r="N4458" i="1"/>
  <c r="N4459" i="1"/>
  <c r="N4460" i="1"/>
  <c r="N4461" i="1"/>
  <c r="N4462" i="1"/>
  <c r="N4463" i="1"/>
  <c r="N4464" i="1"/>
  <c r="N4465" i="1"/>
  <c r="N4466" i="1"/>
  <c r="N4467" i="1"/>
  <c r="N4468" i="1"/>
  <c r="N4469" i="1"/>
  <c r="N4470" i="1"/>
  <c r="N4471" i="1"/>
  <c r="N4472" i="1"/>
  <c r="N4473" i="1"/>
  <c r="M4394" i="1"/>
  <c r="M4395" i="1"/>
  <c r="M4396" i="1"/>
  <c r="M4397" i="1"/>
  <c r="M4398" i="1"/>
  <c r="M4399" i="1"/>
  <c r="M4400" i="1"/>
  <c r="M4401" i="1"/>
  <c r="M4402" i="1"/>
  <c r="M4403" i="1"/>
  <c r="M4404" i="1"/>
  <c r="M4405" i="1"/>
  <c r="M4406" i="1"/>
  <c r="M4407" i="1"/>
  <c r="M4408" i="1"/>
  <c r="M4409" i="1"/>
  <c r="M4410" i="1"/>
  <c r="M4411" i="1"/>
  <c r="M4412" i="1"/>
  <c r="M4413" i="1"/>
  <c r="M4414" i="1"/>
  <c r="M4415" i="1"/>
  <c r="M4416" i="1"/>
  <c r="M4417" i="1"/>
  <c r="M4418" i="1"/>
  <c r="M4419" i="1"/>
  <c r="M4420" i="1"/>
  <c r="N4394" i="1"/>
  <c r="N4395" i="1"/>
  <c r="N4396" i="1"/>
  <c r="N4397" i="1"/>
  <c r="N4398" i="1"/>
  <c r="N4399" i="1"/>
  <c r="N4400" i="1"/>
  <c r="N4401" i="1"/>
  <c r="N4402" i="1"/>
  <c r="N4403" i="1"/>
  <c r="N4404" i="1"/>
  <c r="N4405" i="1"/>
  <c r="N4406" i="1"/>
  <c r="N4407" i="1"/>
  <c r="N4408" i="1"/>
  <c r="N4409" i="1"/>
  <c r="N4410" i="1"/>
  <c r="N4411" i="1"/>
  <c r="N4412" i="1"/>
  <c r="N4413" i="1"/>
  <c r="N4414" i="1"/>
  <c r="N4415" i="1"/>
  <c r="N4416" i="1"/>
  <c r="N4417" i="1"/>
  <c r="N4418" i="1"/>
  <c r="N4419" i="1"/>
  <c r="N4420" i="1"/>
  <c r="M4337" i="1"/>
  <c r="M4338" i="1"/>
  <c r="M4339" i="1"/>
  <c r="M4340" i="1"/>
  <c r="M4341" i="1"/>
  <c r="M4342" i="1"/>
  <c r="M4343" i="1"/>
  <c r="M4344" i="1"/>
  <c r="M4345" i="1"/>
  <c r="M4346" i="1"/>
  <c r="M4347" i="1"/>
  <c r="M4348" i="1"/>
  <c r="M4349" i="1"/>
  <c r="M4350" i="1"/>
  <c r="M4351" i="1"/>
  <c r="M4352" i="1"/>
  <c r="M4353" i="1"/>
  <c r="M4354" i="1"/>
  <c r="M4355" i="1"/>
  <c r="M4356" i="1"/>
  <c r="M4357" i="1"/>
  <c r="M4358" i="1"/>
  <c r="M4359" i="1"/>
  <c r="M4360" i="1"/>
  <c r="M4361" i="1"/>
  <c r="M4362" i="1"/>
  <c r="M4363" i="1"/>
  <c r="M4364" i="1"/>
  <c r="M4365" i="1"/>
  <c r="M4366" i="1"/>
  <c r="M4367" i="1"/>
  <c r="M4368" i="1"/>
  <c r="M4369" i="1"/>
  <c r="M4370" i="1"/>
  <c r="M4371" i="1"/>
  <c r="M4372" i="1"/>
  <c r="M4373" i="1"/>
  <c r="M4374" i="1"/>
  <c r="M4375" i="1"/>
  <c r="M4376" i="1"/>
  <c r="M4377" i="1"/>
  <c r="M4378" i="1"/>
  <c r="M4379" i="1"/>
  <c r="M4380" i="1"/>
  <c r="M4381" i="1"/>
  <c r="M4382" i="1"/>
  <c r="M4383" i="1"/>
  <c r="M4384" i="1"/>
  <c r="M4385" i="1"/>
  <c r="M4386" i="1"/>
  <c r="M4387" i="1"/>
  <c r="M4388" i="1"/>
  <c r="M4389" i="1"/>
  <c r="M4390" i="1"/>
  <c r="M4391" i="1"/>
  <c r="M4392" i="1"/>
  <c r="M4393" i="1"/>
  <c r="N4337" i="1"/>
  <c r="N4338" i="1"/>
  <c r="N4339" i="1"/>
  <c r="N4340" i="1"/>
  <c r="N4341" i="1"/>
  <c r="N4342" i="1"/>
  <c r="N4343" i="1"/>
  <c r="N4344" i="1"/>
  <c r="N4345" i="1"/>
  <c r="N4346" i="1"/>
  <c r="N4347" i="1"/>
  <c r="N4348" i="1"/>
  <c r="N4349" i="1"/>
  <c r="N4350" i="1"/>
  <c r="N4351" i="1"/>
  <c r="N4352" i="1"/>
  <c r="N4353" i="1"/>
  <c r="N4354" i="1"/>
  <c r="N4355" i="1"/>
  <c r="N4356" i="1"/>
  <c r="N4357" i="1"/>
  <c r="N4358" i="1"/>
  <c r="N4359" i="1"/>
  <c r="N4360" i="1"/>
  <c r="N4361" i="1"/>
  <c r="N4362" i="1"/>
  <c r="N4363" i="1"/>
  <c r="N4364" i="1"/>
  <c r="N4365" i="1"/>
  <c r="N4366" i="1"/>
  <c r="N4367" i="1"/>
  <c r="N4368" i="1"/>
  <c r="N4369" i="1"/>
  <c r="N4370" i="1"/>
  <c r="N4371" i="1"/>
  <c r="N4372" i="1"/>
  <c r="N4373" i="1"/>
  <c r="N4374" i="1"/>
  <c r="N4375" i="1"/>
  <c r="N4376" i="1"/>
  <c r="N4377" i="1"/>
  <c r="N4378" i="1"/>
  <c r="N4379" i="1"/>
  <c r="N4380" i="1"/>
  <c r="N4381" i="1"/>
  <c r="N4382" i="1"/>
  <c r="N4383" i="1"/>
  <c r="N4384" i="1"/>
  <c r="N4385" i="1"/>
  <c r="N4386" i="1"/>
  <c r="N4387" i="1"/>
  <c r="N4388" i="1"/>
  <c r="N4389" i="1"/>
  <c r="N4390" i="1"/>
  <c r="N4391" i="1"/>
  <c r="N4392" i="1"/>
  <c r="N4393" i="1"/>
  <c r="M4238" i="1"/>
  <c r="M4239" i="1"/>
  <c r="M4240" i="1"/>
  <c r="M4241" i="1"/>
  <c r="M4242" i="1"/>
  <c r="M4243" i="1"/>
  <c r="M4244" i="1"/>
  <c r="M4245" i="1"/>
  <c r="M4246" i="1"/>
  <c r="M4247" i="1"/>
  <c r="M4248" i="1"/>
  <c r="M4249" i="1"/>
  <c r="M4250" i="1"/>
  <c r="M4251" i="1"/>
  <c r="M4252" i="1"/>
  <c r="M4253" i="1"/>
  <c r="M4254" i="1"/>
  <c r="M4255" i="1"/>
  <c r="M4256" i="1"/>
  <c r="M4257" i="1"/>
  <c r="M4258" i="1"/>
  <c r="M4259" i="1"/>
  <c r="M4260" i="1"/>
  <c r="M4261" i="1"/>
  <c r="M4262" i="1"/>
  <c r="M4263" i="1"/>
  <c r="M4264" i="1"/>
  <c r="M4265" i="1"/>
  <c r="M4266" i="1"/>
  <c r="M4267" i="1"/>
  <c r="M4268" i="1"/>
  <c r="M4269" i="1"/>
  <c r="M4270" i="1"/>
  <c r="M4271" i="1"/>
  <c r="M4272" i="1"/>
  <c r="M4273" i="1"/>
  <c r="M4274" i="1"/>
  <c r="M4275" i="1"/>
  <c r="M4276" i="1"/>
  <c r="M4277" i="1"/>
  <c r="M4278" i="1"/>
  <c r="M4279" i="1"/>
  <c r="M4280" i="1"/>
  <c r="M4281" i="1"/>
  <c r="M4282" i="1"/>
  <c r="M4283" i="1"/>
  <c r="M4284" i="1"/>
  <c r="M4285" i="1"/>
  <c r="M4286" i="1"/>
  <c r="M4287" i="1"/>
  <c r="M4288" i="1"/>
  <c r="M4289" i="1"/>
  <c r="M4290" i="1"/>
  <c r="M4291" i="1"/>
  <c r="M4292" i="1"/>
  <c r="M4293" i="1"/>
  <c r="M4294" i="1"/>
  <c r="M4295" i="1"/>
  <c r="M4296" i="1"/>
  <c r="M4297" i="1"/>
  <c r="M4298" i="1"/>
  <c r="M4299" i="1"/>
  <c r="M4300" i="1"/>
  <c r="M4301" i="1"/>
  <c r="M4302" i="1"/>
  <c r="M4303" i="1"/>
  <c r="M4304" i="1"/>
  <c r="M4305" i="1"/>
  <c r="M4306" i="1"/>
  <c r="M4307" i="1"/>
  <c r="M4308" i="1"/>
  <c r="M4309" i="1"/>
  <c r="M4310" i="1"/>
  <c r="M4311" i="1"/>
  <c r="M4312" i="1"/>
  <c r="M4313" i="1"/>
  <c r="M4314" i="1"/>
  <c r="M4315" i="1"/>
  <c r="M4316" i="1"/>
  <c r="M4317" i="1"/>
  <c r="M4318" i="1"/>
  <c r="M4319" i="1"/>
  <c r="M4320" i="1"/>
  <c r="M4321" i="1"/>
  <c r="M4322" i="1"/>
  <c r="M4323" i="1"/>
  <c r="M4324" i="1"/>
  <c r="M4325" i="1"/>
  <c r="M4326" i="1"/>
  <c r="M4327" i="1"/>
  <c r="M4328" i="1"/>
  <c r="M4329" i="1"/>
  <c r="M4330" i="1"/>
  <c r="M4331" i="1"/>
  <c r="M4332" i="1"/>
  <c r="M4333" i="1"/>
  <c r="M4334" i="1"/>
  <c r="M4335" i="1"/>
  <c r="M4336" i="1"/>
  <c r="N4238" i="1"/>
  <c r="N4239" i="1"/>
  <c r="N4240" i="1"/>
  <c r="N4241" i="1"/>
  <c r="N4242" i="1"/>
  <c r="N4243" i="1"/>
  <c r="N4244" i="1"/>
  <c r="N4245" i="1"/>
  <c r="N4246" i="1"/>
  <c r="N4247" i="1"/>
  <c r="N4248" i="1"/>
  <c r="N4249" i="1"/>
  <c r="N4250" i="1"/>
  <c r="N4251" i="1"/>
  <c r="N4252" i="1"/>
  <c r="N4253" i="1"/>
  <c r="N4254" i="1"/>
  <c r="N4255" i="1"/>
  <c r="N4256" i="1"/>
  <c r="N4257" i="1"/>
  <c r="N4258" i="1"/>
  <c r="N4259" i="1"/>
  <c r="N4260" i="1"/>
  <c r="N4261" i="1"/>
  <c r="N4262" i="1"/>
  <c r="N4263" i="1"/>
  <c r="N4264" i="1"/>
  <c r="N4265" i="1"/>
  <c r="N4266" i="1"/>
  <c r="N4267" i="1"/>
  <c r="N4268" i="1"/>
  <c r="N4269" i="1"/>
  <c r="N4270" i="1"/>
  <c r="N4271" i="1"/>
  <c r="N4272" i="1"/>
  <c r="N4273" i="1"/>
  <c r="N4274" i="1"/>
  <c r="N4275" i="1"/>
  <c r="N4276" i="1"/>
  <c r="N4277" i="1"/>
  <c r="N4278" i="1"/>
  <c r="N4279" i="1"/>
  <c r="N4280" i="1"/>
  <c r="N4281" i="1"/>
  <c r="N4282" i="1"/>
  <c r="N4283" i="1"/>
  <c r="N4284" i="1"/>
  <c r="N4285" i="1"/>
  <c r="N4286" i="1"/>
  <c r="N4287" i="1"/>
  <c r="N4288" i="1"/>
  <c r="N4289" i="1"/>
  <c r="N4290" i="1"/>
  <c r="N4291" i="1"/>
  <c r="N4292" i="1"/>
  <c r="N4293" i="1"/>
  <c r="N4294" i="1"/>
  <c r="N4295" i="1"/>
  <c r="N4296" i="1"/>
  <c r="N4297" i="1"/>
  <c r="N4298" i="1"/>
  <c r="N4299" i="1"/>
  <c r="N4300" i="1"/>
  <c r="N4301" i="1"/>
  <c r="N4302" i="1"/>
  <c r="N4303" i="1"/>
  <c r="N4304" i="1"/>
  <c r="N4305" i="1"/>
  <c r="N4306" i="1"/>
  <c r="N4307" i="1"/>
  <c r="N4308" i="1"/>
  <c r="N4309" i="1"/>
  <c r="N4310" i="1"/>
  <c r="N4311" i="1"/>
  <c r="N4312" i="1"/>
  <c r="N4313" i="1"/>
  <c r="N4314" i="1"/>
  <c r="N4315" i="1"/>
  <c r="N4316" i="1"/>
  <c r="N4317" i="1"/>
  <c r="N4318" i="1"/>
  <c r="N4319" i="1"/>
  <c r="N4320" i="1"/>
  <c r="N4321" i="1"/>
  <c r="N4322" i="1"/>
  <c r="N4323" i="1"/>
  <c r="N4324" i="1"/>
  <c r="N4325" i="1"/>
  <c r="N4326" i="1"/>
  <c r="N4327" i="1"/>
  <c r="N4328" i="1"/>
  <c r="N4329" i="1"/>
  <c r="N4330" i="1"/>
  <c r="N4331" i="1"/>
  <c r="N4332" i="1"/>
  <c r="N4333" i="1"/>
  <c r="N4334" i="1"/>
  <c r="N4335" i="1"/>
  <c r="N4336" i="1"/>
  <c r="M4227" i="1"/>
  <c r="M4228" i="1"/>
  <c r="M4229" i="1"/>
  <c r="M4230" i="1"/>
  <c r="M4231" i="1"/>
  <c r="M4232" i="1"/>
  <c r="M4233" i="1"/>
  <c r="M4234" i="1"/>
  <c r="M4235" i="1"/>
  <c r="M4236" i="1"/>
  <c r="M4237" i="1"/>
  <c r="N4227" i="1"/>
  <c r="N4228" i="1"/>
  <c r="N4229" i="1"/>
  <c r="N4230" i="1"/>
  <c r="N4231" i="1"/>
  <c r="N4232" i="1"/>
  <c r="N4233" i="1"/>
  <c r="N4234" i="1"/>
  <c r="N4235" i="1"/>
  <c r="N4236" i="1"/>
  <c r="N4237" i="1"/>
  <c r="K4226" i="1"/>
  <c r="M4226" i="1"/>
  <c r="N4226" i="1"/>
  <c r="K4225" i="1"/>
  <c r="M4225" i="1"/>
  <c r="N4225" i="1"/>
  <c r="K4224" i="1"/>
  <c r="M4224" i="1"/>
  <c r="N4224" i="1"/>
  <c r="K4220" i="1"/>
  <c r="K4221" i="1"/>
  <c r="K4222" i="1"/>
  <c r="K4223" i="1"/>
  <c r="M4220" i="1"/>
  <c r="M4221" i="1"/>
  <c r="M4222" i="1"/>
  <c r="M4223" i="1"/>
  <c r="N4220" i="1"/>
  <c r="N4221" i="1"/>
  <c r="N4222" i="1"/>
  <c r="N4223" i="1"/>
  <c r="K4218" i="1"/>
  <c r="K4219" i="1"/>
  <c r="M4218" i="1"/>
  <c r="M4219" i="1"/>
  <c r="N4218" i="1"/>
  <c r="N4219" i="1"/>
  <c r="K4217" i="1"/>
  <c r="M4217" i="1"/>
  <c r="N4217" i="1"/>
  <c r="K4216" i="1"/>
  <c r="M4216" i="1"/>
  <c r="N4216" i="1"/>
  <c r="K4215" i="1"/>
  <c r="M4215" i="1"/>
  <c r="N4215" i="1"/>
  <c r="K4214" i="1"/>
  <c r="M4214" i="1"/>
  <c r="N4214" i="1"/>
  <c r="K4213" i="1"/>
  <c r="M4213" i="1"/>
  <c r="N4213" i="1"/>
  <c r="K4210" i="1"/>
  <c r="K4211" i="1"/>
  <c r="K4212" i="1"/>
  <c r="M4210" i="1"/>
  <c r="M4211" i="1"/>
  <c r="M4212" i="1"/>
  <c r="N4210" i="1"/>
  <c r="N4211" i="1"/>
  <c r="N4212" i="1"/>
  <c r="K4209" i="1"/>
  <c r="M4209" i="1"/>
  <c r="N4209" i="1"/>
  <c r="K4208" i="1"/>
  <c r="M4208" i="1"/>
  <c r="N4208" i="1"/>
  <c r="K4201" i="1"/>
  <c r="K4202" i="1"/>
  <c r="K4203" i="1"/>
  <c r="K4204" i="1"/>
  <c r="K4205" i="1"/>
  <c r="K4206" i="1"/>
  <c r="K4207" i="1"/>
  <c r="M4201" i="1"/>
  <c r="M4202" i="1"/>
  <c r="M4203" i="1"/>
  <c r="M4204" i="1"/>
  <c r="M4205" i="1"/>
  <c r="M4206" i="1"/>
  <c r="M4207" i="1"/>
  <c r="N4201" i="1"/>
  <c r="N4202" i="1"/>
  <c r="N4203" i="1"/>
  <c r="N4204" i="1"/>
  <c r="N4205" i="1"/>
  <c r="N4206" i="1"/>
  <c r="N4207" i="1"/>
  <c r="K4197" i="1"/>
  <c r="K4198" i="1"/>
  <c r="K4199" i="1"/>
  <c r="K4200" i="1"/>
  <c r="M4197" i="1"/>
  <c r="M4198" i="1"/>
  <c r="M4199" i="1"/>
  <c r="M4200" i="1"/>
  <c r="N4197" i="1"/>
  <c r="N4198" i="1"/>
  <c r="N4199" i="1"/>
  <c r="N4200" i="1"/>
  <c r="K4195" i="1"/>
  <c r="K4196" i="1"/>
  <c r="M4195" i="1"/>
  <c r="M4196" i="1"/>
  <c r="N4195" i="1"/>
  <c r="N4196" i="1"/>
  <c r="K4194" i="1"/>
  <c r="M4194" i="1"/>
  <c r="N4194" i="1"/>
  <c r="K4193" i="1"/>
  <c r="M4193" i="1"/>
  <c r="N4193" i="1"/>
  <c r="K4192" i="1"/>
  <c r="M4192" i="1"/>
  <c r="N4192" i="1"/>
  <c r="K4190" i="1"/>
  <c r="K4191" i="1"/>
  <c r="M4190" i="1"/>
  <c r="M4191" i="1"/>
  <c r="N4190" i="1"/>
  <c r="N4191" i="1"/>
  <c r="K4189" i="1"/>
  <c r="M4189" i="1"/>
  <c r="N4189" i="1"/>
  <c r="K4187" i="1"/>
  <c r="K4188" i="1"/>
  <c r="M4187" i="1"/>
  <c r="M4188" i="1"/>
  <c r="N4187" i="1"/>
  <c r="N4188" i="1"/>
  <c r="K4185" i="1"/>
  <c r="K4186" i="1"/>
  <c r="M4185" i="1"/>
  <c r="M4186" i="1"/>
  <c r="N4185" i="1"/>
  <c r="N4186" i="1"/>
  <c r="K4184" i="1"/>
  <c r="M4184" i="1"/>
  <c r="N4184" i="1"/>
  <c r="K4182" i="1"/>
  <c r="K4183" i="1"/>
  <c r="M4182" i="1"/>
  <c r="M4183" i="1"/>
  <c r="N4182" i="1"/>
  <c r="N4183" i="1"/>
  <c r="K4156" i="1"/>
  <c r="K4157" i="1"/>
  <c r="K4158" i="1"/>
  <c r="K4159" i="1"/>
  <c r="K4160" i="1"/>
  <c r="K4161" i="1"/>
  <c r="K4162" i="1"/>
  <c r="K4163" i="1"/>
  <c r="K4164" i="1"/>
  <c r="K4165" i="1"/>
  <c r="K4166" i="1"/>
  <c r="K4167" i="1"/>
  <c r="K4168" i="1"/>
  <c r="K4169" i="1"/>
  <c r="K4170" i="1"/>
  <c r="K4171" i="1"/>
  <c r="K4172" i="1"/>
  <c r="K4173" i="1"/>
  <c r="K4174" i="1"/>
  <c r="K4175" i="1"/>
  <c r="K4176" i="1"/>
  <c r="K4177" i="1"/>
  <c r="K4178" i="1"/>
  <c r="K4179" i="1"/>
  <c r="K4180" i="1"/>
  <c r="K4181" i="1"/>
  <c r="M4156" i="1"/>
  <c r="M4157" i="1"/>
  <c r="M4158" i="1"/>
  <c r="M4159" i="1"/>
  <c r="M4160" i="1"/>
  <c r="M4161" i="1"/>
  <c r="M4162" i="1"/>
  <c r="M4163" i="1"/>
  <c r="M4164" i="1"/>
  <c r="M4165" i="1"/>
  <c r="M4166" i="1"/>
  <c r="M4167" i="1"/>
  <c r="M4168" i="1"/>
  <c r="M4169" i="1"/>
  <c r="M4170" i="1"/>
  <c r="M4171" i="1"/>
  <c r="M4172" i="1"/>
  <c r="M4173" i="1"/>
  <c r="M4174" i="1"/>
  <c r="M4175" i="1"/>
  <c r="M4176" i="1"/>
  <c r="M4177" i="1"/>
  <c r="M4178" i="1"/>
  <c r="M4179" i="1"/>
  <c r="M4180" i="1"/>
  <c r="M4181" i="1"/>
  <c r="N4156" i="1"/>
  <c r="N4157" i="1"/>
  <c r="N4158" i="1"/>
  <c r="N4159" i="1"/>
  <c r="N4160" i="1"/>
  <c r="N4161" i="1"/>
  <c r="N4162" i="1"/>
  <c r="N4163" i="1"/>
  <c r="N4164" i="1"/>
  <c r="N4165" i="1"/>
  <c r="N4166" i="1"/>
  <c r="N4167" i="1"/>
  <c r="N4168" i="1"/>
  <c r="N4169" i="1"/>
  <c r="N4170" i="1"/>
  <c r="N4171" i="1"/>
  <c r="N4172" i="1"/>
  <c r="N4173" i="1"/>
  <c r="N4174" i="1"/>
  <c r="N4175" i="1"/>
  <c r="N4176" i="1"/>
  <c r="N4177" i="1"/>
  <c r="N4178" i="1"/>
  <c r="N4179" i="1"/>
  <c r="N4180" i="1"/>
  <c r="N4181" i="1"/>
  <c r="K4155" i="1"/>
  <c r="M4155" i="1"/>
  <c r="N4155" i="1"/>
  <c r="K4153" i="1"/>
  <c r="K4154" i="1"/>
  <c r="M4153" i="1"/>
  <c r="M4154" i="1"/>
  <c r="N4153" i="1"/>
  <c r="N4154" i="1"/>
  <c r="K4152" i="1"/>
  <c r="M4152" i="1"/>
  <c r="N4152" i="1"/>
  <c r="K4151" i="1"/>
  <c r="M4151" i="1"/>
  <c r="N4151" i="1"/>
  <c r="K4150" i="1"/>
  <c r="M4150" i="1"/>
  <c r="N4150" i="1"/>
  <c r="K4149" i="1"/>
  <c r="M4149" i="1"/>
  <c r="N4149" i="1"/>
  <c r="K4148" i="1"/>
  <c r="M4148" i="1"/>
  <c r="N4148" i="1"/>
  <c r="K4130" i="1"/>
  <c r="K4131" i="1"/>
  <c r="K4132" i="1"/>
  <c r="K4133" i="1"/>
  <c r="K4134" i="1"/>
  <c r="K4135" i="1"/>
  <c r="K4136" i="1"/>
  <c r="K4137" i="1"/>
  <c r="K4138" i="1"/>
  <c r="K4139" i="1"/>
  <c r="K4140" i="1"/>
  <c r="K4141" i="1"/>
  <c r="K4142" i="1"/>
  <c r="K4143" i="1"/>
  <c r="K4144" i="1"/>
  <c r="K4145" i="1"/>
  <c r="K4146" i="1"/>
  <c r="K4147" i="1"/>
  <c r="M4130" i="1"/>
  <c r="M4131" i="1"/>
  <c r="M4132" i="1"/>
  <c r="M4133" i="1"/>
  <c r="M4134" i="1"/>
  <c r="M4135" i="1"/>
  <c r="M4136" i="1"/>
  <c r="M4137" i="1"/>
  <c r="M4138" i="1"/>
  <c r="M4139" i="1"/>
  <c r="M4140" i="1"/>
  <c r="M4141" i="1"/>
  <c r="M4142" i="1"/>
  <c r="M4143" i="1"/>
  <c r="M4144" i="1"/>
  <c r="M4145" i="1"/>
  <c r="M4146" i="1"/>
  <c r="M4147" i="1"/>
  <c r="N4130" i="1"/>
  <c r="N4131" i="1"/>
  <c r="N4132" i="1"/>
  <c r="N4133" i="1"/>
  <c r="N4134" i="1"/>
  <c r="N4135" i="1"/>
  <c r="N4136" i="1"/>
  <c r="N4137" i="1"/>
  <c r="N4138" i="1"/>
  <c r="N4139" i="1"/>
  <c r="N4140" i="1"/>
  <c r="N4141" i="1"/>
  <c r="N4142" i="1"/>
  <c r="N4143" i="1"/>
  <c r="N4144" i="1"/>
  <c r="N4145" i="1"/>
  <c r="N4146" i="1"/>
  <c r="N4147" i="1"/>
  <c r="K4128" i="1"/>
  <c r="K4129" i="1"/>
  <c r="M4128" i="1"/>
  <c r="M4129" i="1"/>
  <c r="N4128" i="1"/>
  <c r="N4129" i="1"/>
  <c r="K4127" i="1"/>
  <c r="M4127" i="1"/>
  <c r="N4127" i="1"/>
  <c r="K4126" i="1"/>
  <c r="M4126" i="1"/>
  <c r="N4126" i="1"/>
  <c r="K4125" i="1"/>
  <c r="M4125" i="1"/>
  <c r="N4125" i="1"/>
  <c r="K4123" i="1"/>
  <c r="K4124" i="1"/>
  <c r="M4123" i="1"/>
  <c r="M4124" i="1"/>
  <c r="N4123" i="1"/>
  <c r="N4124" i="1"/>
  <c r="K4122" i="1"/>
  <c r="M4122" i="1"/>
  <c r="N4122" i="1"/>
  <c r="K4121" i="1"/>
  <c r="M4121" i="1"/>
  <c r="N4121" i="1"/>
  <c r="K4118" i="1"/>
  <c r="K4119" i="1"/>
  <c r="K4120" i="1"/>
  <c r="M4118" i="1"/>
  <c r="M4119" i="1"/>
  <c r="M4120" i="1"/>
  <c r="N4118" i="1"/>
  <c r="N4119" i="1"/>
  <c r="N4120" i="1"/>
  <c r="K4116" i="1"/>
  <c r="K4117" i="1"/>
  <c r="M4116" i="1"/>
  <c r="M4117" i="1"/>
  <c r="N4116" i="1"/>
  <c r="N4117" i="1"/>
  <c r="K4115" i="1"/>
  <c r="M4115" i="1"/>
  <c r="N4115" i="1"/>
  <c r="K4114" i="1"/>
  <c r="M4114" i="1"/>
  <c r="N4114" i="1"/>
  <c r="K4113" i="1"/>
  <c r="M4113" i="1"/>
  <c r="N4113" i="1"/>
  <c r="K4112" i="1"/>
  <c r="M4112" i="1"/>
  <c r="N4112" i="1"/>
  <c r="K4111" i="1"/>
  <c r="M4111" i="1"/>
  <c r="N4111" i="1"/>
  <c r="K4110" i="1"/>
  <c r="M4110" i="1"/>
  <c r="N4110" i="1"/>
  <c r="K4109" i="1"/>
  <c r="M4109" i="1"/>
  <c r="N4109" i="1"/>
  <c r="K4108" i="1"/>
  <c r="M4108" i="1"/>
  <c r="N4108" i="1"/>
  <c r="K4098" i="1"/>
  <c r="K4099" i="1"/>
  <c r="K4100" i="1"/>
  <c r="K4101" i="1"/>
  <c r="K4102" i="1"/>
  <c r="K4103" i="1"/>
  <c r="K4104" i="1"/>
  <c r="K4105" i="1"/>
  <c r="K4106" i="1"/>
  <c r="K4107" i="1"/>
  <c r="M4098" i="1"/>
  <c r="M4099" i="1"/>
  <c r="M4100" i="1"/>
  <c r="M4101" i="1"/>
  <c r="M4102" i="1"/>
  <c r="M4103" i="1"/>
  <c r="M4104" i="1"/>
  <c r="M4105" i="1"/>
  <c r="M4106" i="1"/>
  <c r="M4107" i="1"/>
  <c r="N4098" i="1"/>
  <c r="N4099" i="1"/>
  <c r="N4100" i="1"/>
  <c r="N4101" i="1"/>
  <c r="N4102" i="1"/>
  <c r="N4103" i="1"/>
  <c r="N4104" i="1"/>
  <c r="N4105" i="1"/>
  <c r="N4106" i="1"/>
  <c r="N4107" i="1"/>
  <c r="K4097" i="1"/>
  <c r="M4097" i="1"/>
  <c r="N4097" i="1"/>
  <c r="K4096" i="1"/>
  <c r="M4096" i="1"/>
  <c r="N4096" i="1"/>
  <c r="K4095" i="1"/>
  <c r="M4095" i="1"/>
  <c r="N4095" i="1"/>
  <c r="K4092" i="1"/>
  <c r="K4093" i="1"/>
  <c r="K4094" i="1"/>
  <c r="M4092" i="1"/>
  <c r="M4093" i="1"/>
  <c r="M4094" i="1"/>
  <c r="N4092" i="1"/>
  <c r="N4093" i="1"/>
  <c r="N4094" i="1"/>
  <c r="K4090" i="1"/>
  <c r="K4091" i="1"/>
  <c r="M4090" i="1"/>
  <c r="M4091" i="1"/>
  <c r="N4090" i="1"/>
  <c r="N4091" i="1"/>
  <c r="K4089" i="1"/>
  <c r="M4089" i="1"/>
  <c r="N4089" i="1"/>
  <c r="K4088" i="1"/>
  <c r="M4088" i="1"/>
  <c r="N4088" i="1"/>
  <c r="K4087" i="1"/>
  <c r="M4087" i="1"/>
  <c r="N4087" i="1"/>
  <c r="K4086" i="1"/>
  <c r="M4086" i="1"/>
  <c r="N4086" i="1"/>
  <c r="K4085" i="1"/>
  <c r="M4085" i="1"/>
  <c r="N4085" i="1"/>
  <c r="K4084" i="1"/>
  <c r="M4084" i="1"/>
  <c r="N4084" i="1"/>
  <c r="K4083" i="1"/>
  <c r="M4083" i="1"/>
  <c r="N4083" i="1"/>
  <c r="K4081" i="1"/>
  <c r="K4082" i="1"/>
  <c r="M4081" i="1"/>
  <c r="M4082" i="1"/>
  <c r="N4081" i="1"/>
  <c r="N4082" i="1"/>
  <c r="K4080" i="1"/>
  <c r="M4080" i="1"/>
  <c r="N4080" i="1"/>
  <c r="K4079" i="1"/>
  <c r="M4079" i="1"/>
  <c r="N4079" i="1"/>
  <c r="K4078" i="1"/>
  <c r="M4078" i="1"/>
  <c r="N4078" i="1"/>
  <c r="K4077" i="1"/>
  <c r="M4077" i="1"/>
  <c r="N4077" i="1"/>
  <c r="K4076" i="1"/>
  <c r="M4076" i="1"/>
  <c r="N4076" i="1"/>
  <c r="K4075" i="1"/>
  <c r="M4075" i="1"/>
  <c r="N4075" i="1"/>
  <c r="K4074" i="1"/>
  <c r="M4074" i="1"/>
  <c r="N4074" i="1"/>
  <c r="K4073" i="1"/>
  <c r="M4073" i="1"/>
  <c r="N4073" i="1"/>
  <c r="K4072" i="1"/>
  <c r="M4072" i="1"/>
  <c r="N4072" i="1"/>
  <c r="K4071" i="1"/>
  <c r="M4071" i="1"/>
  <c r="N4071" i="1"/>
  <c r="K4066" i="1"/>
  <c r="K4067" i="1"/>
  <c r="K4068" i="1"/>
  <c r="K4069" i="1"/>
  <c r="K4070" i="1"/>
  <c r="M4066" i="1"/>
  <c r="M4067" i="1"/>
  <c r="M4068" i="1"/>
  <c r="M4069" i="1"/>
  <c r="M4070" i="1"/>
  <c r="N4066" i="1"/>
  <c r="N4067" i="1"/>
  <c r="N4068" i="1"/>
  <c r="N4069" i="1"/>
  <c r="N4070" i="1"/>
  <c r="K4060" i="1"/>
  <c r="K4061" i="1"/>
  <c r="K4062" i="1"/>
  <c r="K4063" i="1"/>
  <c r="K4064" i="1"/>
  <c r="K4065" i="1"/>
  <c r="M4060" i="1"/>
  <c r="M4061" i="1"/>
  <c r="M4062" i="1"/>
  <c r="M4063" i="1"/>
  <c r="M4064" i="1"/>
  <c r="M4065" i="1"/>
  <c r="N4060" i="1"/>
  <c r="N4061" i="1"/>
  <c r="N4062" i="1"/>
  <c r="N4063" i="1"/>
  <c r="N4064" i="1"/>
  <c r="N4065" i="1"/>
  <c r="K4056" i="1"/>
  <c r="K4057" i="1"/>
  <c r="K4058" i="1"/>
  <c r="K4059" i="1"/>
  <c r="M4056" i="1"/>
  <c r="M4057" i="1"/>
  <c r="M4058" i="1"/>
  <c r="M4059" i="1"/>
  <c r="N4056" i="1"/>
  <c r="N4057" i="1"/>
  <c r="N4058" i="1"/>
  <c r="N4059" i="1"/>
  <c r="K4055" i="1"/>
  <c r="M4055" i="1"/>
  <c r="N4055" i="1"/>
  <c r="K4054" i="1"/>
  <c r="M4054" i="1"/>
  <c r="N4054" i="1"/>
  <c r="K4051" i="1"/>
  <c r="K4052" i="1"/>
  <c r="K4053" i="1"/>
  <c r="M4051" i="1"/>
  <c r="M4052" i="1"/>
  <c r="M4053" i="1"/>
  <c r="N4051" i="1"/>
  <c r="N4052" i="1"/>
  <c r="N4053" i="1"/>
  <c r="K4048" i="1"/>
  <c r="K4049" i="1"/>
  <c r="K4050" i="1"/>
  <c r="M4048" i="1"/>
  <c r="M4049" i="1"/>
  <c r="M4050" i="1"/>
  <c r="N4048" i="1"/>
  <c r="N4049" i="1"/>
  <c r="N4050" i="1"/>
  <c r="K4046" i="1"/>
  <c r="K4047" i="1"/>
  <c r="M4046" i="1"/>
  <c r="M4047" i="1"/>
  <c r="N4046" i="1"/>
  <c r="N4047" i="1"/>
  <c r="K3999" i="1"/>
  <c r="K4000" i="1"/>
  <c r="K4001" i="1"/>
  <c r="K4002" i="1"/>
  <c r="K4003" i="1"/>
  <c r="K4004" i="1"/>
  <c r="K4005" i="1"/>
  <c r="K4006" i="1"/>
  <c r="K4007" i="1"/>
  <c r="K4008" i="1"/>
  <c r="K4009" i="1"/>
  <c r="K4010" i="1"/>
  <c r="K4011" i="1"/>
  <c r="K4012" i="1"/>
  <c r="K4013" i="1"/>
  <c r="K4014" i="1"/>
  <c r="K4015" i="1"/>
  <c r="K4016" i="1"/>
  <c r="K4017" i="1"/>
  <c r="K4018" i="1"/>
  <c r="K4019" i="1"/>
  <c r="K4020" i="1"/>
  <c r="K4021" i="1"/>
  <c r="K4022" i="1"/>
  <c r="K4023" i="1"/>
  <c r="K4024" i="1"/>
  <c r="K4025" i="1"/>
  <c r="K4026" i="1"/>
  <c r="K4027" i="1"/>
  <c r="K4028" i="1"/>
  <c r="K4029" i="1"/>
  <c r="K4030" i="1"/>
  <c r="K4031" i="1"/>
  <c r="K4032" i="1"/>
  <c r="K4033" i="1"/>
  <c r="K4034" i="1"/>
  <c r="K4035" i="1"/>
  <c r="K4036" i="1"/>
  <c r="K4037" i="1"/>
  <c r="K4038" i="1"/>
  <c r="K4039" i="1"/>
  <c r="K4040" i="1"/>
  <c r="K4041" i="1"/>
  <c r="K4042" i="1"/>
  <c r="K4043" i="1"/>
  <c r="K4044" i="1"/>
  <c r="K4045" i="1"/>
  <c r="M3999" i="1"/>
  <c r="M4000" i="1"/>
  <c r="M4001" i="1"/>
  <c r="M4002" i="1"/>
  <c r="M4003" i="1"/>
  <c r="M4004" i="1"/>
  <c r="M4005" i="1"/>
  <c r="M4006" i="1"/>
  <c r="M4007" i="1"/>
  <c r="M4008" i="1"/>
  <c r="M4009" i="1"/>
  <c r="M4010" i="1"/>
  <c r="M4011" i="1"/>
  <c r="M4012" i="1"/>
  <c r="M4013" i="1"/>
  <c r="M4014" i="1"/>
  <c r="M4015" i="1"/>
  <c r="M4016" i="1"/>
  <c r="M4017" i="1"/>
  <c r="M4018" i="1"/>
  <c r="M4019" i="1"/>
  <c r="M4020" i="1"/>
  <c r="M4021" i="1"/>
  <c r="M4022" i="1"/>
  <c r="M4023" i="1"/>
  <c r="M4024" i="1"/>
  <c r="M4025" i="1"/>
  <c r="M4026" i="1"/>
  <c r="M4027" i="1"/>
  <c r="M4028" i="1"/>
  <c r="M4029" i="1"/>
  <c r="M4030" i="1"/>
  <c r="M4031" i="1"/>
  <c r="M4032" i="1"/>
  <c r="M4033" i="1"/>
  <c r="M4034" i="1"/>
  <c r="M4035" i="1"/>
  <c r="M4036" i="1"/>
  <c r="M4037" i="1"/>
  <c r="M4038" i="1"/>
  <c r="M4039" i="1"/>
  <c r="M4040" i="1"/>
  <c r="M4041" i="1"/>
  <c r="M4042" i="1"/>
  <c r="M4043" i="1"/>
  <c r="M4044" i="1"/>
  <c r="M4045" i="1"/>
  <c r="N3999" i="1"/>
  <c r="N4000" i="1"/>
  <c r="N4001" i="1"/>
  <c r="N4002" i="1"/>
  <c r="N4003" i="1"/>
  <c r="N4004" i="1"/>
  <c r="N4005" i="1"/>
  <c r="N4006" i="1"/>
  <c r="N4007" i="1"/>
  <c r="N4008" i="1"/>
  <c r="N4009" i="1"/>
  <c r="N4010" i="1"/>
  <c r="N4011" i="1"/>
  <c r="N4012" i="1"/>
  <c r="N4013" i="1"/>
  <c r="N4014" i="1"/>
  <c r="N4015" i="1"/>
  <c r="N4016" i="1"/>
  <c r="N4017" i="1"/>
  <c r="N4018" i="1"/>
  <c r="N4019" i="1"/>
  <c r="N4020" i="1"/>
  <c r="N4021" i="1"/>
  <c r="N4022" i="1"/>
  <c r="N4023" i="1"/>
  <c r="N4024" i="1"/>
  <c r="N4025" i="1"/>
  <c r="N4026" i="1"/>
  <c r="N4027" i="1"/>
  <c r="N4028" i="1"/>
  <c r="N4029" i="1"/>
  <c r="N4030" i="1"/>
  <c r="N4031" i="1"/>
  <c r="N4032" i="1"/>
  <c r="N4033" i="1"/>
  <c r="N4034" i="1"/>
  <c r="N4035" i="1"/>
  <c r="N4036" i="1"/>
  <c r="N4037" i="1"/>
  <c r="N4038" i="1"/>
  <c r="N4039" i="1"/>
  <c r="N4040" i="1"/>
  <c r="N4041" i="1"/>
  <c r="N4042" i="1"/>
  <c r="N4043" i="1"/>
  <c r="N4044" i="1"/>
  <c r="N4045" i="1"/>
  <c r="K3995" i="1"/>
  <c r="K3996" i="1"/>
  <c r="K3997" i="1"/>
  <c r="K3998" i="1"/>
  <c r="M3995" i="1"/>
  <c r="M3996" i="1"/>
  <c r="M3997" i="1"/>
  <c r="M3998" i="1"/>
  <c r="N3995" i="1"/>
  <c r="N3996" i="1"/>
  <c r="N3997" i="1"/>
  <c r="N3998" i="1"/>
  <c r="K3993" i="1"/>
  <c r="K3994" i="1"/>
  <c r="M3993" i="1"/>
  <c r="M3994" i="1"/>
  <c r="N3993" i="1"/>
  <c r="N3994" i="1"/>
  <c r="K3989" i="1"/>
  <c r="K3990" i="1"/>
  <c r="K3991" i="1"/>
  <c r="K3992" i="1"/>
  <c r="M3989" i="1"/>
  <c r="M3990" i="1"/>
  <c r="M3991" i="1"/>
  <c r="M3992" i="1"/>
  <c r="N3989" i="1"/>
  <c r="N3990" i="1"/>
  <c r="N3991" i="1"/>
  <c r="N3992" i="1"/>
  <c r="K3988" i="1"/>
  <c r="M3988" i="1"/>
  <c r="N3988" i="1"/>
  <c r="K3987" i="1"/>
  <c r="M3987" i="1"/>
  <c r="N3987" i="1"/>
  <c r="K3986" i="1"/>
  <c r="M3986" i="1"/>
  <c r="N3986" i="1"/>
  <c r="K3985" i="1"/>
  <c r="M3985" i="1"/>
  <c r="N3985" i="1"/>
  <c r="K3979" i="1"/>
  <c r="K3980" i="1"/>
  <c r="K3981" i="1"/>
  <c r="K3982" i="1"/>
  <c r="K3983" i="1"/>
  <c r="K3984" i="1"/>
  <c r="M3979" i="1"/>
  <c r="M3980" i="1"/>
  <c r="M3981" i="1"/>
  <c r="M3982" i="1"/>
  <c r="M3983" i="1"/>
  <c r="M3984" i="1"/>
  <c r="N3979" i="1"/>
  <c r="N3980" i="1"/>
  <c r="N3981" i="1"/>
  <c r="N3982" i="1"/>
  <c r="N3983" i="1"/>
  <c r="N3984" i="1"/>
  <c r="K3974" i="1"/>
  <c r="K3975" i="1"/>
  <c r="K3976" i="1"/>
  <c r="K3977" i="1"/>
  <c r="K3978" i="1"/>
  <c r="M3974" i="1"/>
  <c r="M3975" i="1"/>
  <c r="M3976" i="1"/>
  <c r="M3977" i="1"/>
  <c r="M3978" i="1"/>
  <c r="N3974" i="1"/>
  <c r="N3975" i="1"/>
  <c r="N3976" i="1"/>
  <c r="N3977" i="1"/>
  <c r="N3978" i="1"/>
  <c r="K3970" i="1"/>
  <c r="K3971" i="1"/>
  <c r="K3972" i="1"/>
  <c r="K3973" i="1"/>
  <c r="M3970" i="1"/>
  <c r="M3971" i="1"/>
  <c r="M3972" i="1"/>
  <c r="M3973" i="1"/>
  <c r="N3970" i="1"/>
  <c r="N3971" i="1"/>
  <c r="N3972" i="1"/>
  <c r="N3973" i="1"/>
  <c r="K3967" i="1"/>
  <c r="K3968" i="1"/>
  <c r="K3969" i="1"/>
  <c r="M3967" i="1"/>
  <c r="M3968" i="1"/>
  <c r="M3969" i="1"/>
  <c r="N3967" i="1"/>
  <c r="N3968" i="1"/>
  <c r="N3969" i="1"/>
  <c r="K3966" i="1"/>
  <c r="M3966" i="1"/>
  <c r="N3966" i="1"/>
  <c r="K3965" i="1"/>
  <c r="M3965" i="1"/>
  <c r="N3965" i="1"/>
  <c r="K3963" i="1"/>
  <c r="K3964" i="1"/>
  <c r="M3963" i="1"/>
  <c r="M3964" i="1"/>
  <c r="N3963" i="1"/>
  <c r="N3964" i="1"/>
  <c r="K3962" i="1" l="1"/>
  <c r="M3962" i="1"/>
  <c r="N3962" i="1"/>
  <c r="K3961" i="1"/>
  <c r="M3961" i="1"/>
  <c r="N3961" i="1"/>
  <c r="K3960" i="1"/>
  <c r="M3960" i="1"/>
  <c r="N3960" i="1"/>
  <c r="K3939" i="1"/>
  <c r="K3940" i="1"/>
  <c r="K3941" i="1"/>
  <c r="K3942" i="1"/>
  <c r="K3943" i="1"/>
  <c r="K3944" i="1"/>
  <c r="K3945" i="1"/>
  <c r="K3946" i="1"/>
  <c r="K3947" i="1"/>
  <c r="K3948" i="1"/>
  <c r="K3949" i="1"/>
  <c r="K3950" i="1"/>
  <c r="K3951" i="1"/>
  <c r="K3952" i="1"/>
  <c r="K3953" i="1"/>
  <c r="K3954" i="1"/>
  <c r="K3955" i="1"/>
  <c r="K3956" i="1"/>
  <c r="K3957" i="1"/>
  <c r="K3958" i="1"/>
  <c r="K3959" i="1"/>
  <c r="M3939" i="1"/>
  <c r="M3940" i="1"/>
  <c r="M3941" i="1"/>
  <c r="M3942" i="1"/>
  <c r="M3943" i="1"/>
  <c r="M3944" i="1"/>
  <c r="M3945" i="1"/>
  <c r="M3946" i="1"/>
  <c r="M3947" i="1"/>
  <c r="M3948" i="1"/>
  <c r="M3949" i="1"/>
  <c r="M3950" i="1"/>
  <c r="M3951" i="1"/>
  <c r="M3952" i="1"/>
  <c r="M3953" i="1"/>
  <c r="M3954" i="1"/>
  <c r="M3955" i="1"/>
  <c r="M3956" i="1"/>
  <c r="M3957" i="1"/>
  <c r="M3958" i="1"/>
  <c r="M3959" i="1"/>
  <c r="N3939" i="1"/>
  <c r="N3940" i="1"/>
  <c r="N3941" i="1"/>
  <c r="N3942" i="1"/>
  <c r="N3943" i="1"/>
  <c r="N3944" i="1"/>
  <c r="N3945" i="1"/>
  <c r="N3946" i="1"/>
  <c r="N3947" i="1"/>
  <c r="N3948" i="1"/>
  <c r="N3949" i="1"/>
  <c r="N3950" i="1"/>
  <c r="N3951" i="1"/>
  <c r="N3952" i="1"/>
  <c r="N3953" i="1"/>
  <c r="N3954" i="1"/>
  <c r="N3955" i="1"/>
  <c r="N3956" i="1"/>
  <c r="N3957" i="1"/>
  <c r="N3958" i="1"/>
  <c r="N3959" i="1"/>
  <c r="K3930" i="1"/>
  <c r="K3931" i="1"/>
  <c r="K3932" i="1"/>
  <c r="K3933" i="1"/>
  <c r="K3934" i="1"/>
  <c r="K3935" i="1"/>
  <c r="K3936" i="1"/>
  <c r="K3937" i="1"/>
  <c r="K3938" i="1"/>
  <c r="M3930" i="1"/>
  <c r="M3931" i="1"/>
  <c r="M3932" i="1"/>
  <c r="M3933" i="1"/>
  <c r="M3934" i="1"/>
  <c r="M3935" i="1"/>
  <c r="M3936" i="1"/>
  <c r="M3937" i="1"/>
  <c r="M3938" i="1"/>
  <c r="N3930" i="1"/>
  <c r="N3931" i="1"/>
  <c r="N3932" i="1"/>
  <c r="N3933" i="1"/>
  <c r="N3934" i="1"/>
  <c r="N3935" i="1"/>
  <c r="N3936" i="1"/>
  <c r="N3937" i="1"/>
  <c r="N3938" i="1"/>
  <c r="K3926" i="1"/>
  <c r="K3927" i="1"/>
  <c r="K3928" i="1"/>
  <c r="K3929" i="1"/>
  <c r="M3926" i="1"/>
  <c r="M3927" i="1"/>
  <c r="M3928" i="1"/>
  <c r="M3929" i="1"/>
  <c r="N3926" i="1"/>
  <c r="N3927" i="1"/>
  <c r="N3928" i="1"/>
  <c r="N3929" i="1"/>
  <c r="K3925" i="1"/>
  <c r="M3925" i="1"/>
  <c r="N3925" i="1"/>
  <c r="K3924" i="1"/>
  <c r="M3924" i="1"/>
  <c r="N3924" i="1"/>
  <c r="K3923" i="1"/>
  <c r="M3923" i="1"/>
  <c r="N3923" i="1"/>
  <c r="K3922" i="1"/>
  <c r="M3922" i="1"/>
  <c r="N3922" i="1"/>
  <c r="K3921" i="1"/>
  <c r="M3921" i="1"/>
  <c r="N3921" i="1"/>
  <c r="K3920" i="1"/>
  <c r="M3920" i="1"/>
  <c r="N3920" i="1"/>
  <c r="K3917" i="1"/>
  <c r="K3918" i="1"/>
  <c r="K3919" i="1"/>
  <c r="M3917" i="1"/>
  <c r="M3918" i="1"/>
  <c r="M3919" i="1"/>
  <c r="N3917" i="1"/>
  <c r="N3918" i="1"/>
  <c r="N3919" i="1"/>
  <c r="K3916" i="1"/>
  <c r="M3916" i="1"/>
  <c r="N3916" i="1"/>
  <c r="K3915" i="1"/>
  <c r="M3915" i="1"/>
  <c r="N3915" i="1"/>
  <c r="K3906" i="1"/>
  <c r="K3907" i="1"/>
  <c r="K3908" i="1"/>
  <c r="K3909" i="1"/>
  <c r="K3910" i="1"/>
  <c r="K3911" i="1"/>
  <c r="K3912" i="1"/>
  <c r="K3913" i="1"/>
  <c r="K3914" i="1"/>
  <c r="M3906" i="1"/>
  <c r="M3907" i="1"/>
  <c r="M3908" i="1"/>
  <c r="M3909" i="1"/>
  <c r="M3910" i="1"/>
  <c r="M3911" i="1"/>
  <c r="M3912" i="1"/>
  <c r="M3913" i="1"/>
  <c r="M3914" i="1"/>
  <c r="N3906" i="1"/>
  <c r="N3907" i="1"/>
  <c r="N3908" i="1"/>
  <c r="N3909" i="1"/>
  <c r="N3910" i="1"/>
  <c r="N3911" i="1"/>
  <c r="N3912" i="1"/>
  <c r="N3913" i="1"/>
  <c r="N3914" i="1"/>
  <c r="K3905" i="1"/>
  <c r="M3905" i="1"/>
  <c r="N3905" i="1"/>
  <c r="K3903" i="1"/>
  <c r="K3904" i="1"/>
  <c r="M3903" i="1"/>
  <c r="M3904" i="1"/>
  <c r="N3903" i="1"/>
  <c r="N3904" i="1"/>
  <c r="K3896" i="1"/>
  <c r="K3897" i="1"/>
  <c r="K3898" i="1"/>
  <c r="K3899" i="1"/>
  <c r="K3900" i="1"/>
  <c r="K3901" i="1"/>
  <c r="K3902" i="1"/>
  <c r="M3896" i="1"/>
  <c r="M3897" i="1"/>
  <c r="M3898" i="1"/>
  <c r="M3899" i="1"/>
  <c r="M3900" i="1"/>
  <c r="M3901" i="1"/>
  <c r="M3902" i="1"/>
  <c r="N3896" i="1"/>
  <c r="N3897" i="1"/>
  <c r="N3898" i="1"/>
  <c r="N3899" i="1"/>
  <c r="N3900" i="1"/>
  <c r="N3901" i="1"/>
  <c r="N3902" i="1"/>
  <c r="K3894" i="1"/>
  <c r="K3895" i="1"/>
  <c r="M3894" i="1"/>
  <c r="M3895" i="1"/>
  <c r="N3894" i="1"/>
  <c r="N3895" i="1"/>
  <c r="K3891" i="1"/>
  <c r="K3892" i="1"/>
  <c r="K3893" i="1"/>
  <c r="M3891" i="1"/>
  <c r="M3892" i="1"/>
  <c r="M3893" i="1"/>
  <c r="N3891" i="1"/>
  <c r="N3892" i="1"/>
  <c r="N3893" i="1"/>
  <c r="K3889" i="1"/>
  <c r="K3890" i="1"/>
  <c r="M3889" i="1"/>
  <c r="M3890" i="1"/>
  <c r="N3889" i="1"/>
  <c r="N3890" i="1"/>
  <c r="K3887" i="1"/>
  <c r="K3888" i="1"/>
  <c r="M3887" i="1"/>
  <c r="M3888" i="1"/>
  <c r="N3887" i="1"/>
  <c r="N3888" i="1"/>
  <c r="K3885" i="1"/>
  <c r="K3886" i="1"/>
  <c r="M3885" i="1"/>
  <c r="M3886" i="1"/>
  <c r="N3885" i="1"/>
  <c r="N3886" i="1"/>
  <c r="K3878" i="1"/>
  <c r="K3879" i="1"/>
  <c r="K3880" i="1"/>
  <c r="K3881" i="1"/>
  <c r="K3882" i="1"/>
  <c r="K3883" i="1"/>
  <c r="K3884" i="1"/>
  <c r="M3878" i="1"/>
  <c r="M3879" i="1"/>
  <c r="M3880" i="1"/>
  <c r="M3881" i="1"/>
  <c r="M3882" i="1"/>
  <c r="M3883" i="1"/>
  <c r="M3884" i="1"/>
  <c r="N3878" i="1"/>
  <c r="N3879" i="1"/>
  <c r="N3880" i="1"/>
  <c r="N3881" i="1"/>
  <c r="N3882" i="1"/>
  <c r="N3883" i="1"/>
  <c r="N3884" i="1"/>
  <c r="K3877" i="1"/>
  <c r="M3877" i="1"/>
  <c r="N3877" i="1"/>
  <c r="K3875" i="1"/>
  <c r="K3876" i="1"/>
  <c r="M3875" i="1"/>
  <c r="M3876" i="1"/>
  <c r="N3875" i="1"/>
  <c r="N3876" i="1"/>
  <c r="K3867" i="1"/>
  <c r="K3868" i="1"/>
  <c r="K3869" i="1"/>
  <c r="K3870" i="1"/>
  <c r="K3871" i="1"/>
  <c r="K3872" i="1"/>
  <c r="K3873" i="1"/>
  <c r="K3874" i="1"/>
  <c r="M3867" i="1"/>
  <c r="M3868" i="1"/>
  <c r="M3869" i="1"/>
  <c r="M3870" i="1"/>
  <c r="M3871" i="1"/>
  <c r="M3872" i="1"/>
  <c r="M3873" i="1"/>
  <c r="M3874" i="1"/>
  <c r="N3867" i="1"/>
  <c r="N3868" i="1"/>
  <c r="N3869" i="1"/>
  <c r="N3870" i="1"/>
  <c r="N3871" i="1"/>
  <c r="N3872" i="1"/>
  <c r="N3873" i="1"/>
  <c r="N3874" i="1"/>
  <c r="K3865" i="1"/>
  <c r="K3866" i="1"/>
  <c r="M3865" i="1"/>
  <c r="M3866" i="1"/>
  <c r="N3865" i="1"/>
  <c r="N3866" i="1"/>
  <c r="K3863" i="1"/>
  <c r="K3864" i="1"/>
  <c r="M3863" i="1"/>
  <c r="M3864" i="1"/>
  <c r="N3863" i="1"/>
  <c r="N3864" i="1"/>
  <c r="K3862" i="1"/>
  <c r="M3862" i="1"/>
  <c r="N3862" i="1"/>
  <c r="K3861" i="1"/>
  <c r="M3861" i="1"/>
  <c r="N3861" i="1"/>
  <c r="K3859" i="1"/>
  <c r="K3860" i="1"/>
  <c r="M3859" i="1"/>
  <c r="M3860" i="1"/>
  <c r="N3859" i="1"/>
  <c r="N3860" i="1"/>
  <c r="K3858" i="1"/>
  <c r="M3858" i="1"/>
  <c r="N3858" i="1"/>
  <c r="K3837" i="1"/>
  <c r="K3838" i="1"/>
  <c r="K3839" i="1"/>
  <c r="K3840" i="1"/>
  <c r="K3841" i="1"/>
  <c r="K3842" i="1"/>
  <c r="K3843" i="1"/>
  <c r="K3844" i="1"/>
  <c r="K3845" i="1"/>
  <c r="K3846" i="1"/>
  <c r="K3847" i="1"/>
  <c r="K3848" i="1"/>
  <c r="K3849" i="1"/>
  <c r="K3850" i="1"/>
  <c r="K3851" i="1"/>
  <c r="K3852" i="1"/>
  <c r="K3853" i="1"/>
  <c r="K3854" i="1"/>
  <c r="K3855" i="1"/>
  <c r="K3856" i="1"/>
  <c r="K3857" i="1"/>
  <c r="M3837" i="1"/>
  <c r="M3838" i="1"/>
  <c r="M3839" i="1"/>
  <c r="M3840" i="1"/>
  <c r="M3841" i="1"/>
  <c r="M3842" i="1"/>
  <c r="M3843" i="1"/>
  <c r="M3844" i="1"/>
  <c r="M3845" i="1"/>
  <c r="M3846" i="1"/>
  <c r="M3847" i="1"/>
  <c r="M3848" i="1"/>
  <c r="M3849" i="1"/>
  <c r="M3850" i="1"/>
  <c r="M3851" i="1"/>
  <c r="M3852" i="1"/>
  <c r="M3853" i="1"/>
  <c r="M3854" i="1"/>
  <c r="M3855" i="1"/>
  <c r="M3856" i="1"/>
  <c r="M3857" i="1"/>
  <c r="N3837" i="1"/>
  <c r="N3838" i="1"/>
  <c r="N3839" i="1"/>
  <c r="N3840" i="1"/>
  <c r="N3841" i="1"/>
  <c r="N3842" i="1"/>
  <c r="N3843" i="1"/>
  <c r="N3844" i="1"/>
  <c r="N3845" i="1"/>
  <c r="N3846" i="1"/>
  <c r="N3847" i="1"/>
  <c r="N3848" i="1"/>
  <c r="N3849" i="1"/>
  <c r="N3850" i="1"/>
  <c r="N3851" i="1"/>
  <c r="N3852" i="1"/>
  <c r="N3853" i="1"/>
  <c r="N3854" i="1"/>
  <c r="N3855" i="1"/>
  <c r="N3856" i="1"/>
  <c r="N3857" i="1"/>
  <c r="K3836" i="1"/>
  <c r="M3836" i="1"/>
  <c r="N3836" i="1"/>
  <c r="K3835" i="1"/>
  <c r="M3835" i="1"/>
  <c r="N3835" i="1"/>
  <c r="K3833" i="1"/>
  <c r="K3834" i="1"/>
  <c r="M3833" i="1"/>
  <c r="M3834" i="1"/>
  <c r="N3833" i="1"/>
  <c r="N3834" i="1"/>
  <c r="K3825" i="1"/>
  <c r="K3826" i="1"/>
  <c r="K3827" i="1"/>
  <c r="K3828" i="1"/>
  <c r="K3829" i="1"/>
  <c r="K3830" i="1"/>
  <c r="K3831" i="1"/>
  <c r="K3832" i="1"/>
  <c r="M3825" i="1"/>
  <c r="M3826" i="1"/>
  <c r="M3827" i="1"/>
  <c r="M3828" i="1"/>
  <c r="M3829" i="1"/>
  <c r="M3830" i="1"/>
  <c r="M3831" i="1"/>
  <c r="M3832" i="1"/>
  <c r="N3825" i="1"/>
  <c r="N3826" i="1"/>
  <c r="N3827" i="1"/>
  <c r="N3828" i="1"/>
  <c r="N3829" i="1"/>
  <c r="N3830" i="1"/>
  <c r="N3831" i="1"/>
  <c r="N3832" i="1"/>
  <c r="K3820" i="1"/>
  <c r="K3821" i="1"/>
  <c r="K3822" i="1"/>
  <c r="K3823" i="1"/>
  <c r="K3824" i="1"/>
  <c r="M3820" i="1"/>
  <c r="M3821" i="1"/>
  <c r="M3822" i="1"/>
  <c r="M3823" i="1"/>
  <c r="M3824" i="1"/>
  <c r="N3820" i="1"/>
  <c r="N3821" i="1"/>
  <c r="N3822" i="1"/>
  <c r="N3823" i="1"/>
  <c r="N3824" i="1"/>
  <c r="K3819" i="1"/>
  <c r="M3819" i="1"/>
  <c r="N3819" i="1"/>
  <c r="K3818" i="1"/>
  <c r="M3818" i="1"/>
  <c r="N3818" i="1"/>
  <c r="K3814" i="1"/>
  <c r="K3815" i="1"/>
  <c r="K3816" i="1"/>
  <c r="K3817" i="1"/>
  <c r="M3814" i="1"/>
  <c r="M3815" i="1"/>
  <c r="M3816" i="1"/>
  <c r="M3817" i="1"/>
  <c r="N3814" i="1"/>
  <c r="N3815" i="1"/>
  <c r="N3816" i="1"/>
  <c r="N3817" i="1"/>
  <c r="K3812" i="1"/>
  <c r="K3813" i="1"/>
  <c r="M3812" i="1"/>
  <c r="M3813" i="1"/>
  <c r="N3812" i="1"/>
  <c r="N3813" i="1"/>
  <c r="K3811" i="1"/>
  <c r="M3811" i="1"/>
  <c r="N3811" i="1"/>
  <c r="K3806" i="1"/>
  <c r="K3807" i="1"/>
  <c r="K3808" i="1"/>
  <c r="K3809" i="1"/>
  <c r="K3810" i="1"/>
  <c r="M3806" i="1"/>
  <c r="M3807" i="1"/>
  <c r="M3808" i="1"/>
  <c r="M3809" i="1"/>
  <c r="M3810" i="1"/>
  <c r="N3806" i="1"/>
  <c r="N3807" i="1"/>
  <c r="N3808" i="1"/>
  <c r="N3809" i="1"/>
  <c r="N3810" i="1"/>
  <c r="K3805" i="1"/>
  <c r="M3805" i="1"/>
  <c r="N3805" i="1"/>
  <c r="K3803" i="1"/>
  <c r="K3804" i="1"/>
  <c r="M3803" i="1"/>
  <c r="M3804" i="1"/>
  <c r="N3803" i="1"/>
  <c r="N3804" i="1"/>
  <c r="K3802" i="1"/>
  <c r="M3802" i="1"/>
  <c r="N3802" i="1"/>
  <c r="K3801" i="1"/>
  <c r="M3801" i="1"/>
  <c r="N3801" i="1"/>
  <c r="K3800" i="1"/>
  <c r="M3800" i="1"/>
  <c r="N3800" i="1"/>
  <c r="K3796" i="1"/>
  <c r="K3797" i="1"/>
  <c r="K3798" i="1"/>
  <c r="K3799" i="1"/>
  <c r="M3796" i="1"/>
  <c r="M3797" i="1"/>
  <c r="M3798" i="1"/>
  <c r="M3799" i="1"/>
  <c r="N3796" i="1"/>
  <c r="N3797" i="1"/>
  <c r="N3798" i="1"/>
  <c r="N3799" i="1"/>
  <c r="K3794" i="1"/>
  <c r="K3795" i="1"/>
  <c r="M3794" i="1"/>
  <c r="M3795" i="1"/>
  <c r="N3794" i="1"/>
  <c r="N3795" i="1"/>
  <c r="K3792" i="1"/>
  <c r="K3793" i="1"/>
  <c r="M3792" i="1"/>
  <c r="M3793" i="1"/>
  <c r="N3792" i="1"/>
  <c r="N3793" i="1"/>
  <c r="K3785" i="1"/>
  <c r="K3786" i="1"/>
  <c r="K3787" i="1"/>
  <c r="K3788" i="1"/>
  <c r="K3789" i="1"/>
  <c r="K3790" i="1"/>
  <c r="K3791" i="1"/>
  <c r="M3785" i="1"/>
  <c r="M3786" i="1"/>
  <c r="M3787" i="1"/>
  <c r="M3788" i="1"/>
  <c r="M3789" i="1"/>
  <c r="M3790" i="1"/>
  <c r="M3791" i="1"/>
  <c r="N3785" i="1"/>
  <c r="N3786" i="1"/>
  <c r="N3787" i="1"/>
  <c r="N3788" i="1"/>
  <c r="N3789" i="1"/>
  <c r="N3790" i="1"/>
  <c r="N3791" i="1"/>
  <c r="K3784" i="1"/>
  <c r="M3784" i="1"/>
  <c r="N3784" i="1"/>
  <c r="K3783" i="1"/>
  <c r="M3783" i="1"/>
  <c r="N3783" i="1"/>
  <c r="K3782" i="1"/>
  <c r="M3782" i="1"/>
  <c r="N3782" i="1"/>
  <c r="K3781" i="1"/>
  <c r="M3781" i="1"/>
  <c r="N3781" i="1"/>
  <c r="K3780" i="1"/>
  <c r="M3780" i="1"/>
  <c r="N3780" i="1"/>
  <c r="K3762" i="1"/>
  <c r="K3763" i="1"/>
  <c r="K3764" i="1"/>
  <c r="K3765" i="1"/>
  <c r="K3766" i="1"/>
  <c r="K3767" i="1"/>
  <c r="K3768" i="1"/>
  <c r="K3769" i="1"/>
  <c r="K3770" i="1"/>
  <c r="K3771" i="1"/>
  <c r="K3772" i="1"/>
  <c r="K3773" i="1"/>
  <c r="K3774" i="1"/>
  <c r="K3775" i="1"/>
  <c r="K3776" i="1"/>
  <c r="K3777" i="1"/>
  <c r="K3778" i="1"/>
  <c r="K3779" i="1"/>
  <c r="M3762" i="1"/>
  <c r="M3763" i="1"/>
  <c r="M3764" i="1"/>
  <c r="M3765" i="1"/>
  <c r="M3766" i="1"/>
  <c r="M3767" i="1"/>
  <c r="M3768" i="1"/>
  <c r="M3769" i="1"/>
  <c r="M3770" i="1"/>
  <c r="M3771" i="1"/>
  <c r="M3772" i="1"/>
  <c r="M3773" i="1"/>
  <c r="M3774" i="1"/>
  <c r="M3775" i="1"/>
  <c r="M3776" i="1"/>
  <c r="M3777" i="1"/>
  <c r="M3778" i="1"/>
  <c r="M3779" i="1"/>
  <c r="N3762" i="1"/>
  <c r="N3763" i="1"/>
  <c r="N3764" i="1"/>
  <c r="N3765" i="1"/>
  <c r="N3766" i="1"/>
  <c r="N3767" i="1"/>
  <c r="N3768" i="1"/>
  <c r="N3769" i="1"/>
  <c r="N3770" i="1"/>
  <c r="N3771" i="1"/>
  <c r="N3772" i="1"/>
  <c r="N3773" i="1"/>
  <c r="N3774" i="1"/>
  <c r="N3775" i="1"/>
  <c r="N3776" i="1"/>
  <c r="N3777" i="1"/>
  <c r="N3778" i="1"/>
  <c r="N3779" i="1"/>
  <c r="K3761" i="1"/>
  <c r="M3761" i="1"/>
  <c r="N3761" i="1"/>
  <c r="K3757" i="1"/>
  <c r="K3758" i="1"/>
  <c r="K3759" i="1"/>
  <c r="K3760" i="1"/>
  <c r="M3757" i="1"/>
  <c r="M3758" i="1"/>
  <c r="M3759" i="1"/>
  <c r="M3760" i="1"/>
  <c r="N3757" i="1"/>
  <c r="N3758" i="1"/>
  <c r="N3759" i="1"/>
  <c r="N3760" i="1"/>
  <c r="K3753" i="1"/>
  <c r="K3754" i="1"/>
  <c r="K3755" i="1"/>
  <c r="K3756" i="1"/>
  <c r="M3753" i="1"/>
  <c r="M3754" i="1"/>
  <c r="M3755" i="1"/>
  <c r="M3756" i="1"/>
  <c r="N3753" i="1"/>
  <c r="N3754" i="1"/>
  <c r="N3755" i="1"/>
  <c r="N3756" i="1"/>
  <c r="K3752" i="1"/>
  <c r="M3752" i="1"/>
  <c r="N3752" i="1"/>
  <c r="K3751" i="1"/>
  <c r="M3751" i="1"/>
  <c r="N3751" i="1"/>
  <c r="K3750" i="1"/>
  <c r="M3750" i="1"/>
  <c r="N3750" i="1"/>
  <c r="K3749" i="1"/>
  <c r="M3749" i="1"/>
  <c r="N3749" i="1"/>
  <c r="K3748" i="1"/>
  <c r="M3748" i="1"/>
  <c r="N3748" i="1"/>
  <c r="K3747" i="1"/>
  <c r="M3747" i="1"/>
  <c r="N3747" i="1"/>
  <c r="K3746" i="1"/>
  <c r="M3746" i="1"/>
  <c r="N3746" i="1"/>
  <c r="K3743" i="1"/>
  <c r="K3744" i="1"/>
  <c r="K3745" i="1"/>
  <c r="M3743" i="1"/>
  <c r="M3744" i="1"/>
  <c r="M3745" i="1"/>
  <c r="N3743" i="1"/>
  <c r="N3744" i="1"/>
  <c r="N3745" i="1"/>
  <c r="K3741" i="1"/>
  <c r="K3742" i="1"/>
  <c r="M3741" i="1"/>
  <c r="M3742" i="1"/>
  <c r="N3741" i="1"/>
  <c r="N3742" i="1"/>
  <c r="K3740" i="1"/>
  <c r="M3740" i="1"/>
  <c r="N3740" i="1"/>
  <c r="K3739" i="1"/>
  <c r="M3739" i="1"/>
  <c r="N3739" i="1"/>
  <c r="K3735" i="1"/>
  <c r="K3736" i="1"/>
  <c r="K3737" i="1"/>
  <c r="K3738" i="1"/>
  <c r="M3735" i="1"/>
  <c r="M3736" i="1"/>
  <c r="M3737" i="1"/>
  <c r="M3738" i="1"/>
  <c r="N3735" i="1"/>
  <c r="N3736" i="1"/>
  <c r="N3737" i="1"/>
  <c r="N3738" i="1"/>
  <c r="K3734" i="1"/>
  <c r="M3734" i="1"/>
  <c r="N3734" i="1"/>
  <c r="K3733" i="1"/>
  <c r="M3733" i="1"/>
  <c r="N3733" i="1"/>
  <c r="K3730" i="1"/>
  <c r="K3731" i="1"/>
  <c r="K3732" i="1"/>
  <c r="M3730" i="1"/>
  <c r="M3731" i="1"/>
  <c r="M3732" i="1"/>
  <c r="N3730" i="1"/>
  <c r="N3731" i="1"/>
  <c r="N3732" i="1"/>
  <c r="K3729" i="1"/>
  <c r="M3729" i="1"/>
  <c r="N3729" i="1"/>
  <c r="K3724" i="1"/>
  <c r="K3725" i="1"/>
  <c r="K3726" i="1"/>
  <c r="K3727" i="1"/>
  <c r="K3728" i="1"/>
  <c r="M3724" i="1"/>
  <c r="M3725" i="1"/>
  <c r="M3726" i="1"/>
  <c r="M3727" i="1"/>
  <c r="M3728" i="1"/>
  <c r="N3724" i="1"/>
  <c r="N3725" i="1"/>
  <c r="N3726" i="1"/>
  <c r="N3727" i="1"/>
  <c r="N3728" i="1"/>
  <c r="K3723" i="1"/>
  <c r="M3723" i="1"/>
  <c r="N3723" i="1"/>
  <c r="K3714" i="1"/>
  <c r="K3715" i="1"/>
  <c r="K3716" i="1"/>
  <c r="K3717" i="1"/>
  <c r="K3718" i="1"/>
  <c r="K3719" i="1"/>
  <c r="K3720" i="1"/>
  <c r="K3721" i="1"/>
  <c r="K3722" i="1"/>
  <c r="M3714" i="1"/>
  <c r="M3715" i="1"/>
  <c r="M3716" i="1"/>
  <c r="M3717" i="1"/>
  <c r="M3718" i="1"/>
  <c r="M3719" i="1"/>
  <c r="M3720" i="1"/>
  <c r="M3721" i="1"/>
  <c r="M3722" i="1"/>
  <c r="N3714" i="1"/>
  <c r="N3715" i="1"/>
  <c r="N3716" i="1"/>
  <c r="N3717" i="1"/>
  <c r="N3718" i="1"/>
  <c r="N3719" i="1"/>
  <c r="N3720" i="1"/>
  <c r="N3721" i="1"/>
  <c r="N3722" i="1"/>
  <c r="K3712" i="1"/>
  <c r="K3713" i="1"/>
  <c r="M3712" i="1"/>
  <c r="M3713" i="1"/>
  <c r="N3712" i="1"/>
  <c r="N3713" i="1"/>
  <c r="K3711" i="1"/>
  <c r="M3711" i="1"/>
  <c r="N3711" i="1"/>
  <c r="K3708" i="1"/>
  <c r="K3709" i="1"/>
  <c r="K3710" i="1"/>
  <c r="M3708" i="1"/>
  <c r="M3709" i="1"/>
  <c r="M3710" i="1"/>
  <c r="N3708" i="1"/>
  <c r="N3709" i="1"/>
  <c r="N3710" i="1"/>
  <c r="K3707" i="1"/>
  <c r="M3707" i="1"/>
  <c r="N3707" i="1"/>
  <c r="K3705" i="1"/>
  <c r="K3706" i="1"/>
  <c r="M3705" i="1"/>
  <c r="M3706" i="1"/>
  <c r="N3705" i="1"/>
  <c r="N3706" i="1"/>
  <c r="K3704" i="1"/>
  <c r="M3704" i="1"/>
  <c r="N3704" i="1"/>
  <c r="K3702" i="1"/>
  <c r="K3703" i="1"/>
  <c r="M3702" i="1"/>
  <c r="M3703" i="1"/>
  <c r="N3702" i="1"/>
  <c r="N3703" i="1"/>
  <c r="K3696" i="1"/>
  <c r="K3697" i="1"/>
  <c r="K3698" i="1"/>
  <c r="K3699" i="1"/>
  <c r="K3700" i="1"/>
  <c r="K3701" i="1"/>
  <c r="M3696" i="1"/>
  <c r="M3697" i="1"/>
  <c r="M3698" i="1"/>
  <c r="M3699" i="1"/>
  <c r="M3700" i="1"/>
  <c r="M3701" i="1"/>
  <c r="N3696" i="1"/>
  <c r="N3697" i="1"/>
  <c r="N3698" i="1"/>
  <c r="N3699" i="1"/>
  <c r="N3700" i="1"/>
  <c r="N3701" i="1"/>
  <c r="K3695" i="1"/>
  <c r="M3695" i="1"/>
  <c r="N3695" i="1"/>
  <c r="K3694" i="1"/>
  <c r="M3694" i="1"/>
  <c r="N3694" i="1"/>
  <c r="K3691" i="1"/>
  <c r="K3692" i="1"/>
  <c r="K3693" i="1"/>
  <c r="M3691" i="1"/>
  <c r="M3692" i="1"/>
  <c r="M3693" i="1"/>
  <c r="N3691" i="1"/>
  <c r="N3692" i="1"/>
  <c r="N3693" i="1"/>
  <c r="K3689" i="1"/>
  <c r="K3690" i="1"/>
  <c r="M3689" i="1"/>
  <c r="M3690" i="1"/>
  <c r="N3689" i="1"/>
  <c r="N3690" i="1"/>
  <c r="K3688" i="1"/>
  <c r="M3688" i="1"/>
  <c r="N3688" i="1"/>
  <c r="K3687" i="1"/>
  <c r="M3687" i="1"/>
  <c r="N3687" i="1"/>
  <c r="K3686" i="1"/>
  <c r="M3686" i="1"/>
  <c r="N3686" i="1"/>
  <c r="K3685" i="1"/>
  <c r="M3685" i="1"/>
  <c r="N3685" i="1"/>
  <c r="K3684" i="1"/>
  <c r="M3684" i="1"/>
  <c r="N3684" i="1"/>
  <c r="K3683" i="1"/>
  <c r="M3683" i="1"/>
  <c r="N3683" i="1"/>
  <c r="K3682" i="1"/>
  <c r="M3682" i="1"/>
  <c r="N3682" i="1"/>
  <c r="K3681" i="1"/>
  <c r="M3681" i="1"/>
  <c r="N3681" i="1"/>
  <c r="K3678" i="1"/>
  <c r="K3679" i="1"/>
  <c r="K3680" i="1"/>
  <c r="M3678" i="1"/>
  <c r="M3679" i="1"/>
  <c r="M3680" i="1"/>
  <c r="N3678" i="1"/>
  <c r="N3679" i="1"/>
  <c r="N3680" i="1"/>
  <c r="K3677" i="1"/>
  <c r="M3677" i="1"/>
  <c r="N3677" i="1"/>
  <c r="K3671" i="1"/>
  <c r="K3672" i="1"/>
  <c r="K3673" i="1"/>
  <c r="K3674" i="1"/>
  <c r="K3675" i="1"/>
  <c r="K3676" i="1"/>
  <c r="M3671" i="1"/>
  <c r="M3672" i="1"/>
  <c r="M3673" i="1"/>
  <c r="M3674" i="1"/>
  <c r="M3675" i="1"/>
  <c r="M3676" i="1"/>
  <c r="N3671" i="1"/>
  <c r="N3672" i="1"/>
  <c r="N3673" i="1"/>
  <c r="N3674" i="1"/>
  <c r="N3675" i="1"/>
  <c r="N3676" i="1"/>
  <c r="K3670" i="1"/>
  <c r="M3670" i="1"/>
  <c r="N3670" i="1"/>
  <c r="K3669" i="1"/>
  <c r="M3669" i="1"/>
  <c r="N3669" i="1"/>
  <c r="K3668" i="1"/>
  <c r="M3668" i="1"/>
  <c r="N3668" i="1"/>
  <c r="K3666" i="1"/>
  <c r="K3667" i="1"/>
  <c r="M3666" i="1"/>
  <c r="M3667" i="1"/>
  <c r="N3666" i="1"/>
  <c r="N3667" i="1"/>
  <c r="K3665" i="1"/>
  <c r="M3665" i="1"/>
  <c r="N3665" i="1"/>
  <c r="K3653" i="1"/>
  <c r="K3654" i="1"/>
  <c r="K3655" i="1"/>
  <c r="K3656" i="1"/>
  <c r="K3657" i="1"/>
  <c r="K3658" i="1"/>
  <c r="K3659" i="1"/>
  <c r="K3660" i="1"/>
  <c r="K3661" i="1"/>
  <c r="K3662" i="1"/>
  <c r="K3663" i="1"/>
  <c r="K3664" i="1"/>
  <c r="M3653" i="1"/>
  <c r="M3654" i="1"/>
  <c r="M3655" i="1"/>
  <c r="M3656" i="1"/>
  <c r="M3657" i="1"/>
  <c r="M3658" i="1"/>
  <c r="M3659" i="1"/>
  <c r="M3660" i="1"/>
  <c r="M3661" i="1"/>
  <c r="M3662" i="1"/>
  <c r="M3663" i="1"/>
  <c r="M3664" i="1"/>
  <c r="N3653" i="1"/>
  <c r="N3654" i="1"/>
  <c r="N3655" i="1"/>
  <c r="N3656" i="1"/>
  <c r="N3657" i="1"/>
  <c r="N3658" i="1"/>
  <c r="N3659" i="1"/>
  <c r="N3660" i="1"/>
  <c r="N3661" i="1"/>
  <c r="N3662" i="1"/>
  <c r="N3663" i="1"/>
  <c r="N3664" i="1"/>
  <c r="K3648" i="1"/>
  <c r="K3649" i="1"/>
  <c r="K3650" i="1"/>
  <c r="K3651" i="1"/>
  <c r="K3652" i="1"/>
  <c r="M3648" i="1"/>
  <c r="M3649" i="1"/>
  <c r="M3650" i="1"/>
  <c r="M3651" i="1"/>
  <c r="M3652" i="1"/>
  <c r="N3648" i="1"/>
  <c r="N3649" i="1"/>
  <c r="N3650" i="1"/>
  <c r="N3651" i="1"/>
  <c r="N3652" i="1"/>
  <c r="K3641" i="1"/>
  <c r="K3642" i="1"/>
  <c r="K3643" i="1"/>
  <c r="K3644" i="1"/>
  <c r="K3645" i="1"/>
  <c r="K3646" i="1"/>
  <c r="K3647" i="1"/>
  <c r="M3641" i="1"/>
  <c r="M3642" i="1"/>
  <c r="M3643" i="1"/>
  <c r="M3644" i="1"/>
  <c r="M3645" i="1"/>
  <c r="M3646" i="1"/>
  <c r="M3647" i="1"/>
  <c r="N3641" i="1"/>
  <c r="N3642" i="1"/>
  <c r="N3643" i="1"/>
  <c r="N3644" i="1"/>
  <c r="N3645" i="1"/>
  <c r="N3646" i="1"/>
  <c r="N3647" i="1"/>
  <c r="K3637" i="1"/>
  <c r="K3638" i="1"/>
  <c r="K3639" i="1"/>
  <c r="K3640" i="1"/>
  <c r="M3637" i="1"/>
  <c r="M3638" i="1"/>
  <c r="M3639" i="1"/>
  <c r="M3640" i="1"/>
  <c r="N3637" i="1"/>
  <c r="N3638" i="1"/>
  <c r="N3639" i="1"/>
  <c r="N3640" i="1"/>
  <c r="K3625" i="1"/>
  <c r="K3626" i="1"/>
  <c r="K3627" i="1"/>
  <c r="K3628" i="1"/>
  <c r="K3629" i="1"/>
  <c r="K3630" i="1"/>
  <c r="K3631" i="1"/>
  <c r="K3632" i="1"/>
  <c r="K3633" i="1"/>
  <c r="K3634" i="1"/>
  <c r="K3635" i="1"/>
  <c r="K3636" i="1"/>
  <c r="M3625" i="1"/>
  <c r="M3626" i="1"/>
  <c r="M3627" i="1"/>
  <c r="M3628" i="1"/>
  <c r="M3629" i="1"/>
  <c r="M3630" i="1"/>
  <c r="M3631" i="1"/>
  <c r="M3632" i="1"/>
  <c r="M3633" i="1"/>
  <c r="M3634" i="1"/>
  <c r="M3635" i="1"/>
  <c r="M3636" i="1"/>
  <c r="N3625" i="1"/>
  <c r="N3626" i="1"/>
  <c r="N3627" i="1"/>
  <c r="N3628" i="1"/>
  <c r="N3629" i="1"/>
  <c r="N3630" i="1"/>
  <c r="N3631" i="1"/>
  <c r="N3632" i="1"/>
  <c r="N3633" i="1"/>
  <c r="N3634" i="1"/>
  <c r="N3635" i="1"/>
  <c r="N3636" i="1"/>
  <c r="K3607" i="1"/>
  <c r="K3608" i="1"/>
  <c r="K3609" i="1"/>
  <c r="K3610" i="1"/>
  <c r="K3611" i="1"/>
  <c r="K3612" i="1"/>
  <c r="K3613" i="1"/>
  <c r="K3614" i="1"/>
  <c r="K3615" i="1"/>
  <c r="K3616" i="1"/>
  <c r="K3617" i="1"/>
  <c r="K3618" i="1"/>
  <c r="K3619" i="1"/>
  <c r="K3620" i="1"/>
  <c r="K3621" i="1"/>
  <c r="K3622" i="1"/>
  <c r="K3623" i="1"/>
  <c r="K3624" i="1"/>
  <c r="M3607" i="1"/>
  <c r="M3608" i="1"/>
  <c r="M3609" i="1"/>
  <c r="M3610" i="1"/>
  <c r="M3611" i="1"/>
  <c r="M3612" i="1"/>
  <c r="M3613" i="1"/>
  <c r="M3614" i="1"/>
  <c r="M3615" i="1"/>
  <c r="M3616" i="1"/>
  <c r="M3617" i="1"/>
  <c r="M3618" i="1"/>
  <c r="M3619" i="1"/>
  <c r="M3620" i="1"/>
  <c r="M3621" i="1"/>
  <c r="M3622" i="1"/>
  <c r="M3623" i="1"/>
  <c r="M3624" i="1"/>
  <c r="N3607" i="1"/>
  <c r="N3608" i="1"/>
  <c r="N3609" i="1"/>
  <c r="N3610" i="1"/>
  <c r="N3611" i="1"/>
  <c r="N3612" i="1"/>
  <c r="N3613" i="1"/>
  <c r="N3614" i="1"/>
  <c r="N3615" i="1"/>
  <c r="N3616" i="1"/>
  <c r="N3617" i="1"/>
  <c r="N3618" i="1"/>
  <c r="N3619" i="1"/>
  <c r="N3620" i="1"/>
  <c r="N3621" i="1"/>
  <c r="N3622" i="1"/>
  <c r="N3623" i="1"/>
  <c r="N3624" i="1"/>
  <c r="K3606" i="1"/>
  <c r="M3606" i="1"/>
  <c r="N3606" i="1"/>
  <c r="K3605" i="1"/>
  <c r="M3605" i="1"/>
  <c r="N3605" i="1"/>
  <c r="K3604" i="1"/>
  <c r="M3604" i="1"/>
  <c r="N3604" i="1"/>
  <c r="K3603" i="1"/>
  <c r="M3603" i="1"/>
  <c r="N3603" i="1"/>
  <c r="K3602" i="1"/>
  <c r="M3602" i="1"/>
  <c r="N3602" i="1"/>
  <c r="K3600" i="1"/>
  <c r="K3601" i="1"/>
  <c r="M3600" i="1"/>
  <c r="M3601" i="1"/>
  <c r="N3600" i="1"/>
  <c r="N3601" i="1"/>
  <c r="K3598" i="1"/>
  <c r="K3599" i="1"/>
  <c r="M3598" i="1"/>
  <c r="M3599" i="1"/>
  <c r="N3598" i="1"/>
  <c r="N3599" i="1"/>
  <c r="K3597" i="1"/>
  <c r="M3597" i="1"/>
  <c r="N3597" i="1"/>
  <c r="K3594" i="1"/>
  <c r="K3595" i="1"/>
  <c r="K3596" i="1"/>
  <c r="M3594" i="1"/>
  <c r="M3595" i="1"/>
  <c r="M3596" i="1"/>
  <c r="N3594" i="1"/>
  <c r="N3595" i="1"/>
  <c r="N3596" i="1"/>
  <c r="K3590" i="1"/>
  <c r="K3591" i="1"/>
  <c r="K3592" i="1"/>
  <c r="K3593" i="1"/>
  <c r="M3590" i="1"/>
  <c r="M3591" i="1"/>
  <c r="M3592" i="1"/>
  <c r="M3593" i="1"/>
  <c r="N3590" i="1"/>
  <c r="N3591" i="1"/>
  <c r="N3592" i="1"/>
  <c r="N3593" i="1"/>
  <c r="K3581" i="1"/>
  <c r="K3582" i="1"/>
  <c r="K3583" i="1"/>
  <c r="K3584" i="1"/>
  <c r="K3585" i="1"/>
  <c r="K3586" i="1"/>
  <c r="K3587" i="1"/>
  <c r="K3588" i="1"/>
  <c r="K3589" i="1"/>
  <c r="M3581" i="1"/>
  <c r="M3582" i="1"/>
  <c r="M3583" i="1"/>
  <c r="M3584" i="1"/>
  <c r="M3585" i="1"/>
  <c r="M3586" i="1"/>
  <c r="M3587" i="1"/>
  <c r="M3588" i="1"/>
  <c r="M3589" i="1"/>
  <c r="N3581" i="1"/>
  <c r="N3582" i="1"/>
  <c r="N3583" i="1"/>
  <c r="N3584" i="1"/>
  <c r="N3585" i="1"/>
  <c r="N3586" i="1"/>
  <c r="N3587" i="1"/>
  <c r="N3588" i="1"/>
  <c r="N3589" i="1"/>
  <c r="K3565" i="1"/>
  <c r="K3566" i="1"/>
  <c r="K3567" i="1"/>
  <c r="K3568" i="1"/>
  <c r="K3569" i="1"/>
  <c r="K3570" i="1"/>
  <c r="K3571" i="1"/>
  <c r="K3572" i="1"/>
  <c r="K3573" i="1"/>
  <c r="K3574" i="1"/>
  <c r="K3575" i="1"/>
  <c r="K3576" i="1"/>
  <c r="K3577" i="1"/>
  <c r="K3578" i="1"/>
  <c r="K3579" i="1"/>
  <c r="K3580" i="1"/>
  <c r="M3565" i="1"/>
  <c r="M3566" i="1"/>
  <c r="M3567" i="1"/>
  <c r="M3568" i="1"/>
  <c r="M3569" i="1"/>
  <c r="M3570" i="1"/>
  <c r="M3571" i="1"/>
  <c r="M3572" i="1"/>
  <c r="M3573" i="1"/>
  <c r="M3574" i="1"/>
  <c r="M3575" i="1"/>
  <c r="M3576" i="1"/>
  <c r="M3577" i="1"/>
  <c r="M3578" i="1"/>
  <c r="M3579" i="1"/>
  <c r="M3580" i="1"/>
  <c r="N3565" i="1"/>
  <c r="N3566" i="1"/>
  <c r="N3567" i="1"/>
  <c r="N3568" i="1"/>
  <c r="N3569" i="1"/>
  <c r="N3570" i="1"/>
  <c r="N3571" i="1"/>
  <c r="N3572" i="1"/>
  <c r="N3573" i="1"/>
  <c r="N3574" i="1"/>
  <c r="N3575" i="1"/>
  <c r="N3576" i="1"/>
  <c r="N3577" i="1"/>
  <c r="N3578" i="1"/>
  <c r="N3579" i="1"/>
  <c r="N3580" i="1"/>
  <c r="K3561" i="1"/>
  <c r="K3562" i="1"/>
  <c r="K3563" i="1"/>
  <c r="K3564" i="1"/>
  <c r="M3561" i="1"/>
  <c r="M3562" i="1"/>
  <c r="M3563" i="1"/>
  <c r="M3564" i="1"/>
  <c r="N3561" i="1"/>
  <c r="N3562" i="1"/>
  <c r="N3563" i="1"/>
  <c r="N3564" i="1"/>
  <c r="K3557" i="1"/>
  <c r="K3558" i="1"/>
  <c r="K3559" i="1"/>
  <c r="K3560" i="1"/>
  <c r="M3557" i="1"/>
  <c r="M3558" i="1"/>
  <c r="M3559" i="1"/>
  <c r="M3560" i="1"/>
  <c r="N3557" i="1"/>
  <c r="N3558" i="1"/>
  <c r="N3559" i="1"/>
  <c r="N3560" i="1"/>
  <c r="K3556" i="1"/>
  <c r="M3556" i="1"/>
  <c r="N3556" i="1"/>
  <c r="K3555" i="1"/>
  <c r="M3555" i="1"/>
  <c r="N3555" i="1"/>
  <c r="K3554" i="1"/>
  <c r="M3554" i="1"/>
  <c r="N3554" i="1"/>
  <c r="K3553" i="1"/>
  <c r="M3553" i="1"/>
  <c r="N3553" i="1"/>
  <c r="K3552" i="1"/>
  <c r="M3552" i="1"/>
  <c r="N3552" i="1"/>
  <c r="K3551" i="1"/>
  <c r="M3551" i="1"/>
  <c r="N3551" i="1"/>
  <c r="K3550" i="1"/>
  <c r="M3550" i="1"/>
  <c r="N3550" i="1"/>
  <c r="K3549" i="1"/>
  <c r="M3549" i="1"/>
  <c r="N3549" i="1"/>
  <c r="K3544" i="1"/>
  <c r="K3545" i="1"/>
  <c r="K3546" i="1"/>
  <c r="K3547" i="1"/>
  <c r="K3548" i="1"/>
  <c r="M3544" i="1"/>
  <c r="M3545" i="1"/>
  <c r="M3546" i="1"/>
  <c r="M3547" i="1"/>
  <c r="M3548" i="1"/>
  <c r="N3544" i="1"/>
  <c r="N3545" i="1"/>
  <c r="N3546" i="1"/>
  <c r="N3547" i="1"/>
  <c r="N3548" i="1"/>
  <c r="K3540" i="1"/>
  <c r="K3541" i="1"/>
  <c r="K3542" i="1"/>
  <c r="K3543" i="1"/>
  <c r="M3540" i="1"/>
  <c r="M3541" i="1"/>
  <c r="M3542" i="1"/>
  <c r="M3543" i="1"/>
  <c r="N3540" i="1"/>
  <c r="N3541" i="1"/>
  <c r="N3542" i="1"/>
  <c r="N3543" i="1"/>
  <c r="K3530" i="1"/>
  <c r="K3531" i="1"/>
  <c r="K3532" i="1"/>
  <c r="K3533" i="1"/>
  <c r="K3534" i="1"/>
  <c r="K3535" i="1"/>
  <c r="K3536" i="1"/>
  <c r="K3537" i="1"/>
  <c r="K3538" i="1"/>
  <c r="K3539" i="1"/>
  <c r="M3530" i="1"/>
  <c r="M3531" i="1"/>
  <c r="M3532" i="1"/>
  <c r="M3533" i="1"/>
  <c r="M3534" i="1"/>
  <c r="M3535" i="1"/>
  <c r="M3536" i="1"/>
  <c r="M3537" i="1"/>
  <c r="M3538" i="1"/>
  <c r="M3539" i="1"/>
  <c r="N3530" i="1"/>
  <c r="N3531" i="1"/>
  <c r="N3532" i="1"/>
  <c r="N3533" i="1"/>
  <c r="N3534" i="1"/>
  <c r="N3535" i="1"/>
  <c r="N3536" i="1"/>
  <c r="N3537" i="1"/>
  <c r="N3538" i="1"/>
  <c r="N3539" i="1"/>
  <c r="K3529" i="1"/>
  <c r="M3529" i="1"/>
  <c r="N3529" i="1"/>
  <c r="K3528" i="1"/>
  <c r="M3528" i="1"/>
  <c r="N3528" i="1"/>
  <c r="K3527" i="1"/>
  <c r="M3527" i="1"/>
  <c r="N3527" i="1"/>
  <c r="K3522" i="1"/>
  <c r="K3523" i="1"/>
  <c r="K3524" i="1"/>
  <c r="K3525" i="1"/>
  <c r="K3526" i="1"/>
  <c r="M3522" i="1"/>
  <c r="M3523" i="1"/>
  <c r="M3524" i="1"/>
  <c r="M3525" i="1"/>
  <c r="M3526" i="1"/>
  <c r="N3522" i="1"/>
  <c r="N3523" i="1"/>
  <c r="N3524" i="1"/>
  <c r="N3525" i="1"/>
  <c r="N3526" i="1"/>
  <c r="K3518" i="1"/>
  <c r="K3519" i="1"/>
  <c r="K3520" i="1"/>
  <c r="K3521" i="1"/>
  <c r="M3518" i="1"/>
  <c r="M3519" i="1"/>
  <c r="M3520" i="1"/>
  <c r="M3521" i="1"/>
  <c r="N3518" i="1"/>
  <c r="N3519" i="1"/>
  <c r="N3520" i="1"/>
  <c r="N3521" i="1"/>
  <c r="K3516" i="1"/>
  <c r="K3517" i="1"/>
  <c r="M3516" i="1"/>
  <c r="M3517" i="1"/>
  <c r="N3516" i="1"/>
  <c r="N3517" i="1"/>
  <c r="K3515" i="1"/>
  <c r="M3515" i="1"/>
  <c r="N3515" i="1"/>
  <c r="K3514" i="1"/>
  <c r="M3514" i="1"/>
  <c r="N3514" i="1"/>
  <c r="K3510" i="1"/>
  <c r="K3511" i="1"/>
  <c r="K3512" i="1"/>
  <c r="K3513" i="1"/>
  <c r="M3510" i="1"/>
  <c r="M3511" i="1"/>
  <c r="M3512" i="1"/>
  <c r="M3513" i="1"/>
  <c r="N3510" i="1"/>
  <c r="N3511" i="1"/>
  <c r="N3512" i="1"/>
  <c r="N3513" i="1"/>
  <c r="K3509" i="1"/>
  <c r="M3509" i="1"/>
  <c r="N3509" i="1"/>
  <c r="K3507" i="1"/>
  <c r="K3508" i="1"/>
  <c r="M3507" i="1"/>
  <c r="M3508" i="1"/>
  <c r="N3507" i="1"/>
  <c r="N3508" i="1"/>
  <c r="K3504" i="1"/>
  <c r="K3505" i="1"/>
  <c r="K3506" i="1"/>
  <c r="M3504" i="1"/>
  <c r="M3505" i="1"/>
  <c r="M3506" i="1"/>
  <c r="N3504" i="1"/>
  <c r="N3505" i="1"/>
  <c r="N3506" i="1"/>
  <c r="K3494" i="1"/>
  <c r="K3495" i="1"/>
  <c r="K3496" i="1"/>
  <c r="K3497" i="1"/>
  <c r="K3498" i="1"/>
  <c r="K3499" i="1"/>
  <c r="K3500" i="1"/>
  <c r="K3501" i="1"/>
  <c r="K3502" i="1"/>
  <c r="K3503" i="1"/>
  <c r="M3494" i="1"/>
  <c r="M3495" i="1"/>
  <c r="M3496" i="1"/>
  <c r="M3497" i="1"/>
  <c r="M3498" i="1"/>
  <c r="M3499" i="1"/>
  <c r="M3500" i="1"/>
  <c r="M3501" i="1"/>
  <c r="M3502" i="1"/>
  <c r="M3503" i="1"/>
  <c r="N3494" i="1"/>
  <c r="N3495" i="1"/>
  <c r="N3496" i="1"/>
  <c r="N3497" i="1"/>
  <c r="N3498" i="1"/>
  <c r="N3499" i="1"/>
  <c r="N3500" i="1"/>
  <c r="N3501" i="1"/>
  <c r="N3502" i="1"/>
  <c r="N3503" i="1"/>
  <c r="K3493" i="1"/>
  <c r="M3493" i="1"/>
  <c r="N3493" i="1"/>
  <c r="K3492" i="1"/>
  <c r="M3492" i="1"/>
  <c r="N3492" i="1"/>
  <c r="K3491" i="1"/>
  <c r="M3491" i="1"/>
  <c r="N3491" i="1"/>
  <c r="K3490" i="1"/>
  <c r="M3490" i="1"/>
  <c r="N3490" i="1"/>
  <c r="K3489" i="1"/>
  <c r="M3489" i="1"/>
  <c r="N3489" i="1"/>
  <c r="K3487" i="1"/>
  <c r="K3488" i="1"/>
  <c r="M3487" i="1"/>
  <c r="M3488" i="1"/>
  <c r="N3487" i="1"/>
  <c r="N3488" i="1"/>
  <c r="K3481" i="1"/>
  <c r="K3482" i="1"/>
  <c r="K3483" i="1"/>
  <c r="K3484" i="1"/>
  <c r="K3485" i="1"/>
  <c r="K3486" i="1"/>
  <c r="M3481" i="1"/>
  <c r="M3482" i="1"/>
  <c r="M3483" i="1"/>
  <c r="M3484" i="1"/>
  <c r="M3485" i="1"/>
  <c r="M3486" i="1"/>
  <c r="N3481" i="1"/>
  <c r="N3482" i="1"/>
  <c r="N3483" i="1"/>
  <c r="N3484" i="1"/>
  <c r="N3485" i="1"/>
  <c r="N3486" i="1"/>
  <c r="K3480" i="1"/>
  <c r="M3480" i="1"/>
  <c r="N3480" i="1"/>
  <c r="K3479" i="1"/>
  <c r="M3479" i="1"/>
  <c r="N3479" i="1"/>
  <c r="K3478" i="1"/>
  <c r="M3478" i="1"/>
  <c r="N3478" i="1"/>
  <c r="K3477" i="1"/>
  <c r="M3477" i="1"/>
  <c r="N3477" i="1"/>
  <c r="K3476" i="1"/>
  <c r="M3476" i="1"/>
  <c r="N3476" i="1"/>
  <c r="K3475" i="1"/>
  <c r="M3475" i="1"/>
  <c r="N3475" i="1"/>
  <c r="K3473" i="1"/>
  <c r="K3474" i="1"/>
  <c r="M3473" i="1"/>
  <c r="M3474" i="1"/>
  <c r="N3473" i="1"/>
  <c r="N3474" i="1"/>
  <c r="K3471" i="1"/>
  <c r="K3472" i="1"/>
  <c r="M3471" i="1"/>
  <c r="M3472" i="1"/>
  <c r="N3471" i="1"/>
  <c r="N3472" i="1"/>
  <c r="K3470" i="1"/>
  <c r="M3470" i="1"/>
  <c r="N3470" i="1"/>
  <c r="K3469" i="1"/>
  <c r="M3469" i="1"/>
  <c r="N3469" i="1"/>
  <c r="K3463" i="1"/>
  <c r="K3464" i="1"/>
  <c r="K3465" i="1"/>
  <c r="K3466" i="1"/>
  <c r="K3467" i="1"/>
  <c r="K3468" i="1"/>
  <c r="M3463" i="1"/>
  <c r="M3464" i="1"/>
  <c r="M3465" i="1"/>
  <c r="M3466" i="1"/>
  <c r="M3467" i="1"/>
  <c r="M3468" i="1"/>
  <c r="N3463" i="1"/>
  <c r="N3464" i="1"/>
  <c r="N3465" i="1"/>
  <c r="N3466" i="1"/>
  <c r="N3467" i="1"/>
  <c r="N3468" i="1"/>
  <c r="K3459" i="1"/>
  <c r="K3460" i="1"/>
  <c r="K3461" i="1"/>
  <c r="K3462" i="1"/>
  <c r="M3459" i="1"/>
  <c r="M3460" i="1"/>
  <c r="M3461" i="1"/>
  <c r="M3462" i="1"/>
  <c r="N3459" i="1"/>
  <c r="N3460" i="1"/>
  <c r="N3461" i="1"/>
  <c r="N3462" i="1"/>
  <c r="K3457" i="1"/>
  <c r="K3458" i="1"/>
  <c r="M3457" i="1"/>
  <c r="M3458" i="1"/>
  <c r="N3457" i="1"/>
  <c r="N3458" i="1"/>
  <c r="K3456" i="1"/>
  <c r="M3456" i="1"/>
  <c r="N3456" i="1"/>
  <c r="K3455" i="1"/>
  <c r="M3455" i="1"/>
  <c r="N3455" i="1"/>
  <c r="K3454" i="1"/>
  <c r="M3454" i="1"/>
  <c r="N3454" i="1"/>
  <c r="K3452" i="1"/>
  <c r="K3453" i="1"/>
  <c r="M3452" i="1"/>
  <c r="M3453" i="1"/>
  <c r="N3452" i="1"/>
  <c r="N3453" i="1"/>
  <c r="K3449" i="1"/>
  <c r="K3450" i="1"/>
  <c r="K3451" i="1"/>
  <c r="M3449" i="1"/>
  <c r="M3450" i="1"/>
  <c r="M3451" i="1"/>
  <c r="N3449" i="1"/>
  <c r="N3450" i="1"/>
  <c r="N3451" i="1"/>
  <c r="K3436" i="1"/>
  <c r="K3437" i="1"/>
  <c r="K3438" i="1"/>
  <c r="K3439" i="1"/>
  <c r="K3440" i="1"/>
  <c r="K3441" i="1"/>
  <c r="K3442" i="1"/>
  <c r="K3443" i="1"/>
  <c r="K3444" i="1"/>
  <c r="K3445" i="1"/>
  <c r="K3446" i="1"/>
  <c r="K3447" i="1"/>
  <c r="K3448" i="1"/>
  <c r="M3436" i="1"/>
  <c r="M3437" i="1"/>
  <c r="M3438" i="1"/>
  <c r="M3439" i="1"/>
  <c r="M3440" i="1"/>
  <c r="M3441" i="1"/>
  <c r="M3442" i="1"/>
  <c r="M3443" i="1"/>
  <c r="M3444" i="1"/>
  <c r="M3445" i="1"/>
  <c r="M3446" i="1"/>
  <c r="M3447" i="1"/>
  <c r="M3448" i="1"/>
  <c r="N3436" i="1"/>
  <c r="N3437" i="1"/>
  <c r="N3438" i="1"/>
  <c r="N3439" i="1"/>
  <c r="N3440" i="1"/>
  <c r="N3441" i="1"/>
  <c r="N3442" i="1"/>
  <c r="N3443" i="1"/>
  <c r="N3444" i="1"/>
  <c r="N3445" i="1"/>
  <c r="N3446" i="1"/>
  <c r="N3447" i="1"/>
  <c r="N3448" i="1"/>
  <c r="K3435" i="1"/>
  <c r="M3435" i="1"/>
  <c r="N3435" i="1"/>
  <c r="K3434" i="1"/>
  <c r="M3434" i="1"/>
  <c r="N3434" i="1"/>
  <c r="K3433" i="1"/>
  <c r="M3433" i="1"/>
  <c r="N3433" i="1"/>
  <c r="K3432" i="1"/>
  <c r="M3432" i="1"/>
  <c r="N3432" i="1"/>
  <c r="K3431" i="1"/>
  <c r="M3431" i="1"/>
  <c r="N3431" i="1"/>
  <c r="K3430" i="1"/>
  <c r="M3430" i="1"/>
  <c r="N3430" i="1"/>
  <c r="K3428" i="1"/>
  <c r="K3429" i="1"/>
  <c r="M3428" i="1"/>
  <c r="M3429" i="1"/>
  <c r="N3428" i="1"/>
  <c r="N3429" i="1"/>
  <c r="K3426" i="1"/>
  <c r="K3427" i="1"/>
  <c r="M3426" i="1"/>
  <c r="M3427" i="1"/>
  <c r="N3426" i="1"/>
  <c r="N3427" i="1"/>
  <c r="K3422" i="1"/>
  <c r="K3423" i="1"/>
  <c r="K3424" i="1"/>
  <c r="K3425" i="1"/>
  <c r="M3422" i="1"/>
  <c r="M3423" i="1"/>
  <c r="M3424" i="1"/>
  <c r="M3425" i="1"/>
  <c r="N3422" i="1"/>
  <c r="N3423" i="1"/>
  <c r="N3424" i="1"/>
  <c r="N3425" i="1"/>
  <c r="K3421" i="1"/>
  <c r="M3421" i="1"/>
  <c r="N3421" i="1"/>
  <c r="K3420" i="1"/>
  <c r="M3420" i="1"/>
  <c r="N3420" i="1"/>
  <c r="K3413" i="1"/>
  <c r="K3414" i="1"/>
  <c r="K3415" i="1"/>
  <c r="K3416" i="1"/>
  <c r="K3417" i="1"/>
  <c r="K3418" i="1"/>
  <c r="K3419" i="1"/>
  <c r="M3413" i="1"/>
  <c r="M3414" i="1"/>
  <c r="M3415" i="1"/>
  <c r="M3416" i="1"/>
  <c r="M3417" i="1"/>
  <c r="M3418" i="1"/>
  <c r="M3419" i="1"/>
  <c r="N3413" i="1"/>
  <c r="N3414" i="1"/>
  <c r="N3415" i="1"/>
  <c r="N3416" i="1"/>
  <c r="N3417" i="1"/>
  <c r="N3418" i="1"/>
  <c r="N3419" i="1"/>
  <c r="K3412" i="1"/>
  <c r="M3412" i="1"/>
  <c r="N3412" i="1"/>
  <c r="K3411" i="1"/>
  <c r="M3411" i="1"/>
  <c r="N3411" i="1"/>
  <c r="K3408" i="1"/>
  <c r="K3409" i="1"/>
  <c r="K3410" i="1"/>
  <c r="M3408" i="1"/>
  <c r="M3409" i="1"/>
  <c r="M3410" i="1"/>
  <c r="N3408" i="1"/>
  <c r="N3409" i="1"/>
  <c r="N3410" i="1"/>
  <c r="K3404" i="1"/>
  <c r="K3405" i="1"/>
  <c r="K3406" i="1"/>
  <c r="K3407" i="1"/>
  <c r="M3404" i="1"/>
  <c r="M3405" i="1"/>
  <c r="M3406" i="1"/>
  <c r="M3407" i="1"/>
  <c r="N3404" i="1"/>
  <c r="N3405" i="1"/>
  <c r="N3406" i="1"/>
  <c r="N3407" i="1"/>
  <c r="K3402" i="1"/>
  <c r="K3403" i="1"/>
  <c r="M3402" i="1"/>
  <c r="M3403" i="1"/>
  <c r="N3402" i="1"/>
  <c r="N3403" i="1"/>
  <c r="K3401" i="1"/>
  <c r="M3401" i="1"/>
  <c r="N3401" i="1"/>
  <c r="K3398" i="1"/>
  <c r="K3399" i="1"/>
  <c r="K3400" i="1"/>
  <c r="M3398" i="1"/>
  <c r="M3399" i="1"/>
  <c r="M3400" i="1"/>
  <c r="N3398" i="1"/>
  <c r="N3399" i="1"/>
  <c r="N3400" i="1"/>
  <c r="K3397" i="1"/>
  <c r="M3397" i="1"/>
  <c r="N3397" i="1"/>
  <c r="K3395" i="1"/>
  <c r="K3396" i="1"/>
  <c r="M3395" i="1"/>
  <c r="M3396" i="1"/>
  <c r="N3395" i="1"/>
  <c r="N3396" i="1"/>
  <c r="K3394" i="1"/>
  <c r="M3394" i="1"/>
  <c r="N3394" i="1"/>
  <c r="K3393" i="1"/>
  <c r="M3393" i="1"/>
  <c r="N3393" i="1"/>
  <c r="K3392" i="1"/>
  <c r="M3392" i="1"/>
  <c r="N3392" i="1"/>
  <c r="K3391" i="1"/>
  <c r="M3391" i="1"/>
  <c r="N3391" i="1"/>
  <c r="K3387" i="1"/>
  <c r="K3388" i="1"/>
  <c r="K3389" i="1"/>
  <c r="K3390" i="1"/>
  <c r="M3387" i="1"/>
  <c r="M3388" i="1"/>
  <c r="M3389" i="1"/>
  <c r="M3390" i="1"/>
  <c r="N3387" i="1"/>
  <c r="N3388" i="1"/>
  <c r="N3389" i="1"/>
  <c r="N3390" i="1"/>
  <c r="K3385" i="1"/>
  <c r="K3386" i="1"/>
  <c r="M3385" i="1"/>
  <c r="M3386" i="1"/>
  <c r="N3385" i="1"/>
  <c r="N3386" i="1"/>
  <c r="K3383" i="1"/>
  <c r="K3384" i="1"/>
  <c r="M3383" i="1"/>
  <c r="M3384" i="1"/>
  <c r="N3383" i="1"/>
  <c r="N3384" i="1"/>
  <c r="K3382" i="1"/>
  <c r="M3382" i="1"/>
  <c r="N3382" i="1"/>
  <c r="K3380" i="1"/>
  <c r="K3381" i="1"/>
  <c r="M3380" i="1"/>
  <c r="M3381" i="1"/>
  <c r="N3380" i="1"/>
  <c r="N3381" i="1"/>
  <c r="K3375" i="1"/>
  <c r="K3376" i="1"/>
  <c r="K3377" i="1"/>
  <c r="K3378" i="1"/>
  <c r="K3379" i="1"/>
  <c r="M3375" i="1"/>
  <c r="M3376" i="1"/>
  <c r="M3377" i="1"/>
  <c r="M3378" i="1"/>
  <c r="M3379" i="1"/>
  <c r="N3375" i="1"/>
  <c r="N3376" i="1"/>
  <c r="N3377" i="1"/>
  <c r="N3378" i="1"/>
  <c r="N3379" i="1"/>
  <c r="K3374" i="1"/>
  <c r="M3374" i="1"/>
  <c r="N3374" i="1"/>
  <c r="K3372" i="1"/>
  <c r="K3373" i="1"/>
  <c r="M3372" i="1"/>
  <c r="M3373" i="1"/>
  <c r="N3372" i="1"/>
  <c r="N3373" i="1"/>
  <c r="K3368" i="1"/>
  <c r="K3369" i="1"/>
  <c r="K3370" i="1"/>
  <c r="K3371" i="1"/>
  <c r="M3368" i="1"/>
  <c r="M3369" i="1"/>
  <c r="M3370" i="1"/>
  <c r="M3371" i="1"/>
  <c r="N3368" i="1"/>
  <c r="N3369" i="1"/>
  <c r="N3370" i="1"/>
  <c r="N3371" i="1"/>
  <c r="K3366" i="1"/>
  <c r="K3367" i="1"/>
  <c r="M3366" i="1"/>
  <c r="M3367" i="1"/>
  <c r="N3366" i="1"/>
  <c r="N3367" i="1"/>
  <c r="K3365" i="1"/>
  <c r="M3365" i="1"/>
  <c r="N3365" i="1"/>
  <c r="K3363" i="1"/>
  <c r="K3364" i="1"/>
  <c r="M3363" i="1"/>
  <c r="M3364" i="1"/>
  <c r="N3363" i="1"/>
  <c r="N3364" i="1"/>
  <c r="K3362" i="1"/>
  <c r="M3362" i="1"/>
  <c r="N3362" i="1"/>
  <c r="K3361" i="1"/>
  <c r="M3361" i="1"/>
  <c r="N3361" i="1"/>
  <c r="K3360" i="1"/>
  <c r="M3360" i="1"/>
  <c r="N3360" i="1"/>
  <c r="K3359" i="1"/>
  <c r="M3359" i="1"/>
  <c r="N3359" i="1"/>
  <c r="K3356" i="1"/>
  <c r="K3357" i="1"/>
  <c r="K3358" i="1"/>
  <c r="M3356" i="1"/>
  <c r="M3357" i="1"/>
  <c r="M3358" i="1"/>
  <c r="N3356" i="1"/>
  <c r="N3357" i="1"/>
  <c r="N3358" i="1"/>
  <c r="K3354" i="1"/>
  <c r="K3355" i="1"/>
  <c r="M3354" i="1"/>
  <c r="M3355" i="1"/>
  <c r="N3354" i="1"/>
  <c r="N3355" i="1"/>
  <c r="K3353" i="1"/>
  <c r="M3353" i="1"/>
  <c r="N3353" i="1"/>
  <c r="K3352" i="1"/>
  <c r="M3352" i="1"/>
  <c r="N3352" i="1"/>
  <c r="K3347" i="1"/>
  <c r="K3348" i="1"/>
  <c r="K3349" i="1"/>
  <c r="K3350" i="1"/>
  <c r="K3351" i="1"/>
  <c r="M3347" i="1"/>
  <c r="M3348" i="1"/>
  <c r="M3349" i="1"/>
  <c r="M3350" i="1"/>
  <c r="M3351" i="1"/>
  <c r="N3347" i="1"/>
  <c r="N3348" i="1"/>
  <c r="N3349" i="1"/>
  <c r="N3350" i="1"/>
  <c r="N3351" i="1"/>
  <c r="K3343" i="1"/>
  <c r="K3344" i="1"/>
  <c r="K3345" i="1"/>
  <c r="K3346" i="1"/>
  <c r="M3343" i="1"/>
  <c r="M3344" i="1"/>
  <c r="M3345" i="1"/>
  <c r="M3346" i="1"/>
  <c r="N3343" i="1"/>
  <c r="N3344" i="1"/>
  <c r="N3345" i="1"/>
  <c r="N3346" i="1"/>
  <c r="K3342" i="1"/>
  <c r="M3342" i="1"/>
  <c r="N3342" i="1"/>
  <c r="K3341" i="1"/>
  <c r="M3341" i="1"/>
  <c r="N3341" i="1"/>
  <c r="K3340" i="1"/>
  <c r="M3340" i="1"/>
  <c r="N3340" i="1"/>
  <c r="K3339" i="1"/>
  <c r="M3339" i="1"/>
  <c r="N3339" i="1"/>
  <c r="K3338" i="1"/>
  <c r="M3338" i="1"/>
  <c r="N3338" i="1"/>
  <c r="K3334" i="1"/>
  <c r="K3335" i="1"/>
  <c r="K3336" i="1"/>
  <c r="K3337" i="1"/>
  <c r="M3334" i="1"/>
  <c r="M3335" i="1"/>
  <c r="M3336" i="1"/>
  <c r="M3337" i="1"/>
  <c r="N3334" i="1"/>
  <c r="N3335" i="1"/>
  <c r="N3336" i="1"/>
  <c r="N3337" i="1"/>
  <c r="K3333" i="1"/>
  <c r="M3333" i="1"/>
  <c r="N3333" i="1"/>
  <c r="K3330" i="1"/>
  <c r="K3331" i="1"/>
  <c r="K3332" i="1"/>
  <c r="M3330" i="1"/>
  <c r="M3331" i="1"/>
  <c r="M3332" i="1"/>
  <c r="N3330" i="1"/>
  <c r="N3331" i="1"/>
  <c r="N3332" i="1"/>
  <c r="K3326" i="1"/>
  <c r="K3327" i="1"/>
  <c r="K3328" i="1"/>
  <c r="K3329" i="1"/>
  <c r="M3326" i="1"/>
  <c r="M3327" i="1"/>
  <c r="M3328" i="1"/>
  <c r="M3329" i="1"/>
  <c r="N3326" i="1"/>
  <c r="N3327" i="1"/>
  <c r="N3328" i="1"/>
  <c r="N3329" i="1"/>
  <c r="K3325" i="1"/>
  <c r="M3325" i="1"/>
  <c r="N3325" i="1"/>
  <c r="K3324" i="1"/>
  <c r="M3324" i="1"/>
  <c r="N3324" i="1"/>
  <c r="K3313" i="1"/>
  <c r="K3314" i="1"/>
  <c r="K3315" i="1"/>
  <c r="K3316" i="1"/>
  <c r="K3317" i="1"/>
  <c r="K3318" i="1"/>
  <c r="K3319" i="1"/>
  <c r="K3320" i="1"/>
  <c r="K3321" i="1"/>
  <c r="K3322" i="1"/>
  <c r="K3323" i="1"/>
  <c r="M3313" i="1"/>
  <c r="M3314" i="1"/>
  <c r="M3315" i="1"/>
  <c r="M3316" i="1"/>
  <c r="M3317" i="1"/>
  <c r="M3318" i="1"/>
  <c r="M3319" i="1"/>
  <c r="M3320" i="1"/>
  <c r="M3321" i="1"/>
  <c r="M3322" i="1"/>
  <c r="M3323" i="1"/>
  <c r="N3313" i="1"/>
  <c r="N3314" i="1"/>
  <c r="N3315" i="1"/>
  <c r="N3316" i="1"/>
  <c r="N3317" i="1"/>
  <c r="N3318" i="1"/>
  <c r="N3319" i="1"/>
  <c r="N3320" i="1"/>
  <c r="N3321" i="1"/>
  <c r="N3322" i="1"/>
  <c r="N3323" i="1"/>
  <c r="K3312" i="1"/>
  <c r="M3312" i="1"/>
  <c r="N3312" i="1"/>
  <c r="K3311" i="1"/>
  <c r="M3311" i="1"/>
  <c r="N3311" i="1"/>
  <c r="K3305" i="1"/>
  <c r="K3306" i="1"/>
  <c r="K3307" i="1"/>
  <c r="K3308" i="1"/>
  <c r="K3309" i="1"/>
  <c r="K3310" i="1"/>
  <c r="M3305" i="1"/>
  <c r="M3306" i="1"/>
  <c r="M3307" i="1"/>
  <c r="M3308" i="1"/>
  <c r="M3309" i="1"/>
  <c r="M3310" i="1"/>
  <c r="N3305" i="1"/>
  <c r="N3306" i="1"/>
  <c r="N3307" i="1"/>
  <c r="N3308" i="1"/>
  <c r="N3309" i="1"/>
  <c r="N3310" i="1"/>
  <c r="K3299" i="1"/>
  <c r="K3300" i="1"/>
  <c r="K3301" i="1"/>
  <c r="K3302" i="1"/>
  <c r="K3303" i="1"/>
  <c r="K3304" i="1"/>
  <c r="M3299" i="1"/>
  <c r="M3300" i="1"/>
  <c r="M3301" i="1"/>
  <c r="M3302" i="1"/>
  <c r="M3303" i="1"/>
  <c r="M3304" i="1"/>
  <c r="N3299" i="1"/>
  <c r="N3300" i="1"/>
  <c r="N3301" i="1"/>
  <c r="N3302" i="1"/>
  <c r="N3303" i="1"/>
  <c r="N3304" i="1"/>
  <c r="K3296" i="1"/>
  <c r="K3297" i="1"/>
  <c r="K3298" i="1"/>
  <c r="M3296" i="1"/>
  <c r="M3297" i="1"/>
  <c r="M3298" i="1"/>
  <c r="N3296" i="1"/>
  <c r="N3297" i="1"/>
  <c r="N3298" i="1"/>
  <c r="K3295" i="1"/>
  <c r="M3295" i="1"/>
  <c r="N3295" i="1"/>
  <c r="K3292" i="1"/>
  <c r="K3293" i="1"/>
  <c r="K3294" i="1"/>
  <c r="M3292" i="1"/>
  <c r="M3293" i="1"/>
  <c r="M3294" i="1"/>
  <c r="N3292" i="1"/>
  <c r="N3293" i="1"/>
  <c r="N3294" i="1"/>
  <c r="K3291" i="1" l="1"/>
  <c r="M3291" i="1"/>
  <c r="N3291" i="1"/>
  <c r="K3290" i="1"/>
  <c r="M3290" i="1"/>
  <c r="N3290" i="1"/>
  <c r="K3289" i="1"/>
  <c r="M3289" i="1"/>
  <c r="N3289" i="1"/>
  <c r="K3288" i="1"/>
  <c r="M3288" i="1"/>
  <c r="N3288" i="1"/>
  <c r="K3287" i="1"/>
  <c r="M3287" i="1"/>
  <c r="N3287" i="1"/>
  <c r="K3272" i="1"/>
  <c r="K3273" i="1"/>
  <c r="K3274" i="1"/>
  <c r="K3275" i="1"/>
  <c r="K3276" i="1"/>
  <c r="K3277" i="1"/>
  <c r="K3278" i="1"/>
  <c r="K3279" i="1"/>
  <c r="K3280" i="1"/>
  <c r="K3281" i="1"/>
  <c r="K3282" i="1"/>
  <c r="K3283" i="1"/>
  <c r="K3284" i="1"/>
  <c r="K3285" i="1"/>
  <c r="K3286" i="1"/>
  <c r="M3272" i="1"/>
  <c r="M3273" i="1"/>
  <c r="M3274" i="1"/>
  <c r="M3275" i="1"/>
  <c r="M3276" i="1"/>
  <c r="M3277" i="1"/>
  <c r="M3278" i="1"/>
  <c r="M3279" i="1"/>
  <c r="M3280" i="1"/>
  <c r="M3281" i="1"/>
  <c r="M3282" i="1"/>
  <c r="M3283" i="1"/>
  <c r="M3284" i="1"/>
  <c r="M3285" i="1"/>
  <c r="M3286" i="1"/>
  <c r="N3272" i="1"/>
  <c r="N3273" i="1"/>
  <c r="N3274" i="1"/>
  <c r="N3275" i="1"/>
  <c r="N3276" i="1"/>
  <c r="N3277" i="1"/>
  <c r="N3278" i="1"/>
  <c r="N3279" i="1"/>
  <c r="N3280" i="1"/>
  <c r="N3281" i="1"/>
  <c r="N3282" i="1"/>
  <c r="N3283" i="1"/>
  <c r="N3284" i="1"/>
  <c r="N3285" i="1"/>
  <c r="N3286" i="1"/>
  <c r="K3271" i="1"/>
  <c r="M3271" i="1"/>
  <c r="N3271" i="1"/>
  <c r="K3267" i="1"/>
  <c r="K3268" i="1"/>
  <c r="K3269" i="1"/>
  <c r="K3270" i="1"/>
  <c r="M3267" i="1"/>
  <c r="M3268" i="1"/>
  <c r="M3269" i="1"/>
  <c r="M3270" i="1"/>
  <c r="N3267" i="1"/>
  <c r="N3268" i="1"/>
  <c r="N3269" i="1"/>
  <c r="N3270" i="1"/>
  <c r="K3264" i="1"/>
  <c r="K3265" i="1"/>
  <c r="K3266" i="1"/>
  <c r="M3264" i="1"/>
  <c r="M3265" i="1"/>
  <c r="M3266" i="1"/>
  <c r="N3264" i="1"/>
  <c r="N3265" i="1"/>
  <c r="N3266" i="1"/>
  <c r="K3263" i="1"/>
  <c r="M3263" i="1"/>
  <c r="N3263" i="1"/>
  <c r="K3262" i="1"/>
  <c r="M3262" i="1"/>
  <c r="N3262" i="1"/>
  <c r="K3261" i="1"/>
  <c r="M3261" i="1"/>
  <c r="N3261" i="1"/>
  <c r="K3260" i="1"/>
  <c r="M3260" i="1"/>
  <c r="N3260" i="1"/>
  <c r="K3259" i="1"/>
  <c r="M3259" i="1"/>
  <c r="N3259" i="1"/>
  <c r="K3258" i="1"/>
  <c r="M3258" i="1"/>
  <c r="N3258" i="1"/>
  <c r="K3257" i="1"/>
  <c r="M3257" i="1"/>
  <c r="N3257" i="1"/>
  <c r="K3256" i="1"/>
  <c r="M3256" i="1"/>
  <c r="N3256" i="1"/>
  <c r="K3254" i="1"/>
  <c r="K3255" i="1"/>
  <c r="M3254" i="1"/>
  <c r="M3255" i="1"/>
  <c r="N3254" i="1"/>
  <c r="N3255" i="1"/>
  <c r="K3252" i="1"/>
  <c r="K3253" i="1"/>
  <c r="M3252" i="1"/>
  <c r="M3253" i="1"/>
  <c r="N3252" i="1"/>
  <c r="N3253" i="1"/>
  <c r="K3250" i="1"/>
  <c r="K3251" i="1"/>
  <c r="M3250" i="1"/>
  <c r="M3251" i="1"/>
  <c r="N3250" i="1"/>
  <c r="N3251" i="1"/>
  <c r="K3249" i="1"/>
  <c r="M3249" i="1"/>
  <c r="N3249" i="1"/>
  <c r="K3248" i="1"/>
  <c r="M3248" i="1"/>
  <c r="N3248" i="1"/>
  <c r="K3247" i="1"/>
  <c r="M3247" i="1"/>
  <c r="N3247" i="1"/>
  <c r="K3246" i="1"/>
  <c r="M3246" i="1"/>
  <c r="N3246" i="1"/>
  <c r="K3245" i="1"/>
  <c r="M3245" i="1"/>
  <c r="N3245" i="1"/>
  <c r="K3244" i="1"/>
  <c r="M3244" i="1"/>
  <c r="N3244" i="1"/>
  <c r="K3242" i="1"/>
  <c r="K3243" i="1"/>
  <c r="M3242" i="1"/>
  <c r="M3243" i="1"/>
  <c r="N3242" i="1"/>
  <c r="N3243" i="1"/>
  <c r="K3229" i="1"/>
  <c r="K3230" i="1"/>
  <c r="K3231" i="1"/>
  <c r="K3232" i="1"/>
  <c r="K3233" i="1"/>
  <c r="K3234" i="1"/>
  <c r="K3235" i="1"/>
  <c r="K3236" i="1"/>
  <c r="K3237" i="1"/>
  <c r="K3238" i="1"/>
  <c r="K3239" i="1"/>
  <c r="K3240" i="1"/>
  <c r="K3241" i="1"/>
  <c r="M3229" i="1"/>
  <c r="M3230" i="1"/>
  <c r="M3231" i="1"/>
  <c r="M3232" i="1"/>
  <c r="M3233" i="1"/>
  <c r="M3234" i="1"/>
  <c r="M3235" i="1"/>
  <c r="M3236" i="1"/>
  <c r="M3237" i="1"/>
  <c r="M3238" i="1"/>
  <c r="M3239" i="1"/>
  <c r="M3240" i="1"/>
  <c r="M3241" i="1"/>
  <c r="N3229" i="1"/>
  <c r="N3230" i="1"/>
  <c r="N3231" i="1"/>
  <c r="N3232" i="1"/>
  <c r="N3233" i="1"/>
  <c r="N3234" i="1"/>
  <c r="N3235" i="1"/>
  <c r="N3236" i="1"/>
  <c r="N3237" i="1"/>
  <c r="N3238" i="1"/>
  <c r="N3239" i="1"/>
  <c r="N3240" i="1"/>
  <c r="N3241" i="1"/>
  <c r="K3228" i="1"/>
  <c r="M3228" i="1"/>
  <c r="N3228" i="1"/>
  <c r="K3226" i="1"/>
  <c r="K3227" i="1"/>
  <c r="M3226" i="1"/>
  <c r="M3227" i="1"/>
  <c r="N3226" i="1"/>
  <c r="N3227" i="1"/>
  <c r="K3225" i="1"/>
  <c r="M3225" i="1"/>
  <c r="N3225" i="1"/>
  <c r="K3217" i="1"/>
  <c r="K3218" i="1"/>
  <c r="K3219" i="1"/>
  <c r="K3220" i="1"/>
  <c r="K3221" i="1"/>
  <c r="K3222" i="1"/>
  <c r="K3223" i="1"/>
  <c r="K3224" i="1"/>
  <c r="M3217" i="1"/>
  <c r="M3218" i="1"/>
  <c r="M3219" i="1"/>
  <c r="M3220" i="1"/>
  <c r="M3221" i="1"/>
  <c r="M3222" i="1"/>
  <c r="M3223" i="1"/>
  <c r="M3224" i="1"/>
  <c r="N3217" i="1"/>
  <c r="N3218" i="1"/>
  <c r="N3219" i="1"/>
  <c r="N3220" i="1"/>
  <c r="N3221" i="1"/>
  <c r="N3222" i="1"/>
  <c r="N3223" i="1"/>
  <c r="N3224" i="1"/>
  <c r="K3216" i="1"/>
  <c r="M3216" i="1"/>
  <c r="N3216" i="1"/>
  <c r="K3214" i="1"/>
  <c r="K3215" i="1"/>
  <c r="M3214" i="1"/>
  <c r="M3215" i="1"/>
  <c r="N3214" i="1"/>
  <c r="N3215" i="1"/>
  <c r="K3209" i="1"/>
  <c r="K3210" i="1"/>
  <c r="K3211" i="1"/>
  <c r="K3212" i="1"/>
  <c r="K3213" i="1"/>
  <c r="M3209" i="1"/>
  <c r="M3210" i="1"/>
  <c r="M3211" i="1"/>
  <c r="M3212" i="1"/>
  <c r="M3213" i="1"/>
  <c r="N3209" i="1"/>
  <c r="N3210" i="1"/>
  <c r="N3211" i="1"/>
  <c r="N3212" i="1"/>
  <c r="N3213" i="1"/>
  <c r="K3208" i="1"/>
  <c r="M3208" i="1"/>
  <c r="N3208" i="1"/>
  <c r="K3200" i="1"/>
  <c r="K3201" i="1"/>
  <c r="K3202" i="1"/>
  <c r="K3203" i="1"/>
  <c r="K3204" i="1"/>
  <c r="K3205" i="1"/>
  <c r="K3206" i="1"/>
  <c r="K3207" i="1"/>
  <c r="M3200" i="1"/>
  <c r="M3201" i="1"/>
  <c r="M3202" i="1"/>
  <c r="M3203" i="1"/>
  <c r="M3204" i="1"/>
  <c r="M3205" i="1"/>
  <c r="M3206" i="1"/>
  <c r="M3207" i="1"/>
  <c r="N3200" i="1"/>
  <c r="N3201" i="1"/>
  <c r="N3202" i="1"/>
  <c r="N3203" i="1"/>
  <c r="N3204" i="1"/>
  <c r="N3205" i="1"/>
  <c r="N3206" i="1"/>
  <c r="N3207" i="1"/>
  <c r="K3199" i="1"/>
  <c r="M3199" i="1"/>
  <c r="N3199" i="1"/>
  <c r="K3198" i="1"/>
  <c r="M3198" i="1"/>
  <c r="N3198" i="1"/>
  <c r="K3197" i="1"/>
  <c r="M3197" i="1"/>
  <c r="N3197" i="1"/>
  <c r="K3196" i="1"/>
  <c r="M3196" i="1"/>
  <c r="N3196" i="1"/>
  <c r="K3195" i="1"/>
  <c r="M3195" i="1"/>
  <c r="N3195" i="1"/>
  <c r="K3194" i="1"/>
  <c r="M3194" i="1"/>
  <c r="N3194" i="1"/>
  <c r="K3193" i="1"/>
  <c r="M3193" i="1"/>
  <c r="N3193" i="1"/>
  <c r="K3192" i="1"/>
  <c r="M3192" i="1"/>
  <c r="N3192" i="1"/>
  <c r="K3191" i="1"/>
  <c r="M3191" i="1"/>
  <c r="N3191" i="1"/>
  <c r="K3189" i="1"/>
  <c r="K3190" i="1"/>
  <c r="M3189" i="1"/>
  <c r="M3190" i="1"/>
  <c r="N3189" i="1"/>
  <c r="N3190" i="1"/>
  <c r="K3186" i="1"/>
  <c r="K3187" i="1"/>
  <c r="K3188" i="1"/>
  <c r="M3186" i="1"/>
  <c r="M3187" i="1"/>
  <c r="M3188" i="1"/>
  <c r="N3186" i="1"/>
  <c r="N3187" i="1"/>
  <c r="N3188" i="1"/>
  <c r="K3185" i="1"/>
  <c r="M3185" i="1"/>
  <c r="N3185" i="1"/>
  <c r="K3180" i="1"/>
  <c r="K3181" i="1"/>
  <c r="K3182" i="1"/>
  <c r="K3183" i="1"/>
  <c r="K3184" i="1"/>
  <c r="M3180" i="1"/>
  <c r="M3181" i="1"/>
  <c r="M3182" i="1"/>
  <c r="M3183" i="1"/>
  <c r="M3184" i="1"/>
  <c r="N3180" i="1"/>
  <c r="N3181" i="1"/>
  <c r="N3182" i="1"/>
  <c r="N3183" i="1"/>
  <c r="N3184" i="1"/>
  <c r="K3172" i="1"/>
  <c r="K3173" i="1"/>
  <c r="K3174" i="1"/>
  <c r="K3175" i="1"/>
  <c r="K3176" i="1"/>
  <c r="K3177" i="1"/>
  <c r="K3178" i="1"/>
  <c r="K3179" i="1"/>
  <c r="M3172" i="1"/>
  <c r="M3173" i="1"/>
  <c r="M3174" i="1"/>
  <c r="M3175" i="1"/>
  <c r="M3176" i="1"/>
  <c r="M3177" i="1"/>
  <c r="M3178" i="1"/>
  <c r="M3179" i="1"/>
  <c r="N3172" i="1"/>
  <c r="N3173" i="1"/>
  <c r="N3174" i="1"/>
  <c r="N3175" i="1"/>
  <c r="N3176" i="1"/>
  <c r="N3177" i="1"/>
  <c r="N3178" i="1"/>
  <c r="N3179" i="1"/>
  <c r="K3170" i="1"/>
  <c r="K3171" i="1"/>
  <c r="M3170" i="1"/>
  <c r="M3171" i="1"/>
  <c r="N3170" i="1"/>
  <c r="N3171" i="1"/>
  <c r="K3169" i="1" l="1"/>
  <c r="M3169" i="1"/>
  <c r="N3169" i="1"/>
  <c r="K3168" i="1"/>
  <c r="M3168" i="1"/>
  <c r="N3168" i="1"/>
  <c r="K3166" i="1"/>
  <c r="K3167" i="1"/>
  <c r="M3166" i="1"/>
  <c r="M3167" i="1"/>
  <c r="N3166" i="1"/>
  <c r="N3167" i="1"/>
  <c r="K3164" i="1"/>
  <c r="K3165" i="1"/>
  <c r="M3164" i="1"/>
  <c r="M3165" i="1"/>
  <c r="N3164" i="1"/>
  <c r="N3165" i="1"/>
  <c r="K3163" i="1"/>
  <c r="M3163" i="1"/>
  <c r="N3163" i="1"/>
  <c r="K3162" i="1"/>
  <c r="M3162" i="1"/>
  <c r="N3162" i="1"/>
  <c r="K3161" i="1"/>
  <c r="M3161" i="1"/>
  <c r="N3161" i="1"/>
  <c r="K3160" i="1"/>
  <c r="M3160" i="1"/>
  <c r="N3160" i="1"/>
  <c r="K3158" i="1"/>
  <c r="K3159" i="1"/>
  <c r="M3158" i="1"/>
  <c r="M3159" i="1"/>
  <c r="N3158" i="1"/>
  <c r="N3159" i="1"/>
  <c r="K3157" i="1"/>
  <c r="M3157" i="1"/>
  <c r="N3157" i="1"/>
  <c r="K3154" i="1"/>
  <c r="K3155" i="1"/>
  <c r="K3156" i="1"/>
  <c r="M3154" i="1"/>
  <c r="M3155" i="1"/>
  <c r="M3156" i="1"/>
  <c r="N3154" i="1"/>
  <c r="N3155" i="1"/>
  <c r="N3156" i="1"/>
  <c r="K3153" i="1"/>
  <c r="M3153" i="1"/>
  <c r="N3153" i="1"/>
  <c r="K3152" i="1"/>
  <c r="M3152" i="1"/>
  <c r="N3152" i="1"/>
  <c r="K3151" i="1"/>
  <c r="M3151" i="1"/>
  <c r="N3151" i="1"/>
  <c r="K3150" i="1"/>
  <c r="M3150" i="1"/>
  <c r="N3150" i="1"/>
  <c r="K3149" i="1"/>
  <c r="M3149" i="1"/>
  <c r="N3149" i="1"/>
  <c r="K3147" i="1"/>
  <c r="K3148" i="1"/>
  <c r="M3147" i="1"/>
  <c r="M3148" i="1"/>
  <c r="N3147" i="1"/>
  <c r="N3148" i="1"/>
  <c r="K3142" i="1"/>
  <c r="K3143" i="1"/>
  <c r="K3144" i="1"/>
  <c r="K3145" i="1"/>
  <c r="K3146" i="1"/>
  <c r="M3142" i="1"/>
  <c r="M3143" i="1"/>
  <c r="M3144" i="1"/>
  <c r="M3145" i="1"/>
  <c r="M3146" i="1"/>
  <c r="N3142" i="1"/>
  <c r="N3143" i="1"/>
  <c r="N3144" i="1"/>
  <c r="N3145" i="1"/>
  <c r="N3146" i="1"/>
  <c r="K3141" i="1"/>
  <c r="M3141" i="1"/>
  <c r="N3141" i="1"/>
  <c r="K3140" i="1"/>
  <c r="M3140" i="1"/>
  <c r="N3140" i="1"/>
  <c r="K3139" i="1"/>
  <c r="M3139" i="1"/>
  <c r="N3139" i="1"/>
  <c r="K3138" i="1"/>
  <c r="M3138" i="1"/>
  <c r="N3138" i="1"/>
  <c r="K3137" i="1"/>
  <c r="M3137" i="1"/>
  <c r="N3137" i="1"/>
  <c r="K3136" i="1"/>
  <c r="M3136" i="1"/>
  <c r="N3136" i="1"/>
  <c r="K3135" i="1"/>
  <c r="M3135" i="1"/>
  <c r="N3135" i="1"/>
  <c r="K3134" i="1"/>
  <c r="M3134" i="1"/>
  <c r="N3134" i="1"/>
  <c r="K3133" i="1"/>
  <c r="M3133" i="1"/>
  <c r="N3133" i="1"/>
  <c r="K3132" i="1"/>
  <c r="M3132" i="1"/>
  <c r="N3132" i="1"/>
  <c r="K3131" i="1"/>
  <c r="M3131" i="1"/>
  <c r="N3131" i="1"/>
  <c r="K3129" i="1"/>
  <c r="K3130" i="1"/>
  <c r="M3129" i="1"/>
  <c r="M3130" i="1"/>
  <c r="N3129" i="1"/>
  <c r="N3130" i="1"/>
  <c r="K3128" i="1"/>
  <c r="M3128" i="1"/>
  <c r="N3128" i="1"/>
  <c r="K3126" i="1"/>
  <c r="K3127" i="1"/>
  <c r="M3126" i="1"/>
  <c r="M3127" i="1"/>
  <c r="N3126" i="1"/>
  <c r="N3127" i="1"/>
  <c r="K3125" i="1"/>
  <c r="M3125" i="1"/>
  <c r="N3125" i="1"/>
  <c r="K3122" i="1"/>
  <c r="K3123" i="1"/>
  <c r="K3124" i="1"/>
  <c r="M3122" i="1"/>
  <c r="M3123" i="1"/>
  <c r="M3124" i="1"/>
  <c r="N3122" i="1"/>
  <c r="N3123" i="1"/>
  <c r="N3124" i="1"/>
  <c r="K3118" i="1"/>
  <c r="K3119" i="1"/>
  <c r="K3120" i="1"/>
  <c r="K3121" i="1"/>
  <c r="M3118" i="1"/>
  <c r="M3119" i="1"/>
  <c r="M3120" i="1"/>
  <c r="M3121" i="1"/>
  <c r="N3118" i="1"/>
  <c r="N3119" i="1"/>
  <c r="N3120" i="1"/>
  <c r="N3121" i="1"/>
  <c r="K3117" i="1"/>
  <c r="M3117" i="1"/>
  <c r="N3117" i="1"/>
  <c r="K3115" i="1"/>
  <c r="K3116" i="1"/>
  <c r="M3115" i="1"/>
  <c r="M3116" i="1"/>
  <c r="N3115" i="1"/>
  <c r="N3116" i="1"/>
  <c r="K3108" i="1"/>
  <c r="K3109" i="1"/>
  <c r="K3110" i="1"/>
  <c r="K3111" i="1"/>
  <c r="K3112" i="1"/>
  <c r="K3113" i="1"/>
  <c r="K3114" i="1"/>
  <c r="M3108" i="1"/>
  <c r="M3109" i="1"/>
  <c r="M3110" i="1"/>
  <c r="M3111" i="1"/>
  <c r="M3112" i="1"/>
  <c r="M3113" i="1"/>
  <c r="M3114" i="1"/>
  <c r="N3108" i="1"/>
  <c r="N3109" i="1"/>
  <c r="N3110" i="1"/>
  <c r="N3111" i="1"/>
  <c r="N3112" i="1"/>
  <c r="N3113" i="1"/>
  <c r="N3114" i="1"/>
  <c r="K3099" i="1"/>
  <c r="K3100" i="1"/>
  <c r="K3101" i="1"/>
  <c r="K3102" i="1"/>
  <c r="K3103" i="1"/>
  <c r="K3104" i="1"/>
  <c r="K3105" i="1"/>
  <c r="K3106" i="1"/>
  <c r="K3107" i="1"/>
  <c r="M3099" i="1"/>
  <c r="M3100" i="1"/>
  <c r="M3101" i="1"/>
  <c r="M3102" i="1"/>
  <c r="M3103" i="1"/>
  <c r="M3104" i="1"/>
  <c r="M3105" i="1"/>
  <c r="M3106" i="1"/>
  <c r="M3107" i="1"/>
  <c r="N3099" i="1"/>
  <c r="N3100" i="1"/>
  <c r="N3101" i="1"/>
  <c r="N3102" i="1"/>
  <c r="N3103" i="1"/>
  <c r="N3104" i="1"/>
  <c r="N3105" i="1"/>
  <c r="N3106" i="1"/>
  <c r="N3107" i="1"/>
  <c r="K3098" i="1"/>
  <c r="M3098" i="1"/>
  <c r="N3098" i="1"/>
  <c r="K3097" i="1"/>
  <c r="M3097" i="1"/>
  <c r="N3097" i="1"/>
  <c r="K3096" i="1"/>
  <c r="M3096" i="1"/>
  <c r="N3096" i="1"/>
  <c r="K3093" i="1"/>
  <c r="K3094" i="1"/>
  <c r="K3095" i="1"/>
  <c r="M3093" i="1"/>
  <c r="M3094" i="1"/>
  <c r="M3095" i="1"/>
  <c r="N3093" i="1"/>
  <c r="N3094" i="1"/>
  <c r="N3095" i="1"/>
  <c r="K3092" i="1"/>
  <c r="M3092" i="1"/>
  <c r="N3092" i="1"/>
  <c r="K3089" i="1"/>
  <c r="K3090" i="1"/>
  <c r="K3091" i="1"/>
  <c r="M3089" i="1"/>
  <c r="M3090" i="1"/>
  <c r="M3091" i="1"/>
  <c r="N3089" i="1"/>
  <c r="N3090" i="1"/>
  <c r="N3091" i="1"/>
  <c r="K3078" i="1"/>
  <c r="K3079" i="1"/>
  <c r="K3080" i="1"/>
  <c r="K3081" i="1"/>
  <c r="K3082" i="1"/>
  <c r="K3083" i="1"/>
  <c r="K3084" i="1"/>
  <c r="K3085" i="1"/>
  <c r="K3086" i="1"/>
  <c r="K3087" i="1"/>
  <c r="K3088" i="1"/>
  <c r="M3078" i="1"/>
  <c r="M3079" i="1"/>
  <c r="M3080" i="1"/>
  <c r="M3081" i="1"/>
  <c r="M3082" i="1"/>
  <c r="M3083" i="1"/>
  <c r="M3084" i="1"/>
  <c r="M3085" i="1"/>
  <c r="M3086" i="1"/>
  <c r="M3087" i="1"/>
  <c r="M3088" i="1"/>
  <c r="N3078" i="1"/>
  <c r="N3079" i="1"/>
  <c r="N3080" i="1"/>
  <c r="N3081" i="1"/>
  <c r="N3082" i="1"/>
  <c r="N3083" i="1"/>
  <c r="N3084" i="1"/>
  <c r="N3085" i="1"/>
  <c r="N3086" i="1"/>
  <c r="N3087" i="1"/>
  <c r="N3088" i="1"/>
  <c r="K3077" i="1"/>
  <c r="M3077" i="1"/>
  <c r="N3077" i="1"/>
  <c r="K3069" i="1"/>
  <c r="K3070" i="1"/>
  <c r="K3071" i="1"/>
  <c r="K3072" i="1"/>
  <c r="K3073" i="1"/>
  <c r="K3074" i="1"/>
  <c r="K3075" i="1"/>
  <c r="K3076" i="1"/>
  <c r="M3069" i="1"/>
  <c r="M3070" i="1"/>
  <c r="M3071" i="1"/>
  <c r="M3072" i="1"/>
  <c r="M3073" i="1"/>
  <c r="M3074" i="1"/>
  <c r="M3075" i="1"/>
  <c r="M3076" i="1"/>
  <c r="N3069" i="1"/>
  <c r="N3070" i="1"/>
  <c r="N3071" i="1"/>
  <c r="N3072" i="1"/>
  <c r="N3073" i="1"/>
  <c r="N3074" i="1"/>
  <c r="N3075" i="1"/>
  <c r="N3076" i="1"/>
  <c r="K3067" i="1"/>
  <c r="K3068" i="1"/>
  <c r="M3067" i="1"/>
  <c r="M3068" i="1"/>
  <c r="N3067" i="1"/>
  <c r="N3068" i="1"/>
  <c r="K3066" i="1"/>
  <c r="M3066" i="1"/>
  <c r="N3066" i="1"/>
  <c r="K3065" i="1"/>
  <c r="M3065" i="1"/>
  <c r="N3065" i="1"/>
  <c r="K3064" i="1"/>
  <c r="M3064" i="1"/>
  <c r="N3064" i="1"/>
  <c r="K3061" i="1"/>
  <c r="K3062" i="1"/>
  <c r="K3063" i="1"/>
  <c r="M3061" i="1"/>
  <c r="M3062" i="1"/>
  <c r="M3063" i="1"/>
  <c r="N3061" i="1"/>
  <c r="N3062" i="1"/>
  <c r="N3063" i="1"/>
  <c r="K3059" i="1"/>
  <c r="K3060" i="1"/>
  <c r="M3059" i="1"/>
  <c r="M3060" i="1"/>
  <c r="N3059" i="1"/>
  <c r="N3060" i="1"/>
  <c r="K3057" i="1"/>
  <c r="K3058" i="1"/>
  <c r="M3057" i="1"/>
  <c r="M3058" i="1"/>
  <c r="N3057" i="1"/>
  <c r="N3058" i="1"/>
  <c r="K3055" i="1"/>
  <c r="K3056" i="1"/>
  <c r="M3055" i="1"/>
  <c r="M3056" i="1"/>
  <c r="N3055" i="1"/>
  <c r="N3056" i="1"/>
  <c r="K3052" i="1"/>
  <c r="K3053" i="1"/>
  <c r="K3054" i="1"/>
  <c r="M3052" i="1"/>
  <c r="M3053" i="1"/>
  <c r="M3054" i="1"/>
  <c r="N3052" i="1"/>
  <c r="N3053" i="1"/>
  <c r="N3054" i="1"/>
  <c r="K3051" i="1"/>
  <c r="M3051" i="1"/>
  <c r="N3051" i="1"/>
  <c r="K3048" i="1"/>
  <c r="K3049" i="1"/>
  <c r="K3050" i="1"/>
  <c r="M3048" i="1"/>
  <c r="M3049" i="1"/>
  <c r="M3050" i="1"/>
  <c r="N3048" i="1"/>
  <c r="N3049" i="1"/>
  <c r="N3050" i="1"/>
  <c r="K3047" i="1"/>
  <c r="M3047" i="1"/>
  <c r="N3047" i="1"/>
  <c r="K3046" i="1"/>
  <c r="M3046" i="1"/>
  <c r="N3046" i="1"/>
  <c r="K3045" i="1"/>
  <c r="M3045" i="1"/>
  <c r="N3045" i="1"/>
  <c r="K3039" i="1"/>
  <c r="K3040" i="1"/>
  <c r="K3041" i="1"/>
  <c r="K3042" i="1"/>
  <c r="K3043" i="1"/>
  <c r="K3044" i="1"/>
  <c r="M3039" i="1"/>
  <c r="M3040" i="1"/>
  <c r="M3041" i="1"/>
  <c r="M3042" i="1"/>
  <c r="M3043" i="1"/>
  <c r="M3044" i="1"/>
  <c r="N3039" i="1"/>
  <c r="N3040" i="1"/>
  <c r="N3041" i="1"/>
  <c r="N3042" i="1"/>
  <c r="N3043" i="1"/>
  <c r="N3044" i="1"/>
  <c r="K3038" i="1"/>
  <c r="M3038" i="1"/>
  <c r="N3038" i="1"/>
  <c r="K3033" i="1"/>
  <c r="K3034" i="1"/>
  <c r="K3035" i="1"/>
  <c r="K3036" i="1"/>
  <c r="K3037" i="1"/>
  <c r="M3033" i="1"/>
  <c r="M3034" i="1"/>
  <c r="M3035" i="1"/>
  <c r="M3036" i="1"/>
  <c r="M3037" i="1"/>
  <c r="N3033" i="1"/>
  <c r="N3034" i="1"/>
  <c r="N3035" i="1"/>
  <c r="N3036" i="1"/>
  <c r="N3037" i="1"/>
  <c r="K3031" i="1"/>
  <c r="K3032" i="1"/>
  <c r="M3031" i="1"/>
  <c r="M3032" i="1"/>
  <c r="N3031" i="1"/>
  <c r="N3032" i="1"/>
  <c r="K3029" i="1"/>
  <c r="K3030" i="1"/>
  <c r="M3029" i="1"/>
  <c r="M3030" i="1"/>
  <c r="N3029" i="1"/>
  <c r="N3030" i="1"/>
  <c r="K3027" i="1"/>
  <c r="K3028" i="1"/>
  <c r="M3027" i="1"/>
  <c r="M3028" i="1"/>
  <c r="N3027" i="1"/>
  <c r="N3028" i="1"/>
  <c r="K3021" i="1"/>
  <c r="K3022" i="1"/>
  <c r="K3023" i="1"/>
  <c r="K3024" i="1"/>
  <c r="K3025" i="1"/>
  <c r="K3026" i="1"/>
  <c r="M3021" i="1"/>
  <c r="M3022" i="1"/>
  <c r="M3023" i="1"/>
  <c r="M3024" i="1"/>
  <c r="M3025" i="1"/>
  <c r="M3026" i="1"/>
  <c r="N3021" i="1"/>
  <c r="N3022" i="1"/>
  <c r="N3023" i="1"/>
  <c r="N3024" i="1"/>
  <c r="N3025" i="1"/>
  <c r="N3026" i="1"/>
  <c r="K3008" i="1"/>
  <c r="K3009" i="1"/>
  <c r="K3010" i="1"/>
  <c r="K3011" i="1"/>
  <c r="K3012" i="1"/>
  <c r="K3013" i="1"/>
  <c r="K3014" i="1"/>
  <c r="K3015" i="1"/>
  <c r="K3016" i="1"/>
  <c r="K3017" i="1"/>
  <c r="K3018" i="1"/>
  <c r="K3019" i="1"/>
  <c r="K3020" i="1"/>
  <c r="M3008" i="1"/>
  <c r="M3009" i="1"/>
  <c r="M3010" i="1"/>
  <c r="M3011" i="1"/>
  <c r="M3012" i="1"/>
  <c r="M3013" i="1"/>
  <c r="M3014" i="1"/>
  <c r="M3015" i="1"/>
  <c r="M3016" i="1"/>
  <c r="M3017" i="1"/>
  <c r="M3018" i="1"/>
  <c r="M3019" i="1"/>
  <c r="M3020" i="1"/>
  <c r="N3008" i="1"/>
  <c r="N3009" i="1"/>
  <c r="N3010" i="1"/>
  <c r="N3011" i="1"/>
  <c r="N3012" i="1"/>
  <c r="N3013" i="1"/>
  <c r="N3014" i="1"/>
  <c r="N3015" i="1"/>
  <c r="N3016" i="1"/>
  <c r="N3017" i="1"/>
  <c r="N3018" i="1"/>
  <c r="N3019" i="1"/>
  <c r="N3020" i="1"/>
  <c r="K3003" i="1"/>
  <c r="K3004" i="1"/>
  <c r="K3005" i="1"/>
  <c r="K3006" i="1"/>
  <c r="K3007" i="1"/>
  <c r="M3003" i="1"/>
  <c r="M3004" i="1"/>
  <c r="M3005" i="1"/>
  <c r="M3006" i="1"/>
  <c r="M3007" i="1"/>
  <c r="N3003" i="1"/>
  <c r="N3004" i="1"/>
  <c r="N3005" i="1"/>
  <c r="N3006" i="1"/>
  <c r="N3007" i="1"/>
  <c r="K3002" i="1"/>
  <c r="M3002" i="1"/>
  <c r="N3002" i="1"/>
  <c r="K3001" i="1"/>
  <c r="M3001" i="1"/>
  <c r="N3001" i="1"/>
  <c r="K2999" i="1"/>
  <c r="K3000" i="1"/>
  <c r="M2999" i="1"/>
  <c r="M3000" i="1"/>
  <c r="N2999" i="1"/>
  <c r="N3000" i="1"/>
  <c r="K2998" i="1"/>
  <c r="M2998" i="1"/>
  <c r="N2998" i="1"/>
  <c r="K2997" i="1"/>
  <c r="M2997" i="1"/>
  <c r="N2997" i="1"/>
  <c r="K2996" i="1"/>
  <c r="M2996" i="1"/>
  <c r="N2996" i="1"/>
  <c r="K2994" i="1"/>
  <c r="K2995" i="1"/>
  <c r="M2994" i="1"/>
  <c r="M2995" i="1"/>
  <c r="N2994" i="1"/>
  <c r="N2995" i="1"/>
  <c r="K2992" i="1"/>
  <c r="K2993" i="1"/>
  <c r="M2992" i="1"/>
  <c r="M2993" i="1"/>
  <c r="N2992" i="1"/>
  <c r="N2993" i="1"/>
  <c r="K2990" i="1"/>
  <c r="K2991" i="1"/>
  <c r="M2990" i="1"/>
  <c r="M2991" i="1"/>
  <c r="N2990" i="1"/>
  <c r="N2991" i="1"/>
  <c r="K2989" i="1"/>
  <c r="M2989" i="1"/>
  <c r="N2989" i="1"/>
  <c r="K2987" i="1"/>
  <c r="K2988" i="1"/>
  <c r="M2987" i="1"/>
  <c r="M2988" i="1"/>
  <c r="N2987" i="1"/>
  <c r="N2988" i="1"/>
  <c r="K2986" i="1"/>
  <c r="M2986" i="1"/>
  <c r="N2986" i="1"/>
  <c r="K2985" i="1"/>
  <c r="M2985" i="1"/>
  <c r="N2985" i="1"/>
  <c r="K2984" i="1"/>
  <c r="M2984" i="1"/>
  <c r="N2984" i="1"/>
  <c r="K2983" i="1"/>
  <c r="M2983" i="1"/>
  <c r="N2983" i="1"/>
  <c r="K2980" i="1"/>
  <c r="K2981" i="1"/>
  <c r="K2982" i="1"/>
  <c r="M2980" i="1"/>
  <c r="M2981" i="1"/>
  <c r="M2982" i="1"/>
  <c r="N2980" i="1"/>
  <c r="N2981" i="1"/>
  <c r="N2982" i="1"/>
  <c r="K2979" i="1"/>
  <c r="M2979" i="1"/>
  <c r="N2979" i="1"/>
  <c r="K2973" i="1"/>
  <c r="K2974" i="1"/>
  <c r="K2975" i="1"/>
  <c r="K2976" i="1"/>
  <c r="K2977" i="1"/>
  <c r="K2978" i="1"/>
  <c r="M2973" i="1"/>
  <c r="M2974" i="1"/>
  <c r="M2975" i="1"/>
  <c r="M2976" i="1"/>
  <c r="M2977" i="1"/>
  <c r="M2978" i="1"/>
  <c r="N2973" i="1"/>
  <c r="N2974" i="1"/>
  <c r="N2975" i="1"/>
  <c r="N2976" i="1"/>
  <c r="N2977" i="1"/>
  <c r="N2978" i="1"/>
  <c r="K2972" i="1"/>
  <c r="M2972" i="1"/>
  <c r="N2972" i="1"/>
  <c r="K2971" i="1"/>
  <c r="M2971" i="1"/>
  <c r="N2971" i="1"/>
  <c r="K2970" i="1"/>
  <c r="M2970" i="1"/>
  <c r="N2970" i="1"/>
  <c r="K2969" i="1"/>
  <c r="M2969" i="1"/>
  <c r="N2969" i="1"/>
  <c r="K2968" i="1"/>
  <c r="M2968" i="1"/>
  <c r="N2968" i="1"/>
  <c r="K2967" i="1"/>
  <c r="M2967" i="1"/>
  <c r="N2967" i="1"/>
  <c r="K2553" i="1"/>
  <c r="K2554" i="1"/>
  <c r="K2555" i="1"/>
  <c r="K2556" i="1"/>
  <c r="K2557" i="1"/>
  <c r="K2558" i="1"/>
  <c r="K2559" i="1"/>
  <c r="K2560" i="1"/>
  <c r="K2561" i="1"/>
  <c r="K2562" i="1"/>
  <c r="K2563" i="1"/>
  <c r="K2564" i="1"/>
  <c r="K2565" i="1"/>
  <c r="K2566" i="1"/>
  <c r="K2567" i="1"/>
  <c r="K2568" i="1"/>
  <c r="K2569" i="1"/>
  <c r="K2570" i="1"/>
  <c r="K2571" i="1"/>
  <c r="K2572" i="1"/>
  <c r="K2573" i="1"/>
  <c r="K2574" i="1"/>
  <c r="K2575" i="1"/>
  <c r="K2576" i="1"/>
  <c r="K2577" i="1"/>
  <c r="K2578" i="1"/>
  <c r="K2579" i="1"/>
  <c r="K2580" i="1"/>
  <c r="K2581" i="1"/>
  <c r="K2582" i="1"/>
  <c r="K2583" i="1"/>
  <c r="K2584" i="1"/>
  <c r="K2585" i="1"/>
  <c r="K2586" i="1"/>
  <c r="K2587" i="1"/>
  <c r="K2588" i="1"/>
  <c r="K2589" i="1"/>
  <c r="K2590" i="1"/>
  <c r="K2591" i="1"/>
  <c r="K2592" i="1"/>
  <c r="K2593" i="1"/>
  <c r="K2594" i="1"/>
  <c r="K2595" i="1"/>
  <c r="K2596" i="1"/>
  <c r="K2597" i="1"/>
  <c r="K2598" i="1"/>
  <c r="K2599" i="1"/>
  <c r="K2600" i="1"/>
  <c r="K2601" i="1"/>
  <c r="K2602" i="1"/>
  <c r="K2603" i="1"/>
  <c r="K2604" i="1"/>
  <c r="K2605" i="1"/>
  <c r="K2606" i="1"/>
  <c r="K2607" i="1"/>
  <c r="K2608" i="1"/>
  <c r="K2609" i="1"/>
  <c r="K2610" i="1"/>
  <c r="K2611" i="1"/>
  <c r="K2612" i="1"/>
  <c r="K2613" i="1"/>
  <c r="K2614" i="1"/>
  <c r="K2615" i="1"/>
  <c r="K2616" i="1"/>
  <c r="K2617" i="1"/>
  <c r="K2618" i="1"/>
  <c r="K2619" i="1"/>
  <c r="K2620" i="1"/>
  <c r="K2621" i="1"/>
  <c r="K2622" i="1"/>
  <c r="K2623" i="1"/>
  <c r="K2624" i="1"/>
  <c r="K2625" i="1"/>
  <c r="K2626" i="1"/>
  <c r="K2627" i="1"/>
  <c r="K2628" i="1"/>
  <c r="K2629" i="1"/>
  <c r="K2630" i="1"/>
  <c r="K2631" i="1"/>
  <c r="K2632" i="1"/>
  <c r="K2633" i="1"/>
  <c r="K2634" i="1"/>
  <c r="K2635" i="1"/>
  <c r="K2636" i="1"/>
  <c r="K2637" i="1"/>
  <c r="K2638" i="1"/>
  <c r="K2639" i="1"/>
  <c r="K2640" i="1"/>
  <c r="K2641" i="1"/>
  <c r="K2642" i="1"/>
  <c r="K2643" i="1"/>
  <c r="K2644" i="1"/>
  <c r="K2645" i="1"/>
  <c r="K2646" i="1"/>
  <c r="K2647" i="1"/>
  <c r="K2648" i="1"/>
  <c r="K2649" i="1"/>
  <c r="K2650" i="1"/>
  <c r="K2651" i="1"/>
  <c r="K2652" i="1"/>
  <c r="K2653" i="1"/>
  <c r="K2654" i="1"/>
  <c r="K2655" i="1"/>
  <c r="K2656" i="1"/>
  <c r="K2657" i="1"/>
  <c r="K2658" i="1"/>
  <c r="K2659" i="1"/>
  <c r="K2660" i="1"/>
  <c r="K2661" i="1"/>
  <c r="K2662" i="1"/>
  <c r="K2663" i="1"/>
  <c r="K2664" i="1"/>
  <c r="K2665" i="1"/>
  <c r="K2666" i="1"/>
  <c r="K2667" i="1"/>
  <c r="K2668" i="1"/>
  <c r="K2669" i="1"/>
  <c r="K2670" i="1"/>
  <c r="K2671" i="1"/>
  <c r="K2672" i="1"/>
  <c r="K2673" i="1"/>
  <c r="K2674" i="1"/>
  <c r="K2675" i="1"/>
  <c r="K2676" i="1"/>
  <c r="K2677" i="1"/>
  <c r="K2678" i="1"/>
  <c r="K2679" i="1"/>
  <c r="K2680" i="1"/>
  <c r="K2681" i="1"/>
  <c r="K2682" i="1"/>
  <c r="K2683" i="1"/>
  <c r="K2684" i="1"/>
  <c r="K2685" i="1"/>
  <c r="K2686" i="1"/>
  <c r="K2687" i="1"/>
  <c r="K2688" i="1"/>
  <c r="K2689" i="1"/>
  <c r="K2690" i="1"/>
  <c r="K2691" i="1"/>
  <c r="K2692" i="1"/>
  <c r="K2693" i="1"/>
  <c r="K2694" i="1"/>
  <c r="K2695" i="1"/>
  <c r="K2696" i="1"/>
  <c r="K2697" i="1"/>
  <c r="K2698" i="1"/>
  <c r="K2699" i="1"/>
  <c r="K2700" i="1"/>
  <c r="K2701" i="1"/>
  <c r="K2702" i="1"/>
  <c r="K2703" i="1"/>
  <c r="K2704" i="1"/>
  <c r="K2705" i="1"/>
  <c r="K2706" i="1"/>
  <c r="K2707" i="1"/>
  <c r="K2708" i="1"/>
  <c r="K2709" i="1"/>
  <c r="K2710" i="1"/>
  <c r="K2711" i="1"/>
  <c r="K2712" i="1"/>
  <c r="K2713" i="1"/>
  <c r="K2714" i="1"/>
  <c r="K2715" i="1"/>
  <c r="K2716" i="1"/>
  <c r="K2717" i="1"/>
  <c r="K2718" i="1"/>
  <c r="K2719" i="1"/>
  <c r="K2720" i="1"/>
  <c r="K2721" i="1"/>
  <c r="K2722" i="1"/>
  <c r="K2723" i="1"/>
  <c r="K2724" i="1"/>
  <c r="K2725" i="1"/>
  <c r="K2726" i="1"/>
  <c r="K2727" i="1"/>
  <c r="K2728" i="1"/>
  <c r="K2729" i="1"/>
  <c r="K2730" i="1"/>
  <c r="K2731" i="1"/>
  <c r="K2732" i="1"/>
  <c r="K2733" i="1"/>
  <c r="K2734" i="1"/>
  <c r="K2735" i="1"/>
  <c r="K2736" i="1"/>
  <c r="K2737" i="1"/>
  <c r="K2738" i="1"/>
  <c r="K2739" i="1"/>
  <c r="K2740" i="1"/>
  <c r="K2741" i="1"/>
  <c r="K2742" i="1"/>
  <c r="K2743" i="1"/>
  <c r="K2744" i="1"/>
  <c r="K2745" i="1"/>
  <c r="K2746" i="1"/>
  <c r="K2747" i="1"/>
  <c r="K2748" i="1"/>
  <c r="K2749" i="1"/>
  <c r="K2750" i="1"/>
  <c r="K2751" i="1"/>
  <c r="K2752" i="1"/>
  <c r="K2753" i="1"/>
  <c r="K2754" i="1"/>
  <c r="K2755" i="1"/>
  <c r="K2756" i="1"/>
  <c r="K2757" i="1"/>
  <c r="K2758" i="1"/>
  <c r="K2759" i="1"/>
  <c r="K2760" i="1"/>
  <c r="K2761" i="1"/>
  <c r="K2762" i="1"/>
  <c r="K2763" i="1"/>
  <c r="K2764" i="1"/>
  <c r="K2765" i="1"/>
  <c r="K2766" i="1"/>
  <c r="K2767" i="1"/>
  <c r="K2768" i="1"/>
  <c r="K2769" i="1"/>
  <c r="K2770" i="1"/>
  <c r="K2771" i="1"/>
  <c r="K2772" i="1"/>
  <c r="K2773" i="1"/>
  <c r="K2774" i="1"/>
  <c r="K2775" i="1"/>
  <c r="K2776" i="1"/>
  <c r="K2777" i="1"/>
  <c r="K2778" i="1"/>
  <c r="K2779" i="1"/>
  <c r="K2780" i="1"/>
  <c r="K2781" i="1"/>
  <c r="K2782" i="1"/>
  <c r="K2783" i="1"/>
  <c r="K2784" i="1"/>
  <c r="K2785" i="1"/>
  <c r="K2786" i="1"/>
  <c r="K2787" i="1"/>
  <c r="K2788" i="1"/>
  <c r="K2789" i="1"/>
  <c r="K2790" i="1"/>
  <c r="K2791" i="1"/>
  <c r="K2792" i="1"/>
  <c r="K2793" i="1"/>
  <c r="K2794" i="1"/>
  <c r="K2795" i="1"/>
  <c r="K2796" i="1"/>
  <c r="K2797" i="1"/>
  <c r="K2798" i="1"/>
  <c r="K2799" i="1"/>
  <c r="K2800" i="1"/>
  <c r="K2801" i="1"/>
  <c r="K2802" i="1"/>
  <c r="K2803" i="1"/>
  <c r="K2804" i="1"/>
  <c r="K2805" i="1"/>
  <c r="K2806" i="1"/>
  <c r="K2807" i="1"/>
  <c r="K2808" i="1"/>
  <c r="K2809" i="1"/>
  <c r="K2810" i="1"/>
  <c r="K2811" i="1"/>
  <c r="K2812" i="1"/>
  <c r="K2813" i="1"/>
  <c r="K2814" i="1"/>
  <c r="K2815" i="1"/>
  <c r="K2816" i="1"/>
  <c r="K2817" i="1"/>
  <c r="K2818" i="1"/>
  <c r="K2819" i="1"/>
  <c r="K2820" i="1"/>
  <c r="K2821" i="1"/>
  <c r="K2822" i="1"/>
  <c r="K2823" i="1"/>
  <c r="K2824" i="1"/>
  <c r="K2825" i="1"/>
  <c r="K2826" i="1"/>
  <c r="K2827" i="1"/>
  <c r="K2828" i="1"/>
  <c r="K2829" i="1"/>
  <c r="K2830" i="1"/>
  <c r="K2831" i="1"/>
  <c r="K2832" i="1"/>
  <c r="K2833" i="1"/>
  <c r="K2834" i="1"/>
  <c r="K2835" i="1"/>
  <c r="K2836" i="1"/>
  <c r="K2837" i="1"/>
  <c r="K2838" i="1"/>
  <c r="K2839" i="1"/>
  <c r="K2840" i="1"/>
  <c r="K2841" i="1"/>
  <c r="K2842" i="1"/>
  <c r="K2843" i="1"/>
  <c r="K2844" i="1"/>
  <c r="K2845" i="1"/>
  <c r="K2846" i="1"/>
  <c r="K2847" i="1"/>
  <c r="K2848" i="1"/>
  <c r="K2849" i="1"/>
  <c r="K2850" i="1"/>
  <c r="K2851" i="1"/>
  <c r="K2852" i="1"/>
  <c r="K2853" i="1"/>
  <c r="K2854" i="1"/>
  <c r="K2855" i="1"/>
  <c r="K2856" i="1"/>
  <c r="K2857" i="1"/>
  <c r="K2858" i="1"/>
  <c r="K2859" i="1"/>
  <c r="K2860" i="1"/>
  <c r="K2861" i="1"/>
  <c r="K2862" i="1"/>
  <c r="K2863" i="1"/>
  <c r="K2864" i="1"/>
  <c r="K2865" i="1"/>
  <c r="K2866" i="1"/>
  <c r="K2867" i="1"/>
  <c r="K2868" i="1"/>
  <c r="K2869" i="1"/>
  <c r="K2870" i="1"/>
  <c r="K2871" i="1"/>
  <c r="K2872" i="1"/>
  <c r="K2873" i="1"/>
  <c r="K2874" i="1"/>
  <c r="K2875" i="1"/>
  <c r="K2876" i="1"/>
  <c r="K2877" i="1"/>
  <c r="K2878" i="1"/>
  <c r="K2879" i="1"/>
  <c r="K2880" i="1"/>
  <c r="K2881" i="1"/>
  <c r="K2882" i="1"/>
  <c r="K2883" i="1"/>
  <c r="K2884" i="1"/>
  <c r="K2885" i="1"/>
  <c r="K2886" i="1"/>
  <c r="K2887" i="1"/>
  <c r="K2888" i="1"/>
  <c r="K2889" i="1"/>
  <c r="K2890" i="1"/>
  <c r="K2891" i="1"/>
  <c r="K2892" i="1"/>
  <c r="K2893" i="1"/>
  <c r="K2894" i="1"/>
  <c r="K2895" i="1"/>
  <c r="K2896" i="1"/>
  <c r="K2897" i="1"/>
  <c r="K2898" i="1"/>
  <c r="K2899" i="1"/>
  <c r="K2900" i="1"/>
  <c r="K2901" i="1"/>
  <c r="K2902" i="1"/>
  <c r="K2903" i="1"/>
  <c r="K2904" i="1"/>
  <c r="K2905" i="1"/>
  <c r="K2906" i="1"/>
  <c r="K2907" i="1"/>
  <c r="K2908" i="1"/>
  <c r="K2909" i="1"/>
  <c r="K2910" i="1"/>
  <c r="K2911" i="1"/>
  <c r="K2912" i="1"/>
  <c r="K2913" i="1"/>
  <c r="K2914" i="1"/>
  <c r="K2915" i="1"/>
  <c r="K2916" i="1"/>
  <c r="K2917" i="1"/>
  <c r="K2918" i="1"/>
  <c r="K2919" i="1"/>
  <c r="K2920" i="1"/>
  <c r="K2921" i="1"/>
  <c r="K2922" i="1"/>
  <c r="K2923" i="1"/>
  <c r="K2924" i="1"/>
  <c r="K2925" i="1"/>
  <c r="K2926" i="1"/>
  <c r="K2927" i="1"/>
  <c r="K2928" i="1"/>
  <c r="K2929" i="1"/>
  <c r="K2930" i="1"/>
  <c r="K2931" i="1"/>
  <c r="K2932" i="1"/>
  <c r="K2933" i="1"/>
  <c r="K2934" i="1"/>
  <c r="K2935" i="1"/>
  <c r="K2936" i="1"/>
  <c r="K2937" i="1"/>
  <c r="K2938" i="1"/>
  <c r="K2939" i="1"/>
  <c r="K2940" i="1"/>
  <c r="K2941" i="1"/>
  <c r="K2942" i="1"/>
  <c r="K2943" i="1"/>
  <c r="K2944" i="1"/>
  <c r="K2945" i="1"/>
  <c r="K2946" i="1"/>
  <c r="K2947" i="1"/>
  <c r="K2948" i="1"/>
  <c r="K2949" i="1"/>
  <c r="K2950" i="1"/>
  <c r="K2951" i="1"/>
  <c r="K2952" i="1"/>
  <c r="K2953" i="1"/>
  <c r="K2954" i="1"/>
  <c r="K2955" i="1"/>
  <c r="K2956" i="1"/>
  <c r="K2957" i="1"/>
  <c r="K2958" i="1"/>
  <c r="K2959" i="1"/>
  <c r="K2960" i="1"/>
  <c r="K2961" i="1"/>
  <c r="K2962" i="1"/>
  <c r="K2963" i="1"/>
  <c r="K2964" i="1"/>
  <c r="K2965" i="1"/>
  <c r="K2966" i="1"/>
  <c r="M2553" i="1"/>
  <c r="M2554" i="1"/>
  <c r="M2555" i="1"/>
  <c r="M2556" i="1"/>
  <c r="M2557" i="1"/>
  <c r="M2558" i="1"/>
  <c r="M2559" i="1"/>
  <c r="M2560" i="1"/>
  <c r="M2561" i="1"/>
  <c r="M2562" i="1"/>
  <c r="M2563" i="1"/>
  <c r="M2564" i="1"/>
  <c r="M2565" i="1"/>
  <c r="M2566" i="1"/>
  <c r="M2567" i="1"/>
  <c r="M2568" i="1"/>
  <c r="M2569" i="1"/>
  <c r="M2570" i="1"/>
  <c r="M2571" i="1"/>
  <c r="M2572" i="1"/>
  <c r="M2573" i="1"/>
  <c r="M2574" i="1"/>
  <c r="M2575" i="1"/>
  <c r="M2576" i="1"/>
  <c r="M2577" i="1"/>
  <c r="M2578" i="1"/>
  <c r="M2579" i="1"/>
  <c r="M2580" i="1"/>
  <c r="M2581" i="1"/>
  <c r="M2582" i="1"/>
  <c r="M2583" i="1"/>
  <c r="M2584" i="1"/>
  <c r="M2585" i="1"/>
  <c r="M2586" i="1"/>
  <c r="M2587" i="1"/>
  <c r="M2588" i="1"/>
  <c r="M2589" i="1"/>
  <c r="M2590" i="1"/>
  <c r="M2591" i="1"/>
  <c r="M2592" i="1"/>
  <c r="M2593" i="1"/>
  <c r="M2594" i="1"/>
  <c r="M2595" i="1"/>
  <c r="M2596" i="1"/>
  <c r="M2597" i="1"/>
  <c r="M2598" i="1"/>
  <c r="M2599" i="1"/>
  <c r="M2600" i="1"/>
  <c r="M2601" i="1"/>
  <c r="M2602" i="1"/>
  <c r="M2603" i="1"/>
  <c r="M2604" i="1"/>
  <c r="M2605" i="1"/>
  <c r="M2606" i="1"/>
  <c r="M2607" i="1"/>
  <c r="M2608" i="1"/>
  <c r="M2609" i="1"/>
  <c r="M2610" i="1"/>
  <c r="M2611" i="1"/>
  <c r="M2612" i="1"/>
  <c r="M2613" i="1"/>
  <c r="M2614" i="1"/>
  <c r="M2615" i="1"/>
  <c r="M2616" i="1"/>
  <c r="M2617" i="1"/>
  <c r="M2618" i="1"/>
  <c r="M2619" i="1"/>
  <c r="M2620" i="1"/>
  <c r="M2621" i="1"/>
  <c r="M2622" i="1"/>
  <c r="M2623" i="1"/>
  <c r="M2624" i="1"/>
  <c r="M2625" i="1"/>
  <c r="M2626" i="1"/>
  <c r="M2627" i="1"/>
  <c r="M2628" i="1"/>
  <c r="M2629" i="1"/>
  <c r="M2630" i="1"/>
  <c r="M2631" i="1"/>
  <c r="M2632" i="1"/>
  <c r="M2633" i="1"/>
  <c r="M2634" i="1"/>
  <c r="M2635" i="1"/>
  <c r="M2636" i="1"/>
  <c r="M2637" i="1"/>
  <c r="M2638" i="1"/>
  <c r="M2639" i="1"/>
  <c r="M2640" i="1"/>
  <c r="M2641" i="1"/>
  <c r="M2642" i="1"/>
  <c r="M2643" i="1"/>
  <c r="M2644" i="1"/>
  <c r="M2645" i="1"/>
  <c r="M2646" i="1"/>
  <c r="M2647" i="1"/>
  <c r="M2648" i="1"/>
  <c r="M2649" i="1"/>
  <c r="M2650" i="1"/>
  <c r="M2651" i="1"/>
  <c r="M2652" i="1"/>
  <c r="M2653" i="1"/>
  <c r="M2654" i="1"/>
  <c r="M2655" i="1"/>
  <c r="M2656" i="1"/>
  <c r="M2657" i="1"/>
  <c r="M2658" i="1"/>
  <c r="M2659" i="1"/>
  <c r="M2660" i="1"/>
  <c r="M2661" i="1"/>
  <c r="M2662" i="1"/>
  <c r="M2663" i="1"/>
  <c r="M2664" i="1"/>
  <c r="M2665" i="1"/>
  <c r="M2666" i="1"/>
  <c r="M2667" i="1"/>
  <c r="M2668" i="1"/>
  <c r="M2669" i="1"/>
  <c r="M2670" i="1"/>
  <c r="M2671" i="1"/>
  <c r="M2672" i="1"/>
  <c r="M2673" i="1"/>
  <c r="M2674" i="1"/>
  <c r="M2675" i="1"/>
  <c r="M2676" i="1"/>
  <c r="M2677" i="1"/>
  <c r="M2678" i="1"/>
  <c r="M2679" i="1"/>
  <c r="M2680" i="1"/>
  <c r="M2681" i="1"/>
  <c r="M2682" i="1"/>
  <c r="M2683" i="1"/>
  <c r="M2684" i="1"/>
  <c r="M2685" i="1"/>
  <c r="M2686" i="1"/>
  <c r="M2687" i="1"/>
  <c r="M2688" i="1"/>
  <c r="M2689" i="1"/>
  <c r="M2690" i="1"/>
  <c r="M2691" i="1"/>
  <c r="M2692" i="1"/>
  <c r="M2693" i="1"/>
  <c r="M2694" i="1"/>
  <c r="M2695" i="1"/>
  <c r="M2696" i="1"/>
  <c r="M2697" i="1"/>
  <c r="M2698" i="1"/>
  <c r="M2699" i="1"/>
  <c r="M2700" i="1"/>
  <c r="M2701" i="1"/>
  <c r="M2702" i="1"/>
  <c r="M2703" i="1"/>
  <c r="M2704" i="1"/>
  <c r="M2705" i="1"/>
  <c r="M2706" i="1"/>
  <c r="M2707" i="1"/>
  <c r="M2708" i="1"/>
  <c r="M2709" i="1"/>
  <c r="M2710" i="1"/>
  <c r="M2711" i="1"/>
  <c r="M2712" i="1"/>
  <c r="M2713" i="1"/>
  <c r="M2714" i="1"/>
  <c r="M2715" i="1"/>
  <c r="M2716" i="1"/>
  <c r="M2717" i="1"/>
  <c r="M2718" i="1"/>
  <c r="M2719" i="1"/>
  <c r="M2720" i="1"/>
  <c r="M2721" i="1"/>
  <c r="M2722" i="1"/>
  <c r="M2723" i="1"/>
  <c r="M2724" i="1"/>
  <c r="M2725" i="1"/>
  <c r="M2726" i="1"/>
  <c r="M2727" i="1"/>
  <c r="M2728" i="1"/>
  <c r="M2729" i="1"/>
  <c r="M2730" i="1"/>
  <c r="M2731" i="1"/>
  <c r="M2732" i="1"/>
  <c r="M2733" i="1"/>
  <c r="M2734" i="1"/>
  <c r="M2735" i="1"/>
  <c r="M2736" i="1"/>
  <c r="M2737" i="1"/>
  <c r="M2738" i="1"/>
  <c r="M2739" i="1"/>
  <c r="M2740" i="1"/>
  <c r="M2741" i="1"/>
  <c r="M2742" i="1"/>
  <c r="M2743" i="1"/>
  <c r="M2744" i="1"/>
  <c r="M2745" i="1"/>
  <c r="M2746" i="1"/>
  <c r="M2747" i="1"/>
  <c r="M2748" i="1"/>
  <c r="M2749" i="1"/>
  <c r="M2750" i="1"/>
  <c r="M2751" i="1"/>
  <c r="M2752" i="1"/>
  <c r="M2753" i="1"/>
  <c r="M2754" i="1"/>
  <c r="M2755" i="1"/>
  <c r="M2756" i="1"/>
  <c r="M2757" i="1"/>
  <c r="M2758" i="1"/>
  <c r="M2759" i="1"/>
  <c r="M2760" i="1"/>
  <c r="M2761" i="1"/>
  <c r="M2762" i="1"/>
  <c r="M2763" i="1"/>
  <c r="M2764" i="1"/>
  <c r="M2765" i="1"/>
  <c r="M2766" i="1"/>
  <c r="M2767" i="1"/>
  <c r="M2768" i="1"/>
  <c r="M2769" i="1"/>
  <c r="M2770" i="1"/>
  <c r="M2771" i="1"/>
  <c r="M2772" i="1"/>
  <c r="M2773" i="1"/>
  <c r="M2774" i="1"/>
  <c r="M2775" i="1"/>
  <c r="M2776" i="1"/>
  <c r="M2777" i="1"/>
  <c r="M2778" i="1"/>
  <c r="M2779" i="1"/>
  <c r="M2780" i="1"/>
  <c r="M2781" i="1"/>
  <c r="M2782" i="1"/>
  <c r="M2783" i="1"/>
  <c r="M2784" i="1"/>
  <c r="M2785" i="1"/>
  <c r="M2786" i="1"/>
  <c r="M2787" i="1"/>
  <c r="M2788" i="1"/>
  <c r="M2789" i="1"/>
  <c r="M2790" i="1"/>
  <c r="M2791" i="1"/>
  <c r="M2792" i="1"/>
  <c r="M2793" i="1"/>
  <c r="M2794" i="1"/>
  <c r="M2795" i="1"/>
  <c r="M2796" i="1"/>
  <c r="M2797" i="1"/>
  <c r="M2798" i="1"/>
  <c r="M2799" i="1"/>
  <c r="M2800" i="1"/>
  <c r="M2801" i="1"/>
  <c r="M2802" i="1"/>
  <c r="M2803" i="1"/>
  <c r="M2804" i="1"/>
  <c r="M2805" i="1"/>
  <c r="M2806" i="1"/>
  <c r="M2807" i="1"/>
  <c r="M2808" i="1"/>
  <c r="M2809" i="1"/>
  <c r="M2810" i="1"/>
  <c r="M2811" i="1"/>
  <c r="M2812" i="1"/>
  <c r="M2813" i="1"/>
  <c r="M2814" i="1"/>
  <c r="M2815" i="1"/>
  <c r="M2816" i="1"/>
  <c r="M2817" i="1"/>
  <c r="M2818" i="1"/>
  <c r="M2819" i="1"/>
  <c r="M2820" i="1"/>
  <c r="M2821" i="1"/>
  <c r="M2822" i="1"/>
  <c r="M2823" i="1"/>
  <c r="M2824" i="1"/>
  <c r="M2825" i="1"/>
  <c r="M2826" i="1"/>
  <c r="M2827" i="1"/>
  <c r="M2828" i="1"/>
  <c r="M2829" i="1"/>
  <c r="M2830" i="1"/>
  <c r="M2831" i="1"/>
  <c r="M2832" i="1"/>
  <c r="M2833" i="1"/>
  <c r="M2834" i="1"/>
  <c r="M2835" i="1"/>
  <c r="M2836" i="1"/>
  <c r="M2837" i="1"/>
  <c r="M2838" i="1"/>
  <c r="M2839" i="1"/>
  <c r="M2840" i="1"/>
  <c r="M2841" i="1"/>
  <c r="M2842" i="1"/>
  <c r="M2843" i="1"/>
  <c r="M2844" i="1"/>
  <c r="M2845" i="1"/>
  <c r="M2846" i="1"/>
  <c r="M2847" i="1"/>
  <c r="M2848" i="1"/>
  <c r="M2849" i="1"/>
  <c r="M2850" i="1"/>
  <c r="M2851" i="1"/>
  <c r="M2852" i="1"/>
  <c r="M2853" i="1"/>
  <c r="M2854" i="1"/>
  <c r="M2855" i="1"/>
  <c r="M2856" i="1"/>
  <c r="M2857" i="1"/>
  <c r="M2858" i="1"/>
  <c r="M2859" i="1"/>
  <c r="M2860" i="1"/>
  <c r="M2861" i="1"/>
  <c r="M2862" i="1"/>
  <c r="M2863" i="1"/>
  <c r="M2864" i="1"/>
  <c r="M2865" i="1"/>
  <c r="M2866" i="1"/>
  <c r="M2867" i="1"/>
  <c r="M2868" i="1"/>
  <c r="M2869" i="1"/>
  <c r="M2870" i="1"/>
  <c r="M2871" i="1"/>
  <c r="M2872" i="1"/>
  <c r="M2873" i="1"/>
  <c r="M2874" i="1"/>
  <c r="M2875" i="1"/>
  <c r="M2876" i="1"/>
  <c r="M2877" i="1"/>
  <c r="M2878" i="1"/>
  <c r="M2879" i="1"/>
  <c r="M2880" i="1"/>
  <c r="M2881" i="1"/>
  <c r="M2882" i="1"/>
  <c r="M2883" i="1"/>
  <c r="M2884" i="1"/>
  <c r="M2885" i="1"/>
  <c r="M2886" i="1"/>
  <c r="M2887" i="1"/>
  <c r="M2888" i="1"/>
  <c r="M2889" i="1"/>
  <c r="M2890" i="1"/>
  <c r="M2891" i="1"/>
  <c r="M2892" i="1"/>
  <c r="M2893" i="1"/>
  <c r="M2894" i="1"/>
  <c r="M2895" i="1"/>
  <c r="M2896" i="1"/>
  <c r="M2897" i="1"/>
  <c r="M2898" i="1"/>
  <c r="M2899" i="1"/>
  <c r="M2900" i="1"/>
  <c r="M2901" i="1"/>
  <c r="M2902" i="1"/>
  <c r="M2903" i="1"/>
  <c r="M2904" i="1"/>
  <c r="M2905" i="1"/>
  <c r="M2906" i="1"/>
  <c r="M2907" i="1"/>
  <c r="M2908" i="1"/>
  <c r="M2909" i="1"/>
  <c r="M2910" i="1"/>
  <c r="M2911" i="1"/>
  <c r="M2912" i="1"/>
  <c r="M2913" i="1"/>
  <c r="M2914" i="1"/>
  <c r="M2915" i="1"/>
  <c r="M2916" i="1"/>
  <c r="M2917" i="1"/>
  <c r="M2918" i="1"/>
  <c r="M2919" i="1"/>
  <c r="M2920" i="1"/>
  <c r="M2921" i="1"/>
  <c r="M2922" i="1"/>
  <c r="M2923" i="1"/>
  <c r="M2924" i="1"/>
  <c r="M2925" i="1"/>
  <c r="M2926" i="1"/>
  <c r="M2927" i="1"/>
  <c r="M2928" i="1"/>
  <c r="M2929" i="1"/>
  <c r="M2930" i="1"/>
  <c r="M2931" i="1"/>
  <c r="M2932" i="1"/>
  <c r="M2933" i="1"/>
  <c r="M2934" i="1"/>
  <c r="M2935" i="1"/>
  <c r="M2936" i="1"/>
  <c r="M2937" i="1"/>
  <c r="M2938" i="1"/>
  <c r="M2939" i="1"/>
  <c r="M2940" i="1"/>
  <c r="M2941" i="1"/>
  <c r="M2942" i="1"/>
  <c r="M2943" i="1"/>
  <c r="M2944" i="1"/>
  <c r="M2945" i="1"/>
  <c r="M2946" i="1"/>
  <c r="M2947" i="1"/>
  <c r="M2948" i="1"/>
  <c r="M2949" i="1"/>
  <c r="M2950" i="1"/>
  <c r="M2951" i="1"/>
  <c r="M2952" i="1"/>
  <c r="M2953" i="1"/>
  <c r="M2954" i="1"/>
  <c r="M2955" i="1"/>
  <c r="M2956" i="1"/>
  <c r="M2957" i="1"/>
  <c r="M2958" i="1"/>
  <c r="M2959" i="1"/>
  <c r="M2960" i="1"/>
  <c r="M2961" i="1"/>
  <c r="M2962" i="1"/>
  <c r="M2963" i="1"/>
  <c r="M2964" i="1"/>
  <c r="M2965" i="1"/>
  <c r="M2966" i="1"/>
  <c r="N2553" i="1"/>
  <c r="N2554" i="1"/>
  <c r="N2555" i="1"/>
  <c r="N2556" i="1"/>
  <c r="N2557" i="1"/>
  <c r="N2558" i="1"/>
  <c r="N2559" i="1"/>
  <c r="N2560" i="1"/>
  <c r="N2561" i="1"/>
  <c r="N2562" i="1"/>
  <c r="N2563" i="1"/>
  <c r="N2564" i="1"/>
  <c r="N2565" i="1"/>
  <c r="N2566" i="1"/>
  <c r="N2567" i="1"/>
  <c r="N2568" i="1"/>
  <c r="N2569" i="1"/>
  <c r="N2570" i="1"/>
  <c r="N2571" i="1"/>
  <c r="N2572" i="1"/>
  <c r="N2573" i="1"/>
  <c r="N2574" i="1"/>
  <c r="N2575" i="1"/>
  <c r="N2576" i="1"/>
  <c r="N2577" i="1"/>
  <c r="N2578" i="1"/>
  <c r="N2579" i="1"/>
  <c r="N2580" i="1"/>
  <c r="N2581" i="1"/>
  <c r="N2582" i="1"/>
  <c r="N2583" i="1"/>
  <c r="N2584" i="1"/>
  <c r="N2585" i="1"/>
  <c r="N2586" i="1"/>
  <c r="N2587" i="1"/>
  <c r="N2588" i="1"/>
  <c r="N2589" i="1"/>
  <c r="N2590" i="1"/>
  <c r="N2591" i="1"/>
  <c r="N2592" i="1"/>
  <c r="N2593" i="1"/>
  <c r="N2594" i="1"/>
  <c r="N2595" i="1"/>
  <c r="N2596" i="1"/>
  <c r="N2597" i="1"/>
  <c r="N2598" i="1"/>
  <c r="N2599" i="1"/>
  <c r="N2600" i="1"/>
  <c r="N2601" i="1"/>
  <c r="N2602" i="1"/>
  <c r="N2603" i="1"/>
  <c r="N2604" i="1"/>
  <c r="N2605" i="1"/>
  <c r="N2606" i="1"/>
  <c r="N2607" i="1"/>
  <c r="N2608" i="1"/>
  <c r="N2609" i="1"/>
  <c r="N2610" i="1"/>
  <c r="N2611" i="1"/>
  <c r="N2612" i="1"/>
  <c r="N2613" i="1"/>
  <c r="N2614" i="1"/>
  <c r="N2615" i="1"/>
  <c r="N2616" i="1"/>
  <c r="N2617" i="1"/>
  <c r="N2618" i="1"/>
  <c r="N2619" i="1"/>
  <c r="N2620" i="1"/>
  <c r="N2621" i="1"/>
  <c r="N2622" i="1"/>
  <c r="N2623" i="1"/>
  <c r="N2624" i="1"/>
  <c r="N2625" i="1"/>
  <c r="N2626" i="1"/>
  <c r="N2627" i="1"/>
  <c r="N2628" i="1"/>
  <c r="N2629" i="1"/>
  <c r="N2630" i="1"/>
  <c r="N2631" i="1"/>
  <c r="N2632" i="1"/>
  <c r="N2633" i="1"/>
  <c r="N2634" i="1"/>
  <c r="N2635" i="1"/>
  <c r="N2636" i="1"/>
  <c r="N2637" i="1"/>
  <c r="N2638" i="1"/>
  <c r="N2639" i="1"/>
  <c r="N2640" i="1"/>
  <c r="N2641" i="1"/>
  <c r="N2642" i="1"/>
  <c r="N2643" i="1"/>
  <c r="N2644" i="1"/>
  <c r="N2645" i="1"/>
  <c r="N2646" i="1"/>
  <c r="N2647" i="1"/>
  <c r="N2648" i="1"/>
  <c r="N2649" i="1"/>
  <c r="N2650" i="1"/>
  <c r="N2651" i="1"/>
  <c r="N2652" i="1"/>
  <c r="N2653" i="1"/>
  <c r="N2654" i="1"/>
  <c r="N2655" i="1"/>
  <c r="N2656" i="1"/>
  <c r="N2657" i="1"/>
  <c r="N2658" i="1"/>
  <c r="N2659" i="1"/>
  <c r="N2660" i="1"/>
  <c r="N2661" i="1"/>
  <c r="N2662" i="1"/>
  <c r="N2663" i="1"/>
  <c r="N2664" i="1"/>
  <c r="N2665" i="1"/>
  <c r="N2666" i="1"/>
  <c r="N2667" i="1"/>
  <c r="N2668" i="1"/>
  <c r="N2669" i="1"/>
  <c r="N2670" i="1"/>
  <c r="N2671" i="1"/>
  <c r="N2672" i="1"/>
  <c r="N2673" i="1"/>
  <c r="N2674" i="1"/>
  <c r="N2675" i="1"/>
  <c r="N2676" i="1"/>
  <c r="N2677" i="1"/>
  <c r="N2678" i="1"/>
  <c r="N2679" i="1"/>
  <c r="N2680" i="1"/>
  <c r="N2681" i="1"/>
  <c r="N2682" i="1"/>
  <c r="N2683" i="1"/>
  <c r="N2684" i="1"/>
  <c r="N2685" i="1"/>
  <c r="N2686" i="1"/>
  <c r="N2687" i="1"/>
  <c r="N2688" i="1"/>
  <c r="N2689" i="1"/>
  <c r="N2690" i="1"/>
  <c r="N2691" i="1"/>
  <c r="N2692" i="1"/>
  <c r="N2693" i="1"/>
  <c r="N2694" i="1"/>
  <c r="N2695" i="1"/>
  <c r="N2696" i="1"/>
  <c r="N2697" i="1"/>
  <c r="N2698" i="1"/>
  <c r="N2699" i="1"/>
  <c r="N2700" i="1"/>
  <c r="N2701" i="1"/>
  <c r="N2702" i="1"/>
  <c r="N2703" i="1"/>
  <c r="N2704" i="1"/>
  <c r="N2705" i="1"/>
  <c r="N2706" i="1"/>
  <c r="N2707" i="1"/>
  <c r="N2708" i="1"/>
  <c r="N2709" i="1"/>
  <c r="N2710" i="1"/>
  <c r="N2711" i="1"/>
  <c r="N2712" i="1"/>
  <c r="N2713" i="1"/>
  <c r="N2714" i="1"/>
  <c r="N2715" i="1"/>
  <c r="N2716" i="1"/>
  <c r="N2717" i="1"/>
  <c r="N2718" i="1"/>
  <c r="N2719" i="1"/>
  <c r="N2720" i="1"/>
  <c r="N2721" i="1"/>
  <c r="N2722" i="1"/>
  <c r="N2723" i="1"/>
  <c r="N2724" i="1"/>
  <c r="N2725" i="1"/>
  <c r="N2726" i="1"/>
  <c r="N2727" i="1"/>
  <c r="N2728" i="1"/>
  <c r="N2729" i="1"/>
  <c r="N2730" i="1"/>
  <c r="N2731" i="1"/>
  <c r="N2732" i="1"/>
  <c r="N2733" i="1"/>
  <c r="N2734" i="1"/>
  <c r="N2735" i="1"/>
  <c r="N2736" i="1"/>
  <c r="N2737" i="1"/>
  <c r="N2738" i="1"/>
  <c r="N2739" i="1"/>
  <c r="N2740" i="1"/>
  <c r="N2741" i="1"/>
  <c r="N2742" i="1"/>
  <c r="N2743" i="1"/>
  <c r="N2744" i="1"/>
  <c r="N2745" i="1"/>
  <c r="N2746" i="1"/>
  <c r="N2747" i="1"/>
  <c r="N2748" i="1"/>
  <c r="N2749" i="1"/>
  <c r="N2750" i="1"/>
  <c r="N2751" i="1"/>
  <c r="N2752" i="1"/>
  <c r="N2753" i="1"/>
  <c r="N2754" i="1"/>
  <c r="N2755" i="1"/>
  <c r="N2756" i="1"/>
  <c r="N2757" i="1"/>
  <c r="N2758" i="1"/>
  <c r="N2759" i="1"/>
  <c r="N2760" i="1"/>
  <c r="N2761" i="1"/>
  <c r="N2762" i="1"/>
  <c r="N2763" i="1"/>
  <c r="N2764" i="1"/>
  <c r="N2765" i="1"/>
  <c r="N2766" i="1"/>
  <c r="N2767" i="1"/>
  <c r="N2768" i="1"/>
  <c r="N2769" i="1"/>
  <c r="N2770" i="1"/>
  <c r="N2771" i="1"/>
  <c r="N2772" i="1"/>
  <c r="N2773" i="1"/>
  <c r="N2774" i="1"/>
  <c r="N2775" i="1"/>
  <c r="N2776" i="1"/>
  <c r="N2777" i="1"/>
  <c r="N2778" i="1"/>
  <c r="N2779" i="1"/>
  <c r="N2780" i="1"/>
  <c r="N2781" i="1"/>
  <c r="N2782" i="1"/>
  <c r="N2783" i="1"/>
  <c r="N2784" i="1"/>
  <c r="N2785" i="1"/>
  <c r="N2786" i="1"/>
  <c r="N2787" i="1"/>
  <c r="N2788" i="1"/>
  <c r="N2789" i="1"/>
  <c r="N2790" i="1"/>
  <c r="N2791" i="1"/>
  <c r="N2792" i="1"/>
  <c r="N2793" i="1"/>
  <c r="N2794" i="1"/>
  <c r="N2795" i="1"/>
  <c r="N2796" i="1"/>
  <c r="N2797" i="1"/>
  <c r="N2798" i="1"/>
  <c r="N2799" i="1"/>
  <c r="N2800" i="1"/>
  <c r="N2801" i="1"/>
  <c r="N2802" i="1"/>
  <c r="N2803" i="1"/>
  <c r="N2804" i="1"/>
  <c r="N2805" i="1"/>
  <c r="N2806" i="1"/>
  <c r="N2807" i="1"/>
  <c r="N2808" i="1"/>
  <c r="N2809" i="1"/>
  <c r="N2810" i="1"/>
  <c r="N2811" i="1"/>
  <c r="N2812" i="1"/>
  <c r="N2813" i="1"/>
  <c r="N2814" i="1"/>
  <c r="N2815" i="1"/>
  <c r="N2816" i="1"/>
  <c r="N2817" i="1"/>
  <c r="N2818" i="1"/>
  <c r="N2819" i="1"/>
  <c r="N2820" i="1"/>
  <c r="N2821" i="1"/>
  <c r="N2822" i="1"/>
  <c r="N2823" i="1"/>
  <c r="N2824" i="1"/>
  <c r="N2825" i="1"/>
  <c r="N2826" i="1"/>
  <c r="N2827" i="1"/>
  <c r="N2828" i="1"/>
  <c r="N2829" i="1"/>
  <c r="N2830" i="1"/>
  <c r="N2831" i="1"/>
  <c r="N2832" i="1"/>
  <c r="N2833" i="1"/>
  <c r="N2834" i="1"/>
  <c r="N2835" i="1"/>
  <c r="N2836" i="1"/>
  <c r="N2837" i="1"/>
  <c r="N2838" i="1"/>
  <c r="N2839" i="1"/>
  <c r="N2840" i="1"/>
  <c r="N2841" i="1"/>
  <c r="N2842" i="1"/>
  <c r="N2843" i="1"/>
  <c r="N2844" i="1"/>
  <c r="N2845" i="1"/>
  <c r="N2846" i="1"/>
  <c r="N2847" i="1"/>
  <c r="N2848" i="1"/>
  <c r="N2849" i="1"/>
  <c r="N2850" i="1"/>
  <c r="N2851" i="1"/>
  <c r="N2852" i="1"/>
  <c r="N2853" i="1"/>
  <c r="N2854" i="1"/>
  <c r="N2855" i="1"/>
  <c r="N2856" i="1"/>
  <c r="N2857" i="1"/>
  <c r="N2858" i="1"/>
  <c r="N2859" i="1"/>
  <c r="N2860" i="1"/>
  <c r="N2861" i="1"/>
  <c r="N2862" i="1"/>
  <c r="N2863" i="1"/>
  <c r="N2864" i="1"/>
  <c r="N2865" i="1"/>
  <c r="N2866" i="1"/>
  <c r="N2867" i="1"/>
  <c r="N2868" i="1"/>
  <c r="N2869" i="1"/>
  <c r="N2870" i="1"/>
  <c r="N2871" i="1"/>
  <c r="N2872" i="1"/>
  <c r="N2873" i="1"/>
  <c r="N2874" i="1"/>
  <c r="N2875" i="1"/>
  <c r="N2876" i="1"/>
  <c r="N2877" i="1"/>
  <c r="N2878" i="1"/>
  <c r="N2879" i="1"/>
  <c r="N2880" i="1"/>
  <c r="N2881" i="1"/>
  <c r="N2882" i="1"/>
  <c r="N2883" i="1"/>
  <c r="N2884" i="1"/>
  <c r="N2885" i="1"/>
  <c r="N2886" i="1"/>
  <c r="N2887" i="1"/>
  <c r="N2888" i="1"/>
  <c r="N2889" i="1"/>
  <c r="N2890" i="1"/>
  <c r="N2891" i="1"/>
  <c r="N2892" i="1"/>
  <c r="N2893" i="1"/>
  <c r="N2894" i="1"/>
  <c r="N2895" i="1"/>
  <c r="N2896" i="1"/>
  <c r="N2897" i="1"/>
  <c r="N2898" i="1"/>
  <c r="N2899" i="1"/>
  <c r="N2900" i="1"/>
  <c r="N2901" i="1"/>
  <c r="N2902" i="1"/>
  <c r="N2903" i="1"/>
  <c r="N2904" i="1"/>
  <c r="N2905" i="1"/>
  <c r="N2906" i="1"/>
  <c r="N2907" i="1"/>
  <c r="N2908" i="1"/>
  <c r="N2909" i="1"/>
  <c r="N2910" i="1"/>
  <c r="N2911" i="1"/>
  <c r="N2912" i="1"/>
  <c r="N2913" i="1"/>
  <c r="N2914" i="1"/>
  <c r="N2915" i="1"/>
  <c r="N2916" i="1"/>
  <c r="N2917" i="1"/>
  <c r="N2918" i="1"/>
  <c r="N2919" i="1"/>
  <c r="N2920" i="1"/>
  <c r="N2921" i="1"/>
  <c r="N2922" i="1"/>
  <c r="N2923" i="1"/>
  <c r="N2924" i="1"/>
  <c r="N2925" i="1"/>
  <c r="N2926" i="1"/>
  <c r="N2927" i="1"/>
  <c r="N2928" i="1"/>
  <c r="N2929" i="1"/>
  <c r="N2930" i="1"/>
  <c r="N2931" i="1"/>
  <c r="N2932" i="1"/>
  <c r="N2933" i="1"/>
  <c r="N2934" i="1"/>
  <c r="N2935" i="1"/>
  <c r="N2936" i="1"/>
  <c r="N2937" i="1"/>
  <c r="N2938" i="1"/>
  <c r="N2939" i="1"/>
  <c r="N2940" i="1"/>
  <c r="N2941" i="1"/>
  <c r="N2942" i="1"/>
  <c r="N2943" i="1"/>
  <c r="N2944" i="1"/>
  <c r="N2945" i="1"/>
  <c r="N2946" i="1"/>
  <c r="N2947" i="1"/>
  <c r="N2948" i="1"/>
  <c r="N2949" i="1"/>
  <c r="N2950" i="1"/>
  <c r="N2951" i="1"/>
  <c r="N2952" i="1"/>
  <c r="N2953" i="1"/>
  <c r="N2954" i="1"/>
  <c r="N2955" i="1"/>
  <c r="N2956" i="1"/>
  <c r="N2957" i="1"/>
  <c r="N2958" i="1"/>
  <c r="N2959" i="1"/>
  <c r="N2960" i="1"/>
  <c r="N2961" i="1"/>
  <c r="N2962" i="1"/>
  <c r="N2963" i="1"/>
  <c r="N2964" i="1"/>
  <c r="N2965" i="1"/>
  <c r="N2966" i="1"/>
  <c r="K2552" i="1"/>
  <c r="M2552" i="1"/>
  <c r="N2552" i="1"/>
  <c r="K2549" i="1"/>
  <c r="K2550" i="1"/>
  <c r="K2551" i="1"/>
  <c r="M2549" i="1"/>
  <c r="M2550" i="1"/>
  <c r="M2551" i="1"/>
  <c r="N2549" i="1"/>
  <c r="N2550" i="1"/>
  <c r="N2551" i="1"/>
  <c r="K2546" i="1"/>
  <c r="K2547" i="1"/>
  <c r="K2548" i="1"/>
  <c r="M2546" i="1"/>
  <c r="M2547" i="1"/>
  <c r="M2548" i="1"/>
  <c r="N2546" i="1"/>
  <c r="N2547" i="1"/>
  <c r="N2548" i="1"/>
  <c r="K2545" i="1"/>
  <c r="M2545" i="1"/>
  <c r="N2545" i="1"/>
  <c r="K2544" i="1"/>
  <c r="M2544" i="1"/>
  <c r="N2544" i="1"/>
  <c r="K2543" i="1"/>
  <c r="M2543" i="1"/>
  <c r="N2543" i="1"/>
  <c r="K2542" i="1"/>
  <c r="M2542" i="1"/>
  <c r="N2542" i="1"/>
  <c r="K2541" i="1"/>
  <c r="M2541" i="1"/>
  <c r="N2541" i="1"/>
  <c r="K2540" i="1"/>
  <c r="M2540" i="1"/>
  <c r="N2540" i="1"/>
  <c r="K2538" i="1"/>
  <c r="K2539" i="1"/>
  <c r="M2538" i="1"/>
  <c r="M2539" i="1"/>
  <c r="N2538" i="1"/>
  <c r="N2539" i="1"/>
  <c r="K2535" i="1"/>
  <c r="K2536" i="1"/>
  <c r="K2537" i="1"/>
  <c r="M2535" i="1"/>
  <c r="M2536" i="1"/>
  <c r="M2537" i="1"/>
  <c r="N2535" i="1"/>
  <c r="N2536" i="1"/>
  <c r="N2537" i="1"/>
  <c r="K2534" i="1"/>
  <c r="M2534" i="1"/>
  <c r="N2534" i="1"/>
  <c r="K2532" i="1"/>
  <c r="K2533" i="1"/>
  <c r="M2532" i="1"/>
  <c r="M2533" i="1"/>
  <c r="N2532" i="1"/>
  <c r="N2533" i="1"/>
  <c r="K2529" i="1"/>
  <c r="K2530" i="1"/>
  <c r="K2531" i="1"/>
  <c r="M2529" i="1"/>
  <c r="M2530" i="1"/>
  <c r="M2531" i="1"/>
  <c r="N2529" i="1"/>
  <c r="N2530" i="1"/>
  <c r="N2531" i="1"/>
  <c r="K2528" i="1"/>
  <c r="M2528" i="1"/>
  <c r="N2528" i="1"/>
  <c r="K2523" i="1"/>
  <c r="K2524" i="1"/>
  <c r="K2525" i="1"/>
  <c r="K2526" i="1"/>
  <c r="K2527" i="1"/>
  <c r="M2523" i="1"/>
  <c r="M2524" i="1"/>
  <c r="M2525" i="1"/>
  <c r="M2526" i="1"/>
  <c r="M2527" i="1"/>
  <c r="N2523" i="1"/>
  <c r="N2524" i="1"/>
  <c r="N2525" i="1"/>
  <c r="N2526" i="1"/>
  <c r="N2527" i="1"/>
  <c r="K2522" i="1"/>
  <c r="M2522" i="1"/>
  <c r="N2522" i="1"/>
  <c r="K2520" i="1"/>
  <c r="K2521" i="1"/>
  <c r="M2520" i="1"/>
  <c r="M2521" i="1"/>
  <c r="N2520" i="1"/>
  <c r="N2521" i="1"/>
  <c r="K2519" i="1"/>
  <c r="M2519" i="1"/>
  <c r="N2519" i="1"/>
  <c r="K2518" i="1"/>
  <c r="M2518" i="1"/>
  <c r="N2518" i="1"/>
  <c r="K2515" i="1"/>
  <c r="K2516" i="1"/>
  <c r="K2517" i="1"/>
  <c r="M2515" i="1"/>
  <c r="M2516" i="1"/>
  <c r="M2517" i="1"/>
  <c r="N2515" i="1"/>
  <c r="N2516" i="1"/>
  <c r="N2517" i="1"/>
  <c r="K2514" i="1"/>
  <c r="M2514" i="1"/>
  <c r="N2514" i="1"/>
  <c r="K2513" i="1"/>
  <c r="M2513" i="1"/>
  <c r="N2513" i="1"/>
  <c r="K2512" i="1"/>
  <c r="M2512" i="1"/>
  <c r="N2512" i="1"/>
  <c r="K2511" i="1"/>
  <c r="M2511" i="1"/>
  <c r="N2511" i="1"/>
  <c r="K2508" i="1"/>
  <c r="K2509" i="1"/>
  <c r="K2510" i="1"/>
  <c r="M2508" i="1"/>
  <c r="M2509" i="1"/>
  <c r="M2510" i="1"/>
  <c r="N2508" i="1"/>
  <c r="N2509" i="1"/>
  <c r="N2510" i="1"/>
  <c r="K2506" i="1"/>
  <c r="K2507" i="1"/>
  <c r="M2506" i="1"/>
  <c r="M2507" i="1"/>
  <c r="N2506" i="1"/>
  <c r="N2507" i="1"/>
  <c r="K2505" i="1"/>
  <c r="M2505" i="1"/>
  <c r="N2505" i="1"/>
  <c r="K2502" i="1"/>
  <c r="K2503" i="1"/>
  <c r="K2504" i="1"/>
  <c r="M2502" i="1"/>
  <c r="M2503" i="1"/>
  <c r="M2504" i="1"/>
  <c r="N2502" i="1"/>
  <c r="N2503" i="1"/>
  <c r="N2504" i="1"/>
  <c r="K2501" i="1"/>
  <c r="M2501" i="1"/>
  <c r="N2501" i="1"/>
  <c r="K2499" i="1"/>
  <c r="K2500" i="1"/>
  <c r="M2499" i="1"/>
  <c r="M2500" i="1"/>
  <c r="N2499" i="1"/>
  <c r="N2500" i="1"/>
  <c r="K2495" i="1"/>
  <c r="K2496" i="1"/>
  <c r="K2497" i="1"/>
  <c r="K2498" i="1"/>
  <c r="M2495" i="1"/>
  <c r="M2496" i="1"/>
  <c r="M2497" i="1"/>
  <c r="M2498" i="1"/>
  <c r="N2495" i="1"/>
  <c r="N2496" i="1"/>
  <c r="N2497" i="1"/>
  <c r="N2498" i="1"/>
  <c r="K2487" i="1"/>
  <c r="K2488" i="1"/>
  <c r="K2489" i="1"/>
  <c r="K2490" i="1"/>
  <c r="K2491" i="1"/>
  <c r="K2492" i="1"/>
  <c r="K2493" i="1"/>
  <c r="K2494" i="1"/>
  <c r="M2487" i="1"/>
  <c r="M2488" i="1"/>
  <c r="M2489" i="1"/>
  <c r="M2490" i="1"/>
  <c r="M2491" i="1"/>
  <c r="M2492" i="1"/>
  <c r="M2493" i="1"/>
  <c r="M2494" i="1"/>
  <c r="N2487" i="1"/>
  <c r="N2488" i="1"/>
  <c r="N2489" i="1"/>
  <c r="N2490" i="1"/>
  <c r="N2491" i="1"/>
  <c r="N2492" i="1"/>
  <c r="N2493" i="1"/>
  <c r="N2494" i="1"/>
  <c r="K2483" i="1"/>
  <c r="K2484" i="1"/>
  <c r="K2485" i="1"/>
  <c r="K2486" i="1"/>
  <c r="M2483" i="1"/>
  <c r="M2484" i="1"/>
  <c r="M2485" i="1"/>
  <c r="M2486" i="1"/>
  <c r="N2483" i="1"/>
  <c r="N2484" i="1"/>
  <c r="N2485" i="1"/>
  <c r="N2486" i="1"/>
  <c r="K2481" i="1"/>
  <c r="K2482" i="1"/>
  <c r="M2481" i="1"/>
  <c r="M2482" i="1"/>
  <c r="N2481" i="1"/>
  <c r="N2482" i="1"/>
  <c r="K2480" i="1"/>
  <c r="M2480" i="1"/>
  <c r="N2480" i="1"/>
  <c r="K2479" i="1"/>
  <c r="M2479" i="1"/>
  <c r="N2479" i="1"/>
  <c r="K2477" i="1"/>
  <c r="K2478" i="1"/>
  <c r="M2477" i="1"/>
  <c r="M2478" i="1"/>
  <c r="N2477" i="1"/>
  <c r="N2478" i="1"/>
  <c r="K2472" i="1"/>
  <c r="K2473" i="1"/>
  <c r="K2474" i="1"/>
  <c r="K2475" i="1"/>
  <c r="K2476" i="1"/>
  <c r="M2472" i="1"/>
  <c r="M2473" i="1"/>
  <c r="M2474" i="1"/>
  <c r="M2475" i="1"/>
  <c r="M2476" i="1"/>
  <c r="N2472" i="1"/>
  <c r="N2473" i="1"/>
  <c r="N2474" i="1"/>
  <c r="N2475" i="1"/>
  <c r="N2476" i="1"/>
  <c r="K2471" i="1" l="1"/>
  <c r="M2471" i="1"/>
  <c r="N2471" i="1"/>
  <c r="K2470" i="1"/>
  <c r="M2470" i="1"/>
  <c r="N2470" i="1"/>
  <c r="K2466" i="1"/>
  <c r="K2467" i="1"/>
  <c r="K2468" i="1"/>
  <c r="K2469" i="1"/>
  <c r="M2466" i="1"/>
  <c r="M2467" i="1"/>
  <c r="M2468" i="1"/>
  <c r="M2469" i="1"/>
  <c r="N2466" i="1"/>
  <c r="N2467" i="1"/>
  <c r="N2468" i="1"/>
  <c r="N2469" i="1"/>
  <c r="K2465" i="1"/>
  <c r="M2465" i="1"/>
  <c r="N2465" i="1"/>
  <c r="K2450" i="1"/>
  <c r="K2451" i="1"/>
  <c r="K2452" i="1"/>
  <c r="K2453" i="1"/>
  <c r="K2454" i="1"/>
  <c r="K2455" i="1"/>
  <c r="K2456" i="1"/>
  <c r="K2457" i="1"/>
  <c r="K2458" i="1"/>
  <c r="K2459" i="1"/>
  <c r="K2460" i="1"/>
  <c r="K2461" i="1"/>
  <c r="K2462" i="1"/>
  <c r="K2463" i="1"/>
  <c r="K2464" i="1"/>
  <c r="M2450" i="1"/>
  <c r="M2451" i="1"/>
  <c r="M2452" i="1"/>
  <c r="M2453" i="1"/>
  <c r="M2454" i="1"/>
  <c r="M2455" i="1"/>
  <c r="M2456" i="1"/>
  <c r="M2457" i="1"/>
  <c r="M2458" i="1"/>
  <c r="M2459" i="1"/>
  <c r="M2460" i="1"/>
  <c r="M2461" i="1"/>
  <c r="M2462" i="1"/>
  <c r="M2463" i="1"/>
  <c r="M2464" i="1"/>
  <c r="N2450" i="1"/>
  <c r="N2451" i="1"/>
  <c r="N2452" i="1"/>
  <c r="N2453" i="1"/>
  <c r="N2454" i="1"/>
  <c r="N2455" i="1"/>
  <c r="N2456" i="1"/>
  <c r="N2457" i="1"/>
  <c r="N2458" i="1"/>
  <c r="N2459" i="1"/>
  <c r="N2460" i="1"/>
  <c r="N2461" i="1"/>
  <c r="N2462" i="1"/>
  <c r="N2463" i="1"/>
  <c r="N2464" i="1"/>
  <c r="K2442" i="1"/>
  <c r="K2443" i="1"/>
  <c r="K2444" i="1"/>
  <c r="K2445" i="1"/>
  <c r="K2446" i="1"/>
  <c r="K2447" i="1"/>
  <c r="K2448" i="1"/>
  <c r="K2449" i="1"/>
  <c r="M2442" i="1"/>
  <c r="M2443" i="1"/>
  <c r="M2444" i="1"/>
  <c r="M2445" i="1"/>
  <c r="M2446" i="1"/>
  <c r="M2447" i="1"/>
  <c r="M2448" i="1"/>
  <c r="M2449" i="1"/>
  <c r="N2442" i="1"/>
  <c r="N2443" i="1"/>
  <c r="N2444" i="1"/>
  <c r="N2445" i="1"/>
  <c r="N2446" i="1"/>
  <c r="N2447" i="1"/>
  <c r="N2448" i="1"/>
  <c r="N2449" i="1"/>
  <c r="K2436" i="1"/>
  <c r="K2437" i="1"/>
  <c r="K2438" i="1"/>
  <c r="K2439" i="1"/>
  <c r="K2440" i="1"/>
  <c r="K2441" i="1"/>
  <c r="M2436" i="1"/>
  <c r="M2437" i="1"/>
  <c r="M2438" i="1"/>
  <c r="M2439" i="1"/>
  <c r="M2440" i="1"/>
  <c r="M2441" i="1"/>
  <c r="N2436" i="1"/>
  <c r="N2437" i="1"/>
  <c r="N2438" i="1"/>
  <c r="N2439" i="1"/>
  <c r="N2440" i="1"/>
  <c r="N2441" i="1"/>
  <c r="K2435" i="1"/>
  <c r="M2435" i="1"/>
  <c r="N2435" i="1"/>
  <c r="K2434" i="1"/>
  <c r="M2434" i="1"/>
  <c r="N2434" i="1"/>
  <c r="K2433" i="1"/>
  <c r="M2433" i="1"/>
  <c r="N2433" i="1"/>
  <c r="K2431" i="1"/>
  <c r="K2432" i="1"/>
  <c r="M2431" i="1"/>
  <c r="M2432" i="1"/>
  <c r="N2431" i="1"/>
  <c r="N2432" i="1"/>
  <c r="K2425" i="1"/>
  <c r="K2426" i="1"/>
  <c r="K2427" i="1"/>
  <c r="K2428" i="1"/>
  <c r="K2429" i="1"/>
  <c r="K2430" i="1"/>
  <c r="M2425" i="1"/>
  <c r="M2426" i="1"/>
  <c r="M2427" i="1"/>
  <c r="M2428" i="1"/>
  <c r="M2429" i="1"/>
  <c r="M2430" i="1"/>
  <c r="N2425" i="1"/>
  <c r="N2426" i="1"/>
  <c r="N2427" i="1"/>
  <c r="N2428" i="1"/>
  <c r="N2429" i="1"/>
  <c r="N2430" i="1"/>
  <c r="K2419" i="1"/>
  <c r="K2420" i="1"/>
  <c r="K2421" i="1"/>
  <c r="K2422" i="1"/>
  <c r="K2423" i="1"/>
  <c r="K2424" i="1"/>
  <c r="M2419" i="1"/>
  <c r="M2420" i="1"/>
  <c r="M2421" i="1"/>
  <c r="M2422" i="1"/>
  <c r="M2423" i="1"/>
  <c r="M2424" i="1"/>
  <c r="N2419" i="1"/>
  <c r="N2420" i="1"/>
  <c r="N2421" i="1"/>
  <c r="N2422" i="1"/>
  <c r="N2423" i="1"/>
  <c r="N2424" i="1"/>
  <c r="K2418" i="1"/>
  <c r="M2418" i="1"/>
  <c r="N2418" i="1"/>
  <c r="K2407" i="1"/>
  <c r="K2408" i="1"/>
  <c r="K2409" i="1"/>
  <c r="K2410" i="1"/>
  <c r="K2411" i="1"/>
  <c r="K2412" i="1"/>
  <c r="K2413" i="1"/>
  <c r="K2414" i="1"/>
  <c r="K2415" i="1"/>
  <c r="K2416" i="1"/>
  <c r="K2417" i="1"/>
  <c r="M2407" i="1"/>
  <c r="M2408" i="1"/>
  <c r="M2409" i="1"/>
  <c r="M2410" i="1"/>
  <c r="M2411" i="1"/>
  <c r="M2412" i="1"/>
  <c r="M2413" i="1"/>
  <c r="M2414" i="1"/>
  <c r="M2415" i="1"/>
  <c r="M2416" i="1"/>
  <c r="M2417" i="1"/>
  <c r="N2407" i="1"/>
  <c r="N2408" i="1"/>
  <c r="N2409" i="1"/>
  <c r="N2410" i="1"/>
  <c r="N2411" i="1"/>
  <c r="N2412" i="1"/>
  <c r="N2413" i="1"/>
  <c r="N2414" i="1"/>
  <c r="N2415" i="1"/>
  <c r="N2416" i="1"/>
  <c r="N2417" i="1"/>
  <c r="K2406" i="1"/>
  <c r="M2406" i="1"/>
  <c r="N2406" i="1"/>
  <c r="K2405" i="1"/>
  <c r="M2405" i="1"/>
  <c r="N2405" i="1"/>
  <c r="K2404" i="1"/>
  <c r="M2404" i="1"/>
  <c r="N2404" i="1"/>
  <c r="K2403" i="1"/>
  <c r="M2403" i="1"/>
  <c r="N2403" i="1"/>
  <c r="K2402" i="1"/>
  <c r="M2402" i="1"/>
  <c r="N2402" i="1"/>
  <c r="K2401" i="1"/>
  <c r="M2401" i="1"/>
  <c r="N2401" i="1"/>
  <c r="K2400" i="1"/>
  <c r="M2400" i="1"/>
  <c r="N2400" i="1"/>
  <c r="K2399" i="1"/>
  <c r="M2399" i="1"/>
  <c r="N2399" i="1"/>
  <c r="K2390" i="1"/>
  <c r="K2391" i="1"/>
  <c r="K2392" i="1"/>
  <c r="K2393" i="1"/>
  <c r="K2394" i="1"/>
  <c r="K2395" i="1"/>
  <c r="K2396" i="1"/>
  <c r="K2397" i="1"/>
  <c r="K2398" i="1"/>
  <c r="M2390" i="1"/>
  <c r="M2391" i="1"/>
  <c r="M2392" i="1"/>
  <c r="M2393" i="1"/>
  <c r="M2394" i="1"/>
  <c r="M2395" i="1"/>
  <c r="M2396" i="1"/>
  <c r="M2397" i="1"/>
  <c r="M2398" i="1"/>
  <c r="N2390" i="1"/>
  <c r="N2391" i="1"/>
  <c r="N2392" i="1"/>
  <c r="N2393" i="1"/>
  <c r="N2394" i="1"/>
  <c r="N2395" i="1"/>
  <c r="N2396" i="1"/>
  <c r="N2397" i="1"/>
  <c r="N2398" i="1"/>
  <c r="K2389" i="1"/>
  <c r="M2389" i="1"/>
  <c r="N2389" i="1"/>
  <c r="K2388" i="1"/>
  <c r="M2388" i="1"/>
  <c r="N2388" i="1"/>
  <c r="K2387" i="1"/>
  <c r="M2387" i="1"/>
  <c r="N2387" i="1"/>
  <c r="K2381" i="1"/>
  <c r="K2382" i="1"/>
  <c r="K2383" i="1"/>
  <c r="K2384" i="1"/>
  <c r="K2385" i="1"/>
  <c r="K2386" i="1"/>
  <c r="M2381" i="1"/>
  <c r="M2382" i="1"/>
  <c r="M2383" i="1"/>
  <c r="M2384" i="1"/>
  <c r="M2385" i="1"/>
  <c r="M2386" i="1"/>
  <c r="N2381" i="1"/>
  <c r="N2382" i="1"/>
  <c r="N2383" i="1"/>
  <c r="N2384" i="1"/>
  <c r="N2385" i="1"/>
  <c r="N2386" i="1"/>
  <c r="K2376" i="1"/>
  <c r="K2377" i="1"/>
  <c r="K2378" i="1"/>
  <c r="K2379" i="1"/>
  <c r="K2380" i="1"/>
  <c r="M2376" i="1"/>
  <c r="M2377" i="1"/>
  <c r="M2378" i="1"/>
  <c r="M2379" i="1"/>
  <c r="M2380" i="1"/>
  <c r="N2376" i="1"/>
  <c r="N2377" i="1"/>
  <c r="N2378" i="1"/>
  <c r="N2379" i="1"/>
  <c r="N2380" i="1"/>
  <c r="K2375" i="1"/>
  <c r="M2375" i="1"/>
  <c r="N2375" i="1"/>
  <c r="K2373" i="1"/>
  <c r="K2374" i="1"/>
  <c r="M2373" i="1"/>
  <c r="M2374" i="1"/>
  <c r="N2373" i="1"/>
  <c r="N2374" i="1"/>
  <c r="K2368" i="1"/>
  <c r="K2369" i="1"/>
  <c r="K2370" i="1"/>
  <c r="K2371" i="1"/>
  <c r="K2372" i="1"/>
  <c r="M2368" i="1"/>
  <c r="M2369" i="1"/>
  <c r="M2370" i="1"/>
  <c r="M2371" i="1"/>
  <c r="M2372" i="1"/>
  <c r="N2368" i="1"/>
  <c r="N2369" i="1"/>
  <c r="N2370" i="1"/>
  <c r="N2371" i="1"/>
  <c r="N2372" i="1"/>
  <c r="K2366" i="1"/>
  <c r="K2367" i="1"/>
  <c r="M2366" i="1"/>
  <c r="M2367" i="1"/>
  <c r="N2366" i="1"/>
  <c r="N2367" i="1"/>
  <c r="K2365" i="1"/>
  <c r="M2365" i="1"/>
  <c r="N2365" i="1"/>
  <c r="K2364" i="1"/>
  <c r="M2364" i="1"/>
  <c r="N2364" i="1"/>
  <c r="K2363" i="1"/>
  <c r="M2363" i="1"/>
  <c r="N2363" i="1"/>
  <c r="K2360" i="1"/>
  <c r="K2361" i="1"/>
  <c r="K2362" i="1"/>
  <c r="M2360" i="1"/>
  <c r="M2361" i="1"/>
  <c r="M2362" i="1"/>
  <c r="N2360" i="1"/>
  <c r="N2361" i="1"/>
  <c r="N2362" i="1"/>
  <c r="K2357" i="1"/>
  <c r="K2358" i="1"/>
  <c r="K2359" i="1"/>
  <c r="M2357" i="1"/>
  <c r="M2358" i="1"/>
  <c r="M2359" i="1"/>
  <c r="N2357" i="1"/>
  <c r="N2358" i="1"/>
  <c r="N2359" i="1"/>
  <c r="K2356" i="1"/>
  <c r="M2356" i="1"/>
  <c r="N2356" i="1"/>
  <c r="K2351" i="1"/>
  <c r="K2352" i="1"/>
  <c r="K2353" i="1"/>
  <c r="K2354" i="1"/>
  <c r="K2355" i="1"/>
  <c r="M2351" i="1"/>
  <c r="M2352" i="1"/>
  <c r="M2353" i="1"/>
  <c r="M2354" i="1"/>
  <c r="M2355" i="1"/>
  <c r="N2351" i="1"/>
  <c r="N2352" i="1"/>
  <c r="N2353" i="1"/>
  <c r="N2354" i="1"/>
  <c r="N2355" i="1"/>
  <c r="K2350" i="1"/>
  <c r="M2350" i="1"/>
  <c r="N2350" i="1"/>
  <c r="K2348" i="1"/>
  <c r="K2349" i="1"/>
  <c r="M2348" i="1"/>
  <c r="M2349" i="1"/>
  <c r="N2348" i="1"/>
  <c r="N2349" i="1"/>
  <c r="K2346" i="1"/>
  <c r="K2347" i="1"/>
  <c r="M2346" i="1"/>
  <c r="M2347" i="1"/>
  <c r="N2346" i="1"/>
  <c r="N2347" i="1"/>
  <c r="K2345" i="1"/>
  <c r="M2345" i="1"/>
  <c r="N2345" i="1"/>
  <c r="K2344" i="1"/>
  <c r="M2344" i="1"/>
  <c r="N2344" i="1"/>
  <c r="K2342" i="1"/>
  <c r="K2343" i="1"/>
  <c r="M2342" i="1"/>
  <c r="M2343" i="1"/>
  <c r="N2342" i="1"/>
  <c r="N2343" i="1"/>
  <c r="K2341" i="1"/>
  <c r="M2341" i="1"/>
  <c r="N2341" i="1"/>
  <c r="K2340" i="1"/>
  <c r="M2340" i="1"/>
  <c r="N2340" i="1"/>
  <c r="K2339" i="1"/>
  <c r="M2339" i="1"/>
  <c r="N2339" i="1"/>
  <c r="K2338" i="1"/>
  <c r="M2338" i="1"/>
  <c r="N2338" i="1"/>
  <c r="K2335" i="1"/>
  <c r="K2336" i="1"/>
  <c r="K2337" i="1"/>
  <c r="M2335" i="1"/>
  <c r="M2336" i="1"/>
  <c r="M2337" i="1"/>
  <c r="N2335" i="1"/>
  <c r="N2336" i="1"/>
  <c r="N2337" i="1"/>
  <c r="K2332" i="1"/>
  <c r="K2333" i="1"/>
  <c r="K2334" i="1"/>
  <c r="M2332" i="1"/>
  <c r="M2333" i="1"/>
  <c r="M2334" i="1"/>
  <c r="N2332" i="1"/>
  <c r="N2333" i="1"/>
  <c r="N2334" i="1"/>
  <c r="K2331" i="1"/>
  <c r="M2331" i="1"/>
  <c r="N2331" i="1"/>
  <c r="K2329" i="1"/>
  <c r="K2330" i="1"/>
  <c r="M2329" i="1"/>
  <c r="M2330" i="1"/>
  <c r="N2329" i="1"/>
  <c r="N2330" i="1"/>
  <c r="K2328" i="1"/>
  <c r="M2328" i="1"/>
  <c r="N2328" i="1"/>
  <c r="K2325" i="1"/>
  <c r="K2326" i="1"/>
  <c r="K2327" i="1"/>
  <c r="M2325" i="1"/>
  <c r="M2326" i="1"/>
  <c r="M2327" i="1"/>
  <c r="N2325" i="1"/>
  <c r="N2326" i="1"/>
  <c r="N2327" i="1"/>
  <c r="K2324" i="1"/>
  <c r="M2324" i="1"/>
  <c r="N2324" i="1"/>
  <c r="K2323" i="1"/>
  <c r="M2323" i="1"/>
  <c r="N2323" i="1"/>
  <c r="K2322" i="1"/>
  <c r="M2322" i="1"/>
  <c r="N2322" i="1"/>
  <c r="K2319" i="1"/>
  <c r="K2320" i="1"/>
  <c r="K2321" i="1"/>
  <c r="M2319" i="1"/>
  <c r="M2320" i="1"/>
  <c r="M2321" i="1"/>
  <c r="N2319" i="1"/>
  <c r="N2320" i="1"/>
  <c r="N2321" i="1"/>
  <c r="K2317" i="1"/>
  <c r="K2318" i="1"/>
  <c r="M2317" i="1"/>
  <c r="M2318" i="1"/>
  <c r="N2317" i="1"/>
  <c r="N2318" i="1"/>
  <c r="K2316" i="1"/>
  <c r="M2316" i="1"/>
  <c r="N2316" i="1"/>
  <c r="K2315" i="1"/>
  <c r="M2315" i="1"/>
  <c r="N2315" i="1"/>
  <c r="K2312" i="1"/>
  <c r="K2313" i="1"/>
  <c r="K2314" i="1"/>
  <c r="M2312" i="1"/>
  <c r="M2313" i="1"/>
  <c r="M2314" i="1"/>
  <c r="N2312" i="1"/>
  <c r="N2313" i="1"/>
  <c r="N2314" i="1"/>
  <c r="K2311" i="1"/>
  <c r="M2311" i="1"/>
  <c r="N2311" i="1"/>
  <c r="K2309" i="1"/>
  <c r="K2310" i="1"/>
  <c r="M2309" i="1"/>
  <c r="M2310" i="1"/>
  <c r="N2309" i="1"/>
  <c r="N2310" i="1"/>
  <c r="K2308" i="1"/>
  <c r="M2308" i="1"/>
  <c r="N2308" i="1"/>
  <c r="K2307" i="1"/>
  <c r="M2307" i="1"/>
  <c r="N2307" i="1"/>
  <c r="K2306" i="1"/>
  <c r="M2306" i="1"/>
  <c r="N2306" i="1"/>
  <c r="K2305" i="1"/>
  <c r="M2305" i="1"/>
  <c r="N2305" i="1"/>
  <c r="K2304" i="1"/>
  <c r="M2304" i="1"/>
  <c r="N2304" i="1"/>
  <c r="K2303" i="1"/>
  <c r="M2303" i="1"/>
  <c r="N2303" i="1"/>
  <c r="K2302" i="1"/>
  <c r="M2302" i="1"/>
  <c r="N2302" i="1"/>
  <c r="K2301" i="1"/>
  <c r="M2301" i="1"/>
  <c r="N2301" i="1"/>
  <c r="K2300" i="1"/>
  <c r="M2300" i="1"/>
  <c r="N2300" i="1"/>
  <c r="K2299" i="1"/>
  <c r="M2299" i="1"/>
  <c r="N2299" i="1"/>
  <c r="K2298" i="1"/>
  <c r="M2298" i="1"/>
  <c r="N2298" i="1"/>
  <c r="K2297" i="1"/>
  <c r="M2297" i="1"/>
  <c r="N2297" i="1"/>
  <c r="K2295" i="1"/>
  <c r="K2296" i="1"/>
  <c r="M2295" i="1"/>
  <c r="M2296" i="1"/>
  <c r="N2295" i="1"/>
  <c r="N2296" i="1"/>
  <c r="K2294" i="1"/>
  <c r="M2294" i="1"/>
  <c r="N2294" i="1"/>
  <c r="K2292" i="1"/>
  <c r="K2293" i="1"/>
  <c r="M2292" i="1"/>
  <c r="M2293" i="1"/>
  <c r="N2292" i="1"/>
  <c r="N2293" i="1"/>
  <c r="K2287" i="1"/>
  <c r="K2288" i="1"/>
  <c r="K2289" i="1"/>
  <c r="K2290" i="1"/>
  <c r="K2291" i="1"/>
  <c r="M2287" i="1"/>
  <c r="M2288" i="1"/>
  <c r="M2289" i="1"/>
  <c r="M2290" i="1"/>
  <c r="M2291" i="1"/>
  <c r="N2287" i="1"/>
  <c r="N2288" i="1"/>
  <c r="N2289" i="1"/>
  <c r="N2290" i="1"/>
  <c r="N2291" i="1"/>
  <c r="K2286" i="1"/>
  <c r="M2286" i="1"/>
  <c r="N2286" i="1"/>
  <c r="K2285" i="1"/>
  <c r="M2285" i="1"/>
  <c r="N2285" i="1"/>
  <c r="K2275" i="1"/>
  <c r="K2276" i="1"/>
  <c r="K2277" i="1"/>
  <c r="K2278" i="1"/>
  <c r="K2279" i="1"/>
  <c r="K2280" i="1"/>
  <c r="K2281" i="1"/>
  <c r="K2282" i="1"/>
  <c r="K2283" i="1"/>
  <c r="K2284" i="1"/>
  <c r="M2275" i="1"/>
  <c r="M2276" i="1"/>
  <c r="M2277" i="1"/>
  <c r="M2278" i="1"/>
  <c r="M2279" i="1"/>
  <c r="M2280" i="1"/>
  <c r="M2281" i="1"/>
  <c r="M2282" i="1"/>
  <c r="M2283" i="1"/>
  <c r="M2284" i="1"/>
  <c r="N2275" i="1"/>
  <c r="N2276" i="1"/>
  <c r="N2277" i="1"/>
  <c r="N2278" i="1"/>
  <c r="N2279" i="1"/>
  <c r="N2280" i="1"/>
  <c r="N2281" i="1"/>
  <c r="N2282" i="1"/>
  <c r="N2283" i="1"/>
  <c r="N2284" i="1"/>
  <c r="K2274" i="1"/>
  <c r="M2274" i="1"/>
  <c r="N2274" i="1"/>
  <c r="K2273" i="1"/>
  <c r="M2273" i="1"/>
  <c r="N2273" i="1"/>
  <c r="K2270" i="1"/>
  <c r="K2271" i="1"/>
  <c r="K2272" i="1"/>
  <c r="M2270" i="1"/>
  <c r="M2271" i="1"/>
  <c r="M2272" i="1"/>
  <c r="N2270" i="1"/>
  <c r="N2271" i="1"/>
  <c r="N2272" i="1"/>
  <c r="K2269" i="1"/>
  <c r="M2269" i="1"/>
  <c r="N2269" i="1"/>
  <c r="K2268" i="1"/>
  <c r="M2268" i="1"/>
  <c r="N2268" i="1"/>
  <c r="K2266" i="1"/>
  <c r="K2267" i="1"/>
  <c r="M2266" i="1"/>
  <c r="M2267" i="1"/>
  <c r="N2266" i="1"/>
  <c r="N2267" i="1"/>
  <c r="K2265" i="1"/>
  <c r="M2265" i="1"/>
  <c r="N2265" i="1"/>
  <c r="K2262" i="1"/>
  <c r="K2263" i="1"/>
  <c r="K2264" i="1"/>
  <c r="M2262" i="1"/>
  <c r="M2263" i="1"/>
  <c r="M2264" i="1"/>
  <c r="N2262" i="1"/>
  <c r="N2263" i="1"/>
  <c r="N2264" i="1"/>
  <c r="K2260" i="1"/>
  <c r="K2261" i="1"/>
  <c r="M2260" i="1"/>
  <c r="M2261" i="1"/>
  <c r="N2260" i="1"/>
  <c r="N2261" i="1"/>
  <c r="K2259" i="1"/>
  <c r="M2259" i="1"/>
  <c r="N2259" i="1"/>
  <c r="K2258" i="1"/>
  <c r="M2258" i="1"/>
  <c r="N2258" i="1"/>
  <c r="K2257" i="1"/>
  <c r="M2257" i="1"/>
  <c r="N2257" i="1"/>
  <c r="K2256" i="1"/>
  <c r="M2256" i="1"/>
  <c r="N2256" i="1"/>
  <c r="K2255" i="1"/>
  <c r="M2255" i="1"/>
  <c r="N2255" i="1"/>
  <c r="K2254" i="1"/>
  <c r="M2254" i="1"/>
  <c r="N2254" i="1"/>
  <c r="K2253" i="1"/>
  <c r="M2253" i="1"/>
  <c r="N2253" i="1"/>
  <c r="K2250" i="1"/>
  <c r="K2251" i="1"/>
  <c r="K2252" i="1"/>
  <c r="M2250" i="1"/>
  <c r="M2251" i="1"/>
  <c r="M2252" i="1"/>
  <c r="N2250" i="1"/>
  <c r="N2251" i="1"/>
  <c r="N2252" i="1"/>
  <c r="K2249" i="1"/>
  <c r="M2249" i="1"/>
  <c r="N2249" i="1"/>
  <c r="K2247" i="1"/>
  <c r="K2248" i="1"/>
  <c r="M2247" i="1"/>
  <c r="M2248" i="1"/>
  <c r="N2247" i="1"/>
  <c r="N2248" i="1"/>
  <c r="K2245" i="1"/>
  <c r="K2246" i="1"/>
  <c r="M2245" i="1"/>
  <c r="M2246" i="1"/>
  <c r="N2245" i="1"/>
  <c r="N2246" i="1"/>
  <c r="K2242" i="1"/>
  <c r="K2243" i="1"/>
  <c r="K2244" i="1"/>
  <c r="M2242" i="1"/>
  <c r="M2243" i="1"/>
  <c r="M2244" i="1"/>
  <c r="N2242" i="1"/>
  <c r="N2243" i="1"/>
  <c r="N2244" i="1"/>
  <c r="K2241" i="1"/>
  <c r="M2241" i="1"/>
  <c r="N2241" i="1"/>
  <c r="K2232" i="1"/>
  <c r="K2233" i="1"/>
  <c r="K2234" i="1"/>
  <c r="K2235" i="1"/>
  <c r="K2236" i="1"/>
  <c r="K2237" i="1"/>
  <c r="K2238" i="1"/>
  <c r="K2239" i="1"/>
  <c r="K2240" i="1"/>
  <c r="M2232" i="1"/>
  <c r="M2233" i="1"/>
  <c r="M2234" i="1"/>
  <c r="M2235" i="1"/>
  <c r="M2236" i="1"/>
  <c r="M2237" i="1"/>
  <c r="M2238" i="1"/>
  <c r="M2239" i="1"/>
  <c r="M2240" i="1"/>
  <c r="N2232" i="1"/>
  <c r="N2233" i="1"/>
  <c r="N2234" i="1"/>
  <c r="N2235" i="1"/>
  <c r="N2236" i="1"/>
  <c r="N2237" i="1"/>
  <c r="N2238" i="1"/>
  <c r="N2239" i="1"/>
  <c r="N2240" i="1"/>
  <c r="K2231" i="1"/>
  <c r="M2231" i="1"/>
  <c r="N2231" i="1"/>
  <c r="K2230" i="1"/>
  <c r="M2230" i="1"/>
  <c r="N2230" i="1"/>
  <c r="K2229" i="1"/>
  <c r="M2229" i="1"/>
  <c r="N2229" i="1"/>
  <c r="K2227" i="1"/>
  <c r="K2228" i="1"/>
  <c r="M2227" i="1"/>
  <c r="M2228" i="1"/>
  <c r="N2227" i="1"/>
  <c r="N2228" i="1"/>
  <c r="K2217" i="1"/>
  <c r="K2218" i="1"/>
  <c r="K2219" i="1"/>
  <c r="K2220" i="1"/>
  <c r="K2221" i="1"/>
  <c r="K2222" i="1"/>
  <c r="K2223" i="1"/>
  <c r="K2224" i="1"/>
  <c r="K2225" i="1"/>
  <c r="K2226" i="1"/>
  <c r="M2217" i="1"/>
  <c r="M2218" i="1"/>
  <c r="M2219" i="1"/>
  <c r="M2220" i="1"/>
  <c r="M2221" i="1"/>
  <c r="M2222" i="1"/>
  <c r="M2223" i="1"/>
  <c r="M2224" i="1"/>
  <c r="M2225" i="1"/>
  <c r="M2226" i="1"/>
  <c r="N2217" i="1"/>
  <c r="N2218" i="1"/>
  <c r="N2219" i="1"/>
  <c r="N2220" i="1"/>
  <c r="N2221" i="1"/>
  <c r="N2222" i="1"/>
  <c r="N2223" i="1"/>
  <c r="N2224" i="1"/>
  <c r="N2225" i="1"/>
  <c r="N2226" i="1"/>
  <c r="K2215" i="1"/>
  <c r="K2216" i="1"/>
  <c r="M2215" i="1"/>
  <c r="M2216" i="1"/>
  <c r="N2215" i="1"/>
  <c r="N2216" i="1"/>
  <c r="K2197" i="1"/>
  <c r="K2198" i="1"/>
  <c r="K2199" i="1"/>
  <c r="K2200" i="1"/>
  <c r="K2201" i="1"/>
  <c r="K2202" i="1"/>
  <c r="K2203" i="1"/>
  <c r="K2204" i="1"/>
  <c r="K2205" i="1"/>
  <c r="K2206" i="1"/>
  <c r="K2207" i="1"/>
  <c r="K2208" i="1"/>
  <c r="K2209" i="1"/>
  <c r="K2210" i="1"/>
  <c r="K2211" i="1"/>
  <c r="K2212" i="1"/>
  <c r="K2213" i="1"/>
  <c r="K2214" i="1"/>
  <c r="M2197" i="1"/>
  <c r="M2198" i="1"/>
  <c r="M2199" i="1"/>
  <c r="M2200" i="1"/>
  <c r="M2201" i="1"/>
  <c r="M2202" i="1"/>
  <c r="M2203" i="1"/>
  <c r="M2204" i="1"/>
  <c r="M2205" i="1"/>
  <c r="M2206" i="1"/>
  <c r="M2207" i="1"/>
  <c r="M2208" i="1"/>
  <c r="M2209" i="1"/>
  <c r="M2210" i="1"/>
  <c r="M2211" i="1"/>
  <c r="M2212" i="1"/>
  <c r="M2213" i="1"/>
  <c r="M2214" i="1"/>
  <c r="N2197" i="1"/>
  <c r="N2198" i="1"/>
  <c r="N2199" i="1"/>
  <c r="N2200" i="1"/>
  <c r="N2201" i="1"/>
  <c r="N2202" i="1"/>
  <c r="N2203" i="1"/>
  <c r="N2204" i="1"/>
  <c r="N2205" i="1"/>
  <c r="N2206" i="1"/>
  <c r="N2207" i="1"/>
  <c r="N2208" i="1"/>
  <c r="N2209" i="1"/>
  <c r="N2210" i="1"/>
  <c r="N2211" i="1"/>
  <c r="N2212" i="1"/>
  <c r="N2213" i="1"/>
  <c r="N2214" i="1"/>
  <c r="K2195" i="1"/>
  <c r="K2196" i="1"/>
  <c r="M2195" i="1"/>
  <c r="M2196" i="1"/>
  <c r="N2195" i="1"/>
  <c r="N2196" i="1"/>
  <c r="K2194" i="1"/>
  <c r="M2194" i="1"/>
  <c r="N2194" i="1"/>
  <c r="K2193" i="1"/>
  <c r="M2193" i="1"/>
  <c r="N2193" i="1"/>
  <c r="K2192" i="1"/>
  <c r="M2192" i="1"/>
  <c r="N2192" i="1"/>
  <c r="K2191" i="1"/>
  <c r="M2191" i="1"/>
  <c r="N2191" i="1"/>
  <c r="K2185" i="1"/>
  <c r="K2186" i="1"/>
  <c r="K2187" i="1"/>
  <c r="K2188" i="1"/>
  <c r="K2189" i="1"/>
  <c r="K2190" i="1"/>
  <c r="M2185" i="1"/>
  <c r="M2186" i="1"/>
  <c r="M2187" i="1"/>
  <c r="M2188" i="1"/>
  <c r="M2189" i="1"/>
  <c r="M2190" i="1"/>
  <c r="N2185" i="1"/>
  <c r="N2186" i="1"/>
  <c r="N2187" i="1"/>
  <c r="N2188" i="1"/>
  <c r="N2189" i="1"/>
  <c r="N2190" i="1"/>
  <c r="K2184" i="1"/>
  <c r="M2184" i="1"/>
  <c r="N2184" i="1"/>
  <c r="K2180" i="1"/>
  <c r="K2181" i="1"/>
  <c r="K2182" i="1"/>
  <c r="K2183" i="1"/>
  <c r="M2180" i="1"/>
  <c r="M2181" i="1"/>
  <c r="M2182" i="1"/>
  <c r="M2183" i="1"/>
  <c r="N2180" i="1"/>
  <c r="N2181" i="1"/>
  <c r="N2182" i="1"/>
  <c r="N2183" i="1"/>
  <c r="K2179" i="1"/>
  <c r="M2179" i="1"/>
  <c r="N2179" i="1"/>
  <c r="K2175" i="1"/>
  <c r="K2176" i="1"/>
  <c r="K2177" i="1"/>
  <c r="K2178" i="1"/>
  <c r="M2175" i="1"/>
  <c r="M2176" i="1"/>
  <c r="M2177" i="1"/>
  <c r="M2178" i="1"/>
  <c r="N2175" i="1"/>
  <c r="N2176" i="1"/>
  <c r="N2177" i="1"/>
  <c r="N2178" i="1"/>
  <c r="K2171" i="1"/>
  <c r="K2172" i="1"/>
  <c r="K2173" i="1"/>
  <c r="K2174" i="1"/>
  <c r="M2171" i="1"/>
  <c r="M2172" i="1"/>
  <c r="M2173" i="1"/>
  <c r="M2174" i="1"/>
  <c r="N2171" i="1"/>
  <c r="N2172" i="1"/>
  <c r="N2173" i="1"/>
  <c r="N2174" i="1"/>
  <c r="K2170" i="1"/>
  <c r="M2170" i="1"/>
  <c r="N2170" i="1"/>
  <c r="K2167" i="1"/>
  <c r="K2168" i="1"/>
  <c r="K2169" i="1"/>
  <c r="M2167" i="1"/>
  <c r="M2168" i="1"/>
  <c r="M2169" i="1"/>
  <c r="N2167" i="1"/>
  <c r="N2168" i="1"/>
  <c r="N2169" i="1"/>
  <c r="K2166" i="1"/>
  <c r="M2166" i="1"/>
  <c r="N2166" i="1"/>
  <c r="K2165" i="1"/>
  <c r="M2165" i="1"/>
  <c r="N2165" i="1"/>
  <c r="K2164" i="1"/>
  <c r="M2164" i="1"/>
  <c r="N2164" i="1"/>
  <c r="K2163" i="1"/>
  <c r="M2163" i="1"/>
  <c r="N2163" i="1"/>
  <c r="K2160" i="1"/>
  <c r="K2161" i="1"/>
  <c r="K2162" i="1"/>
  <c r="M2160" i="1"/>
  <c r="M2161" i="1"/>
  <c r="M2162" i="1"/>
  <c r="N2160" i="1"/>
  <c r="N2161" i="1"/>
  <c r="N2162" i="1"/>
  <c r="K2156" i="1"/>
  <c r="K2157" i="1"/>
  <c r="K2158" i="1"/>
  <c r="K2159" i="1"/>
  <c r="M2156" i="1"/>
  <c r="M2157" i="1"/>
  <c r="M2158" i="1"/>
  <c r="M2159" i="1"/>
  <c r="N2156" i="1"/>
  <c r="N2157" i="1"/>
  <c r="N2158" i="1"/>
  <c r="N2159" i="1"/>
  <c r="K2151" i="1"/>
  <c r="K2152" i="1"/>
  <c r="K2153" i="1"/>
  <c r="K2154" i="1"/>
  <c r="K2155" i="1"/>
  <c r="M2151" i="1"/>
  <c r="M2152" i="1"/>
  <c r="M2153" i="1"/>
  <c r="M2154" i="1"/>
  <c r="M2155" i="1"/>
  <c r="N2151" i="1"/>
  <c r="N2152" i="1"/>
  <c r="N2153" i="1"/>
  <c r="N2154" i="1"/>
  <c r="N2155" i="1"/>
  <c r="K2144" i="1"/>
  <c r="K2145" i="1"/>
  <c r="K2146" i="1"/>
  <c r="K2147" i="1"/>
  <c r="K2148" i="1"/>
  <c r="K2149" i="1"/>
  <c r="K2150" i="1"/>
  <c r="M2144" i="1"/>
  <c r="M2145" i="1"/>
  <c r="M2146" i="1"/>
  <c r="M2147" i="1"/>
  <c r="M2148" i="1"/>
  <c r="M2149" i="1"/>
  <c r="M2150" i="1"/>
  <c r="N2144" i="1"/>
  <c r="N2145" i="1"/>
  <c r="N2146" i="1"/>
  <c r="N2147" i="1"/>
  <c r="N2148" i="1"/>
  <c r="N2149" i="1"/>
  <c r="N2150" i="1"/>
  <c r="K2143" i="1"/>
  <c r="M2143" i="1"/>
  <c r="N2143" i="1"/>
  <c r="K2123" i="1"/>
  <c r="K2124" i="1"/>
  <c r="K2125" i="1"/>
  <c r="K2126" i="1"/>
  <c r="K2127" i="1"/>
  <c r="K2128" i="1"/>
  <c r="K2129" i="1"/>
  <c r="K2130" i="1"/>
  <c r="K2131" i="1"/>
  <c r="K2132" i="1"/>
  <c r="K2133" i="1"/>
  <c r="K2134" i="1"/>
  <c r="K2135" i="1"/>
  <c r="K2136" i="1"/>
  <c r="K2137" i="1"/>
  <c r="K2138" i="1"/>
  <c r="K2139" i="1"/>
  <c r="K2140" i="1"/>
  <c r="K2141" i="1"/>
  <c r="K2142" i="1"/>
  <c r="M2123" i="1"/>
  <c r="M2124" i="1"/>
  <c r="M2125" i="1"/>
  <c r="M2126" i="1"/>
  <c r="M2127" i="1"/>
  <c r="M2128" i="1"/>
  <c r="M2129" i="1"/>
  <c r="M2130" i="1"/>
  <c r="M2131" i="1"/>
  <c r="M2132" i="1"/>
  <c r="M2133" i="1"/>
  <c r="M2134" i="1"/>
  <c r="M2135" i="1"/>
  <c r="M2136" i="1"/>
  <c r="M2137" i="1"/>
  <c r="M2138" i="1"/>
  <c r="M2139" i="1"/>
  <c r="M2140" i="1"/>
  <c r="M2141" i="1"/>
  <c r="M2142" i="1"/>
  <c r="N2123" i="1"/>
  <c r="N2124" i="1"/>
  <c r="N2125" i="1"/>
  <c r="N2126" i="1"/>
  <c r="N2127" i="1"/>
  <c r="N2128" i="1"/>
  <c r="N2129" i="1"/>
  <c r="N2130" i="1"/>
  <c r="N2131" i="1"/>
  <c r="N2132" i="1"/>
  <c r="N2133" i="1"/>
  <c r="N2134" i="1"/>
  <c r="N2135" i="1"/>
  <c r="N2136" i="1"/>
  <c r="N2137" i="1"/>
  <c r="N2138" i="1"/>
  <c r="N2139" i="1"/>
  <c r="N2140" i="1"/>
  <c r="N2141" i="1"/>
  <c r="N2142" i="1"/>
  <c r="K2122" i="1"/>
  <c r="M2122" i="1"/>
  <c r="N2122" i="1"/>
  <c r="K2121" i="1"/>
  <c r="M2121" i="1"/>
  <c r="N2121" i="1"/>
  <c r="K2119" i="1"/>
  <c r="K2120" i="1"/>
  <c r="M2119" i="1"/>
  <c r="M2120" i="1"/>
  <c r="N2119" i="1"/>
  <c r="N2120" i="1"/>
  <c r="K2118" i="1"/>
  <c r="M2118" i="1"/>
  <c r="N2118" i="1"/>
  <c r="K2117" i="1"/>
  <c r="M2117" i="1"/>
  <c r="N2117" i="1"/>
  <c r="K2116" i="1"/>
  <c r="M2116" i="1"/>
  <c r="N2116" i="1"/>
  <c r="K2115" i="1"/>
  <c r="M2115" i="1"/>
  <c r="N2115" i="1"/>
  <c r="K2112" i="1"/>
  <c r="K2113" i="1"/>
  <c r="K2114" i="1"/>
  <c r="M2112" i="1"/>
  <c r="M2113" i="1"/>
  <c r="M2114" i="1"/>
  <c r="N2112" i="1"/>
  <c r="N2113" i="1"/>
  <c r="N2114" i="1"/>
  <c r="K2111" i="1"/>
  <c r="M2111" i="1"/>
  <c r="N2111" i="1"/>
  <c r="K2110" i="1"/>
  <c r="M2110" i="1"/>
  <c r="N2110" i="1"/>
  <c r="K2109" i="1"/>
  <c r="M2109" i="1"/>
  <c r="N2109" i="1"/>
  <c r="K2108" i="1"/>
  <c r="M2108" i="1"/>
  <c r="N2108" i="1"/>
  <c r="K2092" i="1"/>
  <c r="K2093" i="1"/>
  <c r="K2094" i="1"/>
  <c r="K2095" i="1"/>
  <c r="K2096" i="1"/>
  <c r="K2097" i="1"/>
  <c r="K2098" i="1"/>
  <c r="K2099" i="1"/>
  <c r="K2100" i="1"/>
  <c r="K2101" i="1"/>
  <c r="K2102" i="1"/>
  <c r="K2103" i="1"/>
  <c r="K2104" i="1"/>
  <c r="K2105" i="1"/>
  <c r="K2106" i="1"/>
  <c r="K2107" i="1"/>
  <c r="M2092" i="1"/>
  <c r="M2093" i="1"/>
  <c r="M2094" i="1"/>
  <c r="M2095" i="1"/>
  <c r="M2096" i="1"/>
  <c r="M2097" i="1"/>
  <c r="M2098" i="1"/>
  <c r="M2099" i="1"/>
  <c r="M2100" i="1"/>
  <c r="M2101" i="1"/>
  <c r="M2102" i="1"/>
  <c r="M2103" i="1"/>
  <c r="M2104" i="1"/>
  <c r="M2105" i="1"/>
  <c r="M2106" i="1"/>
  <c r="M2107" i="1"/>
  <c r="N2092" i="1"/>
  <c r="N2093" i="1"/>
  <c r="N2094" i="1"/>
  <c r="N2095" i="1"/>
  <c r="N2096" i="1"/>
  <c r="N2097" i="1"/>
  <c r="N2098" i="1"/>
  <c r="N2099" i="1"/>
  <c r="N2100" i="1"/>
  <c r="N2101" i="1"/>
  <c r="N2102" i="1"/>
  <c r="N2103" i="1"/>
  <c r="N2104" i="1"/>
  <c r="N2105" i="1"/>
  <c r="N2106" i="1"/>
  <c r="N2107" i="1"/>
  <c r="K2091" i="1"/>
  <c r="M2091" i="1"/>
  <c r="N2091" i="1"/>
  <c r="K2090" i="1"/>
  <c r="M2090" i="1"/>
  <c r="N2090" i="1"/>
  <c r="K2086" i="1"/>
  <c r="K2087" i="1"/>
  <c r="K2088" i="1"/>
  <c r="K2089" i="1"/>
  <c r="M2086" i="1"/>
  <c r="M2087" i="1"/>
  <c r="M2088" i="1"/>
  <c r="M2089" i="1"/>
  <c r="N2086" i="1"/>
  <c r="N2087" i="1"/>
  <c r="N2088" i="1"/>
  <c r="N2089" i="1"/>
  <c r="K2085" i="1"/>
  <c r="M2085" i="1"/>
  <c r="N2085" i="1"/>
  <c r="K2082" i="1"/>
  <c r="K2083" i="1"/>
  <c r="K2084" i="1"/>
  <c r="M2082" i="1"/>
  <c r="M2083" i="1"/>
  <c r="M2084" i="1"/>
  <c r="N2082" i="1"/>
  <c r="N2083" i="1"/>
  <c r="N2084" i="1"/>
  <c r="K2077" i="1"/>
  <c r="K2078" i="1"/>
  <c r="K2079" i="1"/>
  <c r="K2080" i="1"/>
  <c r="K2081" i="1"/>
  <c r="M2077" i="1"/>
  <c r="M2078" i="1"/>
  <c r="M2079" i="1"/>
  <c r="M2080" i="1"/>
  <c r="M2081" i="1"/>
  <c r="N2077" i="1"/>
  <c r="N2078" i="1"/>
  <c r="N2079" i="1"/>
  <c r="N2080" i="1"/>
  <c r="N2081" i="1"/>
  <c r="K2074" i="1"/>
  <c r="K2075" i="1"/>
  <c r="K2076" i="1"/>
  <c r="M2074" i="1"/>
  <c r="M2075" i="1"/>
  <c r="M2076" i="1"/>
  <c r="N2074" i="1"/>
  <c r="N2075" i="1"/>
  <c r="N2076" i="1"/>
  <c r="K2073" i="1"/>
  <c r="M2073" i="1"/>
  <c r="N2073" i="1"/>
  <c r="K2071" i="1"/>
  <c r="K2072" i="1"/>
  <c r="M2071" i="1"/>
  <c r="M2072" i="1"/>
  <c r="N2071" i="1"/>
  <c r="N2072" i="1"/>
  <c r="K2069" i="1"/>
  <c r="K2070" i="1"/>
  <c r="M2069" i="1"/>
  <c r="M2070" i="1"/>
  <c r="N2069" i="1"/>
  <c r="N2070" i="1"/>
  <c r="K2067" i="1"/>
  <c r="K2068" i="1"/>
  <c r="M2067" i="1"/>
  <c r="M2068" i="1"/>
  <c r="N2067" i="1"/>
  <c r="N2068" i="1"/>
  <c r="K2066" i="1"/>
  <c r="M2066" i="1"/>
  <c r="N2066" i="1"/>
  <c r="K2065" i="1"/>
  <c r="M2065" i="1"/>
  <c r="N2065" i="1"/>
  <c r="K2064" i="1"/>
  <c r="M2064" i="1"/>
  <c r="N2064" i="1"/>
  <c r="K2062" i="1"/>
  <c r="K2063" i="1"/>
  <c r="M2062" i="1"/>
  <c r="M2063" i="1"/>
  <c r="N2062" i="1"/>
  <c r="N2063" i="1"/>
  <c r="K2057" i="1"/>
  <c r="K2058" i="1"/>
  <c r="K2059" i="1"/>
  <c r="K2060" i="1"/>
  <c r="K2061" i="1"/>
  <c r="M2057" i="1"/>
  <c r="M2058" i="1"/>
  <c r="M2059" i="1"/>
  <c r="M2060" i="1"/>
  <c r="M2061" i="1"/>
  <c r="N2057" i="1"/>
  <c r="N2058" i="1"/>
  <c r="N2059" i="1"/>
  <c r="N2060" i="1"/>
  <c r="N2061" i="1"/>
  <c r="K2055" i="1"/>
  <c r="K2056" i="1"/>
  <c r="M2055" i="1"/>
  <c r="M2056" i="1"/>
  <c r="N2055" i="1"/>
  <c r="N2056" i="1"/>
  <c r="K2054" i="1" l="1"/>
  <c r="M2054" i="1"/>
  <c r="N2054" i="1"/>
  <c r="K2052" i="1"/>
  <c r="K2053" i="1"/>
  <c r="M2052" i="1"/>
  <c r="M2053" i="1"/>
  <c r="N2052" i="1"/>
  <c r="N2053" i="1"/>
  <c r="K2049" i="1"/>
  <c r="K2050" i="1"/>
  <c r="K2051" i="1"/>
  <c r="M2049" i="1"/>
  <c r="M2050" i="1"/>
  <c r="M2051" i="1"/>
  <c r="N2049" i="1"/>
  <c r="N2050" i="1"/>
  <c r="N2051" i="1"/>
  <c r="K2048" i="1"/>
  <c r="M2048" i="1"/>
  <c r="N2048" i="1"/>
  <c r="K2047" i="1"/>
  <c r="M2047" i="1"/>
  <c r="N2047" i="1"/>
  <c r="K2043" i="1"/>
  <c r="K2044" i="1"/>
  <c r="K2045" i="1"/>
  <c r="K2046" i="1"/>
  <c r="M2043" i="1"/>
  <c r="M2044" i="1"/>
  <c r="M2045" i="1"/>
  <c r="M2046" i="1"/>
  <c r="N2043" i="1"/>
  <c r="N2044" i="1"/>
  <c r="N2045" i="1"/>
  <c r="N2046" i="1"/>
  <c r="K2042" i="1"/>
  <c r="M2042" i="1"/>
  <c r="N2042" i="1"/>
  <c r="K2041" i="1"/>
  <c r="M2041" i="1"/>
  <c r="N2041" i="1"/>
  <c r="K2040" i="1"/>
  <c r="M2040" i="1"/>
  <c r="N2040" i="1"/>
  <c r="K2038" i="1"/>
  <c r="K2039" i="1"/>
  <c r="M2038" i="1"/>
  <c r="M2039" i="1"/>
  <c r="N2038" i="1"/>
  <c r="N2039" i="1"/>
  <c r="K2037" i="1"/>
  <c r="M2037" i="1"/>
  <c r="N2037" i="1"/>
  <c r="K2036" i="1"/>
  <c r="M2036" i="1"/>
  <c r="N2036" i="1"/>
  <c r="K2035" i="1"/>
  <c r="M2035" i="1"/>
  <c r="N2035" i="1"/>
  <c r="K2033" i="1"/>
  <c r="K2034" i="1"/>
  <c r="M2033" i="1"/>
  <c r="M2034" i="1"/>
  <c r="N2033" i="1"/>
  <c r="N2034" i="1"/>
  <c r="K2032" i="1"/>
  <c r="M2032" i="1"/>
  <c r="N2032" i="1"/>
  <c r="K2029" i="1"/>
  <c r="K2030" i="1"/>
  <c r="K2031" i="1"/>
  <c r="M2029" i="1"/>
  <c r="M2030" i="1"/>
  <c r="M2031" i="1"/>
  <c r="N2029" i="1"/>
  <c r="N2030" i="1"/>
  <c r="N2031" i="1"/>
  <c r="K2028" i="1"/>
  <c r="M2028" i="1"/>
  <c r="N2028" i="1"/>
  <c r="K2027" i="1"/>
  <c r="M2027" i="1"/>
  <c r="N2027" i="1"/>
  <c r="K2026" i="1"/>
  <c r="M2026" i="1"/>
  <c r="N2026" i="1"/>
  <c r="K2025" i="1"/>
  <c r="M2025" i="1"/>
  <c r="N2025" i="1"/>
  <c r="K2024" i="1"/>
  <c r="M2024" i="1"/>
  <c r="N2024" i="1"/>
  <c r="K2023" i="1"/>
  <c r="M2023" i="1"/>
  <c r="N2023" i="1"/>
  <c r="K2013" i="1"/>
  <c r="K2014" i="1"/>
  <c r="K2015" i="1"/>
  <c r="K2016" i="1"/>
  <c r="K2017" i="1"/>
  <c r="K2018" i="1"/>
  <c r="K2019" i="1"/>
  <c r="K2020" i="1"/>
  <c r="K2021" i="1"/>
  <c r="K2022" i="1"/>
  <c r="M2013" i="1"/>
  <c r="M2014" i="1"/>
  <c r="M2015" i="1"/>
  <c r="M2016" i="1"/>
  <c r="M2017" i="1"/>
  <c r="M2018" i="1"/>
  <c r="M2019" i="1"/>
  <c r="M2020" i="1"/>
  <c r="M2021" i="1"/>
  <c r="M2022" i="1"/>
  <c r="N2013" i="1"/>
  <c r="N2014" i="1"/>
  <c r="N2015" i="1"/>
  <c r="N2016" i="1"/>
  <c r="N2017" i="1"/>
  <c r="N2018" i="1"/>
  <c r="N2019" i="1"/>
  <c r="N2020" i="1"/>
  <c r="N2021" i="1"/>
  <c r="N2022" i="1"/>
  <c r="K1998" i="1"/>
  <c r="K1999" i="1"/>
  <c r="K2000" i="1"/>
  <c r="K2001" i="1"/>
  <c r="K2002" i="1"/>
  <c r="K2003" i="1"/>
  <c r="K2004" i="1"/>
  <c r="K2005" i="1"/>
  <c r="K2006" i="1"/>
  <c r="K2007" i="1"/>
  <c r="K2008" i="1"/>
  <c r="K2009" i="1"/>
  <c r="K2010" i="1"/>
  <c r="K2011" i="1"/>
  <c r="K2012" i="1"/>
  <c r="M1998" i="1"/>
  <c r="M1999" i="1"/>
  <c r="M2000" i="1"/>
  <c r="M2001" i="1"/>
  <c r="M2002" i="1"/>
  <c r="M2003" i="1"/>
  <c r="M2004" i="1"/>
  <c r="M2005" i="1"/>
  <c r="M2006" i="1"/>
  <c r="M2007" i="1"/>
  <c r="M2008" i="1"/>
  <c r="M2009" i="1"/>
  <c r="M2010" i="1"/>
  <c r="M2011" i="1"/>
  <c r="M2012" i="1"/>
  <c r="N1998" i="1"/>
  <c r="N1999" i="1"/>
  <c r="N2000" i="1"/>
  <c r="N2001" i="1"/>
  <c r="N2002" i="1"/>
  <c r="N2003" i="1"/>
  <c r="N2004" i="1"/>
  <c r="N2005" i="1"/>
  <c r="N2006" i="1"/>
  <c r="N2007" i="1"/>
  <c r="N2008" i="1"/>
  <c r="N2009" i="1"/>
  <c r="N2010" i="1"/>
  <c r="N2011" i="1"/>
  <c r="N2012" i="1"/>
  <c r="K1997" i="1"/>
  <c r="M1997" i="1"/>
  <c r="N1997" i="1"/>
  <c r="K1996" i="1"/>
  <c r="M1996" i="1"/>
  <c r="N1996" i="1"/>
  <c r="K1995" i="1"/>
  <c r="M1995" i="1"/>
  <c r="N1995" i="1"/>
  <c r="K1989" i="1"/>
  <c r="K1990" i="1"/>
  <c r="K1991" i="1"/>
  <c r="K1992" i="1"/>
  <c r="K1993" i="1"/>
  <c r="K1994" i="1"/>
  <c r="M1989" i="1"/>
  <c r="M1990" i="1"/>
  <c r="M1991" i="1"/>
  <c r="M1992" i="1"/>
  <c r="M1993" i="1"/>
  <c r="M1994" i="1"/>
  <c r="N1989" i="1"/>
  <c r="N1990" i="1"/>
  <c r="N1991" i="1"/>
  <c r="N1992" i="1"/>
  <c r="N1993" i="1"/>
  <c r="N1994" i="1"/>
  <c r="K1988" i="1"/>
  <c r="M1988" i="1"/>
  <c r="N1988" i="1"/>
  <c r="K1984" i="1"/>
  <c r="K1985" i="1"/>
  <c r="K1986" i="1"/>
  <c r="K1987" i="1"/>
  <c r="M1984" i="1"/>
  <c r="M1985" i="1"/>
  <c r="M1986" i="1"/>
  <c r="M1987" i="1"/>
  <c r="N1984" i="1"/>
  <c r="N1985" i="1"/>
  <c r="N1986" i="1"/>
  <c r="N1987" i="1"/>
  <c r="K1983" i="1"/>
  <c r="M1983" i="1"/>
  <c r="N1983" i="1"/>
  <c r="K1981" i="1"/>
  <c r="K1982" i="1"/>
  <c r="M1981" i="1"/>
  <c r="M1982" i="1"/>
  <c r="N1981" i="1"/>
  <c r="N1982" i="1"/>
  <c r="K1978" i="1"/>
  <c r="K1979" i="1"/>
  <c r="K1980" i="1"/>
  <c r="M1978" i="1"/>
  <c r="M1979" i="1"/>
  <c r="M1980" i="1"/>
  <c r="N1978" i="1"/>
  <c r="N1979" i="1"/>
  <c r="N1980" i="1"/>
  <c r="K1977" i="1"/>
  <c r="M1977" i="1"/>
  <c r="N1977" i="1"/>
  <c r="K1976" i="1"/>
  <c r="M1976" i="1"/>
  <c r="N1976" i="1"/>
  <c r="K1967" i="1"/>
  <c r="K1968" i="1"/>
  <c r="K1969" i="1"/>
  <c r="K1970" i="1"/>
  <c r="K1971" i="1"/>
  <c r="K1972" i="1"/>
  <c r="K1973" i="1"/>
  <c r="K1974" i="1"/>
  <c r="K1975" i="1"/>
  <c r="M1967" i="1"/>
  <c r="M1968" i="1"/>
  <c r="M1969" i="1"/>
  <c r="M1970" i="1"/>
  <c r="M1971" i="1"/>
  <c r="M1972" i="1"/>
  <c r="M1973" i="1"/>
  <c r="M1974" i="1"/>
  <c r="M1975" i="1"/>
  <c r="N1967" i="1"/>
  <c r="N1968" i="1"/>
  <c r="N1969" i="1"/>
  <c r="N1970" i="1"/>
  <c r="N1971" i="1"/>
  <c r="N1972" i="1"/>
  <c r="N1973" i="1"/>
  <c r="N1974" i="1"/>
  <c r="N1975" i="1"/>
  <c r="K1965" i="1"/>
  <c r="K1966" i="1"/>
  <c r="M1965" i="1"/>
  <c r="M1966" i="1"/>
  <c r="N1965" i="1"/>
  <c r="N1966" i="1"/>
  <c r="K1962" i="1"/>
  <c r="K1963" i="1"/>
  <c r="K1964" i="1"/>
  <c r="M1962" i="1"/>
  <c r="M1963" i="1"/>
  <c r="M1964" i="1"/>
  <c r="N1962" i="1"/>
  <c r="N1963" i="1"/>
  <c r="N1964" i="1"/>
  <c r="K1959" i="1"/>
  <c r="K1960" i="1"/>
  <c r="K1961" i="1"/>
  <c r="M1959" i="1"/>
  <c r="M1960" i="1"/>
  <c r="M1961" i="1"/>
  <c r="N1959" i="1"/>
  <c r="N1960" i="1"/>
  <c r="N1961" i="1"/>
  <c r="K1957" i="1"/>
  <c r="K1958" i="1"/>
  <c r="M1957" i="1"/>
  <c r="M1958" i="1"/>
  <c r="N1957" i="1"/>
  <c r="N1958" i="1"/>
  <c r="K1926" i="1"/>
  <c r="K1927" i="1"/>
  <c r="K1928" i="1"/>
  <c r="K1929" i="1"/>
  <c r="K1930" i="1"/>
  <c r="K1931" i="1"/>
  <c r="K1932" i="1"/>
  <c r="K1933" i="1"/>
  <c r="K1934" i="1"/>
  <c r="K1935" i="1"/>
  <c r="K1936" i="1"/>
  <c r="K1937" i="1"/>
  <c r="K1938" i="1"/>
  <c r="K1939" i="1"/>
  <c r="K1940" i="1"/>
  <c r="K1941" i="1"/>
  <c r="K1942" i="1"/>
  <c r="K1943" i="1"/>
  <c r="K1944" i="1"/>
  <c r="K1945" i="1"/>
  <c r="K1946" i="1"/>
  <c r="K1947" i="1"/>
  <c r="K1948" i="1"/>
  <c r="K1949" i="1"/>
  <c r="K1950" i="1"/>
  <c r="K1951" i="1"/>
  <c r="K1952" i="1"/>
  <c r="K1953" i="1"/>
  <c r="K1954" i="1"/>
  <c r="K1955" i="1"/>
  <c r="K1956"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N1926" i="1"/>
  <c r="N1927" i="1"/>
  <c r="N1928" i="1"/>
  <c r="N1929" i="1"/>
  <c r="N1930" i="1"/>
  <c r="N1931" i="1"/>
  <c r="N1932" i="1"/>
  <c r="N1933" i="1"/>
  <c r="N1934" i="1"/>
  <c r="N1935" i="1"/>
  <c r="N1936" i="1"/>
  <c r="N1937" i="1"/>
  <c r="N1938" i="1"/>
  <c r="N1939" i="1"/>
  <c r="N1940" i="1"/>
  <c r="N1941" i="1"/>
  <c r="N1942" i="1"/>
  <c r="N1943" i="1"/>
  <c r="N1944" i="1"/>
  <c r="N1945" i="1"/>
  <c r="N1946" i="1"/>
  <c r="N1947" i="1"/>
  <c r="N1948" i="1"/>
  <c r="N1949" i="1"/>
  <c r="N1950" i="1"/>
  <c r="N1951" i="1"/>
  <c r="N1952" i="1"/>
  <c r="N1953" i="1"/>
  <c r="N1954" i="1"/>
  <c r="N1955" i="1"/>
  <c r="N1956" i="1"/>
  <c r="K1920" i="1"/>
  <c r="K1921" i="1"/>
  <c r="K1922" i="1"/>
  <c r="K1923" i="1"/>
  <c r="K1924" i="1"/>
  <c r="K1925" i="1"/>
  <c r="M1920" i="1"/>
  <c r="M1921" i="1"/>
  <c r="M1922" i="1"/>
  <c r="M1923" i="1"/>
  <c r="M1924" i="1"/>
  <c r="M1925" i="1"/>
  <c r="N1920" i="1"/>
  <c r="N1921" i="1"/>
  <c r="N1922" i="1"/>
  <c r="N1923" i="1"/>
  <c r="N1924" i="1"/>
  <c r="N1925" i="1"/>
  <c r="K1908" i="1"/>
  <c r="K1909" i="1"/>
  <c r="K1910" i="1"/>
  <c r="K1911" i="1"/>
  <c r="K1912" i="1"/>
  <c r="K1913" i="1"/>
  <c r="K1914" i="1"/>
  <c r="K1915" i="1"/>
  <c r="K1916" i="1"/>
  <c r="K1917" i="1"/>
  <c r="K1918" i="1"/>
  <c r="K1919" i="1"/>
  <c r="M1908" i="1"/>
  <c r="M1909" i="1"/>
  <c r="M1910" i="1"/>
  <c r="M1911" i="1"/>
  <c r="M1912" i="1"/>
  <c r="M1913" i="1"/>
  <c r="M1914" i="1"/>
  <c r="M1915" i="1"/>
  <c r="M1916" i="1"/>
  <c r="M1917" i="1"/>
  <c r="M1918" i="1"/>
  <c r="M1919" i="1"/>
  <c r="N1908" i="1"/>
  <c r="N1909" i="1"/>
  <c r="N1910" i="1"/>
  <c r="N1911" i="1"/>
  <c r="N1912" i="1"/>
  <c r="N1913" i="1"/>
  <c r="N1914" i="1"/>
  <c r="N1915" i="1"/>
  <c r="N1916" i="1"/>
  <c r="N1917" i="1"/>
  <c r="N1918" i="1"/>
  <c r="N1919" i="1"/>
  <c r="K1906" i="1"/>
  <c r="K1907" i="1"/>
  <c r="M1906" i="1"/>
  <c r="M1907" i="1"/>
  <c r="N1906" i="1"/>
  <c r="N1907" i="1"/>
  <c r="K1904" i="1"/>
  <c r="K1905" i="1"/>
  <c r="M1904" i="1"/>
  <c r="M1905" i="1"/>
  <c r="N1904" i="1"/>
  <c r="N1905" i="1"/>
  <c r="K1903" i="1"/>
  <c r="M1903" i="1"/>
  <c r="N1903" i="1"/>
  <c r="K1902" i="1"/>
  <c r="M1902" i="1"/>
  <c r="N1902" i="1"/>
  <c r="K1891" i="1"/>
  <c r="K1892" i="1"/>
  <c r="K1893" i="1"/>
  <c r="K1894" i="1"/>
  <c r="K1895" i="1"/>
  <c r="K1896" i="1"/>
  <c r="K1897" i="1"/>
  <c r="K1898" i="1"/>
  <c r="K1899" i="1"/>
  <c r="K1900" i="1"/>
  <c r="K1901" i="1"/>
  <c r="M1891" i="1"/>
  <c r="M1892" i="1"/>
  <c r="M1893" i="1"/>
  <c r="M1894" i="1"/>
  <c r="M1895" i="1"/>
  <c r="M1896" i="1"/>
  <c r="M1897" i="1"/>
  <c r="M1898" i="1"/>
  <c r="M1899" i="1"/>
  <c r="M1900" i="1"/>
  <c r="M1901" i="1"/>
  <c r="N1891" i="1"/>
  <c r="N1892" i="1"/>
  <c r="N1893" i="1"/>
  <c r="N1894" i="1"/>
  <c r="N1895" i="1"/>
  <c r="N1896" i="1"/>
  <c r="N1897" i="1"/>
  <c r="N1898" i="1"/>
  <c r="N1899" i="1"/>
  <c r="N1900" i="1"/>
  <c r="N1901" i="1"/>
  <c r="K1890" i="1"/>
  <c r="M1890" i="1"/>
  <c r="N1890" i="1"/>
  <c r="K1888" i="1"/>
  <c r="K1889" i="1"/>
  <c r="M1888" i="1"/>
  <c r="M1889" i="1"/>
  <c r="N1888" i="1"/>
  <c r="N1889" i="1"/>
  <c r="K1887" i="1"/>
  <c r="M1887" i="1"/>
  <c r="N1887" i="1"/>
  <c r="K1886" i="1"/>
  <c r="M1886" i="1"/>
  <c r="N1886" i="1"/>
  <c r="K1883" i="1"/>
  <c r="K1884" i="1"/>
  <c r="K1885" i="1"/>
  <c r="M1883" i="1"/>
  <c r="M1884" i="1"/>
  <c r="M1885" i="1"/>
  <c r="N1883" i="1"/>
  <c r="N1884" i="1"/>
  <c r="N1885" i="1"/>
  <c r="K1882" i="1"/>
  <c r="M1882" i="1"/>
  <c r="N1882" i="1"/>
  <c r="K1879" i="1"/>
  <c r="K1880" i="1"/>
  <c r="K1881" i="1"/>
  <c r="M1879" i="1"/>
  <c r="M1880" i="1"/>
  <c r="M1881" i="1"/>
  <c r="N1879" i="1"/>
  <c r="N1880" i="1"/>
  <c r="N1881" i="1"/>
  <c r="K1877" i="1"/>
  <c r="K1878" i="1"/>
  <c r="M1877" i="1"/>
  <c r="M1878" i="1"/>
  <c r="N1877" i="1"/>
  <c r="N1878" i="1"/>
  <c r="K1874" i="1"/>
  <c r="K1875" i="1"/>
  <c r="K1876" i="1"/>
  <c r="M1874" i="1"/>
  <c r="M1875" i="1"/>
  <c r="M1876" i="1"/>
  <c r="N1874" i="1"/>
  <c r="N1875" i="1"/>
  <c r="N1876" i="1"/>
  <c r="K1872" i="1"/>
  <c r="K1873" i="1"/>
  <c r="M1872" i="1"/>
  <c r="M1873" i="1"/>
  <c r="N1872" i="1"/>
  <c r="N1873" i="1"/>
  <c r="K1866" i="1"/>
  <c r="K1867" i="1"/>
  <c r="K1868" i="1"/>
  <c r="K1869" i="1"/>
  <c r="K1870" i="1"/>
  <c r="K1871" i="1"/>
  <c r="M1866" i="1"/>
  <c r="M1867" i="1"/>
  <c r="M1868" i="1"/>
  <c r="M1869" i="1"/>
  <c r="M1870" i="1"/>
  <c r="M1871" i="1"/>
  <c r="N1866" i="1"/>
  <c r="N1867" i="1"/>
  <c r="N1868" i="1"/>
  <c r="N1869" i="1"/>
  <c r="N1870" i="1"/>
  <c r="N1871" i="1"/>
  <c r="K1865" i="1"/>
  <c r="M1865" i="1"/>
  <c r="N1865" i="1"/>
  <c r="K1864" i="1"/>
  <c r="M1864" i="1"/>
  <c r="N1864" i="1"/>
  <c r="K1863" i="1"/>
  <c r="M1863" i="1"/>
  <c r="N1863" i="1"/>
  <c r="K1862" i="1"/>
  <c r="M1862" i="1"/>
  <c r="N1862" i="1"/>
  <c r="K1861" i="1"/>
  <c r="M1861" i="1"/>
  <c r="N1861" i="1"/>
  <c r="K1859" i="1"/>
  <c r="K1860" i="1"/>
  <c r="M1859" i="1"/>
  <c r="M1860" i="1"/>
  <c r="N1859" i="1"/>
  <c r="N1860" i="1"/>
  <c r="K1855" i="1"/>
  <c r="K1856" i="1"/>
  <c r="K1857" i="1"/>
  <c r="K1858" i="1"/>
  <c r="M1855" i="1"/>
  <c r="M1856" i="1"/>
  <c r="M1857" i="1"/>
  <c r="M1858" i="1"/>
  <c r="N1855" i="1"/>
  <c r="N1856" i="1"/>
  <c r="N1857" i="1"/>
  <c r="N1858" i="1"/>
  <c r="K1854" i="1"/>
  <c r="M1854" i="1"/>
  <c r="N1854" i="1"/>
  <c r="K1843" i="1"/>
  <c r="K1844" i="1"/>
  <c r="K1845" i="1"/>
  <c r="K1846" i="1"/>
  <c r="K1847" i="1"/>
  <c r="K1848" i="1"/>
  <c r="K1849" i="1"/>
  <c r="K1850" i="1"/>
  <c r="K1851" i="1"/>
  <c r="K1852" i="1"/>
  <c r="K1853" i="1"/>
  <c r="M1843" i="1"/>
  <c r="M1844" i="1"/>
  <c r="M1845" i="1"/>
  <c r="M1846" i="1"/>
  <c r="M1847" i="1"/>
  <c r="M1848" i="1"/>
  <c r="M1849" i="1"/>
  <c r="M1850" i="1"/>
  <c r="M1851" i="1"/>
  <c r="M1852" i="1"/>
  <c r="M1853" i="1"/>
  <c r="N1843" i="1"/>
  <c r="N1844" i="1"/>
  <c r="N1845" i="1"/>
  <c r="N1846" i="1"/>
  <c r="N1847" i="1"/>
  <c r="N1848" i="1"/>
  <c r="N1849" i="1"/>
  <c r="N1850" i="1"/>
  <c r="N1851" i="1"/>
  <c r="N1852" i="1"/>
  <c r="N1853" i="1"/>
  <c r="K1842" i="1"/>
  <c r="M1842" i="1"/>
  <c r="N1842" i="1"/>
  <c r="K1841" i="1"/>
  <c r="M1841" i="1"/>
  <c r="N1841" i="1"/>
  <c r="K1840" i="1"/>
  <c r="M1840" i="1"/>
  <c r="N1840" i="1"/>
  <c r="K1832" i="1"/>
  <c r="K1833" i="1"/>
  <c r="K1834" i="1"/>
  <c r="K1835" i="1"/>
  <c r="K1836" i="1"/>
  <c r="K1837" i="1"/>
  <c r="K1838" i="1"/>
  <c r="K1839" i="1"/>
  <c r="M1832" i="1"/>
  <c r="M1833" i="1"/>
  <c r="M1834" i="1"/>
  <c r="M1835" i="1"/>
  <c r="M1836" i="1"/>
  <c r="M1837" i="1"/>
  <c r="M1838" i="1"/>
  <c r="M1839" i="1"/>
  <c r="N1832" i="1"/>
  <c r="N1833" i="1"/>
  <c r="N1834" i="1"/>
  <c r="N1835" i="1"/>
  <c r="N1836" i="1"/>
  <c r="N1837" i="1"/>
  <c r="N1838" i="1"/>
  <c r="N1839" i="1"/>
  <c r="S19" i="5"/>
  <c r="S18" i="5"/>
  <c r="S17" i="5"/>
  <c r="S16" i="5"/>
  <c r="S15" i="5"/>
  <c r="S14" i="5"/>
  <c r="S13" i="5"/>
  <c r="S12" i="5"/>
  <c r="S11" i="5"/>
  <c r="S10" i="5"/>
  <c r="S9" i="5"/>
  <c r="K1831" i="1"/>
  <c r="M1831" i="1"/>
  <c r="N1831" i="1"/>
  <c r="K1830" i="1"/>
  <c r="M1830" i="1"/>
  <c r="N1830" i="1"/>
  <c r="K1819" i="1"/>
  <c r="K1820" i="1"/>
  <c r="K1821" i="1"/>
  <c r="K1822" i="1"/>
  <c r="K1823" i="1"/>
  <c r="K1824" i="1"/>
  <c r="K1825" i="1"/>
  <c r="K1826" i="1"/>
  <c r="K1827" i="1"/>
  <c r="K1828" i="1"/>
  <c r="K1829" i="1"/>
  <c r="M1819" i="1"/>
  <c r="M1820" i="1"/>
  <c r="M1821" i="1"/>
  <c r="M1822" i="1"/>
  <c r="M1823" i="1"/>
  <c r="M1824" i="1"/>
  <c r="M1825" i="1"/>
  <c r="M1826" i="1"/>
  <c r="M1827" i="1"/>
  <c r="M1828" i="1"/>
  <c r="M1829" i="1"/>
  <c r="N1819" i="1"/>
  <c r="N1820" i="1"/>
  <c r="N1821" i="1"/>
  <c r="N1822" i="1"/>
  <c r="N1823" i="1"/>
  <c r="N1824" i="1"/>
  <c r="N1825" i="1"/>
  <c r="N1826" i="1"/>
  <c r="N1827" i="1"/>
  <c r="N1828" i="1"/>
  <c r="N1829" i="1"/>
  <c r="K1818" i="1"/>
  <c r="M1818" i="1"/>
  <c r="N1818" i="1"/>
  <c r="K1816" i="1"/>
  <c r="K1817" i="1"/>
  <c r="M1816" i="1"/>
  <c r="M1817" i="1"/>
  <c r="N1816" i="1"/>
  <c r="N1817" i="1"/>
  <c r="K1815" i="1"/>
  <c r="M1815" i="1"/>
  <c r="N1815" i="1"/>
  <c r="K1809" i="1"/>
  <c r="K1810" i="1"/>
  <c r="K1811" i="1"/>
  <c r="K1812" i="1"/>
  <c r="K1813" i="1"/>
  <c r="K1814" i="1"/>
  <c r="M1809" i="1"/>
  <c r="M1810" i="1"/>
  <c r="M1811" i="1"/>
  <c r="M1812" i="1"/>
  <c r="M1813" i="1"/>
  <c r="M1814" i="1"/>
  <c r="N1809" i="1"/>
  <c r="N1810" i="1"/>
  <c r="N1811" i="1"/>
  <c r="N1812" i="1"/>
  <c r="N1813" i="1"/>
  <c r="N1814" i="1"/>
  <c r="K1808" i="1"/>
  <c r="M1808" i="1"/>
  <c r="N1808" i="1"/>
  <c r="K1807" i="1"/>
  <c r="M1807" i="1"/>
  <c r="N1807" i="1"/>
  <c r="K1806" i="1"/>
  <c r="M1806" i="1"/>
  <c r="N1806" i="1"/>
  <c r="K1805" i="1"/>
  <c r="M1805" i="1"/>
  <c r="N1805" i="1"/>
  <c r="K1799" i="1"/>
  <c r="K1800" i="1"/>
  <c r="K1801" i="1"/>
  <c r="K1802" i="1"/>
  <c r="K1803" i="1"/>
  <c r="K1804" i="1"/>
  <c r="M1799" i="1"/>
  <c r="M1800" i="1"/>
  <c r="M1801" i="1"/>
  <c r="M1802" i="1"/>
  <c r="M1803" i="1"/>
  <c r="M1804" i="1"/>
  <c r="N1799" i="1"/>
  <c r="N1800" i="1"/>
  <c r="N1801" i="1"/>
  <c r="N1802" i="1"/>
  <c r="N1803" i="1"/>
  <c r="N1804" i="1"/>
  <c r="K1798" i="1"/>
  <c r="M1798" i="1"/>
  <c r="N1798" i="1"/>
  <c r="K1797" i="1"/>
  <c r="M1797" i="1"/>
  <c r="N1797" i="1"/>
  <c r="K1796" i="1"/>
  <c r="M1796" i="1"/>
  <c r="N1796" i="1"/>
  <c r="K1795" i="1"/>
  <c r="M1795" i="1"/>
  <c r="N1795" i="1"/>
  <c r="K1793" i="1"/>
  <c r="K1794" i="1"/>
  <c r="M1793" i="1"/>
  <c r="M1794" i="1"/>
  <c r="N1793" i="1"/>
  <c r="N1794" i="1"/>
  <c r="K1791" i="1"/>
  <c r="K1792" i="1"/>
  <c r="M1791" i="1"/>
  <c r="M1792" i="1"/>
  <c r="N1791" i="1"/>
  <c r="N1792" i="1"/>
  <c r="K1787" i="1"/>
  <c r="K1788" i="1"/>
  <c r="K1789" i="1"/>
  <c r="K1790" i="1"/>
  <c r="M1787" i="1"/>
  <c r="M1788" i="1"/>
  <c r="M1789" i="1"/>
  <c r="M1790" i="1"/>
  <c r="N1787" i="1"/>
  <c r="N1788" i="1"/>
  <c r="N1789" i="1"/>
  <c r="N1790" i="1"/>
  <c r="K1784" i="1"/>
  <c r="K1785" i="1"/>
  <c r="K1786" i="1"/>
  <c r="M1784" i="1"/>
  <c r="M1785" i="1"/>
  <c r="M1786" i="1"/>
  <c r="N1784" i="1"/>
  <c r="N1785" i="1"/>
  <c r="N1786" i="1"/>
  <c r="K1782" i="1"/>
  <c r="K1783" i="1"/>
  <c r="M1782" i="1"/>
  <c r="M1783" i="1"/>
  <c r="N1782" i="1"/>
  <c r="N1783" i="1"/>
  <c r="K1780" i="1"/>
  <c r="K1781" i="1"/>
  <c r="M1780" i="1"/>
  <c r="M1781" i="1"/>
  <c r="N1780" i="1"/>
  <c r="N1781" i="1"/>
  <c r="K1778" i="1"/>
  <c r="K1779" i="1"/>
  <c r="M1778" i="1"/>
  <c r="M1779" i="1"/>
  <c r="N1778" i="1"/>
  <c r="N1779" i="1"/>
  <c r="K1774" i="1"/>
  <c r="K1775" i="1"/>
  <c r="K1776" i="1"/>
  <c r="K1777" i="1"/>
  <c r="M1774" i="1"/>
  <c r="M1775" i="1"/>
  <c r="M1776" i="1"/>
  <c r="M1777" i="1"/>
  <c r="N1774" i="1"/>
  <c r="N1775" i="1"/>
  <c r="N1776" i="1"/>
  <c r="N1777" i="1"/>
  <c r="K1773" i="1"/>
  <c r="M1773" i="1"/>
  <c r="N1773" i="1"/>
  <c r="K1772" i="1"/>
  <c r="M1772" i="1"/>
  <c r="N1772" i="1"/>
  <c r="K1770" i="1"/>
  <c r="K1771" i="1"/>
  <c r="M1770" i="1"/>
  <c r="M1771" i="1"/>
  <c r="N1770" i="1"/>
  <c r="N1771" i="1"/>
  <c r="K1769" i="1"/>
  <c r="M1769" i="1"/>
  <c r="N1769" i="1"/>
  <c r="K1767" i="1"/>
  <c r="K1768" i="1"/>
  <c r="M1767" i="1"/>
  <c r="M1768" i="1"/>
  <c r="N1767" i="1"/>
  <c r="N1768" i="1"/>
  <c r="K1764" i="1"/>
  <c r="K1765" i="1"/>
  <c r="K1766" i="1"/>
  <c r="M1764" i="1"/>
  <c r="M1765" i="1"/>
  <c r="M1766" i="1"/>
  <c r="N1764" i="1"/>
  <c r="N1765" i="1"/>
  <c r="N1766" i="1"/>
  <c r="K1762" i="1"/>
  <c r="K1763" i="1"/>
  <c r="M1762" i="1"/>
  <c r="M1763" i="1"/>
  <c r="N1762" i="1"/>
  <c r="N1763" i="1"/>
  <c r="K1761" i="1"/>
  <c r="M1761" i="1"/>
  <c r="N1761" i="1"/>
  <c r="K1760" i="1"/>
  <c r="M1760" i="1"/>
  <c r="N1760" i="1"/>
  <c r="K1759" i="1"/>
  <c r="M1759" i="1"/>
  <c r="N1759" i="1"/>
  <c r="K1758" i="1"/>
  <c r="M1758" i="1"/>
  <c r="N1758" i="1"/>
  <c r="K1757" i="1"/>
  <c r="M1757" i="1"/>
  <c r="N1757" i="1"/>
  <c r="K1756" i="1"/>
  <c r="M1756" i="1"/>
  <c r="N1756" i="1"/>
  <c r="K1754" i="1"/>
  <c r="K1755" i="1"/>
  <c r="M1754" i="1"/>
  <c r="M1755" i="1"/>
  <c r="N1754" i="1"/>
  <c r="N1755" i="1"/>
  <c r="K1753" i="1"/>
  <c r="M1753" i="1"/>
  <c r="N1753" i="1"/>
  <c r="K1752" i="1"/>
  <c r="M1752" i="1"/>
  <c r="N1752" i="1"/>
  <c r="K1750" i="1"/>
  <c r="K1751" i="1"/>
  <c r="M1750" i="1"/>
  <c r="M1751" i="1"/>
  <c r="N1750" i="1"/>
  <c r="N1751" i="1"/>
  <c r="K1749" i="1"/>
  <c r="M1749" i="1"/>
  <c r="N1749" i="1"/>
  <c r="K1748" i="1"/>
  <c r="M1748" i="1"/>
  <c r="N1748" i="1"/>
  <c r="K1747" i="1"/>
  <c r="M1747" i="1"/>
  <c r="N1747" i="1"/>
  <c r="K1746" i="1"/>
  <c r="M1746" i="1"/>
  <c r="N1746" i="1"/>
  <c r="K1745" i="1"/>
  <c r="M1745" i="1"/>
  <c r="N1745" i="1"/>
  <c r="K1744" i="1"/>
  <c r="M1744" i="1"/>
  <c r="N1744" i="1"/>
  <c r="K1743" i="1"/>
  <c r="M1743" i="1"/>
  <c r="N1743" i="1"/>
  <c r="K1741" i="1"/>
  <c r="K1742" i="1"/>
  <c r="M1741" i="1"/>
  <c r="M1742" i="1"/>
  <c r="N1741" i="1"/>
  <c r="N1742" i="1"/>
  <c r="K1740" i="1"/>
  <c r="M1740" i="1"/>
  <c r="N1740" i="1"/>
  <c r="K1739" i="1"/>
  <c r="M1739" i="1"/>
  <c r="N1739" i="1"/>
  <c r="K1737" i="1"/>
  <c r="K1738" i="1"/>
  <c r="M1737" i="1"/>
  <c r="M1738" i="1"/>
  <c r="N1737" i="1"/>
  <c r="N1738" i="1"/>
  <c r="K1735" i="1"/>
  <c r="K1736" i="1"/>
  <c r="M1735" i="1"/>
  <c r="M1736" i="1"/>
  <c r="N1735" i="1"/>
  <c r="N1736" i="1"/>
  <c r="K1734" i="1"/>
  <c r="M1734" i="1"/>
  <c r="N1734" i="1"/>
  <c r="K1733" i="1"/>
  <c r="M1733" i="1"/>
  <c r="N1733" i="1"/>
  <c r="K1732" i="1"/>
  <c r="M1732" i="1"/>
  <c r="N1732" i="1"/>
  <c r="K1731" i="1"/>
  <c r="M1731" i="1"/>
  <c r="N1731" i="1"/>
  <c r="K1730" i="1"/>
  <c r="M1730" i="1"/>
  <c r="N1730" i="1"/>
  <c r="K1729" i="1"/>
  <c r="M1729" i="1"/>
  <c r="N1729" i="1"/>
  <c r="K1727" i="1"/>
  <c r="K1728" i="1"/>
  <c r="M1727" i="1"/>
  <c r="M1728" i="1"/>
  <c r="N1727" i="1"/>
  <c r="N1728" i="1"/>
  <c r="K1725" i="1"/>
  <c r="K1726" i="1"/>
  <c r="M1725" i="1"/>
  <c r="M1726" i="1"/>
  <c r="N1725" i="1"/>
  <c r="N1726" i="1"/>
  <c r="K1719" i="1"/>
  <c r="K1720" i="1"/>
  <c r="K1721" i="1"/>
  <c r="K1722" i="1"/>
  <c r="K1723" i="1"/>
  <c r="K1724" i="1"/>
  <c r="M1719" i="1"/>
  <c r="M1720" i="1"/>
  <c r="M1721" i="1"/>
  <c r="M1722" i="1"/>
  <c r="M1723" i="1"/>
  <c r="M1724" i="1"/>
  <c r="N1719" i="1"/>
  <c r="N1720" i="1"/>
  <c r="N1721" i="1"/>
  <c r="N1722" i="1"/>
  <c r="N1723" i="1"/>
  <c r="N1724" i="1"/>
  <c r="K1717" i="1"/>
  <c r="K1718" i="1"/>
  <c r="M1717" i="1"/>
  <c r="M1718" i="1"/>
  <c r="N1717" i="1"/>
  <c r="N1718" i="1"/>
  <c r="K1716" i="1"/>
  <c r="M1716" i="1"/>
  <c r="N1716" i="1"/>
  <c r="K1715" i="1"/>
  <c r="M1715" i="1"/>
  <c r="N1715" i="1"/>
  <c r="K1714" i="1"/>
  <c r="M1714" i="1"/>
  <c r="N1714" i="1"/>
  <c r="K1713" i="1"/>
  <c r="M1713" i="1"/>
  <c r="N1713" i="1"/>
  <c r="K1712" i="1"/>
  <c r="M1712" i="1"/>
  <c r="N1712" i="1"/>
  <c r="K1711" i="1"/>
  <c r="M1711" i="1"/>
  <c r="N1711" i="1"/>
  <c r="K1710" i="1"/>
  <c r="M1710" i="1"/>
  <c r="N1710" i="1"/>
  <c r="K1709" i="1"/>
  <c r="M1709" i="1"/>
  <c r="N1709" i="1"/>
  <c r="K1708" i="1"/>
  <c r="M1708" i="1"/>
  <c r="N1708" i="1"/>
  <c r="K1707" i="1"/>
  <c r="M1707" i="1"/>
  <c r="N1707" i="1"/>
  <c r="K1703" i="1"/>
  <c r="K1704" i="1"/>
  <c r="K1705" i="1"/>
  <c r="K1706" i="1"/>
  <c r="M1703" i="1"/>
  <c r="M1704" i="1"/>
  <c r="M1705" i="1"/>
  <c r="M1706" i="1"/>
  <c r="N1703" i="1"/>
  <c r="N1704" i="1"/>
  <c r="N1705" i="1"/>
  <c r="N1706" i="1"/>
  <c r="K1702" i="1"/>
  <c r="M1702" i="1"/>
  <c r="N1702" i="1"/>
  <c r="K1701" i="1"/>
  <c r="M1701" i="1"/>
  <c r="N1701" i="1"/>
  <c r="K1698" i="1"/>
  <c r="K1699" i="1"/>
  <c r="K1700" i="1"/>
  <c r="M1698" i="1"/>
  <c r="M1699" i="1"/>
  <c r="M1700" i="1"/>
  <c r="N1698" i="1"/>
  <c r="N1699" i="1"/>
  <c r="N1700" i="1"/>
  <c r="K1697" i="1"/>
  <c r="M1697" i="1"/>
  <c r="N1697" i="1"/>
  <c r="K1693" i="1"/>
  <c r="K1694" i="1"/>
  <c r="K1695" i="1"/>
  <c r="K1696" i="1"/>
  <c r="M1693" i="1"/>
  <c r="M1694" i="1"/>
  <c r="M1695" i="1"/>
  <c r="M1696" i="1"/>
  <c r="N1693" i="1"/>
  <c r="N1694" i="1"/>
  <c r="N1695" i="1"/>
  <c r="N1696" i="1"/>
  <c r="K1692" i="1"/>
  <c r="M1692" i="1"/>
  <c r="N1692" i="1"/>
  <c r="K1691" i="1"/>
  <c r="M1691" i="1"/>
  <c r="N1691" i="1"/>
  <c r="K1690" i="1"/>
  <c r="M1690" i="1"/>
  <c r="N1690" i="1"/>
  <c r="K1689" i="1"/>
  <c r="M1689" i="1"/>
  <c r="N1689" i="1"/>
  <c r="K1688" i="1"/>
  <c r="M1688" i="1"/>
  <c r="N1688" i="1"/>
  <c r="K1687" i="1"/>
  <c r="M1687" i="1"/>
  <c r="N1687" i="1"/>
  <c r="K1686" i="1"/>
  <c r="M1686" i="1"/>
  <c r="N1686" i="1"/>
  <c r="K1685" i="1"/>
  <c r="M1685" i="1"/>
  <c r="N1685" i="1"/>
  <c r="K1684" i="1"/>
  <c r="M1684" i="1"/>
  <c r="N1684" i="1"/>
  <c r="K1683" i="1"/>
  <c r="M1683" i="1"/>
  <c r="N1683" i="1"/>
  <c r="K1682" i="1"/>
  <c r="M1682" i="1"/>
  <c r="N1682" i="1"/>
  <c r="K1681" i="1"/>
  <c r="M1681" i="1"/>
  <c r="N1681" i="1"/>
  <c r="K1679" i="1"/>
  <c r="K1680" i="1"/>
  <c r="M1679" i="1"/>
  <c r="M1680" i="1"/>
  <c r="N1679" i="1"/>
  <c r="N1680" i="1"/>
  <c r="K1673" i="1"/>
  <c r="K1674" i="1"/>
  <c r="K1675" i="1"/>
  <c r="K1676" i="1"/>
  <c r="K1677" i="1"/>
  <c r="K1678" i="1"/>
  <c r="M1673" i="1"/>
  <c r="M1674" i="1"/>
  <c r="M1675" i="1"/>
  <c r="M1676" i="1"/>
  <c r="M1677" i="1"/>
  <c r="M1678" i="1"/>
  <c r="N1673" i="1"/>
  <c r="N1674" i="1"/>
  <c r="N1675" i="1"/>
  <c r="N1676" i="1"/>
  <c r="N1677" i="1"/>
  <c r="N1678" i="1"/>
  <c r="K1672" i="1"/>
  <c r="M1672" i="1"/>
  <c r="N1672" i="1"/>
  <c r="K1663" i="1"/>
  <c r="K1664" i="1"/>
  <c r="K1665" i="1"/>
  <c r="K1666" i="1"/>
  <c r="K1667" i="1"/>
  <c r="K1668" i="1"/>
  <c r="K1669" i="1"/>
  <c r="K1670" i="1"/>
  <c r="K1671" i="1"/>
  <c r="M1663" i="1"/>
  <c r="M1664" i="1"/>
  <c r="M1665" i="1"/>
  <c r="M1666" i="1"/>
  <c r="M1667" i="1"/>
  <c r="M1668" i="1"/>
  <c r="M1669" i="1"/>
  <c r="M1670" i="1"/>
  <c r="M1671" i="1"/>
  <c r="N1663" i="1"/>
  <c r="N1664" i="1"/>
  <c r="N1665" i="1"/>
  <c r="N1666" i="1"/>
  <c r="N1667" i="1"/>
  <c r="N1668" i="1"/>
  <c r="N1669" i="1"/>
  <c r="N1670" i="1"/>
  <c r="N1671" i="1"/>
  <c r="K1661" i="1"/>
  <c r="K1662" i="1"/>
  <c r="M1661" i="1"/>
  <c r="M1662" i="1"/>
  <c r="N1661" i="1"/>
  <c r="N1662" i="1"/>
  <c r="K1658" i="1"/>
  <c r="K1659" i="1"/>
  <c r="K1660" i="1"/>
  <c r="M1658" i="1"/>
  <c r="M1659" i="1"/>
  <c r="M1660" i="1"/>
  <c r="N1658" i="1"/>
  <c r="N1659" i="1"/>
  <c r="N1660" i="1"/>
  <c r="K1653" i="1"/>
  <c r="K1654" i="1"/>
  <c r="K1655" i="1"/>
  <c r="K1656" i="1"/>
  <c r="K1657" i="1"/>
  <c r="M1653" i="1"/>
  <c r="M1654" i="1"/>
  <c r="M1655" i="1"/>
  <c r="M1656" i="1"/>
  <c r="M1657" i="1"/>
  <c r="N1653" i="1"/>
  <c r="N1654" i="1"/>
  <c r="N1655" i="1"/>
  <c r="N1656" i="1"/>
  <c r="N1657" i="1"/>
  <c r="K1651" i="1"/>
  <c r="K1652" i="1"/>
  <c r="M1651" i="1"/>
  <c r="M1652" i="1"/>
  <c r="N1651" i="1"/>
  <c r="N1652" i="1"/>
  <c r="K1642" i="1"/>
  <c r="K1643" i="1"/>
  <c r="K1644" i="1"/>
  <c r="K1645" i="1"/>
  <c r="K1646" i="1"/>
  <c r="K1647" i="1"/>
  <c r="K1648" i="1"/>
  <c r="K1649" i="1"/>
  <c r="K1650" i="1"/>
  <c r="M1642" i="1"/>
  <c r="M1643" i="1"/>
  <c r="M1644" i="1"/>
  <c r="M1645" i="1"/>
  <c r="M1646" i="1"/>
  <c r="M1647" i="1"/>
  <c r="M1648" i="1"/>
  <c r="M1649" i="1"/>
  <c r="M1650" i="1"/>
  <c r="N1642" i="1"/>
  <c r="N1643" i="1"/>
  <c r="N1644" i="1"/>
  <c r="N1645" i="1"/>
  <c r="N1646" i="1"/>
  <c r="N1647" i="1"/>
  <c r="N1648" i="1"/>
  <c r="N1649" i="1"/>
  <c r="N1650" i="1"/>
  <c r="K1640" i="1"/>
  <c r="K1641" i="1"/>
  <c r="M1640" i="1"/>
  <c r="M1641" i="1"/>
  <c r="N1640" i="1"/>
  <c r="N1641" i="1"/>
  <c r="K1637" i="1"/>
  <c r="K1638" i="1"/>
  <c r="K1639" i="1"/>
  <c r="M1637" i="1"/>
  <c r="M1638" i="1"/>
  <c r="M1639" i="1"/>
  <c r="N1637" i="1"/>
  <c r="N1638" i="1"/>
  <c r="N1639" i="1"/>
  <c r="K1634" i="1"/>
  <c r="K1635" i="1"/>
  <c r="K1636" i="1"/>
  <c r="M1634" i="1"/>
  <c r="M1635" i="1"/>
  <c r="M1636" i="1"/>
  <c r="N1634" i="1"/>
  <c r="N1635" i="1"/>
  <c r="N1636" i="1"/>
  <c r="K1632" i="1"/>
  <c r="K1633" i="1"/>
  <c r="M1632" i="1"/>
  <c r="M1633" i="1"/>
  <c r="N1632" i="1"/>
  <c r="N1633" i="1"/>
  <c r="K1631" i="1"/>
  <c r="M1631" i="1"/>
  <c r="N1631" i="1"/>
  <c r="K1630" i="1"/>
  <c r="M1630" i="1"/>
  <c r="N1630" i="1"/>
  <c r="K1628" i="1"/>
  <c r="K1629" i="1"/>
  <c r="M1628" i="1"/>
  <c r="M1629" i="1"/>
  <c r="N1628" i="1"/>
  <c r="N1629" i="1"/>
  <c r="K1626" i="1"/>
  <c r="K1627" i="1"/>
  <c r="M1626" i="1"/>
  <c r="M1627" i="1"/>
  <c r="N1626" i="1"/>
  <c r="N1627" i="1"/>
  <c r="K1622" i="1"/>
  <c r="K1623" i="1"/>
  <c r="K1624" i="1"/>
  <c r="K1625" i="1"/>
  <c r="M1622" i="1"/>
  <c r="M1623" i="1"/>
  <c r="M1624" i="1"/>
  <c r="M1625" i="1"/>
  <c r="N1622" i="1"/>
  <c r="N1623" i="1"/>
  <c r="N1624" i="1"/>
  <c r="N1625" i="1"/>
  <c r="K1620" i="1"/>
  <c r="K1621" i="1"/>
  <c r="M1620" i="1"/>
  <c r="M1621" i="1"/>
  <c r="N1620" i="1"/>
  <c r="N1621" i="1"/>
  <c r="K1613" i="1"/>
  <c r="K1614" i="1"/>
  <c r="K1615" i="1"/>
  <c r="K1616" i="1"/>
  <c r="K1617" i="1"/>
  <c r="K1618" i="1"/>
  <c r="K1619" i="1"/>
  <c r="M1613" i="1"/>
  <c r="M1614" i="1"/>
  <c r="M1615" i="1"/>
  <c r="M1616" i="1"/>
  <c r="M1617" i="1"/>
  <c r="M1618" i="1"/>
  <c r="M1619" i="1"/>
  <c r="N1613" i="1"/>
  <c r="N1614" i="1"/>
  <c r="N1615" i="1"/>
  <c r="N1616" i="1"/>
  <c r="N1617" i="1"/>
  <c r="N1618" i="1"/>
  <c r="N1619" i="1"/>
  <c r="K1612" i="1"/>
  <c r="M1612" i="1"/>
  <c r="N1612" i="1"/>
  <c r="K1611" i="1"/>
  <c r="M1611" i="1"/>
  <c r="N1611" i="1"/>
  <c r="K1610" i="1"/>
  <c r="M1610" i="1"/>
  <c r="N1610" i="1"/>
  <c r="K1608" i="1"/>
  <c r="K1609" i="1"/>
  <c r="M1608" i="1"/>
  <c r="M1609" i="1"/>
  <c r="N1608" i="1"/>
  <c r="N1609" i="1"/>
  <c r="K1600" i="1"/>
  <c r="K1601" i="1"/>
  <c r="K1602" i="1"/>
  <c r="K1603" i="1"/>
  <c r="K1604" i="1"/>
  <c r="K1605" i="1"/>
  <c r="K1606" i="1"/>
  <c r="K1607" i="1"/>
  <c r="M1600" i="1"/>
  <c r="M1601" i="1"/>
  <c r="M1602" i="1"/>
  <c r="M1603" i="1"/>
  <c r="M1604" i="1"/>
  <c r="M1605" i="1"/>
  <c r="M1606" i="1"/>
  <c r="M1607" i="1"/>
  <c r="N1600" i="1"/>
  <c r="N1601" i="1"/>
  <c r="N1602" i="1"/>
  <c r="N1603" i="1"/>
  <c r="N1604" i="1"/>
  <c r="N1605" i="1"/>
  <c r="N1606" i="1"/>
  <c r="N1607" i="1"/>
  <c r="K1599" i="1"/>
  <c r="M1599" i="1"/>
  <c r="N1599" i="1"/>
  <c r="K1597" i="1"/>
  <c r="K1598" i="1"/>
  <c r="M1597" i="1"/>
  <c r="M1598" i="1"/>
  <c r="N1597" i="1"/>
  <c r="N1598" i="1"/>
  <c r="K1596" i="1"/>
  <c r="M1596" i="1"/>
  <c r="N1596" i="1"/>
  <c r="K1595" i="1"/>
  <c r="M1595" i="1"/>
  <c r="N1595" i="1"/>
  <c r="K1589" i="1"/>
  <c r="K1590" i="1"/>
  <c r="K1591" i="1"/>
  <c r="K1592" i="1"/>
  <c r="K1593" i="1"/>
  <c r="K1594" i="1"/>
  <c r="M1589" i="1"/>
  <c r="M1590" i="1"/>
  <c r="M1591" i="1"/>
  <c r="M1592" i="1"/>
  <c r="M1593" i="1"/>
  <c r="M1594" i="1"/>
  <c r="N1589" i="1"/>
  <c r="N1590" i="1"/>
  <c r="N1591" i="1"/>
  <c r="N1592" i="1"/>
  <c r="N1593" i="1"/>
  <c r="N1594" i="1"/>
  <c r="K1588" i="1"/>
  <c r="M1588" i="1"/>
  <c r="N1588" i="1"/>
  <c r="K1587" i="1"/>
  <c r="M1587" i="1"/>
  <c r="N1587" i="1"/>
  <c r="K1584" i="1"/>
  <c r="K1585" i="1"/>
  <c r="K1586" i="1"/>
  <c r="M1584" i="1"/>
  <c r="M1585" i="1"/>
  <c r="M1586" i="1"/>
  <c r="N1584" i="1"/>
  <c r="N1585" i="1"/>
  <c r="N1586" i="1"/>
  <c r="K1583" i="1"/>
  <c r="M1583" i="1"/>
  <c r="N1583" i="1"/>
  <c r="K1581" i="1"/>
  <c r="K1582" i="1"/>
  <c r="M1581" i="1"/>
  <c r="M1582" i="1"/>
  <c r="N1581" i="1"/>
  <c r="N1582" i="1"/>
  <c r="K1577" i="1"/>
  <c r="K1578" i="1"/>
  <c r="K1579" i="1"/>
  <c r="K1580" i="1"/>
  <c r="M1577" i="1"/>
  <c r="M1578" i="1"/>
  <c r="M1579" i="1"/>
  <c r="M1580" i="1"/>
  <c r="N1577" i="1"/>
  <c r="N1578" i="1"/>
  <c r="N1579" i="1"/>
  <c r="N1580" i="1"/>
  <c r="K1576" i="1"/>
  <c r="M1576" i="1"/>
  <c r="N1576" i="1"/>
  <c r="K1573" i="1"/>
  <c r="K1574" i="1"/>
  <c r="K1575" i="1"/>
  <c r="M1573" i="1"/>
  <c r="M1574" i="1"/>
  <c r="M1575" i="1"/>
  <c r="N1573" i="1"/>
  <c r="N1574" i="1"/>
  <c r="N1575" i="1"/>
  <c r="K1571" i="1"/>
  <c r="K1572" i="1"/>
  <c r="M1571" i="1"/>
  <c r="M1572" i="1"/>
  <c r="N1571" i="1"/>
  <c r="N1572" i="1"/>
  <c r="K1570" i="1"/>
  <c r="M1570" i="1"/>
  <c r="N1570" i="1"/>
  <c r="K1569" i="1"/>
  <c r="M1569" i="1"/>
  <c r="N1569" i="1"/>
  <c r="K1568" i="1"/>
  <c r="M1568" i="1"/>
  <c r="N1568" i="1"/>
  <c r="K1566" i="1"/>
  <c r="K1567" i="1"/>
  <c r="M1566" i="1"/>
  <c r="M1567" i="1"/>
  <c r="N1566" i="1"/>
  <c r="N1567" i="1"/>
  <c r="K1564" i="1"/>
  <c r="K1565" i="1"/>
  <c r="M1564" i="1"/>
  <c r="M1565" i="1"/>
  <c r="N1564" i="1"/>
  <c r="N1565" i="1"/>
  <c r="K1561" i="1"/>
  <c r="K1562" i="1"/>
  <c r="K1563" i="1"/>
  <c r="M1561" i="1"/>
  <c r="M1562" i="1"/>
  <c r="M1563" i="1"/>
  <c r="N1561" i="1"/>
  <c r="N1562" i="1"/>
  <c r="N1563" i="1"/>
  <c r="K1560" i="1"/>
  <c r="M1560" i="1"/>
  <c r="N1560" i="1"/>
  <c r="K1559" i="1"/>
  <c r="M1559" i="1"/>
  <c r="N1559" i="1"/>
  <c r="K1557" i="1"/>
  <c r="K1558" i="1"/>
  <c r="M1557" i="1"/>
  <c r="M1558" i="1"/>
  <c r="N1557" i="1"/>
  <c r="N1558" i="1"/>
  <c r="K1551" i="1"/>
  <c r="K1552" i="1"/>
  <c r="K1553" i="1"/>
  <c r="K1554" i="1"/>
  <c r="K1555" i="1"/>
  <c r="K1556" i="1"/>
  <c r="M1551" i="1"/>
  <c r="M1552" i="1"/>
  <c r="M1553" i="1"/>
  <c r="M1554" i="1"/>
  <c r="M1555" i="1"/>
  <c r="M1556" i="1"/>
  <c r="N1551" i="1"/>
  <c r="N1552" i="1"/>
  <c r="N1553" i="1"/>
  <c r="N1554" i="1"/>
  <c r="N1555" i="1"/>
  <c r="N1556" i="1"/>
  <c r="K1550" i="1"/>
  <c r="M1550" i="1"/>
  <c r="N1550" i="1"/>
  <c r="K1547" i="1"/>
  <c r="K1548" i="1"/>
  <c r="K1549" i="1"/>
  <c r="M1547" i="1"/>
  <c r="M1548" i="1"/>
  <c r="M1549" i="1"/>
  <c r="N1547" i="1"/>
  <c r="N1548" i="1"/>
  <c r="N1549" i="1"/>
  <c r="K1546" i="1"/>
  <c r="M1546" i="1"/>
  <c r="N1546" i="1"/>
  <c r="K1544" i="1"/>
  <c r="K1545" i="1"/>
  <c r="M1544" i="1"/>
  <c r="M1545" i="1"/>
  <c r="N1544" i="1"/>
  <c r="N1545" i="1"/>
  <c r="M1508" i="1"/>
  <c r="N1508" i="1"/>
  <c r="K1508" i="1"/>
  <c r="K1543" i="1"/>
  <c r="M1543" i="1"/>
  <c r="N1543" i="1"/>
  <c r="K1542" i="1"/>
  <c r="M1542" i="1"/>
  <c r="N1542" i="1"/>
  <c r="K1541" i="1"/>
  <c r="M1541" i="1"/>
  <c r="N1541" i="1"/>
  <c r="K1540" i="1"/>
  <c r="M1540" i="1"/>
  <c r="N1540" i="1"/>
  <c r="K1538" i="1"/>
  <c r="K1539" i="1"/>
  <c r="M1538" i="1"/>
  <c r="M1539" i="1"/>
  <c r="N1538" i="1"/>
  <c r="N1539" i="1"/>
  <c r="K1537" i="1"/>
  <c r="M1537" i="1"/>
  <c r="N1537" i="1"/>
  <c r="K1534" i="1"/>
  <c r="K1535" i="1"/>
  <c r="K1536" i="1"/>
  <c r="M1534" i="1"/>
  <c r="M1535" i="1"/>
  <c r="M1536" i="1"/>
  <c r="N1534" i="1"/>
  <c r="N1535" i="1"/>
  <c r="N1536" i="1"/>
  <c r="K1532" i="1"/>
  <c r="K1533" i="1"/>
  <c r="M1532" i="1"/>
  <c r="M1533" i="1"/>
  <c r="N1532" i="1"/>
  <c r="N1533" i="1"/>
  <c r="K1531" i="1"/>
  <c r="M1531" i="1"/>
  <c r="N1531" i="1"/>
  <c r="K1530" i="1"/>
  <c r="M1530" i="1"/>
  <c r="N1530" i="1"/>
  <c r="K1528" i="1"/>
  <c r="K1529" i="1"/>
  <c r="M1528" i="1"/>
  <c r="M1529" i="1"/>
  <c r="N1528" i="1"/>
  <c r="N1529" i="1"/>
  <c r="K1527" i="1"/>
  <c r="M1527" i="1"/>
  <c r="N1527" i="1"/>
  <c r="K1526" i="1"/>
  <c r="M1526" i="1"/>
  <c r="N1526" i="1"/>
  <c r="K1519" i="1"/>
  <c r="K1520" i="1"/>
  <c r="K1521" i="1"/>
  <c r="K1522" i="1"/>
  <c r="K1523" i="1"/>
  <c r="K1524" i="1"/>
  <c r="K1525" i="1"/>
  <c r="M1519" i="1"/>
  <c r="M1520" i="1"/>
  <c r="M1521" i="1"/>
  <c r="M1522" i="1"/>
  <c r="M1523" i="1"/>
  <c r="M1524" i="1"/>
  <c r="M1525" i="1"/>
  <c r="N1519" i="1"/>
  <c r="N1520" i="1"/>
  <c r="N1521" i="1"/>
  <c r="N1522" i="1"/>
  <c r="N1523" i="1"/>
  <c r="N1524" i="1"/>
  <c r="N1525" i="1"/>
  <c r="K1515" i="1"/>
  <c r="K1516" i="1"/>
  <c r="K1517" i="1"/>
  <c r="K1518" i="1"/>
  <c r="M1515" i="1"/>
  <c r="M1516" i="1"/>
  <c r="M1517" i="1"/>
  <c r="M1518" i="1"/>
  <c r="N1515" i="1"/>
  <c r="N1516" i="1"/>
  <c r="N1517" i="1"/>
  <c r="N1518" i="1"/>
  <c r="K1514" i="1"/>
  <c r="M1514" i="1"/>
  <c r="N1514" i="1"/>
  <c r="K1513" i="1"/>
  <c r="M1513" i="1"/>
  <c r="N1513" i="1"/>
  <c r="K1509" i="1"/>
  <c r="K1510" i="1"/>
  <c r="K1511" i="1"/>
  <c r="K1512" i="1"/>
  <c r="M1509" i="1"/>
  <c r="M1510" i="1"/>
  <c r="M1511" i="1"/>
  <c r="M1512" i="1"/>
  <c r="N1509" i="1"/>
  <c r="N1510" i="1"/>
  <c r="N1511" i="1"/>
  <c r="N1512" i="1"/>
  <c r="K1507" i="1"/>
  <c r="M1507" i="1"/>
  <c r="N1507" i="1"/>
  <c r="K1506" i="1"/>
  <c r="M1506" i="1"/>
  <c r="N1506" i="1"/>
  <c r="K1504" i="1"/>
  <c r="K1505" i="1"/>
  <c r="M1504" i="1"/>
  <c r="M1505" i="1"/>
  <c r="N1504" i="1"/>
  <c r="N1505" i="1"/>
  <c r="K1492" i="1"/>
  <c r="K1493" i="1"/>
  <c r="K1494" i="1"/>
  <c r="K1495" i="1"/>
  <c r="K1496" i="1"/>
  <c r="K1497" i="1"/>
  <c r="K1498" i="1"/>
  <c r="K1499" i="1"/>
  <c r="K1500" i="1"/>
  <c r="K1501" i="1"/>
  <c r="K1502" i="1"/>
  <c r="K1503" i="1"/>
  <c r="M1492" i="1"/>
  <c r="M1493" i="1"/>
  <c r="M1494" i="1"/>
  <c r="M1495" i="1"/>
  <c r="M1496" i="1"/>
  <c r="M1497" i="1"/>
  <c r="M1498" i="1"/>
  <c r="M1499" i="1"/>
  <c r="M1500" i="1"/>
  <c r="M1501" i="1"/>
  <c r="M1502" i="1"/>
  <c r="M1503" i="1"/>
  <c r="N1492" i="1"/>
  <c r="N1493" i="1"/>
  <c r="N1494" i="1"/>
  <c r="N1495" i="1"/>
  <c r="N1496" i="1"/>
  <c r="N1497" i="1"/>
  <c r="N1498" i="1"/>
  <c r="N1499" i="1"/>
  <c r="N1500" i="1"/>
  <c r="N1501" i="1"/>
  <c r="N1502" i="1"/>
  <c r="N1503" i="1"/>
  <c r="K1491" i="1"/>
  <c r="M1491" i="1"/>
  <c r="N1491" i="1"/>
  <c r="K1486" i="1"/>
  <c r="K1487" i="1"/>
  <c r="K1488" i="1"/>
  <c r="K1489" i="1"/>
  <c r="K1490" i="1"/>
  <c r="M1486" i="1"/>
  <c r="M1487" i="1"/>
  <c r="M1488" i="1"/>
  <c r="M1489" i="1"/>
  <c r="M1490" i="1"/>
  <c r="N1486" i="1"/>
  <c r="N1487" i="1"/>
  <c r="N1488" i="1"/>
  <c r="N1489" i="1"/>
  <c r="N1490" i="1"/>
  <c r="K1484" i="1"/>
  <c r="K1485" i="1"/>
  <c r="M1484" i="1"/>
  <c r="M1485" i="1"/>
  <c r="N1484" i="1"/>
  <c r="N1485" i="1"/>
  <c r="K1483" i="1"/>
  <c r="M1483" i="1"/>
  <c r="N1483" i="1"/>
  <c r="K1480" i="1"/>
  <c r="K1481" i="1"/>
  <c r="K1482" i="1"/>
  <c r="M1480" i="1"/>
  <c r="M1481" i="1"/>
  <c r="M1482" i="1"/>
  <c r="N1480" i="1"/>
  <c r="N1481" i="1"/>
  <c r="N1482" i="1"/>
  <c r="K1478" i="1"/>
  <c r="K1479" i="1"/>
  <c r="M1478" i="1"/>
  <c r="M1479" i="1"/>
  <c r="N1478" i="1"/>
  <c r="N1479" i="1"/>
  <c r="K1477" i="1"/>
  <c r="M1477" i="1"/>
  <c r="N1477" i="1"/>
  <c r="K1476" i="1"/>
  <c r="M1476" i="1"/>
  <c r="N1476" i="1"/>
  <c r="K1472" i="1"/>
  <c r="K1473" i="1"/>
  <c r="K1474" i="1"/>
  <c r="K1475" i="1"/>
  <c r="M1472" i="1"/>
  <c r="M1473" i="1"/>
  <c r="M1474" i="1"/>
  <c r="M1475" i="1"/>
  <c r="N1472" i="1"/>
  <c r="N1473" i="1"/>
  <c r="N1474" i="1"/>
  <c r="N1475" i="1"/>
  <c r="K1468" i="1"/>
  <c r="K1469" i="1"/>
  <c r="K1470" i="1"/>
  <c r="K1471" i="1"/>
  <c r="M1468" i="1"/>
  <c r="M1469" i="1"/>
  <c r="M1470" i="1"/>
  <c r="M1471" i="1"/>
  <c r="N1468" i="1"/>
  <c r="N1469" i="1"/>
  <c r="N1470" i="1"/>
  <c r="N1471" i="1"/>
  <c r="K1467" i="1"/>
  <c r="M1467" i="1"/>
  <c r="N1467" i="1"/>
  <c r="K1466" i="1"/>
  <c r="M1466" i="1"/>
  <c r="N1466" i="1"/>
  <c r="K1465" i="1"/>
  <c r="M1465" i="1"/>
  <c r="N1465" i="1"/>
  <c r="K1464" i="1"/>
  <c r="M1464" i="1"/>
  <c r="N1464" i="1"/>
  <c r="K1463" i="1"/>
  <c r="M1463" i="1"/>
  <c r="N1463" i="1"/>
  <c r="K1462" i="1"/>
  <c r="M1462" i="1"/>
  <c r="N1462" i="1"/>
  <c r="K1461" i="1"/>
  <c r="M1461" i="1"/>
  <c r="N1461" i="1"/>
  <c r="K1460" i="1"/>
  <c r="M1460" i="1"/>
  <c r="N1460" i="1"/>
  <c r="K1455" i="1"/>
  <c r="K1456" i="1"/>
  <c r="K1457" i="1"/>
  <c r="K1458" i="1"/>
  <c r="K1459" i="1"/>
  <c r="M1455" i="1"/>
  <c r="M1456" i="1"/>
  <c r="M1457" i="1"/>
  <c r="M1458" i="1"/>
  <c r="M1459" i="1"/>
  <c r="N1455" i="1"/>
  <c r="N1456" i="1"/>
  <c r="N1457" i="1"/>
  <c r="N1458" i="1"/>
  <c r="N1459" i="1"/>
  <c r="K1454" i="1"/>
  <c r="M1454" i="1"/>
  <c r="N1454" i="1"/>
  <c r="K1452" i="1"/>
  <c r="K1453" i="1"/>
  <c r="M1452" i="1"/>
  <c r="M1453" i="1"/>
  <c r="N1452" i="1"/>
  <c r="N1453" i="1"/>
  <c r="K1450" i="1"/>
  <c r="K1451" i="1"/>
  <c r="M1450" i="1"/>
  <c r="M1451" i="1"/>
  <c r="N1450" i="1"/>
  <c r="N1451" i="1"/>
  <c r="K1449" i="1"/>
  <c r="M1449" i="1"/>
  <c r="N1449" i="1"/>
  <c r="K1448" i="1"/>
  <c r="M1448" i="1"/>
  <c r="N1448" i="1"/>
  <c r="K1446" i="1"/>
  <c r="K1447" i="1"/>
  <c r="M1446" i="1"/>
  <c r="M1447" i="1"/>
  <c r="N1446" i="1"/>
  <c r="N1447" i="1"/>
  <c r="K1445" i="1"/>
  <c r="M1445" i="1"/>
  <c r="N1445" i="1"/>
  <c r="K1441" i="1"/>
  <c r="K1442" i="1"/>
  <c r="K1443" i="1"/>
  <c r="K1444" i="1"/>
  <c r="M1441" i="1"/>
  <c r="M1442" i="1"/>
  <c r="M1443" i="1"/>
  <c r="M1444" i="1"/>
  <c r="N1441" i="1"/>
  <c r="N1442" i="1"/>
  <c r="N1443" i="1"/>
  <c r="N1444" i="1"/>
  <c r="K1437" i="1"/>
  <c r="K1438" i="1"/>
  <c r="K1439" i="1"/>
  <c r="K1440" i="1"/>
  <c r="M1437" i="1"/>
  <c r="M1438" i="1"/>
  <c r="M1439" i="1"/>
  <c r="M1440" i="1"/>
  <c r="N1437" i="1"/>
  <c r="N1438" i="1"/>
  <c r="N1439" i="1"/>
  <c r="N1440" i="1"/>
  <c r="K1433" i="1"/>
  <c r="K1434" i="1"/>
  <c r="K1435" i="1"/>
  <c r="K1436" i="1"/>
  <c r="M1433" i="1"/>
  <c r="M1434" i="1"/>
  <c r="M1435" i="1"/>
  <c r="M1436" i="1"/>
  <c r="N1433" i="1"/>
  <c r="N1434" i="1"/>
  <c r="N1435" i="1"/>
  <c r="N1436" i="1"/>
  <c r="K1427" i="1"/>
  <c r="K1428" i="1"/>
  <c r="K1429" i="1"/>
  <c r="K1430" i="1"/>
  <c r="K1431" i="1"/>
  <c r="K1432" i="1"/>
  <c r="M1427" i="1"/>
  <c r="M1428" i="1"/>
  <c r="M1429" i="1"/>
  <c r="M1430" i="1"/>
  <c r="M1431" i="1"/>
  <c r="M1432" i="1"/>
  <c r="N1427" i="1"/>
  <c r="N1428" i="1"/>
  <c r="N1429" i="1"/>
  <c r="N1430" i="1"/>
  <c r="N1431" i="1"/>
  <c r="N1432" i="1"/>
  <c r="K1426" i="1"/>
  <c r="M1426" i="1"/>
  <c r="N1426" i="1"/>
  <c r="B5" i="5"/>
  <c r="A5" i="5"/>
  <c r="K1425" i="1"/>
  <c r="M1425" i="1"/>
  <c r="N1425" i="1"/>
  <c r="K1424" i="1"/>
  <c r="M1424" i="1"/>
  <c r="N1424" i="1"/>
  <c r="K1423" i="1"/>
  <c r="M1423" i="1"/>
  <c r="N1423" i="1"/>
  <c r="K1422" i="1"/>
  <c r="M1422" i="1"/>
  <c r="N1422" i="1"/>
  <c r="K1417" i="1"/>
  <c r="K1418" i="1"/>
  <c r="K1419" i="1"/>
  <c r="K1420" i="1"/>
  <c r="K1421" i="1"/>
  <c r="M1417" i="1"/>
  <c r="M1418" i="1"/>
  <c r="M1419" i="1"/>
  <c r="M1420" i="1"/>
  <c r="M1421" i="1"/>
  <c r="N1417" i="1"/>
  <c r="N1418" i="1"/>
  <c r="N1419" i="1"/>
  <c r="N1420" i="1"/>
  <c r="N1421" i="1"/>
  <c r="K1416" i="1"/>
  <c r="M1416" i="1"/>
  <c r="N1416" i="1"/>
  <c r="K1415" i="1"/>
  <c r="M1415" i="1"/>
  <c r="N1415" i="1"/>
  <c r="K1414" i="1"/>
  <c r="M1414" i="1"/>
  <c r="N1414" i="1"/>
  <c r="K1411" i="1"/>
  <c r="K1412" i="1"/>
  <c r="K1413" i="1"/>
  <c r="M1411" i="1"/>
  <c r="M1412" i="1"/>
  <c r="M1413" i="1"/>
  <c r="N1411" i="1"/>
  <c r="N1412" i="1"/>
  <c r="N1413" i="1"/>
  <c r="K1409" i="1"/>
  <c r="K1410" i="1"/>
  <c r="M1409" i="1"/>
  <c r="M1410" i="1"/>
  <c r="N1409" i="1"/>
  <c r="N1410" i="1"/>
  <c r="K1400" i="1"/>
  <c r="K1401" i="1"/>
  <c r="K1402" i="1"/>
  <c r="K1403" i="1"/>
  <c r="K1404" i="1"/>
  <c r="K1405" i="1"/>
  <c r="K1406" i="1"/>
  <c r="K1407" i="1"/>
  <c r="K1408" i="1"/>
  <c r="M1400" i="1"/>
  <c r="M1401" i="1"/>
  <c r="M1402" i="1"/>
  <c r="M1403" i="1"/>
  <c r="M1404" i="1"/>
  <c r="M1405" i="1"/>
  <c r="M1406" i="1"/>
  <c r="M1407" i="1"/>
  <c r="M1408" i="1"/>
  <c r="N1400" i="1"/>
  <c r="N1401" i="1"/>
  <c r="N1402" i="1"/>
  <c r="N1403" i="1"/>
  <c r="N1404" i="1"/>
  <c r="N1405" i="1"/>
  <c r="N1406" i="1"/>
  <c r="N1407" i="1"/>
  <c r="N1408" i="1"/>
  <c r="K1399" i="1"/>
  <c r="M1399" i="1"/>
  <c r="N1399" i="1"/>
  <c r="K1398" i="1"/>
  <c r="M1398" i="1"/>
  <c r="N1398" i="1"/>
  <c r="K1397" i="1"/>
  <c r="M1397" i="1"/>
  <c r="N1397" i="1"/>
  <c r="K1396" i="1"/>
  <c r="M1396" i="1"/>
  <c r="N1396" i="1"/>
  <c r="K1394" i="1"/>
  <c r="K1395" i="1"/>
  <c r="M1394" i="1"/>
  <c r="M1395" i="1"/>
  <c r="N1394" i="1"/>
  <c r="N1395" i="1"/>
  <c r="K1393" i="1"/>
  <c r="M1393" i="1"/>
  <c r="N1393" i="1"/>
  <c r="K1392" i="1"/>
  <c r="M1392" i="1"/>
  <c r="N1392" i="1"/>
  <c r="K1391" i="1"/>
  <c r="M1391" i="1"/>
  <c r="N1391" i="1"/>
  <c r="K1390" i="1"/>
  <c r="M1390" i="1"/>
  <c r="N1390" i="1"/>
  <c r="K1387" i="1"/>
  <c r="K1388" i="1"/>
  <c r="K1389" i="1"/>
  <c r="M1387" i="1"/>
  <c r="M1388" i="1"/>
  <c r="M1389" i="1"/>
  <c r="N1387" i="1"/>
  <c r="N1388" i="1"/>
  <c r="N1389" i="1"/>
  <c r="K1379" i="1"/>
  <c r="K1380" i="1"/>
  <c r="K1381" i="1"/>
  <c r="K1382" i="1"/>
  <c r="K1383" i="1"/>
  <c r="K1384" i="1"/>
  <c r="K1385" i="1"/>
  <c r="K1386" i="1"/>
  <c r="M1379" i="1"/>
  <c r="M1380" i="1"/>
  <c r="M1381" i="1"/>
  <c r="M1382" i="1"/>
  <c r="M1383" i="1"/>
  <c r="M1384" i="1"/>
  <c r="M1385" i="1"/>
  <c r="M1386" i="1"/>
  <c r="N1379" i="1"/>
  <c r="N1380" i="1"/>
  <c r="N1381" i="1"/>
  <c r="N1382" i="1"/>
  <c r="N1383" i="1"/>
  <c r="N1384" i="1"/>
  <c r="N1385" i="1"/>
  <c r="N1386" i="1"/>
  <c r="K1375" i="1"/>
  <c r="K1376" i="1"/>
  <c r="K1377" i="1"/>
  <c r="K1378" i="1"/>
  <c r="M1375" i="1"/>
  <c r="M1376" i="1"/>
  <c r="M1377" i="1"/>
  <c r="M1378" i="1"/>
  <c r="N1375" i="1"/>
  <c r="N1376" i="1"/>
  <c r="N1377" i="1"/>
  <c r="N1378" i="1"/>
  <c r="K1374" i="1"/>
  <c r="M1374" i="1"/>
  <c r="N1374" i="1"/>
  <c r="K1373" i="1"/>
  <c r="M1373" i="1"/>
  <c r="N1373" i="1"/>
  <c r="K1372" i="1"/>
  <c r="M1372" i="1"/>
  <c r="N1372" i="1"/>
  <c r="K1371" i="1"/>
  <c r="M1371" i="1"/>
  <c r="N1371" i="1"/>
  <c r="K1367" i="1"/>
  <c r="K1368" i="1"/>
  <c r="K1369" i="1"/>
  <c r="K1370" i="1"/>
  <c r="M1367" i="1"/>
  <c r="M1368" i="1"/>
  <c r="M1369" i="1"/>
  <c r="M1370" i="1"/>
  <c r="N1367" i="1"/>
  <c r="N1368" i="1"/>
  <c r="N1369" i="1"/>
  <c r="N1370" i="1"/>
  <c r="K1365" i="1"/>
  <c r="K1366" i="1"/>
  <c r="M1365" i="1"/>
  <c r="M1366" i="1"/>
  <c r="N1365" i="1"/>
  <c r="N1366" i="1"/>
  <c r="K1364" i="1"/>
  <c r="M1364" i="1"/>
  <c r="N1364" i="1"/>
  <c r="K1363" i="1"/>
  <c r="M1363" i="1"/>
  <c r="N1363" i="1"/>
  <c r="K1361" i="1"/>
  <c r="K1362" i="1"/>
  <c r="M1361" i="1"/>
  <c r="M1362" i="1"/>
  <c r="N1361" i="1"/>
  <c r="N1362" i="1"/>
  <c r="K1360" i="1"/>
  <c r="M1360" i="1"/>
  <c r="N1360" i="1"/>
  <c r="K1357" i="1"/>
  <c r="K1358" i="1"/>
  <c r="K1359" i="1"/>
  <c r="M1357" i="1"/>
  <c r="M1358" i="1"/>
  <c r="M1359" i="1"/>
  <c r="N1357" i="1"/>
  <c r="N1358" i="1"/>
  <c r="N1359" i="1"/>
  <c r="K1355" i="1"/>
  <c r="K1356" i="1"/>
  <c r="M1355" i="1"/>
  <c r="M1356" i="1"/>
  <c r="N1355" i="1"/>
  <c r="N1356" i="1"/>
  <c r="K1354" i="1"/>
  <c r="M1354" i="1"/>
  <c r="N1354" i="1"/>
  <c r="K1353" i="1"/>
  <c r="M1353" i="1"/>
  <c r="N1353" i="1"/>
  <c r="K1347" i="1"/>
  <c r="K1348" i="1"/>
  <c r="K1349" i="1"/>
  <c r="K1350" i="1"/>
  <c r="K1351" i="1"/>
  <c r="K1352" i="1"/>
  <c r="M1347" i="1"/>
  <c r="M1348" i="1"/>
  <c r="M1349" i="1"/>
  <c r="M1350" i="1"/>
  <c r="M1351" i="1"/>
  <c r="M1352" i="1"/>
  <c r="N1347" i="1"/>
  <c r="N1348" i="1"/>
  <c r="N1349" i="1"/>
  <c r="N1350" i="1"/>
  <c r="N1351" i="1"/>
  <c r="N1352" i="1"/>
  <c r="K1346" i="1"/>
  <c r="M1346" i="1"/>
  <c r="N1346" i="1"/>
  <c r="K1345" i="1"/>
  <c r="M1345" i="1"/>
  <c r="N1345" i="1"/>
  <c r="R10" i="5"/>
  <c r="R11" i="5"/>
  <c r="R12" i="5"/>
  <c r="R13" i="5"/>
  <c r="R14" i="5"/>
  <c r="R15" i="5"/>
  <c r="R16" i="5"/>
  <c r="R17" i="5"/>
  <c r="R18" i="5"/>
  <c r="R9" i="5"/>
  <c r="K1344" i="1"/>
  <c r="M1344" i="1"/>
  <c r="N1344" i="1"/>
  <c r="K1343" i="1"/>
  <c r="M1343" i="1"/>
  <c r="N1343" i="1"/>
  <c r="K1342" i="1"/>
  <c r="M1342" i="1"/>
  <c r="N1342" i="1"/>
  <c r="K1341" i="1"/>
  <c r="M1341" i="1"/>
  <c r="N1341" i="1"/>
  <c r="K1340" i="1"/>
  <c r="M1340" i="1"/>
  <c r="N1340" i="1"/>
  <c r="K1338" i="1"/>
  <c r="K1339" i="1"/>
  <c r="M1338" i="1"/>
  <c r="M1339" i="1"/>
  <c r="N1338" i="1"/>
  <c r="N1339" i="1"/>
  <c r="K1337" i="1"/>
  <c r="M1337" i="1"/>
  <c r="N1337" i="1"/>
  <c r="K1335" i="1"/>
  <c r="K1336" i="1"/>
  <c r="M1335" i="1"/>
  <c r="M1336" i="1"/>
  <c r="N1335" i="1"/>
  <c r="N1336" i="1"/>
  <c r="K1334" i="1"/>
  <c r="M1334" i="1"/>
  <c r="N1334" i="1"/>
  <c r="K1332" i="1"/>
  <c r="K1333" i="1"/>
  <c r="M1332" i="1"/>
  <c r="M1333" i="1"/>
  <c r="N1332" i="1"/>
  <c r="N1333" i="1"/>
  <c r="K1331" i="1"/>
  <c r="M1331" i="1"/>
  <c r="N1331" i="1"/>
  <c r="K1329" i="1"/>
  <c r="K1330" i="1"/>
  <c r="M1329" i="1"/>
  <c r="M1330" i="1"/>
  <c r="N1329" i="1"/>
  <c r="N1330" i="1"/>
  <c r="K1328" i="1"/>
  <c r="M1328" i="1"/>
  <c r="N1328" i="1"/>
  <c r="K1327" i="1"/>
  <c r="M1327" i="1"/>
  <c r="N1327" i="1"/>
  <c r="K1326" i="1"/>
  <c r="M1326" i="1"/>
  <c r="N1326" i="1"/>
  <c r="K1325" i="1"/>
  <c r="M1325" i="1"/>
  <c r="N1325" i="1"/>
  <c r="K1323" i="1"/>
  <c r="K1324" i="1"/>
  <c r="M1323" i="1"/>
  <c r="M1324" i="1"/>
  <c r="N1323" i="1"/>
  <c r="N1324" i="1"/>
  <c r="K1321" i="1"/>
  <c r="K1322" i="1"/>
  <c r="M1321" i="1"/>
  <c r="M1322" i="1"/>
  <c r="N1321" i="1"/>
  <c r="N1322" i="1"/>
  <c r="K1319" i="1"/>
  <c r="K1320" i="1"/>
  <c r="M1319" i="1"/>
  <c r="M1320" i="1"/>
  <c r="N1319" i="1"/>
  <c r="N1320" i="1"/>
  <c r="K1318" i="1"/>
  <c r="M1318" i="1"/>
  <c r="N1318" i="1"/>
  <c r="K1315" i="1"/>
  <c r="K1316" i="1"/>
  <c r="K1317" i="1"/>
  <c r="M1315" i="1"/>
  <c r="M1316" i="1"/>
  <c r="M1317" i="1"/>
  <c r="N1315" i="1"/>
  <c r="N1316" i="1"/>
  <c r="N1317" i="1"/>
  <c r="K1314" i="1"/>
  <c r="M1314" i="1"/>
  <c r="N1314" i="1"/>
  <c r="K1313" i="1"/>
  <c r="M1313" i="1"/>
  <c r="N1313" i="1"/>
  <c r="K1308" i="1"/>
  <c r="K1309" i="1"/>
  <c r="K1310" i="1"/>
  <c r="K1311" i="1"/>
  <c r="K1312" i="1"/>
  <c r="M1308" i="1"/>
  <c r="M1309" i="1"/>
  <c r="M1310" i="1"/>
  <c r="M1311" i="1"/>
  <c r="M1312" i="1"/>
  <c r="N1308" i="1"/>
  <c r="N1309" i="1"/>
  <c r="N1310" i="1"/>
  <c r="N1311" i="1"/>
  <c r="N1312" i="1"/>
  <c r="K1307" i="1"/>
  <c r="M1307" i="1"/>
  <c r="N1307" i="1"/>
  <c r="K1306" i="1"/>
  <c r="M1306" i="1"/>
  <c r="N1306" i="1"/>
  <c r="K1304" i="1"/>
  <c r="K1305" i="1"/>
  <c r="M1304" i="1"/>
  <c r="M1305" i="1"/>
  <c r="N1304" i="1"/>
  <c r="N1305" i="1"/>
  <c r="K1299" i="1"/>
  <c r="K1300" i="1"/>
  <c r="K1301" i="1"/>
  <c r="K1302" i="1"/>
  <c r="K1303" i="1"/>
  <c r="M1299" i="1"/>
  <c r="M1300" i="1"/>
  <c r="M1301" i="1"/>
  <c r="M1302" i="1"/>
  <c r="M1303" i="1"/>
  <c r="N1299" i="1"/>
  <c r="N1300" i="1"/>
  <c r="N1301" i="1"/>
  <c r="N1302" i="1"/>
  <c r="N1303" i="1"/>
  <c r="K1298" i="1"/>
  <c r="M1298" i="1"/>
  <c r="N1298" i="1"/>
  <c r="K1296" i="1"/>
  <c r="K1297" i="1"/>
  <c r="M1296" i="1"/>
  <c r="M1297" i="1"/>
  <c r="N1296" i="1"/>
  <c r="N1297" i="1"/>
  <c r="K1295" i="1"/>
  <c r="M1295" i="1"/>
  <c r="N1295" i="1"/>
  <c r="K1294" i="1"/>
  <c r="M1294" i="1"/>
  <c r="N1294" i="1"/>
  <c r="K1290" i="1"/>
  <c r="K1291" i="1"/>
  <c r="K1292" i="1"/>
  <c r="K1293" i="1"/>
  <c r="M1290" i="1"/>
  <c r="M1291" i="1"/>
  <c r="M1292" i="1"/>
  <c r="M1293" i="1"/>
  <c r="N1290" i="1"/>
  <c r="N1291" i="1"/>
  <c r="N1292" i="1"/>
  <c r="N1293" i="1"/>
  <c r="K1289" i="1"/>
  <c r="M1289" i="1"/>
  <c r="N1289" i="1"/>
  <c r="K1288" i="1"/>
  <c r="M1288" i="1"/>
  <c r="N1288" i="1"/>
  <c r="K1287" i="1"/>
  <c r="M1287" i="1"/>
  <c r="N1287" i="1"/>
  <c r="K1286" i="1"/>
  <c r="M1286" i="1"/>
  <c r="N1286" i="1"/>
  <c r="K1285" i="1"/>
  <c r="M1285" i="1"/>
  <c r="N1285" i="1"/>
  <c r="K1283" i="1"/>
  <c r="K1284" i="1"/>
  <c r="M1283" i="1"/>
  <c r="M1284" i="1"/>
  <c r="N1283" i="1"/>
  <c r="N1284" i="1"/>
  <c r="K1282" i="1"/>
  <c r="M1282" i="1"/>
  <c r="N1282" i="1"/>
  <c r="K1279" i="1"/>
  <c r="K1280" i="1"/>
  <c r="K1281" i="1"/>
  <c r="M1279" i="1"/>
  <c r="M1280" i="1"/>
  <c r="M1281" i="1"/>
  <c r="N1279" i="1"/>
  <c r="N1280" i="1"/>
  <c r="N1281" i="1"/>
  <c r="K1277" i="1"/>
  <c r="K1278" i="1"/>
  <c r="M1277" i="1"/>
  <c r="M1278" i="1"/>
  <c r="N1277" i="1"/>
  <c r="N1278" i="1"/>
  <c r="K1276" i="1"/>
  <c r="M1276" i="1"/>
  <c r="N1276" i="1"/>
  <c r="K1274" i="1"/>
  <c r="K1275" i="1"/>
  <c r="M1274" i="1"/>
  <c r="M1275" i="1"/>
  <c r="N1274" i="1"/>
  <c r="N1275" i="1"/>
  <c r="K1272" i="1"/>
  <c r="K1273" i="1"/>
  <c r="M1272" i="1"/>
  <c r="M1273" i="1"/>
  <c r="N1272" i="1"/>
  <c r="N1273" i="1"/>
  <c r="K1270" i="1"/>
  <c r="K1271" i="1"/>
  <c r="M1270" i="1"/>
  <c r="M1271" i="1"/>
  <c r="N1270" i="1"/>
  <c r="N1271" i="1"/>
  <c r="K1266" i="1"/>
  <c r="K1267" i="1"/>
  <c r="K1268" i="1"/>
  <c r="K1269" i="1"/>
  <c r="M1266" i="1"/>
  <c r="M1267" i="1"/>
  <c r="M1268" i="1"/>
  <c r="M1269" i="1"/>
  <c r="N1266" i="1"/>
  <c r="N1267" i="1"/>
  <c r="N1268" i="1"/>
  <c r="N1269" i="1"/>
  <c r="K1265" i="1"/>
  <c r="M1265" i="1"/>
  <c r="N1265" i="1"/>
  <c r="K1263" i="1"/>
  <c r="K1264" i="1"/>
  <c r="M1263" i="1"/>
  <c r="M1264" i="1"/>
  <c r="N1263" i="1"/>
  <c r="N1264" i="1"/>
  <c r="K1262" i="1"/>
  <c r="M1262" i="1"/>
  <c r="N1262" i="1"/>
  <c r="K1261" i="1"/>
  <c r="M1261" i="1"/>
  <c r="N1261" i="1"/>
  <c r="K1260" i="1"/>
  <c r="M1260" i="1"/>
  <c r="N1260" i="1"/>
  <c r="K1259" i="1"/>
  <c r="M1259" i="1"/>
  <c r="N1259" i="1"/>
  <c r="K1258" i="1"/>
  <c r="M1258" i="1"/>
  <c r="N1258" i="1"/>
  <c r="K1257" i="1"/>
  <c r="M1257" i="1"/>
  <c r="N1257" i="1"/>
  <c r="K1256" i="1"/>
  <c r="M1256" i="1"/>
  <c r="N1256" i="1"/>
  <c r="K1253" i="1"/>
  <c r="K1254" i="1"/>
  <c r="K1255" i="1"/>
  <c r="M1253" i="1"/>
  <c r="M1254" i="1"/>
  <c r="M1255" i="1"/>
  <c r="N1253" i="1"/>
  <c r="N1254" i="1"/>
  <c r="N1255" i="1"/>
  <c r="K1251" i="1"/>
  <c r="K1252" i="1"/>
  <c r="M1251" i="1"/>
  <c r="M1252" i="1"/>
  <c r="N1251" i="1"/>
  <c r="N1252" i="1"/>
  <c r="K1249" i="1"/>
  <c r="K1250" i="1"/>
  <c r="M1249" i="1"/>
  <c r="M1250" i="1"/>
  <c r="N1249" i="1"/>
  <c r="N1250" i="1"/>
  <c r="K1248" i="1"/>
  <c r="M1248" i="1"/>
  <c r="N1248" i="1"/>
  <c r="K1246" i="1"/>
  <c r="K1247" i="1"/>
  <c r="M1246" i="1"/>
  <c r="M1247" i="1"/>
  <c r="N1246" i="1"/>
  <c r="N1247" i="1"/>
  <c r="K1245" i="1"/>
  <c r="M1245" i="1"/>
  <c r="N1245" i="1"/>
  <c r="K1243" i="1"/>
  <c r="K1244" i="1"/>
  <c r="M1243" i="1"/>
  <c r="M1244" i="1"/>
  <c r="N1243" i="1"/>
  <c r="N1244" i="1"/>
  <c r="K1242" i="1"/>
  <c r="M1242" i="1"/>
  <c r="N1242" i="1"/>
  <c r="K1241" i="1"/>
  <c r="M1241" i="1"/>
  <c r="N1241" i="1"/>
  <c r="K1229" i="1"/>
  <c r="K1230" i="1"/>
  <c r="K1231" i="1"/>
  <c r="K1232" i="1"/>
  <c r="K1233" i="1"/>
  <c r="K1234" i="1"/>
  <c r="K1235" i="1"/>
  <c r="K1236" i="1"/>
  <c r="K1237" i="1"/>
  <c r="K1238" i="1"/>
  <c r="K1239" i="1"/>
  <c r="K1240" i="1"/>
  <c r="M1229" i="1"/>
  <c r="M1230" i="1"/>
  <c r="M1231" i="1"/>
  <c r="M1232" i="1"/>
  <c r="M1233" i="1"/>
  <c r="M1234" i="1"/>
  <c r="M1235" i="1"/>
  <c r="M1236" i="1"/>
  <c r="M1237" i="1"/>
  <c r="M1238" i="1"/>
  <c r="M1239" i="1"/>
  <c r="M1240" i="1"/>
  <c r="N1229" i="1"/>
  <c r="N1230" i="1"/>
  <c r="N1231" i="1"/>
  <c r="N1232" i="1"/>
  <c r="N1233" i="1"/>
  <c r="N1234" i="1"/>
  <c r="N1235" i="1"/>
  <c r="N1236" i="1"/>
  <c r="N1237" i="1"/>
  <c r="N1238" i="1"/>
  <c r="N1239" i="1"/>
  <c r="N1240" i="1"/>
  <c r="K1226" i="1"/>
  <c r="K1227" i="1"/>
  <c r="K1228" i="1"/>
  <c r="M1226" i="1"/>
  <c r="M1227" i="1"/>
  <c r="M1228" i="1"/>
  <c r="N1226" i="1"/>
  <c r="N1227" i="1"/>
  <c r="N1228" i="1"/>
  <c r="K1224" i="1"/>
  <c r="K1225" i="1"/>
  <c r="M1224" i="1"/>
  <c r="M1225" i="1"/>
  <c r="N1224" i="1"/>
  <c r="N1225" i="1"/>
  <c r="K1220" i="1"/>
  <c r="K1221" i="1"/>
  <c r="K1222" i="1"/>
  <c r="K1223" i="1"/>
  <c r="M1220" i="1"/>
  <c r="M1221" i="1"/>
  <c r="M1222" i="1"/>
  <c r="M1223" i="1"/>
  <c r="N1220" i="1"/>
  <c r="N1221" i="1"/>
  <c r="N1222" i="1"/>
  <c r="N1223" i="1"/>
  <c r="K1217" i="1"/>
  <c r="K1218" i="1"/>
  <c r="K1219" i="1"/>
  <c r="M1217" i="1"/>
  <c r="M1218" i="1"/>
  <c r="M1219" i="1"/>
  <c r="N1217" i="1"/>
  <c r="N1218" i="1"/>
  <c r="N1219" i="1"/>
  <c r="K1216" i="1"/>
  <c r="M1216" i="1"/>
  <c r="N1216" i="1"/>
  <c r="K1215" i="1"/>
  <c r="M1215" i="1"/>
  <c r="N1215" i="1"/>
  <c r="K1214" i="1"/>
  <c r="M1214" i="1"/>
  <c r="N1214" i="1"/>
  <c r="K1213" i="1"/>
  <c r="M1213" i="1"/>
  <c r="N1213" i="1"/>
  <c r="K1212" i="1"/>
  <c r="M1212" i="1"/>
  <c r="N1212" i="1"/>
  <c r="K1211" i="1"/>
  <c r="M1211" i="1"/>
  <c r="N1211" i="1"/>
  <c r="K1206" i="1"/>
  <c r="K1207" i="1"/>
  <c r="K1208" i="1"/>
  <c r="K1209" i="1"/>
  <c r="K1210" i="1"/>
  <c r="M1206" i="1"/>
  <c r="M1207" i="1"/>
  <c r="M1208" i="1"/>
  <c r="M1209" i="1"/>
  <c r="M1210" i="1"/>
  <c r="N1206" i="1"/>
  <c r="N1207" i="1"/>
  <c r="N1208" i="1"/>
  <c r="N1209" i="1"/>
  <c r="N1210" i="1"/>
  <c r="K1200" i="1"/>
  <c r="K1201" i="1"/>
  <c r="K1202" i="1"/>
  <c r="K1203" i="1"/>
  <c r="K1204" i="1"/>
  <c r="K1205" i="1"/>
  <c r="M1200" i="1"/>
  <c r="M1201" i="1"/>
  <c r="M1202" i="1"/>
  <c r="M1203" i="1"/>
  <c r="M1204" i="1"/>
  <c r="M1205" i="1"/>
  <c r="N1200" i="1"/>
  <c r="N1201" i="1"/>
  <c r="N1202" i="1"/>
  <c r="N1203" i="1"/>
  <c r="N1204" i="1"/>
  <c r="N1205" i="1"/>
  <c r="K1194" i="1"/>
  <c r="K1195" i="1"/>
  <c r="K1196" i="1"/>
  <c r="K1197" i="1"/>
  <c r="K1198" i="1"/>
  <c r="K1199" i="1"/>
  <c r="M1194" i="1"/>
  <c r="M1195" i="1"/>
  <c r="M1196" i="1"/>
  <c r="M1197" i="1"/>
  <c r="M1198" i="1"/>
  <c r="M1199" i="1"/>
  <c r="N1194" i="1"/>
  <c r="N1195" i="1"/>
  <c r="N1196" i="1"/>
  <c r="N1197" i="1"/>
  <c r="N1198" i="1"/>
  <c r="N1199" i="1"/>
  <c r="K1191" i="1"/>
  <c r="K1192" i="1"/>
  <c r="K1193" i="1"/>
  <c r="M1191" i="1"/>
  <c r="M1192" i="1"/>
  <c r="M1193" i="1"/>
  <c r="N1191" i="1"/>
  <c r="N1192" i="1"/>
  <c r="N1193" i="1"/>
  <c r="K1178" i="1"/>
  <c r="K1179" i="1"/>
  <c r="K1180" i="1"/>
  <c r="K1181" i="1"/>
  <c r="K1182" i="1"/>
  <c r="K1183" i="1"/>
  <c r="K1184" i="1"/>
  <c r="K1185" i="1"/>
  <c r="K1186" i="1"/>
  <c r="K1187" i="1"/>
  <c r="K1188" i="1"/>
  <c r="K1189" i="1"/>
  <c r="K1190" i="1"/>
  <c r="M1178" i="1"/>
  <c r="M1179" i="1"/>
  <c r="M1180" i="1"/>
  <c r="M1181" i="1"/>
  <c r="M1182" i="1"/>
  <c r="M1183" i="1"/>
  <c r="M1184" i="1"/>
  <c r="M1185" i="1"/>
  <c r="M1186" i="1"/>
  <c r="M1187" i="1"/>
  <c r="M1188" i="1"/>
  <c r="M1189" i="1"/>
  <c r="M1190" i="1"/>
  <c r="N1178" i="1"/>
  <c r="N1179" i="1"/>
  <c r="N1180" i="1"/>
  <c r="N1181" i="1"/>
  <c r="N1182" i="1"/>
  <c r="N1183" i="1"/>
  <c r="N1184" i="1"/>
  <c r="N1185" i="1"/>
  <c r="N1186" i="1"/>
  <c r="N1187" i="1"/>
  <c r="N1188" i="1"/>
  <c r="N1189" i="1"/>
  <c r="N1190" i="1"/>
  <c r="K1177" i="1"/>
  <c r="M1177" i="1"/>
  <c r="N1177" i="1"/>
  <c r="K1175" i="1"/>
  <c r="K1176" i="1"/>
  <c r="M1175" i="1"/>
  <c r="M1176" i="1"/>
  <c r="N1175" i="1"/>
  <c r="N1176" i="1"/>
  <c r="K1174" i="1"/>
  <c r="M1174" i="1"/>
  <c r="N1174" i="1"/>
  <c r="K1173" i="1"/>
  <c r="M1173" i="1"/>
  <c r="N1173" i="1"/>
  <c r="K1172" i="1"/>
  <c r="M1172" i="1"/>
  <c r="N1172" i="1"/>
  <c r="K1171" i="1"/>
  <c r="M1171" i="1"/>
  <c r="N1171" i="1"/>
  <c r="K1170" i="1"/>
  <c r="M1170" i="1"/>
  <c r="N1170" i="1"/>
  <c r="K1167" i="1"/>
  <c r="K1168" i="1"/>
  <c r="K1169" i="1"/>
  <c r="M1167" i="1"/>
  <c r="M1168" i="1"/>
  <c r="M1169" i="1"/>
  <c r="N1167" i="1"/>
  <c r="N1168" i="1"/>
  <c r="N1169" i="1"/>
  <c r="K1165" i="1"/>
  <c r="K1166" i="1"/>
  <c r="M1165" i="1"/>
  <c r="M1166" i="1"/>
  <c r="N1165" i="1"/>
  <c r="N1166" i="1"/>
  <c r="K1163" i="1"/>
  <c r="K1164" i="1"/>
  <c r="M1163" i="1"/>
  <c r="M1164" i="1"/>
  <c r="N1163" i="1"/>
  <c r="N1164" i="1"/>
  <c r="K1162" i="1"/>
  <c r="M1162" i="1"/>
  <c r="N1162" i="1"/>
  <c r="K1160" i="1"/>
  <c r="K1161" i="1"/>
  <c r="M1160" i="1"/>
  <c r="M1161" i="1"/>
  <c r="N1160" i="1"/>
  <c r="N1161" i="1"/>
  <c r="K1156" i="1"/>
  <c r="K1157" i="1"/>
  <c r="K1158" i="1"/>
  <c r="K1159" i="1"/>
  <c r="M1156" i="1"/>
  <c r="M1157" i="1"/>
  <c r="M1158" i="1"/>
  <c r="M1159" i="1"/>
  <c r="N1156" i="1"/>
  <c r="N1157" i="1"/>
  <c r="N1158" i="1"/>
  <c r="N1159" i="1"/>
  <c r="K1155" i="1"/>
  <c r="M1155" i="1"/>
  <c r="N1155" i="1"/>
  <c r="K1150" i="1"/>
  <c r="K1151" i="1"/>
  <c r="K1152" i="1"/>
  <c r="K1153" i="1"/>
  <c r="K1154" i="1"/>
  <c r="M1150" i="1"/>
  <c r="M1151" i="1"/>
  <c r="M1152" i="1"/>
  <c r="M1153" i="1"/>
  <c r="M1154" i="1"/>
  <c r="N1150" i="1"/>
  <c r="N1151" i="1"/>
  <c r="N1152" i="1"/>
  <c r="N1153" i="1"/>
  <c r="N1154" i="1"/>
  <c r="K1146" i="1"/>
  <c r="K1147" i="1"/>
  <c r="K1148" i="1"/>
  <c r="K1149" i="1"/>
  <c r="M1146" i="1"/>
  <c r="M1147" i="1"/>
  <c r="M1148" i="1"/>
  <c r="M1149" i="1"/>
  <c r="N1146" i="1"/>
  <c r="N1147" i="1"/>
  <c r="N1148" i="1"/>
  <c r="N1149" i="1"/>
  <c r="K1145" i="1" l="1"/>
  <c r="M1145" i="1"/>
  <c r="N1145" i="1"/>
  <c r="K1139" i="1"/>
  <c r="K1140" i="1"/>
  <c r="K1141" i="1"/>
  <c r="K1142" i="1"/>
  <c r="K1143" i="1"/>
  <c r="K1144" i="1"/>
  <c r="M1139" i="1"/>
  <c r="M1140" i="1"/>
  <c r="M1141" i="1"/>
  <c r="M1142" i="1"/>
  <c r="M1143" i="1"/>
  <c r="M1144" i="1"/>
  <c r="N1139" i="1"/>
  <c r="N1140" i="1"/>
  <c r="N1141" i="1"/>
  <c r="N1142" i="1"/>
  <c r="N1143" i="1"/>
  <c r="N1144" i="1"/>
  <c r="K1138" i="1"/>
  <c r="M1138" i="1"/>
  <c r="N1138" i="1"/>
  <c r="K1136" i="1"/>
  <c r="K1137" i="1"/>
  <c r="M1136" i="1"/>
  <c r="M1137" i="1"/>
  <c r="N1136" i="1"/>
  <c r="N1137" i="1"/>
  <c r="K1133" i="1"/>
  <c r="K1134" i="1"/>
  <c r="K1135" i="1"/>
  <c r="M1133" i="1"/>
  <c r="M1134" i="1"/>
  <c r="M1135" i="1"/>
  <c r="N1133" i="1"/>
  <c r="N1134" i="1"/>
  <c r="N1135" i="1"/>
  <c r="K1130" i="1"/>
  <c r="K1131" i="1"/>
  <c r="K1132" i="1"/>
  <c r="M1130" i="1"/>
  <c r="M1131" i="1"/>
  <c r="M1132" i="1"/>
  <c r="N1130" i="1"/>
  <c r="N1131" i="1"/>
  <c r="N1132" i="1"/>
  <c r="K1129" i="1"/>
  <c r="M1129" i="1"/>
  <c r="N1129" i="1"/>
  <c r="K1127" i="1"/>
  <c r="K1128" i="1"/>
  <c r="M1127" i="1"/>
  <c r="M1128" i="1"/>
  <c r="N1127" i="1"/>
  <c r="N1128" i="1"/>
  <c r="K1124" i="1"/>
  <c r="K1125" i="1"/>
  <c r="K1126" i="1"/>
  <c r="M1124" i="1"/>
  <c r="M1125" i="1"/>
  <c r="M1126" i="1"/>
  <c r="N1124" i="1"/>
  <c r="N1125" i="1"/>
  <c r="N1126" i="1"/>
  <c r="K1123" i="1"/>
  <c r="M1123" i="1"/>
  <c r="N1123" i="1"/>
  <c r="K1121" i="1"/>
  <c r="K1122" i="1"/>
  <c r="M1121" i="1"/>
  <c r="M1122" i="1"/>
  <c r="N1121" i="1"/>
  <c r="N1122" i="1"/>
  <c r="K1120" i="1"/>
  <c r="M1120" i="1"/>
  <c r="N1120" i="1"/>
  <c r="K1119" i="1"/>
  <c r="M1119" i="1"/>
  <c r="N1119" i="1"/>
  <c r="K1118" i="1"/>
  <c r="M1118" i="1"/>
  <c r="N1118" i="1"/>
  <c r="K1116" i="1"/>
  <c r="K1117" i="1"/>
  <c r="M1116" i="1"/>
  <c r="M1117" i="1"/>
  <c r="N1116" i="1"/>
  <c r="N1117" i="1"/>
  <c r="K1114" i="1"/>
  <c r="K1115" i="1"/>
  <c r="M1114" i="1"/>
  <c r="M1115" i="1"/>
  <c r="N1114" i="1"/>
  <c r="N1115" i="1"/>
  <c r="K1113" i="1"/>
  <c r="M1113" i="1"/>
  <c r="N1113" i="1"/>
  <c r="K1111" i="1"/>
  <c r="K1112" i="1"/>
  <c r="M1111" i="1"/>
  <c r="M1112" i="1"/>
  <c r="N1111" i="1"/>
  <c r="N1112" i="1"/>
  <c r="K1108" i="1"/>
  <c r="K1109" i="1"/>
  <c r="K1110" i="1"/>
  <c r="M1108" i="1"/>
  <c r="M1109" i="1"/>
  <c r="M1110" i="1"/>
  <c r="N1108" i="1"/>
  <c r="N1109" i="1"/>
  <c r="N1110" i="1"/>
  <c r="K1106" i="1"/>
  <c r="K1107" i="1"/>
  <c r="M1106" i="1"/>
  <c r="M1107" i="1"/>
  <c r="N1106" i="1"/>
  <c r="N1107" i="1"/>
  <c r="K1105" i="1"/>
  <c r="M1105" i="1"/>
  <c r="N1105" i="1"/>
  <c r="K1103" i="1"/>
  <c r="K1104" i="1"/>
  <c r="M1103" i="1"/>
  <c r="M1104" i="1"/>
  <c r="N1103" i="1"/>
  <c r="N1104" i="1"/>
  <c r="K1101" i="1"/>
  <c r="K1102" i="1"/>
  <c r="M1101" i="1"/>
  <c r="M1102" i="1"/>
  <c r="N1101" i="1"/>
  <c r="N1102" i="1"/>
  <c r="K1100" i="1"/>
  <c r="M1100" i="1"/>
  <c r="N1100" i="1"/>
  <c r="K1099" i="1"/>
  <c r="M1099" i="1"/>
  <c r="N1099" i="1"/>
  <c r="K1098" i="1"/>
  <c r="M1098" i="1"/>
  <c r="N1098" i="1"/>
  <c r="K1097" i="1"/>
  <c r="M1097" i="1"/>
  <c r="N1097" i="1"/>
  <c r="K1096" i="1"/>
  <c r="M1096" i="1"/>
  <c r="N1096" i="1"/>
  <c r="K1095" i="1"/>
  <c r="M1095" i="1"/>
  <c r="N1095" i="1"/>
  <c r="K1093" i="1"/>
  <c r="K1094" i="1"/>
  <c r="M1093" i="1"/>
  <c r="M1094" i="1"/>
  <c r="N1093" i="1"/>
  <c r="N1094" i="1"/>
  <c r="K1092" i="1"/>
  <c r="M1092" i="1"/>
  <c r="N1092" i="1"/>
  <c r="K1088" i="1"/>
  <c r="K1089" i="1"/>
  <c r="K1090" i="1"/>
  <c r="K1091" i="1"/>
  <c r="M1088" i="1"/>
  <c r="M1089" i="1"/>
  <c r="M1090" i="1"/>
  <c r="M1091" i="1"/>
  <c r="N1088" i="1"/>
  <c r="N1089" i="1"/>
  <c r="N1090" i="1"/>
  <c r="N1091" i="1"/>
  <c r="K1081" i="1"/>
  <c r="K1082" i="1"/>
  <c r="K1083" i="1"/>
  <c r="K1084" i="1"/>
  <c r="K1085" i="1"/>
  <c r="K1086" i="1"/>
  <c r="K1087" i="1"/>
  <c r="M1081" i="1"/>
  <c r="M1082" i="1"/>
  <c r="M1083" i="1"/>
  <c r="M1084" i="1"/>
  <c r="M1085" i="1"/>
  <c r="M1086" i="1"/>
  <c r="M1087" i="1"/>
  <c r="N1081" i="1"/>
  <c r="N1082" i="1"/>
  <c r="N1083" i="1"/>
  <c r="N1084" i="1"/>
  <c r="N1085" i="1"/>
  <c r="N1086" i="1"/>
  <c r="N1087" i="1"/>
  <c r="K1076" i="1"/>
  <c r="K1077" i="1"/>
  <c r="K1078" i="1"/>
  <c r="K1079" i="1"/>
  <c r="K1080" i="1"/>
  <c r="M1076" i="1"/>
  <c r="M1077" i="1"/>
  <c r="M1078" i="1"/>
  <c r="M1079" i="1"/>
  <c r="M1080" i="1"/>
  <c r="N1076" i="1"/>
  <c r="N1077" i="1"/>
  <c r="N1078" i="1"/>
  <c r="N1079" i="1"/>
  <c r="N1080" i="1"/>
  <c r="K1075" i="1"/>
  <c r="M1075" i="1"/>
  <c r="N1075" i="1"/>
  <c r="K1074" i="1"/>
  <c r="M1074" i="1"/>
  <c r="N1074" i="1"/>
  <c r="K1071" i="1"/>
  <c r="K1072" i="1"/>
  <c r="K1073" i="1"/>
  <c r="M1071" i="1"/>
  <c r="M1072" i="1"/>
  <c r="M1073" i="1"/>
  <c r="N1071" i="1"/>
  <c r="N1072" i="1"/>
  <c r="N1073" i="1"/>
  <c r="K1062" i="1"/>
  <c r="K1063" i="1"/>
  <c r="K1064" i="1"/>
  <c r="K1065" i="1"/>
  <c r="K1066" i="1"/>
  <c r="K1067" i="1"/>
  <c r="K1068" i="1"/>
  <c r="K1069" i="1"/>
  <c r="K1070" i="1"/>
  <c r="M1062" i="1"/>
  <c r="M1063" i="1"/>
  <c r="M1064" i="1"/>
  <c r="M1065" i="1"/>
  <c r="M1066" i="1"/>
  <c r="M1067" i="1"/>
  <c r="M1068" i="1"/>
  <c r="M1069" i="1"/>
  <c r="M1070" i="1"/>
  <c r="N1062" i="1"/>
  <c r="N1063" i="1"/>
  <c r="N1064" i="1"/>
  <c r="N1065" i="1"/>
  <c r="N1066" i="1"/>
  <c r="N1067" i="1"/>
  <c r="N1068" i="1"/>
  <c r="N1069" i="1"/>
  <c r="N1070" i="1"/>
  <c r="K1058" i="1"/>
  <c r="K1059" i="1"/>
  <c r="K1060" i="1"/>
  <c r="K1061" i="1"/>
  <c r="M1058" i="1"/>
  <c r="M1059" i="1"/>
  <c r="M1060" i="1"/>
  <c r="M1061" i="1"/>
  <c r="N1058" i="1"/>
  <c r="N1059" i="1"/>
  <c r="N1060" i="1"/>
  <c r="N1061" i="1"/>
  <c r="K1057" i="1"/>
  <c r="M1057" i="1"/>
  <c r="N1057" i="1"/>
  <c r="K1056" i="1"/>
  <c r="M1056" i="1"/>
  <c r="N1056" i="1"/>
  <c r="K1055" i="1"/>
  <c r="M1055" i="1"/>
  <c r="N1055" i="1"/>
  <c r="K1054" i="1"/>
  <c r="M1054" i="1"/>
  <c r="N1054" i="1"/>
  <c r="K1052" i="1"/>
  <c r="K1053" i="1"/>
  <c r="M1052" i="1"/>
  <c r="M1053" i="1"/>
  <c r="N1052" i="1"/>
  <c r="N1053" i="1"/>
  <c r="K1051" i="1"/>
  <c r="M1051" i="1"/>
  <c r="N1051" i="1"/>
  <c r="K1046" i="1"/>
  <c r="K1047" i="1"/>
  <c r="K1048" i="1"/>
  <c r="K1049" i="1"/>
  <c r="K1050" i="1"/>
  <c r="M1046" i="1"/>
  <c r="M1047" i="1"/>
  <c r="M1048" i="1"/>
  <c r="M1049" i="1"/>
  <c r="M1050" i="1"/>
  <c r="N1046" i="1"/>
  <c r="N1047" i="1"/>
  <c r="N1048" i="1"/>
  <c r="N1049" i="1"/>
  <c r="N1050" i="1"/>
  <c r="K1036" i="1"/>
  <c r="K1037" i="1"/>
  <c r="K1038" i="1"/>
  <c r="K1039" i="1"/>
  <c r="K1040" i="1"/>
  <c r="K1041" i="1"/>
  <c r="K1042" i="1"/>
  <c r="K1043" i="1"/>
  <c r="K1044" i="1"/>
  <c r="K1045" i="1"/>
  <c r="M1036" i="1"/>
  <c r="M1037" i="1"/>
  <c r="M1038" i="1"/>
  <c r="M1039" i="1"/>
  <c r="M1040" i="1"/>
  <c r="M1041" i="1"/>
  <c r="M1042" i="1"/>
  <c r="M1043" i="1"/>
  <c r="M1044" i="1"/>
  <c r="M1045" i="1"/>
  <c r="N1036" i="1"/>
  <c r="N1037" i="1"/>
  <c r="N1038" i="1"/>
  <c r="N1039" i="1"/>
  <c r="N1040" i="1"/>
  <c r="N1041" i="1"/>
  <c r="N1042" i="1"/>
  <c r="N1043" i="1"/>
  <c r="N1044" i="1"/>
  <c r="N1045" i="1"/>
  <c r="K1029" i="1"/>
  <c r="K1030" i="1"/>
  <c r="K1031" i="1"/>
  <c r="K1032" i="1"/>
  <c r="K1033" i="1"/>
  <c r="K1034" i="1"/>
  <c r="K1035" i="1"/>
  <c r="M1029" i="1"/>
  <c r="M1030" i="1"/>
  <c r="M1031" i="1"/>
  <c r="M1032" i="1"/>
  <c r="M1033" i="1"/>
  <c r="M1034" i="1"/>
  <c r="M1035" i="1"/>
  <c r="N1029" i="1"/>
  <c r="N1030" i="1"/>
  <c r="N1031" i="1"/>
  <c r="N1032" i="1"/>
  <c r="N1033" i="1"/>
  <c r="N1034" i="1"/>
  <c r="N1035" i="1"/>
  <c r="K1026" i="1"/>
  <c r="K1027" i="1"/>
  <c r="K1028" i="1"/>
  <c r="M1026" i="1"/>
  <c r="M1027" i="1"/>
  <c r="M1028" i="1"/>
  <c r="N1026" i="1"/>
  <c r="N1027" i="1"/>
  <c r="N1028" i="1"/>
  <c r="K1024" i="1"/>
  <c r="K1025" i="1"/>
  <c r="M1024" i="1"/>
  <c r="M1025" i="1"/>
  <c r="N1024" i="1"/>
  <c r="N1025" i="1"/>
  <c r="K1022" i="1"/>
  <c r="K1023" i="1"/>
  <c r="M1022" i="1"/>
  <c r="M1023" i="1"/>
  <c r="N1022" i="1"/>
  <c r="N1023" i="1"/>
  <c r="K1013" i="1"/>
  <c r="K1014" i="1"/>
  <c r="K1015" i="1"/>
  <c r="K1016" i="1"/>
  <c r="K1017" i="1"/>
  <c r="K1018" i="1"/>
  <c r="K1019" i="1"/>
  <c r="K1020" i="1"/>
  <c r="K1021" i="1"/>
  <c r="M1013" i="1"/>
  <c r="M1014" i="1"/>
  <c r="M1015" i="1"/>
  <c r="M1016" i="1"/>
  <c r="M1017" i="1"/>
  <c r="M1018" i="1"/>
  <c r="M1019" i="1"/>
  <c r="M1020" i="1"/>
  <c r="M1021" i="1"/>
  <c r="N1013" i="1"/>
  <c r="N1014" i="1"/>
  <c r="N1015" i="1"/>
  <c r="N1016" i="1"/>
  <c r="N1017" i="1"/>
  <c r="N1018" i="1"/>
  <c r="N1019" i="1"/>
  <c r="N1020" i="1"/>
  <c r="N1021" i="1"/>
  <c r="K1012" i="1"/>
  <c r="M1012" i="1"/>
  <c r="N1012" i="1"/>
  <c r="K1010" i="1"/>
  <c r="K1011" i="1"/>
  <c r="M1010" i="1"/>
  <c r="M1011" i="1"/>
  <c r="N1010" i="1"/>
  <c r="N1011" i="1"/>
  <c r="K1007" i="1"/>
  <c r="K1008" i="1"/>
  <c r="K1009" i="1"/>
  <c r="M1007" i="1"/>
  <c r="M1008" i="1"/>
  <c r="M1009" i="1"/>
  <c r="N1007" i="1"/>
  <c r="N1008" i="1"/>
  <c r="N1009" i="1"/>
  <c r="K1006" i="1"/>
  <c r="M1006" i="1"/>
  <c r="N1006" i="1"/>
  <c r="K1005" i="1"/>
  <c r="M1005" i="1"/>
  <c r="N1005" i="1"/>
  <c r="K1004" i="1"/>
  <c r="M1004" i="1"/>
  <c r="N1004" i="1"/>
  <c r="K998" i="1"/>
  <c r="K999" i="1"/>
  <c r="K1000" i="1"/>
  <c r="K1001" i="1"/>
  <c r="K1002" i="1"/>
  <c r="K1003" i="1"/>
  <c r="M998" i="1"/>
  <c r="M999" i="1"/>
  <c r="M1000" i="1"/>
  <c r="M1001" i="1"/>
  <c r="M1002" i="1"/>
  <c r="M1003" i="1"/>
  <c r="N998" i="1"/>
  <c r="N999" i="1"/>
  <c r="N1000" i="1"/>
  <c r="N1001" i="1"/>
  <c r="N1002" i="1"/>
  <c r="N1003" i="1"/>
  <c r="K996" i="1"/>
  <c r="K997" i="1"/>
  <c r="M996" i="1"/>
  <c r="M997" i="1"/>
  <c r="N996" i="1"/>
  <c r="N997" i="1"/>
  <c r="K995" i="1"/>
  <c r="M995" i="1"/>
  <c r="N995" i="1"/>
  <c r="K976" i="1"/>
  <c r="K977" i="1"/>
  <c r="K978" i="1"/>
  <c r="K979" i="1"/>
  <c r="K980" i="1"/>
  <c r="K981" i="1"/>
  <c r="K982" i="1"/>
  <c r="K983" i="1"/>
  <c r="K984" i="1"/>
  <c r="K985" i="1"/>
  <c r="K986" i="1"/>
  <c r="K987" i="1"/>
  <c r="K988" i="1"/>
  <c r="K989" i="1"/>
  <c r="K990" i="1"/>
  <c r="K991" i="1"/>
  <c r="K992" i="1"/>
  <c r="K993" i="1"/>
  <c r="K994" i="1"/>
  <c r="M976" i="1"/>
  <c r="M977" i="1"/>
  <c r="M978" i="1"/>
  <c r="M979" i="1"/>
  <c r="M980" i="1"/>
  <c r="M981" i="1"/>
  <c r="M982" i="1"/>
  <c r="M983" i="1"/>
  <c r="M984" i="1"/>
  <c r="M985" i="1"/>
  <c r="M986" i="1"/>
  <c r="M987" i="1"/>
  <c r="M988" i="1"/>
  <c r="M989" i="1"/>
  <c r="M990" i="1"/>
  <c r="M991" i="1"/>
  <c r="M992" i="1"/>
  <c r="M993" i="1"/>
  <c r="M994" i="1"/>
  <c r="N976" i="1"/>
  <c r="N977" i="1"/>
  <c r="N978" i="1"/>
  <c r="N979" i="1"/>
  <c r="N980" i="1"/>
  <c r="N981" i="1"/>
  <c r="N982" i="1"/>
  <c r="N983" i="1"/>
  <c r="N984" i="1"/>
  <c r="N985" i="1"/>
  <c r="N986" i="1"/>
  <c r="N987" i="1"/>
  <c r="N988" i="1"/>
  <c r="N989" i="1"/>
  <c r="N990" i="1"/>
  <c r="N991" i="1"/>
  <c r="N992" i="1"/>
  <c r="N993" i="1"/>
  <c r="N994" i="1"/>
  <c r="K975" i="1"/>
  <c r="M975" i="1"/>
  <c r="N975" i="1"/>
  <c r="K973" i="1"/>
  <c r="K974" i="1"/>
  <c r="M973" i="1"/>
  <c r="M974" i="1"/>
  <c r="N973" i="1"/>
  <c r="N974" i="1"/>
  <c r="K967" i="1"/>
  <c r="K968" i="1"/>
  <c r="K969" i="1"/>
  <c r="K970" i="1"/>
  <c r="K971" i="1"/>
  <c r="K972" i="1"/>
  <c r="M967" i="1"/>
  <c r="M968" i="1"/>
  <c r="M969" i="1"/>
  <c r="M970" i="1"/>
  <c r="M971" i="1"/>
  <c r="M972" i="1"/>
  <c r="N967" i="1"/>
  <c r="N968" i="1"/>
  <c r="N969" i="1"/>
  <c r="N970" i="1"/>
  <c r="N971" i="1"/>
  <c r="N972" i="1"/>
  <c r="K964" i="1"/>
  <c r="K965" i="1"/>
  <c r="K966" i="1"/>
  <c r="M964" i="1"/>
  <c r="M965" i="1"/>
  <c r="M966" i="1"/>
  <c r="N964" i="1"/>
  <c r="N965" i="1"/>
  <c r="N966" i="1"/>
  <c r="K961" i="1"/>
  <c r="K962" i="1"/>
  <c r="K963" i="1"/>
  <c r="M961" i="1"/>
  <c r="M962" i="1"/>
  <c r="M963" i="1"/>
  <c r="N961" i="1"/>
  <c r="N962" i="1"/>
  <c r="N963" i="1"/>
  <c r="K950" i="1"/>
  <c r="K951" i="1"/>
  <c r="K952" i="1"/>
  <c r="K953" i="1"/>
  <c r="K954" i="1"/>
  <c r="K955" i="1"/>
  <c r="K956" i="1"/>
  <c r="K957" i="1"/>
  <c r="K958" i="1"/>
  <c r="K959" i="1"/>
  <c r="K960" i="1"/>
  <c r="M950" i="1"/>
  <c r="M951" i="1"/>
  <c r="M952" i="1"/>
  <c r="M953" i="1"/>
  <c r="M954" i="1"/>
  <c r="M955" i="1"/>
  <c r="M956" i="1"/>
  <c r="M957" i="1"/>
  <c r="M958" i="1"/>
  <c r="M959" i="1"/>
  <c r="M960" i="1"/>
  <c r="N950" i="1"/>
  <c r="N951" i="1"/>
  <c r="N952" i="1"/>
  <c r="N953" i="1"/>
  <c r="N954" i="1"/>
  <c r="N955" i="1"/>
  <c r="N956" i="1"/>
  <c r="N957" i="1"/>
  <c r="N958" i="1"/>
  <c r="N959" i="1"/>
  <c r="N960" i="1"/>
  <c r="K945" i="1" l="1"/>
  <c r="K946" i="1"/>
  <c r="K947" i="1"/>
  <c r="K948" i="1"/>
  <c r="K949" i="1"/>
  <c r="M945" i="1"/>
  <c r="M946" i="1"/>
  <c r="M947" i="1"/>
  <c r="M948" i="1"/>
  <c r="M949" i="1"/>
  <c r="N945" i="1"/>
  <c r="N946" i="1"/>
  <c r="N947" i="1"/>
  <c r="N948" i="1"/>
  <c r="N949" i="1"/>
  <c r="K938" i="1"/>
  <c r="K939" i="1"/>
  <c r="K940" i="1"/>
  <c r="K941" i="1"/>
  <c r="K942" i="1"/>
  <c r="K943" i="1"/>
  <c r="K944" i="1"/>
  <c r="M938" i="1"/>
  <c r="M939" i="1"/>
  <c r="M940" i="1"/>
  <c r="M941" i="1"/>
  <c r="M942" i="1"/>
  <c r="M943" i="1"/>
  <c r="M944" i="1"/>
  <c r="N938" i="1"/>
  <c r="N939" i="1"/>
  <c r="N940" i="1"/>
  <c r="N941" i="1"/>
  <c r="N942" i="1"/>
  <c r="N943" i="1"/>
  <c r="N944" i="1"/>
  <c r="K934" i="1"/>
  <c r="K935" i="1"/>
  <c r="K936" i="1"/>
  <c r="K937" i="1"/>
  <c r="M934" i="1"/>
  <c r="M935" i="1"/>
  <c r="M936" i="1"/>
  <c r="M937" i="1"/>
  <c r="N934" i="1"/>
  <c r="N935" i="1"/>
  <c r="N936" i="1"/>
  <c r="N937" i="1"/>
  <c r="K933" i="1"/>
  <c r="M933" i="1"/>
  <c r="N933" i="1"/>
  <c r="K927" i="1"/>
  <c r="K928" i="1"/>
  <c r="K929" i="1"/>
  <c r="K930" i="1"/>
  <c r="K931" i="1"/>
  <c r="K932" i="1"/>
  <c r="M927" i="1"/>
  <c r="M928" i="1"/>
  <c r="M929" i="1"/>
  <c r="M930" i="1"/>
  <c r="M931" i="1"/>
  <c r="M932" i="1"/>
  <c r="N927" i="1"/>
  <c r="N928" i="1"/>
  <c r="N929" i="1"/>
  <c r="N930" i="1"/>
  <c r="N931" i="1"/>
  <c r="N932" i="1"/>
  <c r="K926" i="1"/>
  <c r="M926" i="1"/>
  <c r="N926" i="1"/>
  <c r="K922" i="1"/>
  <c r="K923" i="1"/>
  <c r="K924" i="1"/>
  <c r="K925" i="1"/>
  <c r="M922" i="1"/>
  <c r="M923" i="1"/>
  <c r="M924" i="1"/>
  <c r="M925" i="1"/>
  <c r="N922" i="1"/>
  <c r="N923" i="1"/>
  <c r="N924" i="1"/>
  <c r="N925" i="1"/>
  <c r="K915" i="1"/>
  <c r="K916" i="1"/>
  <c r="K917" i="1"/>
  <c r="K918" i="1"/>
  <c r="K919" i="1"/>
  <c r="K920" i="1"/>
  <c r="K921" i="1"/>
  <c r="M915" i="1"/>
  <c r="M916" i="1"/>
  <c r="M917" i="1"/>
  <c r="M918" i="1"/>
  <c r="M919" i="1"/>
  <c r="M920" i="1"/>
  <c r="M921" i="1"/>
  <c r="N915" i="1"/>
  <c r="N916" i="1"/>
  <c r="N917" i="1"/>
  <c r="N918" i="1"/>
  <c r="N919" i="1"/>
  <c r="N920" i="1"/>
  <c r="N921" i="1"/>
  <c r="K910" i="1"/>
  <c r="K911" i="1"/>
  <c r="K912" i="1"/>
  <c r="K913" i="1"/>
  <c r="K914" i="1"/>
  <c r="M910" i="1"/>
  <c r="M911" i="1"/>
  <c r="M912" i="1"/>
  <c r="M913" i="1"/>
  <c r="M914" i="1"/>
  <c r="N910" i="1"/>
  <c r="N911" i="1"/>
  <c r="N912" i="1"/>
  <c r="N913" i="1"/>
  <c r="N914" i="1"/>
  <c r="K907" i="1"/>
  <c r="K908" i="1"/>
  <c r="K909" i="1"/>
  <c r="M907" i="1"/>
  <c r="M908" i="1"/>
  <c r="M909" i="1"/>
  <c r="N907" i="1"/>
  <c r="N908" i="1"/>
  <c r="N909" i="1"/>
  <c r="K906" i="1"/>
  <c r="M906" i="1"/>
  <c r="N906" i="1"/>
  <c r="K897" i="1"/>
  <c r="K898" i="1"/>
  <c r="K899" i="1"/>
  <c r="K900" i="1"/>
  <c r="K901" i="1"/>
  <c r="K902" i="1"/>
  <c r="K903" i="1"/>
  <c r="K904" i="1"/>
  <c r="K905" i="1"/>
  <c r="M897" i="1"/>
  <c r="M898" i="1"/>
  <c r="M899" i="1"/>
  <c r="M900" i="1"/>
  <c r="M901" i="1"/>
  <c r="M902" i="1"/>
  <c r="M903" i="1"/>
  <c r="M904" i="1"/>
  <c r="M905" i="1"/>
  <c r="N897" i="1"/>
  <c r="N898" i="1"/>
  <c r="N899" i="1"/>
  <c r="N900" i="1"/>
  <c r="N901" i="1"/>
  <c r="N902" i="1"/>
  <c r="N903" i="1"/>
  <c r="N904" i="1"/>
  <c r="N905" i="1"/>
  <c r="K896" i="1"/>
  <c r="M896" i="1"/>
  <c r="N896" i="1"/>
  <c r="K892" i="1"/>
  <c r="K893" i="1"/>
  <c r="K894" i="1"/>
  <c r="K895" i="1"/>
  <c r="M892" i="1"/>
  <c r="M893" i="1"/>
  <c r="M894" i="1"/>
  <c r="M895" i="1"/>
  <c r="N892" i="1"/>
  <c r="N893" i="1"/>
  <c r="N894" i="1"/>
  <c r="N895" i="1"/>
  <c r="K889" i="1"/>
  <c r="K890" i="1"/>
  <c r="K891" i="1"/>
  <c r="M889" i="1"/>
  <c r="M890" i="1"/>
  <c r="M891" i="1"/>
  <c r="N889" i="1"/>
  <c r="N890" i="1"/>
  <c r="N891" i="1"/>
  <c r="K888" i="1"/>
  <c r="M888" i="1"/>
  <c r="N888" i="1"/>
  <c r="K887" i="1"/>
  <c r="M887" i="1"/>
  <c r="N887" i="1"/>
  <c r="K870" i="1"/>
  <c r="K871" i="1"/>
  <c r="K872" i="1"/>
  <c r="K873" i="1"/>
  <c r="K874" i="1"/>
  <c r="K875" i="1"/>
  <c r="K876" i="1"/>
  <c r="K877" i="1"/>
  <c r="K878" i="1"/>
  <c r="K879" i="1"/>
  <c r="K880" i="1"/>
  <c r="K881" i="1"/>
  <c r="K882" i="1"/>
  <c r="K883" i="1"/>
  <c r="K884" i="1"/>
  <c r="K885" i="1"/>
  <c r="K886" i="1"/>
  <c r="M870" i="1"/>
  <c r="M871" i="1"/>
  <c r="M872" i="1"/>
  <c r="M873" i="1"/>
  <c r="M874" i="1"/>
  <c r="M875" i="1"/>
  <c r="M876" i="1"/>
  <c r="M877" i="1"/>
  <c r="M878" i="1"/>
  <c r="M879" i="1"/>
  <c r="M880" i="1"/>
  <c r="M881" i="1"/>
  <c r="M882" i="1"/>
  <c r="M883" i="1"/>
  <c r="M884" i="1"/>
  <c r="M885" i="1"/>
  <c r="M886" i="1"/>
  <c r="N870" i="1"/>
  <c r="N871" i="1"/>
  <c r="N872" i="1"/>
  <c r="N873" i="1"/>
  <c r="N874" i="1"/>
  <c r="N875" i="1"/>
  <c r="N876" i="1"/>
  <c r="N877" i="1"/>
  <c r="N878" i="1"/>
  <c r="N879" i="1"/>
  <c r="N880" i="1"/>
  <c r="N881" i="1"/>
  <c r="N882" i="1"/>
  <c r="N883" i="1"/>
  <c r="N884" i="1"/>
  <c r="N885" i="1"/>
  <c r="N886" i="1"/>
  <c r="K869" i="1"/>
  <c r="M869" i="1"/>
  <c r="N869" i="1"/>
  <c r="K868" i="1" l="1"/>
  <c r="M868" i="1"/>
  <c r="N868" i="1"/>
  <c r="K867" i="1"/>
  <c r="M867" i="1"/>
  <c r="N867" i="1"/>
  <c r="K866" i="1"/>
  <c r="M866" i="1"/>
  <c r="N866" i="1"/>
  <c r="K865" i="1"/>
  <c r="M865" i="1"/>
  <c r="N865" i="1"/>
  <c r="K864" i="1"/>
  <c r="M864" i="1"/>
  <c r="N864" i="1"/>
  <c r="K863" i="1"/>
  <c r="M863" i="1"/>
  <c r="N863" i="1"/>
  <c r="K862" i="1"/>
  <c r="M862" i="1"/>
  <c r="N862" i="1"/>
  <c r="K861" i="1"/>
  <c r="M861" i="1"/>
  <c r="N861" i="1"/>
  <c r="K860" i="1"/>
  <c r="M860" i="1"/>
  <c r="N860" i="1"/>
  <c r="K859" i="1"/>
  <c r="M859" i="1"/>
  <c r="N859" i="1"/>
  <c r="K858" i="1"/>
  <c r="M858" i="1"/>
  <c r="N858" i="1"/>
  <c r="K857" i="1"/>
  <c r="M857" i="1"/>
  <c r="N857" i="1"/>
  <c r="K856" i="1"/>
  <c r="M856" i="1"/>
  <c r="N856" i="1"/>
  <c r="K855" i="1"/>
  <c r="M855" i="1"/>
  <c r="N855" i="1"/>
  <c r="K854" i="1"/>
  <c r="M854" i="1"/>
  <c r="N854" i="1"/>
  <c r="K853" i="1"/>
  <c r="M853" i="1"/>
  <c r="N853" i="1"/>
  <c r="K851" i="1"/>
  <c r="K852" i="1"/>
  <c r="M851" i="1"/>
  <c r="M852" i="1"/>
  <c r="N851" i="1"/>
  <c r="N852" i="1"/>
  <c r="K831" i="1"/>
  <c r="K832" i="1"/>
  <c r="K833" i="1"/>
  <c r="K834" i="1"/>
  <c r="K835" i="1"/>
  <c r="K836" i="1"/>
  <c r="K837" i="1"/>
  <c r="K838" i="1"/>
  <c r="K839" i="1"/>
  <c r="K840" i="1"/>
  <c r="K841" i="1"/>
  <c r="K842" i="1"/>
  <c r="K843" i="1"/>
  <c r="K844" i="1"/>
  <c r="K845" i="1"/>
  <c r="K846" i="1"/>
  <c r="K847" i="1"/>
  <c r="K848" i="1"/>
  <c r="K849" i="1"/>
  <c r="K850" i="1"/>
  <c r="M831" i="1"/>
  <c r="M832" i="1"/>
  <c r="M833" i="1"/>
  <c r="M834" i="1"/>
  <c r="M835" i="1"/>
  <c r="M836" i="1"/>
  <c r="M837" i="1"/>
  <c r="M838" i="1"/>
  <c r="M839" i="1"/>
  <c r="M840" i="1"/>
  <c r="M841" i="1"/>
  <c r="M842" i="1"/>
  <c r="M843" i="1"/>
  <c r="M844" i="1"/>
  <c r="M845" i="1"/>
  <c r="M846" i="1"/>
  <c r="M847" i="1"/>
  <c r="M848" i="1"/>
  <c r="M849" i="1"/>
  <c r="M850" i="1"/>
  <c r="N831" i="1"/>
  <c r="N832" i="1"/>
  <c r="N833" i="1"/>
  <c r="N834" i="1"/>
  <c r="N835" i="1"/>
  <c r="N836" i="1"/>
  <c r="N837" i="1"/>
  <c r="N838" i="1"/>
  <c r="N839" i="1"/>
  <c r="N840" i="1"/>
  <c r="N841" i="1"/>
  <c r="N842" i="1"/>
  <c r="N843" i="1"/>
  <c r="N844" i="1"/>
  <c r="N845" i="1"/>
  <c r="N846" i="1"/>
  <c r="N847" i="1"/>
  <c r="N848" i="1"/>
  <c r="N849" i="1"/>
  <c r="N850" i="1"/>
  <c r="K827" i="1"/>
  <c r="K828" i="1"/>
  <c r="K829" i="1"/>
  <c r="K830" i="1"/>
  <c r="M827" i="1"/>
  <c r="M828" i="1"/>
  <c r="M829" i="1"/>
  <c r="M830" i="1"/>
  <c r="N827" i="1"/>
  <c r="N828" i="1"/>
  <c r="N829" i="1"/>
  <c r="N830" i="1"/>
  <c r="K826" i="1"/>
  <c r="M826" i="1"/>
  <c r="N826" i="1"/>
  <c r="K824" i="1"/>
  <c r="K825" i="1"/>
  <c r="M824" i="1"/>
  <c r="M825" i="1"/>
  <c r="N824" i="1"/>
  <c r="N825" i="1"/>
  <c r="K823" i="1"/>
  <c r="M823" i="1"/>
  <c r="N823" i="1"/>
  <c r="K820" i="1"/>
  <c r="K821" i="1"/>
  <c r="K822" i="1"/>
  <c r="M820" i="1"/>
  <c r="M821" i="1"/>
  <c r="M822" i="1"/>
  <c r="N820" i="1"/>
  <c r="N821" i="1"/>
  <c r="N822" i="1"/>
  <c r="K818" i="1"/>
  <c r="K819" i="1"/>
  <c r="M818" i="1"/>
  <c r="M819" i="1"/>
  <c r="N818" i="1"/>
  <c r="N819" i="1"/>
  <c r="K817" i="1"/>
  <c r="M817" i="1"/>
  <c r="N817" i="1"/>
  <c r="K816" i="1"/>
  <c r="M816" i="1"/>
  <c r="N816" i="1"/>
  <c r="K812" i="1"/>
  <c r="K813" i="1"/>
  <c r="K814" i="1"/>
  <c r="K815" i="1"/>
  <c r="M812" i="1"/>
  <c r="M813" i="1"/>
  <c r="M814" i="1"/>
  <c r="M815" i="1"/>
  <c r="N812" i="1"/>
  <c r="N813" i="1"/>
  <c r="N814" i="1"/>
  <c r="N815" i="1"/>
  <c r="K805" i="1"/>
  <c r="K806" i="1"/>
  <c r="K807" i="1"/>
  <c r="K808" i="1"/>
  <c r="K809" i="1"/>
  <c r="K810" i="1"/>
  <c r="K811" i="1"/>
  <c r="M805" i="1"/>
  <c r="M806" i="1"/>
  <c r="M807" i="1"/>
  <c r="M808" i="1"/>
  <c r="M809" i="1"/>
  <c r="M810" i="1"/>
  <c r="M811" i="1"/>
  <c r="N805" i="1"/>
  <c r="N806" i="1"/>
  <c r="N807" i="1"/>
  <c r="N808" i="1"/>
  <c r="N809" i="1"/>
  <c r="N810" i="1"/>
  <c r="N811" i="1"/>
  <c r="K803" i="1"/>
  <c r="K804" i="1"/>
  <c r="M803" i="1"/>
  <c r="M804" i="1"/>
  <c r="N803" i="1"/>
  <c r="N804" i="1"/>
  <c r="K802" i="1"/>
  <c r="M802" i="1"/>
  <c r="N802" i="1"/>
  <c r="K798" i="1"/>
  <c r="K799" i="1"/>
  <c r="K800" i="1"/>
  <c r="K801" i="1"/>
  <c r="M798" i="1"/>
  <c r="M799" i="1"/>
  <c r="M800" i="1"/>
  <c r="M801" i="1"/>
  <c r="N798" i="1"/>
  <c r="N799" i="1"/>
  <c r="N800" i="1"/>
  <c r="N801" i="1"/>
  <c r="K797" i="1"/>
  <c r="M797" i="1"/>
  <c r="N797" i="1"/>
  <c r="K796" i="1"/>
  <c r="M796" i="1"/>
  <c r="N796" i="1"/>
  <c r="K795" i="1"/>
  <c r="M795" i="1"/>
  <c r="N795" i="1"/>
  <c r="K794" i="1"/>
  <c r="M794" i="1"/>
  <c r="N794" i="1"/>
  <c r="K793" i="1"/>
  <c r="M793" i="1"/>
  <c r="N793" i="1"/>
  <c r="K788" i="1"/>
  <c r="K789" i="1"/>
  <c r="K790" i="1"/>
  <c r="K791" i="1"/>
  <c r="K792" i="1"/>
  <c r="M788" i="1"/>
  <c r="M789" i="1"/>
  <c r="M790" i="1"/>
  <c r="M791" i="1"/>
  <c r="M792" i="1"/>
  <c r="N788" i="1"/>
  <c r="N789" i="1"/>
  <c r="N790" i="1"/>
  <c r="N791" i="1"/>
  <c r="N792" i="1"/>
  <c r="K787" i="1"/>
  <c r="M787" i="1"/>
  <c r="N787" i="1"/>
  <c r="K786" i="1"/>
  <c r="M786" i="1"/>
  <c r="N786" i="1"/>
  <c r="K784" i="1"/>
  <c r="K785" i="1"/>
  <c r="M784" i="1"/>
  <c r="M785" i="1"/>
  <c r="N784" i="1"/>
  <c r="N785" i="1"/>
  <c r="K778" i="1"/>
  <c r="K779" i="1"/>
  <c r="K780" i="1"/>
  <c r="K781" i="1"/>
  <c r="K782" i="1"/>
  <c r="K783" i="1"/>
  <c r="M778" i="1"/>
  <c r="M779" i="1"/>
  <c r="M780" i="1"/>
  <c r="M781" i="1"/>
  <c r="M782" i="1"/>
  <c r="M783" i="1"/>
  <c r="N778" i="1"/>
  <c r="N779" i="1"/>
  <c r="N780" i="1"/>
  <c r="N781" i="1"/>
  <c r="N782" i="1"/>
  <c r="N783" i="1"/>
  <c r="K777" i="1"/>
  <c r="M777" i="1"/>
  <c r="N777"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32" i="1" l="1"/>
  <c r="M732" i="1"/>
  <c r="K732" i="1"/>
  <c r="K731" i="1"/>
  <c r="M731" i="1"/>
  <c r="N731" i="1"/>
  <c r="K730" i="1"/>
  <c r="M730" i="1"/>
  <c r="N730" i="1"/>
  <c r="K729" i="1"/>
  <c r="M729" i="1"/>
  <c r="N729" i="1"/>
  <c r="K728" i="1"/>
  <c r="M728" i="1"/>
  <c r="N728" i="1"/>
  <c r="K726" i="1"/>
  <c r="K727" i="1"/>
  <c r="M726" i="1"/>
  <c r="M727" i="1"/>
  <c r="N726" i="1"/>
  <c r="N727" i="1"/>
  <c r="K722" i="1"/>
  <c r="K723" i="1"/>
  <c r="K724" i="1"/>
  <c r="K725" i="1"/>
  <c r="M722" i="1"/>
  <c r="M723" i="1"/>
  <c r="M724" i="1"/>
  <c r="M725" i="1"/>
  <c r="N722" i="1"/>
  <c r="N723" i="1"/>
  <c r="N724" i="1"/>
  <c r="N725" i="1"/>
  <c r="K719" i="1"/>
  <c r="K720" i="1"/>
  <c r="K721" i="1"/>
  <c r="M719" i="1"/>
  <c r="M720" i="1"/>
  <c r="M721" i="1"/>
  <c r="N719" i="1"/>
  <c r="N720" i="1"/>
  <c r="N721" i="1"/>
  <c r="K718" i="1"/>
  <c r="M718" i="1"/>
  <c r="N718" i="1"/>
  <c r="K717" i="1"/>
  <c r="M717" i="1"/>
  <c r="N717" i="1"/>
  <c r="K716" i="1"/>
  <c r="M716" i="1"/>
  <c r="N716" i="1"/>
  <c r="K715" i="1"/>
  <c r="M715" i="1"/>
  <c r="N715" i="1"/>
  <c r="K713" i="1"/>
  <c r="K714" i="1"/>
  <c r="M713" i="1"/>
  <c r="M714" i="1"/>
  <c r="N713" i="1"/>
  <c r="N714" i="1"/>
  <c r="K709" i="1"/>
  <c r="K710" i="1"/>
  <c r="K711" i="1"/>
  <c r="K712" i="1"/>
  <c r="M709" i="1"/>
  <c r="M710" i="1"/>
  <c r="M711" i="1"/>
  <c r="M712" i="1"/>
  <c r="N709" i="1"/>
  <c r="N710" i="1"/>
  <c r="N711" i="1"/>
  <c r="N712" i="1"/>
  <c r="K708" i="1"/>
  <c r="M708" i="1"/>
  <c r="N708" i="1"/>
  <c r="K707" i="1"/>
  <c r="M707" i="1"/>
  <c r="N707" i="1"/>
  <c r="K701" i="1"/>
  <c r="K702" i="1"/>
  <c r="K703" i="1"/>
  <c r="K704" i="1"/>
  <c r="K705" i="1"/>
  <c r="K706" i="1"/>
  <c r="M701" i="1"/>
  <c r="M702" i="1"/>
  <c r="M703" i="1"/>
  <c r="M704" i="1"/>
  <c r="M705" i="1"/>
  <c r="M706" i="1"/>
  <c r="N701" i="1"/>
  <c r="N702" i="1"/>
  <c r="N703" i="1"/>
  <c r="N704" i="1"/>
  <c r="N705" i="1"/>
  <c r="N706" i="1"/>
  <c r="K700" i="1"/>
  <c r="M700" i="1"/>
  <c r="N700" i="1"/>
  <c r="K698" i="1"/>
  <c r="K699" i="1"/>
  <c r="M698" i="1"/>
  <c r="M699" i="1"/>
  <c r="N698" i="1"/>
  <c r="N699" i="1"/>
  <c r="K696" i="1"/>
  <c r="K697" i="1"/>
  <c r="M696" i="1"/>
  <c r="M697" i="1"/>
  <c r="N696" i="1"/>
  <c r="N697" i="1"/>
  <c r="K691" i="1"/>
  <c r="K692" i="1"/>
  <c r="K693" i="1"/>
  <c r="K694" i="1"/>
  <c r="K695" i="1"/>
  <c r="M691" i="1"/>
  <c r="M692" i="1"/>
  <c r="M693" i="1"/>
  <c r="M694" i="1"/>
  <c r="M695" i="1"/>
  <c r="N691" i="1"/>
  <c r="N692" i="1"/>
  <c r="N693" i="1"/>
  <c r="N694" i="1"/>
  <c r="N695" i="1"/>
  <c r="K690" i="1"/>
  <c r="M690" i="1"/>
  <c r="N690" i="1"/>
  <c r="K689" i="1"/>
  <c r="M689" i="1"/>
  <c r="N689" i="1"/>
  <c r="K688" i="1"/>
  <c r="M688" i="1"/>
  <c r="N688" i="1"/>
  <c r="K685" i="1"/>
  <c r="K686" i="1"/>
  <c r="K687" i="1"/>
  <c r="M685" i="1"/>
  <c r="M686" i="1"/>
  <c r="M687" i="1"/>
  <c r="N685" i="1"/>
  <c r="N686" i="1"/>
  <c r="N687" i="1"/>
  <c r="K683" i="1"/>
  <c r="K684" i="1"/>
  <c r="M683" i="1"/>
  <c r="M684" i="1"/>
  <c r="N683" i="1"/>
  <c r="N684" i="1"/>
  <c r="K682" i="1"/>
  <c r="M682" i="1"/>
  <c r="N682" i="1"/>
  <c r="K674" i="1"/>
  <c r="K675" i="1"/>
  <c r="K676" i="1"/>
  <c r="K677" i="1"/>
  <c r="K678" i="1"/>
  <c r="K679" i="1"/>
  <c r="K680" i="1"/>
  <c r="K681" i="1"/>
  <c r="M674" i="1"/>
  <c r="M675" i="1"/>
  <c r="M676" i="1"/>
  <c r="M677" i="1"/>
  <c r="M678" i="1"/>
  <c r="M679" i="1"/>
  <c r="M680" i="1"/>
  <c r="M681" i="1"/>
  <c r="N674" i="1"/>
  <c r="N675" i="1"/>
  <c r="N676" i="1"/>
  <c r="N677" i="1"/>
  <c r="N678" i="1"/>
  <c r="N679" i="1"/>
  <c r="N680" i="1"/>
  <c r="N681" i="1"/>
  <c r="K673" i="1"/>
  <c r="M673" i="1"/>
  <c r="N673" i="1"/>
  <c r="K672" i="1"/>
  <c r="M672" i="1"/>
  <c r="N672" i="1"/>
  <c r="K671" i="1"/>
  <c r="M671" i="1"/>
  <c r="N671" i="1"/>
  <c r="K670" i="1"/>
  <c r="M670" i="1"/>
  <c r="N670" i="1"/>
  <c r="K669" i="1"/>
  <c r="M669" i="1"/>
  <c r="N669" i="1"/>
  <c r="K668" i="1"/>
  <c r="M668" i="1"/>
  <c r="N668" i="1"/>
  <c r="K659" i="1"/>
  <c r="K660" i="1"/>
  <c r="K661" i="1"/>
  <c r="K662" i="1"/>
  <c r="K663" i="1"/>
  <c r="K664" i="1"/>
  <c r="K665" i="1"/>
  <c r="K666" i="1"/>
  <c r="K667" i="1"/>
  <c r="M659" i="1"/>
  <c r="M660" i="1"/>
  <c r="M661" i="1"/>
  <c r="M662" i="1"/>
  <c r="M663" i="1"/>
  <c r="M664" i="1"/>
  <c r="M665" i="1"/>
  <c r="M666" i="1"/>
  <c r="M667" i="1"/>
  <c r="N659" i="1"/>
  <c r="N660" i="1"/>
  <c r="N661" i="1"/>
  <c r="N662" i="1"/>
  <c r="N663" i="1"/>
  <c r="N664" i="1"/>
  <c r="N665" i="1"/>
  <c r="N666" i="1"/>
  <c r="N667" i="1"/>
  <c r="K658" i="1"/>
  <c r="M658" i="1"/>
  <c r="N658" i="1"/>
  <c r="K650" i="1"/>
  <c r="K651" i="1"/>
  <c r="K652" i="1"/>
  <c r="K653" i="1"/>
  <c r="K654" i="1"/>
  <c r="K655" i="1"/>
  <c r="K656" i="1"/>
  <c r="K657" i="1"/>
  <c r="M650" i="1"/>
  <c r="M651" i="1"/>
  <c r="M652" i="1"/>
  <c r="M653" i="1"/>
  <c r="M654" i="1"/>
  <c r="M655" i="1"/>
  <c r="M656" i="1"/>
  <c r="M657" i="1"/>
  <c r="N650" i="1"/>
  <c r="N651" i="1"/>
  <c r="N652" i="1"/>
  <c r="N653" i="1"/>
  <c r="N654" i="1"/>
  <c r="N655" i="1"/>
  <c r="N656" i="1"/>
  <c r="N657" i="1"/>
  <c r="K649" i="1"/>
  <c r="M649" i="1"/>
  <c r="N649" i="1"/>
  <c r="K641" i="1"/>
  <c r="K642" i="1"/>
  <c r="K643" i="1"/>
  <c r="K644" i="1"/>
  <c r="K645" i="1"/>
  <c r="K646" i="1"/>
  <c r="K647" i="1"/>
  <c r="K648" i="1"/>
  <c r="M641" i="1"/>
  <c r="M642" i="1"/>
  <c r="M643" i="1"/>
  <c r="M644" i="1"/>
  <c r="M645" i="1"/>
  <c r="M646" i="1"/>
  <c r="M647" i="1"/>
  <c r="M648" i="1"/>
  <c r="N641" i="1"/>
  <c r="N642" i="1"/>
  <c r="N643" i="1"/>
  <c r="N644" i="1"/>
  <c r="N645" i="1"/>
  <c r="N646" i="1"/>
  <c r="N647" i="1"/>
  <c r="N648" i="1"/>
  <c r="K640" i="1"/>
  <c r="M640" i="1"/>
  <c r="N640" i="1"/>
  <c r="K638" i="1"/>
  <c r="K639" i="1"/>
  <c r="M638" i="1"/>
  <c r="M639" i="1"/>
  <c r="N638" i="1"/>
  <c r="N639" i="1"/>
  <c r="K636" i="1"/>
  <c r="K637" i="1"/>
  <c r="M636" i="1"/>
  <c r="M637" i="1"/>
  <c r="N636" i="1"/>
  <c r="N637" i="1"/>
  <c r="K635" i="1"/>
  <c r="M635" i="1"/>
  <c r="N635" i="1"/>
  <c r="K633" i="1"/>
  <c r="K634" i="1"/>
  <c r="M633" i="1"/>
  <c r="M634" i="1"/>
  <c r="N633" i="1"/>
  <c r="N634" i="1"/>
  <c r="K631" i="1"/>
  <c r="K632" i="1"/>
  <c r="M631" i="1"/>
  <c r="M632" i="1"/>
  <c r="N631" i="1"/>
  <c r="N632" i="1"/>
  <c r="K622" i="1"/>
  <c r="K623" i="1"/>
  <c r="K624" i="1"/>
  <c r="K625" i="1"/>
  <c r="K626" i="1"/>
  <c r="K627" i="1"/>
  <c r="K628" i="1"/>
  <c r="K629" i="1"/>
  <c r="K630" i="1"/>
  <c r="M622" i="1"/>
  <c r="M623" i="1"/>
  <c r="M624" i="1"/>
  <c r="M625" i="1"/>
  <c r="M626" i="1"/>
  <c r="M627" i="1"/>
  <c r="M628" i="1"/>
  <c r="M629" i="1"/>
  <c r="M630" i="1"/>
  <c r="N622" i="1"/>
  <c r="N623" i="1"/>
  <c r="N624" i="1"/>
  <c r="N625" i="1"/>
  <c r="N626" i="1"/>
  <c r="N627" i="1"/>
  <c r="N628" i="1"/>
  <c r="N629" i="1"/>
  <c r="N630" i="1"/>
  <c r="K621" i="1"/>
  <c r="M621" i="1"/>
  <c r="N621" i="1"/>
  <c r="K617" i="1"/>
  <c r="K618" i="1"/>
  <c r="K619" i="1"/>
  <c r="K620" i="1"/>
  <c r="M617" i="1"/>
  <c r="M618" i="1"/>
  <c r="M619" i="1"/>
  <c r="M620" i="1"/>
  <c r="N617" i="1"/>
  <c r="N618" i="1"/>
  <c r="N619" i="1"/>
  <c r="N620" i="1"/>
  <c r="K613" i="1"/>
  <c r="K614" i="1"/>
  <c r="K615" i="1"/>
  <c r="K616" i="1"/>
  <c r="M613" i="1"/>
  <c r="M614" i="1"/>
  <c r="M615" i="1"/>
  <c r="M616" i="1"/>
  <c r="N613" i="1"/>
  <c r="N614" i="1"/>
  <c r="N615" i="1"/>
  <c r="N616" i="1"/>
  <c r="K604" i="1"/>
  <c r="K605" i="1"/>
  <c r="K606" i="1"/>
  <c r="K607" i="1"/>
  <c r="K608" i="1"/>
  <c r="K609" i="1"/>
  <c r="K610" i="1"/>
  <c r="K611" i="1"/>
  <c r="K612" i="1"/>
  <c r="M604" i="1"/>
  <c r="M605" i="1"/>
  <c r="M606" i="1"/>
  <c r="M607" i="1"/>
  <c r="M608" i="1"/>
  <c r="M609" i="1"/>
  <c r="M610" i="1"/>
  <c r="M611" i="1"/>
  <c r="M612" i="1"/>
  <c r="N604" i="1"/>
  <c r="N605" i="1"/>
  <c r="N606" i="1"/>
  <c r="N607" i="1"/>
  <c r="N608" i="1"/>
  <c r="N609" i="1"/>
  <c r="N610" i="1"/>
  <c r="N611" i="1"/>
  <c r="N612" i="1"/>
  <c r="K603" i="1"/>
  <c r="M603" i="1"/>
  <c r="N603" i="1"/>
  <c r="K602" i="1"/>
  <c r="M602" i="1"/>
  <c r="N602" i="1"/>
  <c r="K601" i="1"/>
  <c r="M601" i="1"/>
  <c r="N601" i="1"/>
  <c r="K599" i="1"/>
  <c r="K600" i="1"/>
  <c r="M599" i="1"/>
  <c r="M600" i="1"/>
  <c r="N599" i="1"/>
  <c r="N600" i="1"/>
  <c r="K590" i="1"/>
  <c r="K591" i="1"/>
  <c r="K592" i="1"/>
  <c r="K593" i="1"/>
  <c r="K594" i="1"/>
  <c r="K595" i="1"/>
  <c r="K596" i="1"/>
  <c r="K597" i="1"/>
  <c r="K598" i="1"/>
  <c r="M590" i="1"/>
  <c r="M591" i="1"/>
  <c r="M592" i="1"/>
  <c r="M593" i="1"/>
  <c r="M594" i="1"/>
  <c r="M595" i="1"/>
  <c r="M596" i="1"/>
  <c r="M597" i="1"/>
  <c r="M598" i="1"/>
  <c r="N590" i="1"/>
  <c r="N591" i="1"/>
  <c r="N592" i="1"/>
  <c r="N593" i="1"/>
  <c r="N594" i="1"/>
  <c r="N595" i="1"/>
  <c r="N596" i="1"/>
  <c r="N597" i="1"/>
  <c r="N598" i="1"/>
  <c r="K589" i="1"/>
  <c r="M589" i="1"/>
  <c r="N589" i="1"/>
  <c r="K587" i="1"/>
  <c r="K588" i="1"/>
  <c r="M587" i="1"/>
  <c r="M588" i="1"/>
  <c r="N587" i="1"/>
  <c r="N588" i="1"/>
  <c r="K584" i="1"/>
  <c r="K585" i="1"/>
  <c r="K586" i="1"/>
  <c r="M584" i="1"/>
  <c r="M585" i="1"/>
  <c r="M586" i="1"/>
  <c r="N584" i="1"/>
  <c r="N585" i="1"/>
  <c r="N586" i="1"/>
  <c r="K548" i="1"/>
  <c r="K549" i="1"/>
  <c r="K550" i="1"/>
  <c r="K551" i="1"/>
  <c r="K552" i="1"/>
  <c r="K553" i="1"/>
  <c r="K554" i="1"/>
  <c r="K555" i="1"/>
  <c r="K556" i="1"/>
  <c r="K557" i="1"/>
  <c r="K558" i="1"/>
  <c r="K559" i="1"/>
  <c r="K560" i="1"/>
  <c r="K561" i="1"/>
  <c r="K562" i="1"/>
  <c r="K563" i="1"/>
  <c r="K564" i="1"/>
  <c r="K565" i="1"/>
  <c r="K566" i="1"/>
  <c r="K567" i="1"/>
  <c r="K568" i="1"/>
  <c r="K569" i="1"/>
  <c r="K570" i="1"/>
  <c r="K571" i="1"/>
  <c r="K572" i="1"/>
  <c r="K573" i="1"/>
  <c r="K574" i="1"/>
  <c r="K575" i="1"/>
  <c r="K576" i="1"/>
  <c r="K577" i="1"/>
  <c r="K578" i="1"/>
  <c r="K579" i="1"/>
  <c r="K580" i="1"/>
  <c r="K581" i="1"/>
  <c r="K582" i="1"/>
  <c r="K583"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K539" i="1"/>
  <c r="K540" i="1"/>
  <c r="K541" i="1"/>
  <c r="K542" i="1"/>
  <c r="K543" i="1"/>
  <c r="K544" i="1"/>
  <c r="K545" i="1"/>
  <c r="K546" i="1"/>
  <c r="K547" i="1"/>
  <c r="M539" i="1"/>
  <c r="M540" i="1"/>
  <c r="M541" i="1"/>
  <c r="M542" i="1"/>
  <c r="M543" i="1"/>
  <c r="M544" i="1"/>
  <c r="M545" i="1"/>
  <c r="M546" i="1"/>
  <c r="M547" i="1"/>
  <c r="N539" i="1"/>
  <c r="N540" i="1"/>
  <c r="N541" i="1"/>
  <c r="N542" i="1"/>
  <c r="N543" i="1"/>
  <c r="N544" i="1"/>
  <c r="N545" i="1"/>
  <c r="N546" i="1"/>
  <c r="N547" i="1"/>
  <c r="K538" i="1"/>
  <c r="M538" i="1"/>
  <c r="N538" i="1"/>
  <c r="K534" i="1"/>
  <c r="K535" i="1"/>
  <c r="K536" i="1"/>
  <c r="K537" i="1"/>
  <c r="M534" i="1"/>
  <c r="M535" i="1"/>
  <c r="M536" i="1"/>
  <c r="M537" i="1"/>
  <c r="N534" i="1"/>
  <c r="N535" i="1"/>
  <c r="N536" i="1"/>
  <c r="N537" i="1"/>
  <c r="K533" i="1"/>
  <c r="M533" i="1"/>
  <c r="N533" i="1"/>
  <c r="K532" i="1"/>
  <c r="M532" i="1"/>
  <c r="N532" i="1"/>
  <c r="K530" i="1"/>
  <c r="K531" i="1"/>
  <c r="M530" i="1"/>
  <c r="M531" i="1"/>
  <c r="N530" i="1"/>
  <c r="N531" i="1"/>
  <c r="K528" i="1"/>
  <c r="K529" i="1"/>
  <c r="M528" i="1"/>
  <c r="M529" i="1"/>
  <c r="N528" i="1"/>
  <c r="N529" i="1"/>
  <c r="K524" i="1"/>
  <c r="K525" i="1"/>
  <c r="K526" i="1"/>
  <c r="K527" i="1"/>
  <c r="M524" i="1"/>
  <c r="M525" i="1"/>
  <c r="M526" i="1"/>
  <c r="M527" i="1"/>
  <c r="N524" i="1"/>
  <c r="N525" i="1"/>
  <c r="N526" i="1"/>
  <c r="N527" i="1"/>
  <c r="K523" i="1"/>
  <c r="M523" i="1"/>
  <c r="N523" i="1"/>
  <c r="K522" i="1"/>
  <c r="M522" i="1"/>
  <c r="N522" i="1"/>
  <c r="K521" i="1"/>
  <c r="M521" i="1"/>
  <c r="N521" i="1"/>
  <c r="K514" i="1"/>
  <c r="K515" i="1"/>
  <c r="K516" i="1"/>
  <c r="K517" i="1"/>
  <c r="K518" i="1"/>
  <c r="K519" i="1"/>
  <c r="K520" i="1"/>
  <c r="M514" i="1"/>
  <c r="M515" i="1"/>
  <c r="M516" i="1"/>
  <c r="M517" i="1"/>
  <c r="M518" i="1"/>
  <c r="M519" i="1"/>
  <c r="M520" i="1"/>
  <c r="N514" i="1"/>
  <c r="N515" i="1"/>
  <c r="N516" i="1"/>
  <c r="N517" i="1"/>
  <c r="N518" i="1"/>
  <c r="N519" i="1"/>
  <c r="N520" i="1"/>
  <c r="K510" i="1"/>
  <c r="K511" i="1"/>
  <c r="K512" i="1"/>
  <c r="K513" i="1"/>
  <c r="M510" i="1"/>
  <c r="M511" i="1"/>
  <c r="M512" i="1"/>
  <c r="M513" i="1"/>
  <c r="N510" i="1"/>
  <c r="N511" i="1"/>
  <c r="N512" i="1"/>
  <c r="N513" i="1"/>
  <c r="K509" i="1"/>
  <c r="M509" i="1"/>
  <c r="N509" i="1"/>
  <c r="K508" i="1"/>
  <c r="M508" i="1"/>
  <c r="N508"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M485" i="1"/>
  <c r="M486" i="1"/>
  <c r="M487" i="1"/>
  <c r="M488" i="1"/>
  <c r="M489" i="1"/>
  <c r="M490" i="1"/>
  <c r="M491" i="1"/>
  <c r="M492" i="1"/>
  <c r="M493" i="1"/>
  <c r="M494" i="1"/>
  <c r="M495" i="1"/>
  <c r="M496" i="1"/>
  <c r="M497" i="1"/>
  <c r="M498" i="1"/>
  <c r="M499" i="1"/>
  <c r="M500" i="1"/>
  <c r="M501" i="1"/>
  <c r="M502" i="1"/>
  <c r="M503" i="1"/>
  <c r="M504" i="1"/>
  <c r="M505" i="1"/>
  <c r="M506" i="1"/>
  <c r="M507" i="1"/>
  <c r="K485" i="1"/>
  <c r="K486" i="1"/>
  <c r="K487" i="1"/>
  <c r="K488" i="1"/>
  <c r="K489" i="1"/>
  <c r="K490" i="1"/>
  <c r="K491" i="1"/>
  <c r="K492" i="1"/>
  <c r="K493" i="1"/>
  <c r="K494" i="1"/>
  <c r="K495" i="1"/>
  <c r="K496" i="1"/>
  <c r="K497" i="1"/>
  <c r="K498" i="1"/>
  <c r="K499" i="1"/>
  <c r="K500" i="1"/>
  <c r="K501" i="1"/>
  <c r="K502" i="1"/>
  <c r="K503" i="1"/>
  <c r="K504" i="1"/>
  <c r="K505" i="1"/>
  <c r="K506" i="1"/>
  <c r="K507" i="1"/>
  <c r="K484" i="1"/>
  <c r="K483" i="1"/>
  <c r="K482" i="1"/>
  <c r="K481" i="1"/>
  <c r="K480" i="1"/>
  <c r="K479" i="1"/>
  <c r="K478" i="1"/>
  <c r="K477" i="1"/>
  <c r="K476" i="1"/>
  <c r="K475" i="1"/>
  <c r="K474" i="1"/>
  <c r="K473" i="1"/>
  <c r="K472" i="1"/>
  <c r="K471" i="1"/>
  <c r="K470" i="1"/>
  <c r="K469" i="1"/>
  <c r="K468" i="1"/>
  <c r="K467" i="1"/>
  <c r="K466" i="1"/>
  <c r="K465" i="1"/>
  <c r="K464" i="1"/>
  <c r="K463" i="1"/>
  <c r="K462" i="1"/>
  <c r="K461" i="1"/>
  <c r="K460" i="1"/>
  <c r="K459" i="1"/>
  <c r="K458" i="1"/>
  <c r="K457" i="1"/>
  <c r="K456" i="1"/>
  <c r="K455" i="1"/>
  <c r="K454" i="1"/>
  <c r="K453" i="1"/>
  <c r="K452" i="1"/>
  <c r="K451" i="1"/>
  <c r="K450" i="1"/>
  <c r="K449" i="1"/>
  <c r="K448" i="1"/>
  <c r="K447" i="1"/>
  <c r="K446" i="1"/>
  <c r="K445" i="1"/>
  <c r="K444" i="1"/>
  <c r="K443" i="1"/>
  <c r="K442" i="1"/>
  <c r="K441" i="1"/>
  <c r="K440" i="1"/>
  <c r="K439" i="1"/>
  <c r="K438" i="1"/>
  <c r="K437" i="1"/>
  <c r="K436" i="1"/>
  <c r="K435" i="1"/>
  <c r="K434" i="1"/>
  <c r="K433" i="1"/>
  <c r="K432" i="1"/>
  <c r="K431" i="1"/>
  <c r="K430" i="1"/>
  <c r="K429" i="1"/>
  <c r="K428" i="1"/>
  <c r="K427" i="1"/>
  <c r="K426" i="1"/>
  <c r="K425" i="1"/>
  <c r="K424" i="1"/>
  <c r="K423" i="1"/>
  <c r="K422" i="1"/>
  <c r="K421" i="1"/>
  <c r="K420" i="1"/>
  <c r="K419" i="1"/>
  <c r="K418" i="1"/>
  <c r="K417" i="1"/>
  <c r="K416" i="1"/>
  <c r="K415" i="1"/>
  <c r="K414" i="1"/>
  <c r="K413" i="1"/>
  <c r="K412" i="1"/>
  <c r="K411" i="1"/>
  <c r="K410" i="1"/>
  <c r="K409" i="1"/>
  <c r="K408" i="1"/>
  <c r="K407" i="1"/>
  <c r="K406" i="1"/>
  <c r="K405" i="1"/>
  <c r="K404" i="1"/>
  <c r="K403" i="1"/>
  <c r="K402" i="1"/>
  <c r="K401" i="1"/>
  <c r="K400" i="1"/>
  <c r="K399" i="1"/>
  <c r="K398" i="1"/>
  <c r="K397" i="1"/>
  <c r="K396" i="1"/>
  <c r="K395" i="1"/>
  <c r="K394" i="1"/>
  <c r="K393" i="1"/>
  <c r="K392" i="1"/>
  <c r="K391" i="1"/>
  <c r="K390" i="1"/>
  <c r="K389" i="1"/>
  <c r="K388" i="1"/>
  <c r="K387" i="1"/>
  <c r="K386" i="1"/>
  <c r="K385" i="1"/>
  <c r="K384" i="1"/>
  <c r="K383" i="1"/>
  <c r="K382" i="1"/>
  <c r="K381" i="1"/>
  <c r="K380" i="1"/>
  <c r="K379" i="1"/>
  <c r="K378" i="1"/>
  <c r="K377" i="1"/>
  <c r="K376" i="1"/>
  <c r="K375" i="1"/>
  <c r="K374" i="1"/>
  <c r="K373" i="1"/>
  <c r="K372" i="1"/>
  <c r="K371" i="1"/>
  <c r="K370" i="1"/>
  <c r="K369" i="1"/>
  <c r="K368" i="1"/>
  <c r="K367" i="1"/>
  <c r="K366" i="1"/>
  <c r="K365" i="1"/>
  <c r="K364" i="1"/>
  <c r="K363" i="1"/>
  <c r="K362" i="1"/>
  <c r="K361" i="1"/>
  <c r="K360" i="1"/>
  <c r="K359" i="1"/>
  <c r="K358" i="1"/>
  <c r="K357" i="1"/>
  <c r="K356" i="1"/>
  <c r="K355" i="1"/>
  <c r="K354" i="1"/>
  <c r="K353" i="1"/>
  <c r="K352" i="1"/>
  <c r="K351" i="1"/>
  <c r="K350" i="1"/>
  <c r="K349" i="1"/>
  <c r="K348" i="1"/>
  <c r="K347" i="1"/>
  <c r="K346" i="1"/>
  <c r="K345" i="1"/>
  <c r="K344" i="1"/>
  <c r="K343" i="1"/>
  <c r="K342" i="1"/>
  <c r="K341" i="1"/>
  <c r="K340" i="1"/>
  <c r="K339" i="1"/>
  <c r="K338" i="1"/>
  <c r="K337" i="1"/>
  <c r="K336" i="1"/>
  <c r="K335" i="1"/>
  <c r="K334" i="1"/>
  <c r="K333" i="1"/>
  <c r="K332" i="1"/>
  <c r="K331" i="1"/>
  <c r="K330" i="1"/>
  <c r="K329" i="1"/>
  <c r="K328" i="1"/>
  <c r="K327" i="1"/>
  <c r="K326" i="1"/>
  <c r="K325" i="1"/>
  <c r="K324" i="1"/>
  <c r="K323" i="1"/>
  <c r="K322" i="1"/>
  <c r="K321" i="1"/>
  <c r="K320" i="1"/>
  <c r="K319" i="1"/>
  <c r="K318" i="1"/>
  <c r="K317" i="1"/>
  <c r="K316" i="1"/>
  <c r="K315" i="1"/>
  <c r="K314" i="1"/>
  <c r="K313" i="1"/>
  <c r="K312" i="1"/>
  <c r="K311" i="1"/>
  <c r="K310" i="1"/>
  <c r="K309" i="1"/>
  <c r="K308" i="1"/>
  <c r="K307" i="1"/>
  <c r="K306" i="1"/>
  <c r="K305" i="1"/>
  <c r="K304" i="1"/>
  <c r="K303" i="1"/>
  <c r="K302" i="1"/>
  <c r="K301" i="1"/>
  <c r="K300" i="1"/>
  <c r="K299" i="1"/>
  <c r="K298" i="1"/>
  <c r="K297" i="1"/>
  <c r="K296" i="1"/>
  <c r="K295" i="1"/>
  <c r="K294" i="1"/>
  <c r="K293" i="1"/>
  <c r="K292" i="1"/>
  <c r="K291" i="1"/>
  <c r="K290" i="1"/>
  <c r="K289" i="1"/>
  <c r="K288" i="1"/>
  <c r="K287" i="1"/>
  <c r="K286" i="1"/>
  <c r="K285" i="1"/>
  <c r="K284" i="1"/>
  <c r="K283" i="1"/>
  <c r="K282" i="1"/>
  <c r="K281" i="1"/>
  <c r="K280" i="1"/>
  <c r="K279" i="1"/>
  <c r="K278" i="1"/>
  <c r="K277" i="1"/>
  <c r="K276" i="1"/>
  <c r="K275" i="1"/>
  <c r="K274" i="1"/>
  <c r="K273" i="1"/>
  <c r="K272" i="1"/>
  <c r="K271" i="1"/>
  <c r="K270" i="1"/>
  <c r="K269" i="1"/>
  <c r="K268" i="1"/>
  <c r="K267" i="1"/>
  <c r="K266" i="1"/>
  <c r="K265" i="1"/>
  <c r="K264" i="1"/>
  <c r="K263" i="1"/>
  <c r="K262" i="1"/>
  <c r="K261" i="1"/>
  <c r="K260" i="1"/>
  <c r="K259" i="1"/>
  <c r="K258" i="1"/>
  <c r="K257" i="1"/>
  <c r="K256" i="1"/>
  <c r="K255" i="1"/>
  <c r="K254" i="1"/>
  <c r="K253" i="1"/>
  <c r="K252" i="1"/>
  <c r="K251" i="1"/>
  <c r="K250" i="1"/>
  <c r="K249" i="1"/>
  <c r="K248" i="1"/>
  <c r="K247" i="1"/>
  <c r="K246" i="1"/>
  <c r="K245" i="1"/>
  <c r="K244" i="1"/>
  <c r="K243" i="1"/>
  <c r="K242" i="1"/>
  <c r="K241" i="1"/>
  <c r="K240" i="1"/>
  <c r="K239" i="1"/>
  <c r="K238" i="1"/>
  <c r="K237" i="1"/>
  <c r="K236" i="1"/>
  <c r="K235" i="1"/>
  <c r="K234" i="1"/>
  <c r="K233" i="1"/>
  <c r="K232" i="1"/>
  <c r="K231" i="1"/>
  <c r="K230" i="1"/>
  <c r="K229" i="1"/>
  <c r="K228" i="1"/>
  <c r="K227" i="1"/>
  <c r="K226" i="1"/>
  <c r="K225" i="1"/>
  <c r="K224" i="1"/>
  <c r="K223" i="1"/>
  <c r="K222" i="1"/>
  <c r="K221" i="1"/>
  <c r="K220" i="1"/>
  <c r="K219" i="1"/>
  <c r="K218" i="1"/>
  <c r="K217" i="1"/>
  <c r="K216" i="1"/>
  <c r="K215" i="1"/>
  <c r="K214" i="1"/>
  <c r="K213" i="1"/>
  <c r="K212" i="1"/>
  <c r="K211" i="1"/>
  <c r="K210" i="1"/>
  <c r="K209" i="1"/>
  <c r="K208" i="1"/>
  <c r="K207" i="1"/>
  <c r="K206" i="1"/>
  <c r="K205" i="1"/>
  <c r="K204" i="1"/>
  <c r="K203" i="1"/>
  <c r="K202" i="1"/>
  <c r="K201" i="1"/>
  <c r="K200" i="1"/>
  <c r="K199" i="1"/>
  <c r="K198" i="1"/>
  <c r="K197" i="1"/>
  <c r="K196" i="1"/>
  <c r="K195" i="1"/>
  <c r="K194" i="1"/>
  <c r="K193" i="1"/>
  <c r="K192" i="1"/>
  <c r="K191" i="1"/>
  <c r="K190" i="1"/>
  <c r="K189" i="1"/>
  <c r="K188" i="1"/>
  <c r="K187" i="1"/>
  <c r="K186" i="1"/>
  <c r="K185" i="1"/>
  <c r="K184" i="1"/>
  <c r="K183" i="1"/>
  <c r="K182" i="1"/>
  <c r="K181" i="1"/>
  <c r="K180" i="1"/>
  <c r="K179" i="1"/>
  <c r="K178" i="1"/>
  <c r="K177" i="1"/>
  <c r="K176" i="1"/>
  <c r="K175" i="1"/>
  <c r="K174" i="1"/>
  <c r="K173" i="1"/>
  <c r="K172" i="1"/>
  <c r="K171" i="1"/>
  <c r="K170" i="1"/>
  <c r="K169" i="1"/>
  <c r="K168" i="1"/>
  <c r="K167" i="1"/>
  <c r="K166" i="1"/>
  <c r="K165" i="1"/>
  <c r="K164" i="1"/>
  <c r="K163" i="1"/>
  <c r="K162" i="1"/>
  <c r="K161" i="1"/>
  <c r="K160" i="1"/>
  <c r="K159" i="1"/>
  <c r="K158" i="1"/>
  <c r="K157" i="1"/>
  <c r="K156" i="1"/>
  <c r="K155" i="1"/>
  <c r="K154" i="1"/>
  <c r="K153" i="1"/>
  <c r="K152" i="1"/>
  <c r="K151" i="1"/>
  <c r="K150" i="1"/>
  <c r="K149" i="1"/>
  <c r="K148" i="1"/>
  <c r="K147" i="1"/>
  <c r="K146" i="1"/>
  <c r="K145" i="1"/>
  <c r="K144" i="1"/>
  <c r="K143" i="1"/>
  <c r="K142" i="1"/>
  <c r="K141" i="1"/>
  <c r="K140" i="1"/>
  <c r="K139" i="1"/>
  <c r="K138" i="1"/>
  <c r="K137" i="1"/>
  <c r="K136" i="1"/>
  <c r="K135" i="1"/>
  <c r="K134" i="1"/>
  <c r="K133" i="1"/>
  <c r="K132" i="1"/>
  <c r="K131" i="1"/>
  <c r="K130" i="1"/>
  <c r="K129" i="1"/>
  <c r="K128" i="1"/>
  <c r="K127" i="1"/>
  <c r="K126" i="1"/>
  <c r="K125" i="1"/>
  <c r="K124" i="1"/>
  <c r="K123" i="1"/>
  <c r="K122" i="1"/>
  <c r="K121" i="1"/>
  <c r="K120" i="1"/>
  <c r="K119" i="1"/>
  <c r="K118" i="1"/>
  <c r="K117" i="1"/>
  <c r="K116" i="1"/>
  <c r="K115" i="1"/>
  <c r="K114" i="1"/>
  <c r="K113" i="1"/>
  <c r="K112" i="1"/>
  <c r="K111" i="1"/>
  <c r="K110" i="1"/>
  <c r="K109" i="1"/>
  <c r="K108" i="1"/>
  <c r="K107" i="1"/>
  <c r="K106" i="1"/>
  <c r="K105" i="1"/>
  <c r="K104" i="1"/>
  <c r="K103" i="1"/>
  <c r="K102" i="1"/>
  <c r="K101" i="1"/>
  <c r="K100" i="1"/>
  <c r="K99" i="1"/>
  <c r="K98" i="1"/>
  <c r="K97" i="1"/>
  <c r="K96" i="1"/>
  <c r="K95" i="1"/>
  <c r="K94" i="1"/>
  <c r="K93" i="1"/>
  <c r="K92" i="1"/>
  <c r="K91" i="1"/>
  <c r="K90" i="1"/>
  <c r="K89" i="1"/>
  <c r="K88" i="1"/>
  <c r="K87" i="1"/>
  <c r="K86" i="1"/>
  <c r="K85" i="1"/>
  <c r="K84" i="1"/>
  <c r="K83" i="1"/>
  <c r="K82" i="1"/>
  <c r="K81" i="1"/>
  <c r="K80" i="1"/>
  <c r="K79" i="1"/>
  <c r="K78" i="1"/>
  <c r="K77" i="1"/>
  <c r="K76" i="1"/>
  <c r="K75" i="1"/>
  <c r="K74" i="1"/>
  <c r="K73" i="1"/>
  <c r="K72" i="1"/>
  <c r="K71" i="1"/>
  <c r="K70" i="1"/>
  <c r="K69" i="1"/>
  <c r="K68" i="1"/>
  <c r="K67" i="1"/>
  <c r="K66" i="1"/>
  <c r="K65" i="1"/>
  <c r="K64" i="1"/>
  <c r="K63" i="1"/>
  <c r="K62" i="1"/>
  <c r="K61" i="1"/>
  <c r="K60" i="1"/>
  <c r="K59" i="1"/>
  <c r="K58" i="1"/>
  <c r="K57" i="1"/>
  <c r="K56" i="1"/>
  <c r="K55" i="1"/>
  <c r="K54" i="1"/>
  <c r="K53" i="1"/>
  <c r="K52" i="1"/>
  <c r="K51" i="1"/>
  <c r="K50" i="1"/>
  <c r="K49" i="1"/>
  <c r="K48" i="1"/>
  <c r="K47" i="1"/>
  <c r="K46" i="1"/>
  <c r="K45" i="1"/>
  <c r="K44" i="1"/>
  <c r="K43" i="1"/>
  <c r="K42" i="1"/>
  <c r="K41" i="1"/>
  <c r="K40" i="1"/>
  <c r="K39" i="1"/>
  <c r="K38" i="1"/>
  <c r="K37" i="1"/>
  <c r="K36" i="1"/>
  <c r="K35" i="1"/>
  <c r="K34" i="1"/>
  <c r="K33" i="1"/>
  <c r="K32" i="1"/>
  <c r="K31" i="1"/>
  <c r="K30" i="1"/>
  <c r="K29" i="1"/>
  <c r="K28" i="1"/>
  <c r="K27" i="1"/>
  <c r="K26" i="1"/>
  <c r="K25" i="1"/>
  <c r="K24" i="1"/>
  <c r="K23" i="1"/>
  <c r="K22" i="1"/>
  <c r="K21" i="1"/>
  <c r="K20" i="1"/>
  <c r="K19" i="1"/>
  <c r="K18" i="1"/>
  <c r="K17" i="1"/>
  <c r="K16" i="1"/>
  <c r="K15" i="1"/>
  <c r="K14" i="1"/>
  <c r="K13" i="1"/>
  <c r="K12" i="1"/>
  <c r="K11" i="1"/>
  <c r="K10" i="1"/>
  <c r="K9" i="1"/>
  <c r="K8" i="1"/>
  <c r="K7" i="1"/>
  <c r="K6" i="1"/>
  <c r="K5" i="1"/>
  <c r="K4" i="1"/>
  <c r="K3" i="1"/>
  <c r="K2" i="1"/>
  <c r="M484" i="1"/>
  <c r="M483" i="1"/>
  <c r="M482" i="1"/>
  <c r="M481" i="1"/>
  <c r="M480" i="1"/>
  <c r="M479" i="1"/>
  <c r="M478" i="1"/>
  <c r="M477" i="1"/>
  <c r="M476" i="1"/>
  <c r="M475" i="1"/>
  <c r="M474" i="1"/>
  <c r="M473" i="1"/>
  <c r="M472" i="1"/>
  <c r="M471" i="1"/>
  <c r="M470" i="1"/>
  <c r="M469" i="1"/>
  <c r="M468" i="1"/>
  <c r="M467" i="1"/>
  <c r="M466" i="1"/>
  <c r="M465" i="1"/>
  <c r="M464" i="1"/>
  <c r="M463" i="1"/>
  <c r="M462" i="1"/>
  <c r="M461" i="1"/>
  <c r="M460" i="1"/>
  <c r="M459" i="1"/>
  <c r="M458" i="1"/>
  <c r="M457" i="1"/>
  <c r="M456" i="1"/>
  <c r="M455" i="1"/>
  <c r="M454" i="1"/>
  <c r="M453" i="1"/>
  <c r="M452" i="1"/>
  <c r="M451" i="1"/>
  <c r="M450" i="1"/>
  <c r="M449" i="1"/>
  <c r="M448" i="1"/>
  <c r="M447" i="1"/>
  <c r="M446" i="1"/>
  <c r="M445" i="1"/>
  <c r="M444" i="1"/>
  <c r="M443" i="1"/>
  <c r="M442" i="1"/>
  <c r="M441" i="1"/>
  <c r="M440" i="1"/>
  <c r="M439" i="1"/>
  <c r="M438" i="1"/>
  <c r="M437" i="1"/>
  <c r="M436" i="1"/>
  <c r="M435" i="1"/>
  <c r="M434" i="1"/>
  <c r="M433" i="1"/>
  <c r="M432" i="1"/>
  <c r="M431" i="1"/>
  <c r="M430" i="1"/>
  <c r="M429" i="1"/>
  <c r="M428" i="1"/>
  <c r="M427" i="1"/>
  <c r="M426" i="1"/>
  <c r="M425" i="1"/>
  <c r="M424" i="1"/>
  <c r="M423" i="1"/>
  <c r="M422" i="1"/>
  <c r="M421" i="1"/>
  <c r="M420" i="1"/>
  <c r="M419" i="1"/>
  <c r="M418" i="1"/>
  <c r="M417" i="1"/>
  <c r="M416" i="1"/>
  <c r="M415" i="1"/>
  <c r="M414" i="1"/>
  <c r="M413" i="1"/>
  <c r="M412" i="1"/>
  <c r="M411" i="1"/>
  <c r="M410" i="1"/>
  <c r="M409" i="1"/>
  <c r="M408" i="1"/>
  <c r="M407" i="1"/>
  <c r="M406" i="1"/>
  <c r="M405" i="1"/>
  <c r="M404" i="1"/>
  <c r="M403" i="1"/>
  <c r="M402" i="1"/>
  <c r="M401" i="1"/>
  <c r="M400" i="1"/>
  <c r="M399" i="1"/>
  <c r="M398" i="1"/>
  <c r="M397" i="1"/>
  <c r="M396" i="1"/>
  <c r="M395" i="1"/>
  <c r="M394" i="1"/>
  <c r="M393" i="1"/>
  <c r="M392" i="1"/>
  <c r="M391" i="1"/>
  <c r="M390" i="1"/>
  <c r="M389" i="1"/>
  <c r="M388" i="1"/>
  <c r="M387" i="1"/>
  <c r="M386" i="1"/>
  <c r="M385" i="1"/>
  <c r="M384" i="1"/>
  <c r="M383" i="1"/>
  <c r="M382" i="1"/>
  <c r="M381" i="1"/>
  <c r="M380" i="1"/>
  <c r="M379" i="1"/>
  <c r="M378" i="1"/>
  <c r="M377" i="1"/>
  <c r="M376" i="1"/>
  <c r="M375" i="1"/>
  <c r="M374" i="1"/>
  <c r="M373" i="1"/>
  <c r="M372" i="1"/>
  <c r="M371" i="1"/>
  <c r="M370" i="1"/>
  <c r="M369" i="1"/>
  <c r="M368" i="1"/>
  <c r="M367" i="1"/>
  <c r="M366" i="1"/>
  <c r="M365" i="1"/>
  <c r="M364" i="1"/>
  <c r="M363" i="1"/>
  <c r="M362" i="1"/>
  <c r="M361" i="1"/>
  <c r="M360" i="1"/>
  <c r="M359" i="1"/>
  <c r="M358" i="1"/>
  <c r="M357" i="1"/>
  <c r="M356" i="1"/>
  <c r="M355" i="1"/>
  <c r="M354" i="1"/>
  <c r="M353" i="1"/>
  <c r="M352" i="1"/>
  <c r="M351" i="1"/>
  <c r="M350" i="1"/>
  <c r="M349" i="1"/>
  <c r="M348" i="1"/>
  <c r="M347" i="1"/>
  <c r="M346" i="1"/>
  <c r="M345" i="1"/>
  <c r="M344" i="1"/>
  <c r="M343" i="1"/>
  <c r="M342" i="1"/>
  <c r="M341" i="1"/>
  <c r="M340" i="1"/>
  <c r="M339" i="1"/>
  <c r="M338" i="1"/>
  <c r="M337" i="1"/>
  <c r="M336" i="1"/>
  <c r="M335" i="1"/>
  <c r="M334" i="1"/>
  <c r="M333" i="1"/>
  <c r="M332" i="1"/>
  <c r="M331" i="1"/>
  <c r="M330" i="1"/>
  <c r="M329" i="1"/>
  <c r="M328" i="1"/>
  <c r="M327" i="1"/>
  <c r="M326" i="1"/>
  <c r="M325" i="1"/>
  <c r="M324" i="1"/>
  <c r="M323" i="1"/>
  <c r="M322" i="1"/>
  <c r="M321" i="1"/>
  <c r="M320" i="1"/>
  <c r="M319" i="1"/>
  <c r="M318" i="1"/>
  <c r="M317" i="1"/>
  <c r="M316" i="1"/>
  <c r="M315" i="1"/>
  <c r="M314" i="1"/>
  <c r="M313" i="1"/>
  <c r="M312" i="1"/>
  <c r="M311" i="1"/>
  <c r="M310" i="1"/>
  <c r="M309" i="1"/>
  <c r="M308" i="1"/>
  <c r="M307" i="1"/>
  <c r="M306" i="1"/>
  <c r="M305" i="1"/>
  <c r="M304" i="1"/>
  <c r="M303" i="1"/>
  <c r="M302" i="1"/>
  <c r="M301" i="1"/>
  <c r="M300" i="1"/>
  <c r="M299" i="1"/>
  <c r="M298" i="1"/>
  <c r="M297" i="1"/>
  <c r="M296" i="1"/>
  <c r="M295" i="1"/>
  <c r="M294" i="1"/>
  <c r="M293" i="1"/>
  <c r="M292" i="1"/>
  <c r="M291" i="1"/>
  <c r="M290" i="1"/>
  <c r="M289" i="1"/>
  <c r="M288" i="1"/>
  <c r="M287" i="1"/>
  <c r="M286" i="1"/>
  <c r="M285" i="1"/>
  <c r="M284" i="1"/>
  <c r="M283" i="1"/>
  <c r="M282" i="1"/>
  <c r="M281" i="1"/>
  <c r="M280" i="1"/>
  <c r="M279" i="1"/>
  <c r="M278" i="1"/>
  <c r="M277" i="1"/>
  <c r="M276" i="1"/>
  <c r="M275" i="1"/>
  <c r="M274" i="1"/>
  <c r="M273" i="1"/>
  <c r="M272" i="1"/>
  <c r="M271" i="1"/>
  <c r="M270" i="1"/>
  <c r="M269" i="1"/>
  <c r="M268" i="1"/>
  <c r="M267" i="1"/>
  <c r="M266" i="1"/>
  <c r="M265" i="1"/>
  <c r="M264" i="1"/>
  <c r="M263" i="1"/>
  <c r="M262" i="1"/>
  <c r="M261" i="1"/>
  <c r="M260" i="1"/>
  <c r="M259" i="1"/>
  <c r="M258" i="1"/>
  <c r="M257" i="1"/>
  <c r="M256" i="1"/>
  <c r="M255" i="1"/>
  <c r="M254" i="1"/>
  <c r="M253" i="1"/>
  <c r="M252" i="1"/>
  <c r="M251" i="1"/>
  <c r="M250" i="1"/>
  <c r="M249" i="1"/>
  <c r="M248" i="1"/>
  <c r="M247" i="1"/>
  <c r="M246" i="1"/>
  <c r="M245" i="1"/>
  <c r="M244" i="1"/>
  <c r="M243" i="1"/>
  <c r="M242" i="1"/>
  <c r="M241" i="1"/>
  <c r="M240" i="1"/>
  <c r="M239" i="1"/>
  <c r="M238" i="1"/>
  <c r="M237" i="1"/>
  <c r="M236" i="1"/>
  <c r="M235" i="1"/>
  <c r="M234" i="1"/>
  <c r="M233" i="1"/>
  <c r="M232" i="1"/>
  <c r="M231" i="1"/>
  <c r="M230" i="1"/>
  <c r="M229" i="1"/>
  <c r="M228" i="1"/>
  <c r="M227" i="1"/>
  <c r="M226" i="1"/>
  <c r="M225" i="1"/>
  <c r="M224" i="1"/>
  <c r="M223" i="1"/>
  <c r="M222" i="1"/>
  <c r="M221" i="1"/>
  <c r="M220" i="1"/>
  <c r="M219" i="1"/>
  <c r="M218" i="1"/>
  <c r="M217" i="1"/>
  <c r="M216" i="1"/>
  <c r="M215" i="1"/>
  <c r="M214" i="1"/>
  <c r="M213" i="1"/>
  <c r="M212" i="1"/>
  <c r="M211" i="1"/>
  <c r="M210" i="1"/>
  <c r="M209" i="1"/>
  <c r="M208" i="1"/>
  <c r="M207" i="1"/>
  <c r="M206" i="1"/>
  <c r="M205" i="1"/>
  <c r="M204" i="1"/>
  <c r="M203" i="1"/>
  <c r="M202" i="1"/>
  <c r="M201" i="1"/>
  <c r="M200" i="1"/>
  <c r="M199" i="1"/>
  <c r="M198" i="1"/>
  <c r="M197" i="1"/>
  <c r="M196" i="1"/>
  <c r="M195" i="1"/>
  <c r="M194" i="1"/>
  <c r="M193" i="1"/>
  <c r="M192" i="1"/>
  <c r="M191" i="1"/>
  <c r="M190" i="1"/>
  <c r="M189" i="1"/>
  <c r="M188" i="1"/>
  <c r="M187" i="1"/>
  <c r="M186" i="1"/>
  <c r="M185" i="1"/>
  <c r="M184" i="1"/>
  <c r="M183" i="1"/>
  <c r="M182" i="1"/>
  <c r="M181" i="1"/>
  <c r="M180" i="1"/>
  <c r="M179" i="1"/>
  <c r="M178" i="1"/>
  <c r="M177" i="1"/>
  <c r="M176" i="1"/>
  <c r="M175" i="1"/>
  <c r="M174" i="1"/>
  <c r="M173" i="1"/>
  <c r="M172" i="1"/>
  <c r="M171" i="1"/>
  <c r="M170" i="1"/>
  <c r="M169" i="1"/>
  <c r="M168" i="1"/>
  <c r="M167" i="1"/>
  <c r="M166" i="1"/>
  <c r="M165" i="1"/>
  <c r="M164" i="1"/>
  <c r="M163" i="1"/>
  <c r="M162" i="1"/>
  <c r="M161" i="1"/>
  <c r="M160" i="1"/>
  <c r="M159" i="1"/>
  <c r="M158" i="1"/>
  <c r="M157" i="1"/>
  <c r="M156" i="1"/>
  <c r="M155" i="1"/>
  <c r="M154" i="1"/>
  <c r="M153" i="1"/>
  <c r="M152" i="1"/>
  <c r="M151" i="1"/>
  <c r="M150" i="1"/>
  <c r="M149" i="1"/>
  <c r="M148" i="1"/>
  <c r="M147" i="1"/>
  <c r="M146" i="1"/>
  <c r="M145" i="1"/>
  <c r="M144" i="1"/>
  <c r="M143" i="1"/>
  <c r="M142" i="1"/>
  <c r="M141" i="1"/>
  <c r="M140" i="1"/>
  <c r="M139" i="1"/>
  <c r="M138" i="1"/>
  <c r="M137" i="1"/>
  <c r="M136" i="1"/>
  <c r="M135" i="1"/>
  <c r="M134" i="1"/>
  <c r="M133" i="1"/>
  <c r="M132" i="1"/>
  <c r="M131" i="1"/>
  <c r="M130" i="1"/>
  <c r="M129" i="1"/>
  <c r="M128" i="1"/>
  <c r="M127" i="1"/>
  <c r="M126" i="1"/>
  <c r="M125" i="1"/>
  <c r="M124" i="1"/>
  <c r="M123" i="1"/>
  <c r="M122" i="1"/>
  <c r="M121" i="1"/>
  <c r="M120" i="1"/>
  <c r="M119" i="1"/>
  <c r="M118" i="1"/>
  <c r="M117" i="1"/>
  <c r="M116" i="1"/>
  <c r="M115" i="1"/>
  <c r="M114" i="1"/>
  <c r="M113" i="1"/>
  <c r="M112" i="1"/>
  <c r="M111" i="1"/>
  <c r="M110" i="1"/>
  <c r="M109" i="1"/>
  <c r="M108" i="1"/>
  <c r="M107" i="1"/>
  <c r="M106" i="1"/>
  <c r="M105" i="1"/>
  <c r="M104" i="1"/>
  <c r="M103" i="1"/>
  <c r="M102" i="1"/>
  <c r="M101" i="1"/>
  <c r="M100" i="1"/>
  <c r="M99" i="1"/>
  <c r="M98" i="1"/>
  <c r="M97" i="1"/>
  <c r="M96" i="1"/>
  <c r="M95" i="1"/>
  <c r="M94" i="1"/>
  <c r="M93" i="1"/>
  <c r="M92" i="1"/>
  <c r="M91" i="1"/>
  <c r="M90" i="1"/>
  <c r="M89" i="1"/>
  <c r="M88" i="1"/>
  <c r="M87" i="1"/>
  <c r="M86" i="1"/>
  <c r="M85" i="1"/>
  <c r="M84" i="1"/>
  <c r="M83" i="1"/>
  <c r="M82" i="1"/>
  <c r="M81" i="1"/>
  <c r="M80" i="1"/>
  <c r="M79" i="1"/>
  <c r="M78" i="1"/>
  <c r="M77" i="1"/>
  <c r="M76" i="1"/>
  <c r="M75" i="1"/>
  <c r="M74" i="1"/>
  <c r="M73" i="1"/>
  <c r="M72" i="1"/>
  <c r="M71" i="1"/>
  <c r="M70" i="1"/>
  <c r="M69" i="1"/>
  <c r="M68" i="1"/>
  <c r="M67" i="1"/>
  <c r="M66" i="1"/>
  <c r="M65" i="1"/>
  <c r="M64" i="1"/>
  <c r="M63" i="1"/>
  <c r="M62" i="1"/>
  <c r="M61" i="1"/>
  <c r="M60" i="1"/>
  <c r="M59" i="1"/>
  <c r="M58" i="1"/>
  <c r="M57" i="1"/>
  <c r="M56" i="1"/>
  <c r="M55" i="1"/>
  <c r="M54" i="1"/>
  <c r="M53" i="1"/>
  <c r="M52" i="1"/>
  <c r="M51" i="1"/>
  <c r="M50" i="1"/>
  <c r="M49" i="1"/>
  <c r="M48" i="1"/>
  <c r="M47" i="1"/>
  <c r="M46" i="1"/>
  <c r="M45" i="1"/>
  <c r="M44" i="1"/>
  <c r="M43" i="1"/>
  <c r="M42" i="1"/>
  <c r="M41" i="1"/>
  <c r="M40" i="1"/>
  <c r="M39" i="1"/>
  <c r="M38" i="1"/>
  <c r="M37" i="1"/>
  <c r="M36" i="1"/>
  <c r="M35" i="1"/>
  <c r="M34" i="1"/>
  <c r="M33" i="1"/>
  <c r="M32" i="1"/>
  <c r="M31" i="1"/>
  <c r="M30" i="1"/>
  <c r="M29" i="1"/>
  <c r="M28" i="1"/>
  <c r="M27" i="1"/>
  <c r="M26" i="1"/>
  <c r="M25" i="1"/>
  <c r="M24" i="1"/>
  <c r="M23" i="1"/>
  <c r="M22" i="1"/>
  <c r="M21" i="1"/>
  <c r="M20" i="1"/>
  <c r="M19" i="1"/>
  <c r="M18" i="1"/>
  <c r="M17" i="1"/>
  <c r="M16" i="1"/>
  <c r="M15" i="1"/>
  <c r="M14" i="1"/>
  <c r="M13" i="1"/>
  <c r="M12" i="1"/>
  <c r="M11" i="1"/>
  <c r="M10" i="1"/>
  <c r="M9" i="1"/>
  <c r="M8" i="1"/>
  <c r="M7" i="1"/>
  <c r="M6" i="1"/>
  <c r="M5" i="1"/>
  <c r="M4" i="1"/>
  <c r="M3" i="1"/>
  <c r="M2" i="1"/>
  <c r="K2" i="3"/>
  <c r="M2" i="3"/>
  <c r="K3" i="3"/>
  <c r="M3" i="3"/>
  <c r="K4" i="3"/>
  <c r="M4" i="3"/>
  <c r="K5" i="3"/>
  <c r="M5" i="3"/>
  <c r="K6" i="3"/>
  <c r="M6" i="3"/>
  <c r="K7" i="3"/>
  <c r="M7" i="3"/>
  <c r="K8" i="3"/>
  <c r="M8" i="3"/>
  <c r="K9" i="3"/>
  <c r="M9" i="3"/>
  <c r="K10" i="3"/>
  <c r="M10" i="3"/>
  <c r="K11" i="3"/>
  <c r="M11" i="3"/>
  <c r="K12" i="3"/>
  <c r="M12" i="3"/>
  <c r="K13" i="3"/>
  <c r="M13" i="3"/>
  <c r="K14" i="3"/>
  <c r="M14" i="3"/>
  <c r="K15" i="3"/>
  <c r="M15" i="3"/>
  <c r="K16" i="3"/>
  <c r="M16" i="3"/>
  <c r="K17" i="3"/>
  <c r="M17" i="3"/>
  <c r="K18" i="3"/>
  <c r="M18" i="3"/>
  <c r="K19" i="3"/>
  <c r="M19" i="3"/>
  <c r="K20" i="3"/>
  <c r="M20" i="3"/>
  <c r="K21" i="3"/>
  <c r="M21" i="3"/>
  <c r="K22" i="3"/>
  <c r="M22" i="3"/>
  <c r="K23" i="3"/>
  <c r="M23" i="3"/>
  <c r="K24" i="3"/>
  <c r="M24" i="3"/>
  <c r="K25" i="3"/>
  <c r="M25" i="3"/>
  <c r="K26" i="3"/>
  <c r="M26" i="3"/>
  <c r="K27" i="3"/>
  <c r="M27" i="3"/>
  <c r="K28" i="3"/>
  <c r="M28" i="3"/>
  <c r="K29" i="3"/>
  <c r="M29" i="3"/>
  <c r="K30" i="3"/>
  <c r="M30" i="3"/>
  <c r="K31" i="3"/>
  <c r="M31" i="3"/>
  <c r="K32" i="3"/>
  <c r="M32" i="3"/>
  <c r="K33" i="3"/>
  <c r="M33" i="3"/>
  <c r="K34" i="3"/>
  <c r="M34" i="3"/>
  <c r="K35" i="3"/>
  <c r="M35" i="3"/>
  <c r="K36" i="3"/>
  <c r="M36" i="3"/>
  <c r="K37" i="3"/>
  <c r="M37" i="3"/>
  <c r="K38" i="3"/>
  <c r="M38" i="3"/>
  <c r="K39" i="3"/>
  <c r="M39" i="3"/>
  <c r="K40" i="3"/>
  <c r="M40" i="3"/>
  <c r="K41" i="3"/>
  <c r="M41" i="3"/>
  <c r="K42" i="3"/>
  <c r="M42" i="3"/>
  <c r="K43" i="3"/>
  <c r="M43" i="3"/>
  <c r="K44" i="3"/>
  <c r="M44" i="3"/>
  <c r="K45" i="3"/>
  <c r="M45" i="3"/>
  <c r="K46" i="3"/>
  <c r="M46" i="3"/>
  <c r="K47" i="3"/>
  <c r="M47" i="3"/>
  <c r="K48" i="3"/>
  <c r="M48" i="3"/>
  <c r="K49" i="3"/>
  <c r="M49" i="3"/>
  <c r="K50" i="3"/>
  <c r="M50" i="3"/>
  <c r="K51" i="3"/>
  <c r="M51" i="3"/>
  <c r="K52" i="3"/>
  <c r="M52" i="3"/>
  <c r="K53" i="3"/>
  <c r="M53" i="3"/>
  <c r="K54" i="3"/>
  <c r="M54" i="3"/>
  <c r="K55" i="3"/>
  <c r="M55" i="3"/>
  <c r="K56" i="3"/>
  <c r="M56" i="3"/>
  <c r="K57" i="3"/>
  <c r="M57" i="3"/>
  <c r="K58" i="3"/>
  <c r="M58" i="3"/>
  <c r="K59" i="3"/>
  <c r="M59" i="3"/>
  <c r="K60" i="3"/>
  <c r="M60" i="3"/>
  <c r="K61" i="3"/>
  <c r="M61" i="3"/>
  <c r="K62" i="3"/>
  <c r="M62" i="3"/>
  <c r="K63" i="3"/>
  <c r="M63" i="3"/>
  <c r="K64" i="3"/>
  <c r="M64" i="3"/>
  <c r="K65" i="3"/>
  <c r="M65" i="3"/>
  <c r="K66" i="3"/>
  <c r="M66" i="3"/>
  <c r="K67" i="3"/>
  <c r="M67" i="3"/>
  <c r="K68" i="3"/>
  <c r="M68" i="3"/>
  <c r="K69" i="3"/>
  <c r="M69" i="3"/>
  <c r="K70" i="3"/>
  <c r="M70" i="3"/>
  <c r="K71" i="3"/>
  <c r="M71" i="3"/>
  <c r="K72" i="3"/>
  <c r="M72" i="3"/>
  <c r="K73" i="3"/>
  <c r="M73" i="3"/>
  <c r="K74" i="3"/>
  <c r="M74" i="3"/>
  <c r="K75" i="3"/>
  <c r="M75" i="3"/>
  <c r="K76" i="3"/>
  <c r="M76" i="3"/>
  <c r="K77" i="3"/>
  <c r="M77" i="3"/>
  <c r="K78" i="3"/>
  <c r="M78" i="3"/>
  <c r="K79" i="3"/>
  <c r="M79" i="3"/>
  <c r="K80" i="3"/>
  <c r="M80" i="3"/>
  <c r="K81" i="3"/>
  <c r="M81" i="3"/>
  <c r="K82" i="3"/>
  <c r="M82" i="3"/>
  <c r="K83" i="3"/>
  <c r="M83" i="3"/>
  <c r="K84" i="3"/>
  <c r="M84" i="3"/>
  <c r="K85" i="3"/>
  <c r="M85" i="3"/>
  <c r="K86" i="3"/>
  <c r="M86" i="3"/>
  <c r="K87" i="3"/>
  <c r="M87" i="3"/>
  <c r="K88" i="3"/>
  <c r="M88" i="3"/>
  <c r="K89" i="3"/>
  <c r="M89" i="3"/>
  <c r="K90" i="3"/>
  <c r="M90" i="3"/>
  <c r="K91" i="3"/>
  <c r="M91" i="3"/>
  <c r="K92" i="3"/>
  <c r="M92" i="3"/>
  <c r="K93" i="3"/>
  <c r="M93" i="3"/>
  <c r="K94" i="3"/>
  <c r="M94" i="3"/>
  <c r="K95" i="3"/>
  <c r="M95" i="3"/>
  <c r="K96" i="3"/>
  <c r="M96" i="3"/>
  <c r="K97" i="3"/>
  <c r="M97" i="3"/>
  <c r="K98" i="3"/>
  <c r="M98" i="3"/>
  <c r="K99" i="3"/>
  <c r="M99" i="3"/>
  <c r="K100" i="3"/>
  <c r="M100" i="3"/>
  <c r="K101" i="3"/>
  <c r="M101" i="3"/>
  <c r="K102" i="3"/>
  <c r="M102" i="3"/>
  <c r="K103" i="3"/>
  <c r="M103" i="3"/>
  <c r="K104" i="3"/>
  <c r="M104" i="3"/>
  <c r="K105" i="3"/>
  <c r="M105" i="3"/>
  <c r="K106" i="3"/>
  <c r="M106" i="3"/>
  <c r="K107" i="3"/>
  <c r="M107" i="3"/>
  <c r="K108" i="3"/>
  <c r="M108" i="3"/>
  <c r="K109" i="3"/>
  <c r="M109" i="3"/>
  <c r="K110" i="3"/>
  <c r="M110" i="3"/>
  <c r="K111" i="3"/>
  <c r="M111" i="3"/>
  <c r="K112" i="3"/>
  <c r="M112" i="3"/>
  <c r="K113" i="3"/>
  <c r="M113" i="3"/>
  <c r="K114" i="3"/>
  <c r="M114" i="3"/>
  <c r="K115" i="3"/>
  <c r="M115" i="3"/>
  <c r="K116" i="3"/>
  <c r="M116" i="3"/>
  <c r="K117" i="3"/>
  <c r="M117" i="3"/>
  <c r="K118" i="3"/>
  <c r="M118" i="3"/>
  <c r="K119" i="3"/>
  <c r="M119" i="3"/>
  <c r="K120" i="3"/>
  <c r="M120" i="3"/>
  <c r="K121" i="3"/>
  <c r="M121" i="3"/>
  <c r="K122" i="3"/>
  <c r="M122" i="3"/>
  <c r="K123" i="3"/>
  <c r="M123" i="3"/>
  <c r="K124" i="3"/>
  <c r="M124" i="3"/>
  <c r="K125" i="3"/>
  <c r="M125" i="3"/>
  <c r="K126" i="3"/>
  <c r="M126" i="3"/>
  <c r="K127" i="3"/>
  <c r="M127" i="3"/>
  <c r="K128" i="3"/>
  <c r="M128" i="3"/>
  <c r="K129" i="3"/>
  <c r="M129" i="3"/>
  <c r="K130" i="3"/>
  <c r="M130" i="3"/>
  <c r="K131" i="3"/>
  <c r="M131" i="3"/>
  <c r="K132" i="3"/>
  <c r="M132" i="3"/>
  <c r="K133" i="3"/>
  <c r="M133" i="3"/>
  <c r="K134" i="3"/>
  <c r="M134" i="3"/>
  <c r="K135" i="3"/>
  <c r="M135" i="3"/>
  <c r="K136" i="3"/>
  <c r="M136" i="3"/>
  <c r="K137" i="3"/>
  <c r="M137" i="3"/>
  <c r="K138" i="3"/>
  <c r="M138" i="3"/>
  <c r="K139" i="3"/>
  <c r="M139" i="3"/>
  <c r="K140" i="3"/>
  <c r="M140" i="3"/>
  <c r="K141" i="3"/>
  <c r="M141" i="3"/>
  <c r="K142" i="3"/>
  <c r="M142" i="3"/>
  <c r="K143" i="3"/>
  <c r="M143" i="3"/>
  <c r="K144" i="3"/>
  <c r="M144" i="3"/>
  <c r="K145" i="3"/>
  <c r="M145" i="3"/>
  <c r="K146" i="3"/>
  <c r="M146" i="3"/>
  <c r="K147" i="3"/>
  <c r="M147" i="3"/>
  <c r="K148" i="3"/>
  <c r="M148" i="3"/>
  <c r="K149" i="3"/>
  <c r="M149" i="3"/>
  <c r="K150" i="3"/>
  <c r="M150" i="3"/>
  <c r="K151" i="3"/>
  <c r="M151" i="3"/>
  <c r="K152" i="3"/>
  <c r="M152" i="3"/>
  <c r="K153" i="3"/>
  <c r="M153" i="3"/>
  <c r="K154" i="3"/>
  <c r="M154" i="3"/>
  <c r="K155" i="3"/>
  <c r="M155" i="3"/>
  <c r="K156" i="3"/>
  <c r="M156" i="3"/>
  <c r="K157" i="3"/>
  <c r="M157" i="3"/>
  <c r="K158" i="3"/>
  <c r="M158" i="3"/>
  <c r="K159" i="3"/>
  <c r="M159" i="3"/>
  <c r="K160" i="3"/>
  <c r="M160" i="3"/>
  <c r="K161" i="3"/>
  <c r="M161" i="3"/>
  <c r="K162" i="3"/>
  <c r="M162" i="3"/>
  <c r="K163" i="3"/>
  <c r="M163" i="3"/>
  <c r="K164" i="3"/>
  <c r="M164" i="3"/>
  <c r="K165" i="3"/>
  <c r="M165" i="3"/>
  <c r="K166" i="3"/>
  <c r="M166" i="3"/>
  <c r="K167" i="3"/>
  <c r="M167" i="3"/>
  <c r="K168" i="3"/>
  <c r="M168" i="3"/>
  <c r="K169" i="3"/>
  <c r="M169" i="3"/>
  <c r="K170" i="3"/>
  <c r="M170" i="3"/>
  <c r="K171" i="3"/>
  <c r="M171" i="3"/>
  <c r="K172" i="3"/>
  <c r="M172" i="3"/>
  <c r="K173" i="3"/>
  <c r="M173" i="3"/>
  <c r="K174" i="3"/>
  <c r="M174" i="3"/>
  <c r="K175" i="3"/>
  <c r="M175" i="3"/>
  <c r="K176" i="3"/>
  <c r="M176" i="3"/>
  <c r="K177" i="3"/>
  <c r="M177" i="3"/>
  <c r="K178" i="3"/>
  <c r="M178" i="3"/>
  <c r="K179" i="3"/>
  <c r="M179" i="3"/>
  <c r="K180" i="3"/>
  <c r="M180" i="3"/>
  <c r="K181" i="3"/>
  <c r="M181" i="3"/>
  <c r="K182" i="3"/>
  <c r="M182" i="3"/>
  <c r="K183" i="3"/>
  <c r="M183" i="3"/>
  <c r="K184" i="3"/>
  <c r="M184" i="3"/>
  <c r="K185" i="3"/>
  <c r="M185" i="3"/>
  <c r="K186" i="3"/>
  <c r="M186" i="3"/>
  <c r="K187" i="3"/>
  <c r="M187" i="3"/>
  <c r="K188" i="3"/>
  <c r="M188" i="3"/>
  <c r="K189" i="3"/>
  <c r="M189" i="3"/>
  <c r="K190" i="3"/>
  <c r="M190" i="3"/>
  <c r="K191" i="3"/>
  <c r="M191" i="3"/>
  <c r="K192" i="3"/>
  <c r="M192" i="3"/>
  <c r="K193" i="3"/>
  <c r="M193" i="3"/>
  <c r="K194" i="3"/>
  <c r="M194" i="3"/>
  <c r="K195" i="3"/>
  <c r="M195" i="3"/>
  <c r="K196" i="3"/>
  <c r="M196" i="3"/>
  <c r="K197" i="3"/>
  <c r="M197" i="3"/>
  <c r="K198" i="3"/>
  <c r="M198" i="3"/>
  <c r="K199" i="3"/>
  <c r="M199" i="3"/>
  <c r="K200" i="3"/>
  <c r="M200" i="3"/>
  <c r="K201" i="3"/>
  <c r="M201" i="3"/>
  <c r="K202" i="3"/>
  <c r="M202" i="3"/>
  <c r="K203" i="3"/>
  <c r="M203" i="3"/>
  <c r="K204" i="3"/>
  <c r="M204" i="3"/>
  <c r="K205" i="3"/>
  <c r="M205" i="3"/>
  <c r="K206" i="3"/>
  <c r="M206" i="3"/>
  <c r="K207" i="3"/>
  <c r="M207" i="3"/>
  <c r="K208" i="3"/>
  <c r="M208" i="3"/>
  <c r="K209" i="3"/>
  <c r="M209" i="3"/>
  <c r="K210" i="3"/>
  <c r="M210" i="3"/>
  <c r="K211" i="3"/>
  <c r="M211" i="3"/>
  <c r="K212" i="3"/>
  <c r="M212" i="3"/>
  <c r="K213" i="3"/>
  <c r="M213" i="3"/>
  <c r="K214" i="3"/>
  <c r="M214" i="3"/>
  <c r="K215" i="3"/>
  <c r="M215" i="3"/>
  <c r="K216" i="3"/>
  <c r="M216" i="3"/>
  <c r="K217" i="3"/>
  <c r="M217" i="3"/>
  <c r="K218" i="3"/>
  <c r="M218" i="3"/>
  <c r="K219" i="3"/>
  <c r="M219" i="3"/>
  <c r="K220" i="3"/>
  <c r="M220" i="3"/>
  <c r="K221" i="3"/>
  <c r="M221" i="3"/>
  <c r="K222" i="3"/>
  <c r="M222" i="3"/>
  <c r="K223" i="3"/>
  <c r="M223" i="3"/>
  <c r="K224" i="3"/>
  <c r="M224" i="3"/>
  <c r="K225" i="3"/>
  <c r="M225" i="3"/>
  <c r="K226" i="3"/>
  <c r="M226" i="3"/>
  <c r="K227" i="3"/>
  <c r="M227" i="3"/>
  <c r="K228" i="3"/>
  <c r="M228" i="3"/>
  <c r="K229" i="3"/>
  <c r="M229" i="3"/>
  <c r="K230" i="3"/>
  <c r="M230" i="3"/>
  <c r="K231" i="3"/>
  <c r="M231" i="3"/>
  <c r="K232" i="3"/>
  <c r="M232" i="3"/>
  <c r="K233" i="3"/>
  <c r="M233" i="3"/>
  <c r="K234" i="3"/>
  <c r="M234" i="3"/>
  <c r="K235" i="3"/>
  <c r="M235" i="3"/>
  <c r="K236" i="3"/>
  <c r="M236" i="3"/>
  <c r="K237" i="3"/>
  <c r="M237" i="3"/>
  <c r="K238" i="3"/>
  <c r="M238" i="3"/>
  <c r="K239" i="3"/>
  <c r="M239" i="3"/>
  <c r="K240" i="3"/>
  <c r="M240" i="3"/>
  <c r="K241" i="3"/>
  <c r="M241" i="3"/>
  <c r="K242" i="3"/>
  <c r="M242" i="3"/>
  <c r="K243" i="3"/>
  <c r="M243" i="3"/>
  <c r="K244" i="3"/>
  <c r="M244" i="3"/>
  <c r="K245" i="3"/>
  <c r="M245" i="3"/>
  <c r="K246" i="3"/>
  <c r="M246" i="3"/>
  <c r="K247" i="3"/>
  <c r="M247" i="3"/>
  <c r="K248" i="3"/>
  <c r="M248" i="3"/>
  <c r="K249" i="3"/>
  <c r="M249" i="3"/>
  <c r="K250" i="3"/>
  <c r="M250" i="3"/>
  <c r="K251" i="3"/>
  <c r="M251" i="3"/>
  <c r="K252" i="3"/>
  <c r="M252" i="3"/>
  <c r="K253" i="3"/>
  <c r="M253" i="3"/>
  <c r="K254" i="3"/>
  <c r="M254" i="3"/>
  <c r="K255" i="3"/>
  <c r="M255" i="3"/>
  <c r="K256" i="3"/>
  <c r="M256" i="3"/>
  <c r="K257" i="3"/>
  <c r="M257" i="3"/>
  <c r="K258" i="3"/>
  <c r="M258" i="3"/>
  <c r="K259" i="3"/>
  <c r="M259" i="3"/>
  <c r="K260" i="3"/>
  <c r="M260" i="3"/>
  <c r="K261" i="3"/>
  <c r="M261" i="3"/>
  <c r="K262" i="3"/>
  <c r="M262" i="3"/>
  <c r="K263" i="3"/>
  <c r="M263" i="3"/>
  <c r="K264" i="3"/>
  <c r="M264" i="3"/>
  <c r="K265" i="3"/>
  <c r="M265" i="3"/>
  <c r="K266" i="3"/>
  <c r="M266" i="3"/>
  <c r="K267" i="3"/>
  <c r="M267" i="3"/>
  <c r="K268" i="3"/>
  <c r="M268" i="3"/>
  <c r="K269" i="3"/>
  <c r="M269" i="3"/>
  <c r="K270" i="3"/>
  <c r="M270" i="3"/>
  <c r="K271" i="3"/>
  <c r="M271" i="3"/>
  <c r="K272" i="3"/>
  <c r="M272" i="3"/>
  <c r="K273" i="3"/>
  <c r="M273" i="3"/>
  <c r="K274" i="3"/>
  <c r="M274" i="3"/>
  <c r="K275" i="3"/>
  <c r="M275" i="3"/>
  <c r="K276" i="3"/>
  <c r="M276" i="3"/>
  <c r="K277" i="3"/>
  <c r="M277" i="3"/>
  <c r="K278" i="3"/>
  <c r="M278" i="3"/>
  <c r="K279" i="3"/>
  <c r="M279" i="3"/>
  <c r="K280" i="3"/>
  <c r="M280" i="3"/>
  <c r="K281" i="3"/>
  <c r="M281" i="3"/>
  <c r="K282" i="3"/>
  <c r="M282" i="3"/>
  <c r="K283" i="3"/>
  <c r="M283" i="3"/>
  <c r="K284" i="3"/>
  <c r="M284" i="3"/>
  <c r="K285" i="3"/>
  <c r="M285" i="3"/>
  <c r="K286" i="3"/>
  <c r="M286" i="3"/>
  <c r="K287" i="3"/>
  <c r="M287" i="3"/>
  <c r="K288" i="3"/>
  <c r="M288" i="3"/>
  <c r="K289" i="3"/>
  <c r="M289" i="3"/>
  <c r="K290" i="3"/>
  <c r="M290" i="3"/>
  <c r="K291" i="3"/>
  <c r="M291" i="3"/>
  <c r="K292" i="3"/>
  <c r="M292" i="3"/>
  <c r="K293" i="3"/>
  <c r="M293" i="3"/>
  <c r="K294" i="3"/>
  <c r="M294" i="3"/>
  <c r="K295" i="3"/>
  <c r="M295" i="3"/>
  <c r="K296" i="3"/>
  <c r="M296" i="3"/>
  <c r="K297" i="3"/>
  <c r="M297" i="3"/>
  <c r="K298" i="3"/>
  <c r="M298" i="3"/>
  <c r="K299" i="3"/>
  <c r="M299" i="3"/>
  <c r="K300" i="3"/>
  <c r="M300" i="3"/>
  <c r="K301" i="3"/>
  <c r="M301" i="3"/>
  <c r="K302" i="3"/>
  <c r="M302" i="3"/>
  <c r="K303" i="3"/>
  <c r="M303" i="3"/>
  <c r="K304" i="3"/>
  <c r="M304" i="3"/>
  <c r="K305" i="3"/>
  <c r="M305" i="3"/>
  <c r="K306" i="3"/>
  <c r="M306" i="3"/>
  <c r="K307" i="3"/>
  <c r="M307" i="3"/>
  <c r="K308" i="3"/>
  <c r="M308" i="3"/>
  <c r="K309" i="3"/>
  <c r="M309" i="3"/>
  <c r="K310" i="3"/>
  <c r="M310" i="3"/>
  <c r="K311" i="3"/>
  <c r="M311" i="3"/>
  <c r="K312" i="3"/>
  <c r="M312" i="3"/>
  <c r="K313" i="3"/>
  <c r="M313" i="3"/>
  <c r="K314" i="3"/>
  <c r="M314" i="3"/>
  <c r="K315" i="3"/>
  <c r="M315" i="3"/>
  <c r="K316" i="3"/>
  <c r="M316" i="3"/>
  <c r="K317" i="3"/>
  <c r="M317" i="3"/>
  <c r="K318" i="3"/>
  <c r="M318" i="3"/>
  <c r="K319" i="3"/>
  <c r="M319" i="3"/>
  <c r="K320" i="3"/>
  <c r="M320" i="3"/>
  <c r="K321" i="3"/>
  <c r="M321" i="3"/>
  <c r="K322" i="3"/>
  <c r="M322" i="3"/>
  <c r="K323" i="3"/>
  <c r="M323" i="3"/>
  <c r="K324" i="3"/>
  <c r="M324" i="3"/>
  <c r="K325" i="3"/>
  <c r="M325" i="3"/>
  <c r="K326" i="3"/>
  <c r="M326" i="3"/>
  <c r="K327" i="3"/>
  <c r="M327" i="3"/>
  <c r="K328" i="3"/>
  <c r="M328" i="3"/>
  <c r="K329" i="3"/>
  <c r="M329" i="3"/>
  <c r="K330" i="3"/>
  <c r="M330" i="3"/>
  <c r="K331" i="3"/>
  <c r="M331" i="3"/>
  <c r="K332" i="3"/>
  <c r="M332" i="3"/>
  <c r="K333" i="3"/>
  <c r="M333" i="3"/>
  <c r="K334" i="3"/>
  <c r="M334" i="3"/>
  <c r="K335" i="3"/>
  <c r="M335" i="3"/>
  <c r="K336" i="3"/>
  <c r="M336" i="3"/>
  <c r="K337" i="3"/>
  <c r="M337" i="3"/>
  <c r="K338" i="3"/>
  <c r="M338" i="3"/>
  <c r="K339" i="3"/>
  <c r="M339" i="3"/>
  <c r="K340" i="3"/>
  <c r="M340" i="3"/>
  <c r="K341" i="3"/>
  <c r="M341" i="3"/>
  <c r="K342" i="3"/>
  <c r="M342" i="3"/>
  <c r="K343" i="3"/>
  <c r="M343" i="3"/>
  <c r="K344" i="3"/>
  <c r="M344" i="3"/>
  <c r="K345" i="3"/>
  <c r="M345" i="3"/>
  <c r="K346" i="3"/>
  <c r="M346" i="3"/>
  <c r="K347" i="3"/>
  <c r="M347" i="3"/>
  <c r="K348" i="3"/>
  <c r="M348" i="3"/>
  <c r="K349" i="3"/>
  <c r="M349" i="3"/>
  <c r="K350" i="3"/>
  <c r="M350" i="3"/>
  <c r="K351" i="3"/>
  <c r="M351" i="3"/>
  <c r="K352" i="3"/>
  <c r="M352" i="3"/>
  <c r="K353" i="3"/>
  <c r="M353" i="3"/>
  <c r="K354" i="3"/>
  <c r="M354" i="3"/>
  <c r="K355" i="3"/>
  <c r="M355" i="3"/>
  <c r="K356" i="3"/>
  <c r="M356" i="3"/>
  <c r="K357" i="3"/>
  <c r="M357" i="3"/>
  <c r="K358" i="3"/>
  <c r="M358" i="3"/>
  <c r="K359" i="3"/>
  <c r="M359" i="3"/>
  <c r="K360" i="3"/>
  <c r="M360" i="3"/>
  <c r="K361" i="3"/>
  <c r="M361" i="3"/>
  <c r="K362" i="3"/>
  <c r="M362" i="3"/>
  <c r="K363" i="3"/>
  <c r="M363" i="3"/>
  <c r="K364" i="3"/>
  <c r="M364" i="3"/>
  <c r="K365" i="3"/>
  <c r="M365" i="3"/>
  <c r="K366" i="3"/>
  <c r="M366" i="3"/>
  <c r="K367" i="3"/>
  <c r="M367" i="3"/>
  <c r="K368" i="3"/>
  <c r="M368" i="3"/>
  <c r="K369" i="3"/>
  <c r="M369" i="3"/>
  <c r="K370" i="3"/>
  <c r="M370" i="3"/>
  <c r="K371" i="3"/>
  <c r="M371" i="3"/>
  <c r="K372" i="3"/>
  <c r="M372" i="3"/>
  <c r="K373" i="3"/>
  <c r="M373" i="3"/>
  <c r="K374" i="3"/>
  <c r="M374" i="3"/>
  <c r="K375" i="3"/>
  <c r="M375" i="3"/>
  <c r="K376" i="3"/>
  <c r="M376" i="3"/>
  <c r="K377" i="3"/>
  <c r="M377" i="3"/>
  <c r="K378" i="3"/>
  <c r="M378" i="3"/>
  <c r="K379" i="3"/>
  <c r="M379" i="3"/>
  <c r="K380" i="3"/>
  <c r="M380" i="3"/>
  <c r="K381" i="3"/>
  <c r="M381" i="3"/>
  <c r="K382" i="3"/>
  <c r="M382" i="3"/>
  <c r="K383" i="3"/>
  <c r="M383" i="3"/>
  <c r="K384" i="3"/>
  <c r="M384" i="3"/>
  <c r="K385" i="3"/>
  <c r="M385" i="3"/>
  <c r="K386" i="3"/>
  <c r="M386" i="3"/>
  <c r="K387" i="3"/>
  <c r="M387" i="3"/>
  <c r="K388" i="3"/>
  <c r="M388" i="3"/>
  <c r="K389" i="3"/>
  <c r="M389" i="3"/>
  <c r="K390" i="3"/>
  <c r="M390" i="3"/>
  <c r="K391" i="3"/>
  <c r="M391" i="3"/>
  <c r="K392" i="3"/>
  <c r="M392" i="3"/>
  <c r="K393" i="3"/>
  <c r="M393" i="3"/>
  <c r="K394" i="3"/>
  <c r="M394" i="3"/>
  <c r="K395" i="3"/>
  <c r="M395" i="3"/>
  <c r="K396" i="3"/>
  <c r="M396" i="3"/>
  <c r="K397" i="3"/>
  <c r="M397" i="3"/>
  <c r="K398" i="3"/>
  <c r="M398" i="3"/>
  <c r="K399" i="3"/>
  <c r="M399" i="3"/>
  <c r="K400" i="3"/>
  <c r="M400" i="3"/>
  <c r="K401" i="3"/>
  <c r="M401" i="3"/>
  <c r="K402" i="3"/>
  <c r="M402" i="3"/>
  <c r="K403" i="3"/>
  <c r="M403" i="3"/>
  <c r="K404" i="3"/>
  <c r="M404" i="3"/>
  <c r="K405" i="3"/>
  <c r="M405" i="3"/>
  <c r="K406" i="3"/>
  <c r="M406" i="3"/>
  <c r="K407" i="3"/>
  <c r="M407" i="3"/>
  <c r="K408" i="3"/>
  <c r="M408" i="3"/>
  <c r="K409" i="3"/>
  <c r="M409" i="3"/>
  <c r="K410" i="3"/>
  <c r="M410" i="3"/>
  <c r="K411" i="3"/>
  <c r="M411" i="3"/>
  <c r="K412" i="3"/>
  <c r="M412" i="3"/>
  <c r="K413" i="3"/>
  <c r="M413" i="3"/>
  <c r="K414" i="3"/>
  <c r="M414" i="3"/>
  <c r="K415" i="3"/>
  <c r="M415" i="3"/>
  <c r="K416" i="3"/>
  <c r="M416" i="3"/>
  <c r="K417" i="3"/>
  <c r="M417" i="3"/>
  <c r="K418" i="3"/>
  <c r="M418" i="3"/>
  <c r="K419" i="3"/>
  <c r="M419" i="3"/>
  <c r="K420" i="3"/>
  <c r="M420" i="3"/>
  <c r="K421" i="3"/>
  <c r="M421" i="3"/>
  <c r="K422" i="3"/>
  <c r="M422" i="3"/>
  <c r="K423" i="3"/>
  <c r="M423" i="3"/>
  <c r="K424" i="3"/>
  <c r="M424" i="3"/>
  <c r="K425" i="3"/>
  <c r="M425" i="3"/>
  <c r="K426" i="3"/>
  <c r="M426" i="3"/>
  <c r="K427" i="3"/>
  <c r="M427" i="3"/>
  <c r="K428" i="3"/>
  <c r="M428" i="3"/>
  <c r="K429" i="3"/>
  <c r="M429" i="3"/>
  <c r="K430" i="3"/>
  <c r="M430" i="3"/>
  <c r="K431" i="3"/>
  <c r="M431" i="3"/>
  <c r="K432" i="3"/>
  <c r="M432" i="3"/>
  <c r="K433" i="3"/>
  <c r="M433" i="3"/>
  <c r="K434" i="3"/>
  <c r="M434" i="3"/>
  <c r="K435" i="3"/>
  <c r="M435" i="3"/>
  <c r="K436" i="3"/>
  <c r="M436" i="3"/>
  <c r="K437" i="3"/>
  <c r="M437" i="3"/>
  <c r="K438" i="3"/>
  <c r="M438" i="3"/>
  <c r="K439" i="3"/>
  <c r="M439" i="3"/>
  <c r="K440" i="3"/>
  <c r="M440" i="3"/>
  <c r="K441" i="3"/>
  <c r="M441" i="3"/>
  <c r="K442" i="3"/>
  <c r="M442" i="3"/>
  <c r="K443" i="3"/>
  <c r="M443" i="3"/>
  <c r="K444" i="3"/>
  <c r="M444" i="3"/>
  <c r="K445" i="3"/>
  <c r="M445" i="3"/>
  <c r="K446" i="3"/>
  <c r="M446" i="3"/>
  <c r="K447" i="3"/>
  <c r="M447" i="3"/>
  <c r="K448" i="3"/>
  <c r="M448" i="3"/>
  <c r="K449" i="3"/>
  <c r="M449" i="3"/>
  <c r="K450" i="3"/>
  <c r="M450" i="3"/>
  <c r="K451" i="3"/>
  <c r="M451" i="3"/>
  <c r="K452" i="3"/>
  <c r="M452" i="3"/>
  <c r="K453" i="3"/>
  <c r="M453" i="3"/>
  <c r="K454" i="3"/>
  <c r="M454" i="3"/>
  <c r="K455" i="3"/>
  <c r="M455" i="3"/>
  <c r="K456" i="3"/>
  <c r="M456" i="3"/>
  <c r="K457" i="3"/>
  <c r="M457" i="3"/>
  <c r="K458" i="3"/>
  <c r="M458" i="3"/>
  <c r="K459" i="3"/>
  <c r="M459" i="3"/>
  <c r="K460" i="3"/>
  <c r="M460" i="3"/>
  <c r="K461" i="3"/>
  <c r="M461" i="3"/>
  <c r="K462" i="3"/>
  <c r="M462" i="3"/>
  <c r="K463" i="3"/>
  <c r="M463" i="3"/>
  <c r="K464" i="3"/>
  <c r="M464" i="3"/>
  <c r="K465" i="3"/>
  <c r="M465" i="3"/>
  <c r="K466" i="3"/>
  <c r="M466" i="3"/>
  <c r="K467" i="3"/>
  <c r="M467" i="3"/>
  <c r="K468" i="3"/>
  <c r="M468" i="3"/>
  <c r="K469" i="3"/>
  <c r="M469" i="3"/>
  <c r="K470" i="3"/>
  <c r="M470" i="3"/>
  <c r="K471" i="3"/>
  <c r="M471" i="3"/>
  <c r="K472" i="3"/>
  <c r="M472" i="3"/>
  <c r="K473" i="3"/>
  <c r="M473" i="3"/>
  <c r="K474" i="3"/>
  <c r="M474" i="3"/>
  <c r="K475" i="3"/>
  <c r="M475" i="3"/>
  <c r="K476" i="3"/>
  <c r="M476" i="3"/>
  <c r="K477" i="3"/>
  <c r="M477" i="3"/>
  <c r="K478" i="3"/>
  <c r="M478" i="3"/>
  <c r="K479" i="3"/>
  <c r="M479" i="3"/>
  <c r="K480" i="3"/>
  <c r="M480" i="3"/>
  <c r="K481" i="3"/>
  <c r="M481" i="3"/>
  <c r="K482" i="3"/>
  <c r="M482" i="3"/>
  <c r="K483" i="3"/>
  <c r="M483" i="3"/>
  <c r="K484" i="3"/>
  <c r="M484" i="3"/>
  <c r="K485" i="3"/>
  <c r="M485" i="3"/>
  <c r="K486" i="3"/>
  <c r="M486" i="3"/>
  <c r="K487" i="3"/>
  <c r="M487" i="3"/>
  <c r="K488" i="3"/>
  <c r="M488" i="3"/>
  <c r="K489" i="3"/>
  <c r="M489" i="3"/>
  <c r="K490" i="3"/>
  <c r="M490" i="3"/>
  <c r="K491" i="3"/>
  <c r="M491" i="3"/>
  <c r="K492" i="3"/>
  <c r="M492" i="3"/>
  <c r="K493" i="3"/>
  <c r="M493" i="3"/>
  <c r="K494" i="3"/>
  <c r="M494" i="3"/>
  <c r="K495" i="3"/>
  <c r="M495" i="3"/>
  <c r="K496" i="3"/>
  <c r="M496" i="3"/>
  <c r="K497" i="3"/>
  <c r="M497" i="3"/>
  <c r="K498" i="3"/>
  <c r="M498" i="3"/>
  <c r="K499" i="3"/>
  <c r="M499" i="3"/>
  <c r="K500" i="3"/>
  <c r="M500" i="3"/>
  <c r="K501" i="3"/>
  <c r="M501" i="3"/>
  <c r="K502" i="3"/>
  <c r="M502" i="3"/>
  <c r="K503" i="3"/>
  <c r="M503" i="3"/>
  <c r="K504" i="3"/>
  <c r="M504" i="3"/>
  <c r="K505" i="3"/>
  <c r="M505" i="3"/>
  <c r="K506" i="3"/>
  <c r="M506" i="3"/>
  <c r="K507" i="3"/>
  <c r="M507" i="3"/>
  <c r="K508" i="3"/>
  <c r="M508" i="3"/>
  <c r="K509" i="3"/>
  <c r="M509" i="3"/>
  <c r="K510" i="3"/>
  <c r="M510" i="3"/>
  <c r="K511" i="3"/>
  <c r="M511" i="3"/>
  <c r="K512" i="3"/>
  <c r="M512" i="3"/>
  <c r="K513" i="3"/>
  <c r="M513" i="3"/>
  <c r="K514" i="3"/>
  <c r="M514" i="3"/>
  <c r="K515" i="3"/>
  <c r="M515" i="3"/>
  <c r="K516" i="3"/>
  <c r="M516" i="3"/>
  <c r="K517" i="3"/>
  <c r="M517" i="3"/>
  <c r="K518" i="3"/>
  <c r="M518" i="3"/>
  <c r="K519" i="3"/>
  <c r="M519" i="3"/>
  <c r="K520" i="3"/>
  <c r="M520" i="3"/>
  <c r="K521" i="3"/>
  <c r="M521" i="3"/>
  <c r="K522" i="3"/>
  <c r="M522" i="3"/>
  <c r="K523" i="3"/>
  <c r="M523" i="3"/>
  <c r="K524" i="3"/>
  <c r="M524" i="3"/>
  <c r="K525" i="3"/>
  <c r="M525" i="3"/>
  <c r="K526" i="3"/>
  <c r="M526" i="3"/>
  <c r="K527" i="3"/>
  <c r="M527" i="3"/>
  <c r="K528" i="3"/>
  <c r="M528" i="3"/>
  <c r="K529" i="3"/>
  <c r="M529" i="3"/>
  <c r="K530" i="3"/>
  <c r="M530" i="3"/>
  <c r="K531" i="3"/>
  <c r="M531" i="3"/>
  <c r="K532" i="3"/>
  <c r="M532" i="3"/>
  <c r="K533" i="3"/>
  <c r="M533" i="3"/>
  <c r="K534" i="3"/>
  <c r="M534" i="3"/>
  <c r="K535" i="3"/>
  <c r="M535" i="3"/>
  <c r="K536" i="3"/>
  <c r="M536" i="3"/>
  <c r="K537" i="3"/>
  <c r="M537" i="3"/>
  <c r="K538" i="3"/>
  <c r="M538" i="3"/>
  <c r="K539" i="3"/>
  <c r="M539" i="3"/>
  <c r="K540" i="3"/>
  <c r="M540" i="3"/>
  <c r="K541" i="3"/>
  <c r="M541" i="3"/>
  <c r="K542" i="3"/>
  <c r="M542" i="3"/>
  <c r="K543" i="3"/>
  <c r="M543" i="3"/>
  <c r="K544" i="3"/>
  <c r="M544" i="3"/>
  <c r="K545" i="3"/>
  <c r="M545" i="3"/>
  <c r="K546" i="3"/>
  <c r="M546" i="3"/>
  <c r="K547" i="3"/>
  <c r="M547" i="3"/>
  <c r="K548" i="3"/>
  <c r="M548" i="3"/>
  <c r="K549" i="3"/>
  <c r="M549" i="3"/>
  <c r="K550" i="3"/>
  <c r="M550" i="3"/>
  <c r="K551" i="3"/>
  <c r="M551" i="3"/>
  <c r="K552" i="3"/>
  <c r="M552" i="3"/>
  <c r="K553" i="3"/>
  <c r="M553" i="3"/>
  <c r="K554" i="3"/>
  <c r="M554" i="3"/>
  <c r="K555" i="3"/>
  <c r="M555" i="3"/>
  <c r="K556" i="3"/>
  <c r="M556" i="3"/>
  <c r="K557" i="3"/>
  <c r="M557" i="3"/>
  <c r="K558" i="3"/>
  <c r="M558" i="3"/>
  <c r="K559" i="3"/>
  <c r="M559" i="3"/>
  <c r="K560" i="3"/>
  <c r="M560" i="3"/>
  <c r="K561" i="3"/>
  <c r="M561" i="3"/>
  <c r="K562" i="3"/>
  <c r="M562" i="3"/>
  <c r="K563" i="3"/>
  <c r="M563" i="3"/>
  <c r="K564" i="3"/>
  <c r="M564" i="3"/>
  <c r="K565" i="3"/>
  <c r="M565" i="3"/>
  <c r="K566" i="3"/>
  <c r="M566" i="3"/>
  <c r="K567" i="3"/>
  <c r="M567" i="3"/>
  <c r="K568" i="3"/>
  <c r="M568" i="3"/>
  <c r="K569" i="3"/>
  <c r="M569" i="3"/>
  <c r="K570" i="3"/>
  <c r="M570" i="3"/>
  <c r="K571" i="3"/>
  <c r="M571" i="3"/>
  <c r="K572" i="3"/>
  <c r="M572" i="3"/>
  <c r="K573" i="3"/>
  <c r="M573" i="3"/>
  <c r="K574" i="3"/>
  <c r="M574" i="3"/>
  <c r="K575" i="3"/>
  <c r="M575" i="3"/>
  <c r="K576" i="3"/>
  <c r="M576" i="3"/>
  <c r="K577" i="3"/>
  <c r="M577" i="3"/>
  <c r="K578" i="3"/>
  <c r="M578" i="3"/>
  <c r="K579" i="3"/>
  <c r="M579" i="3"/>
  <c r="K580" i="3"/>
  <c r="M580" i="3"/>
  <c r="K581" i="3"/>
  <c r="M581" i="3"/>
  <c r="K582" i="3"/>
  <c r="M582" i="3"/>
  <c r="K583" i="3"/>
  <c r="M583" i="3"/>
  <c r="K584" i="3"/>
  <c r="M584" i="3"/>
  <c r="K585" i="3"/>
  <c r="M585" i="3"/>
  <c r="K586" i="3"/>
  <c r="M586" i="3"/>
  <c r="K587" i="3"/>
  <c r="M587" i="3"/>
  <c r="K588" i="3"/>
  <c r="M588" i="3"/>
  <c r="K589" i="3"/>
  <c r="M589" i="3"/>
  <c r="K590" i="3"/>
  <c r="M590" i="3"/>
  <c r="K591" i="3"/>
  <c r="M591" i="3"/>
  <c r="K592" i="3"/>
  <c r="M592" i="3"/>
  <c r="K593" i="3"/>
  <c r="M593" i="3"/>
  <c r="K594" i="3"/>
  <c r="M594" i="3"/>
  <c r="K595" i="3"/>
  <c r="M595" i="3"/>
  <c r="K596" i="3"/>
  <c r="M596" i="3"/>
  <c r="K597" i="3"/>
  <c r="M597" i="3"/>
  <c r="K598" i="3"/>
  <c r="M598" i="3"/>
  <c r="K599" i="3"/>
  <c r="M599" i="3"/>
  <c r="K600" i="3"/>
  <c r="M600" i="3"/>
  <c r="K601" i="3"/>
  <c r="M601" i="3"/>
  <c r="K602" i="3"/>
  <c r="M602" i="3"/>
  <c r="K603" i="3"/>
  <c r="M603" i="3"/>
  <c r="K604" i="3"/>
  <c r="M604" i="3"/>
  <c r="K605" i="3"/>
  <c r="M605" i="3"/>
  <c r="K606" i="3"/>
  <c r="M606" i="3"/>
  <c r="K607" i="3"/>
  <c r="M607" i="3"/>
  <c r="K608" i="3"/>
  <c r="M608" i="3"/>
  <c r="K609" i="3"/>
  <c r="M609" i="3"/>
  <c r="K610" i="3"/>
  <c r="M610" i="3"/>
  <c r="K611" i="3"/>
  <c r="M611" i="3"/>
  <c r="K612" i="3"/>
  <c r="M612" i="3"/>
  <c r="K613" i="3"/>
  <c r="M613" i="3"/>
  <c r="K614" i="3"/>
  <c r="M614" i="3"/>
  <c r="K615" i="3"/>
  <c r="M615" i="3"/>
  <c r="K616" i="3"/>
  <c r="M616" i="3"/>
  <c r="K617" i="3"/>
  <c r="M617" i="3"/>
  <c r="K618" i="3"/>
  <c r="M618" i="3"/>
  <c r="K619" i="3"/>
  <c r="M619" i="3"/>
  <c r="K620" i="3"/>
  <c r="M620" i="3"/>
  <c r="K621" i="3"/>
  <c r="M621" i="3"/>
  <c r="K622" i="3"/>
  <c r="M622" i="3"/>
  <c r="K623" i="3"/>
  <c r="M623" i="3"/>
  <c r="K624" i="3"/>
  <c r="M624" i="3"/>
  <c r="K625" i="3"/>
  <c r="M625" i="3"/>
  <c r="K626" i="3"/>
  <c r="M626" i="3"/>
  <c r="K627" i="3"/>
  <c r="M627" i="3"/>
  <c r="K628" i="3"/>
  <c r="M628" i="3"/>
  <c r="K629" i="3"/>
  <c r="M629" i="3"/>
  <c r="K630" i="3"/>
  <c r="M630" i="3"/>
  <c r="K631" i="3"/>
  <c r="M631" i="3"/>
  <c r="K632" i="3"/>
  <c r="M632" i="3"/>
  <c r="K633" i="3"/>
  <c r="M633" i="3"/>
  <c r="K634" i="3"/>
  <c r="M634" i="3"/>
  <c r="K635" i="3"/>
  <c r="M635" i="3"/>
  <c r="K636" i="3"/>
  <c r="M636" i="3"/>
  <c r="K637" i="3"/>
  <c r="M637" i="3"/>
  <c r="K638" i="3"/>
  <c r="M638" i="3"/>
  <c r="K639" i="3"/>
  <c r="M639" i="3"/>
  <c r="K640" i="3"/>
  <c r="M640" i="3"/>
  <c r="K641" i="3"/>
  <c r="M641" i="3"/>
  <c r="K642" i="3"/>
  <c r="M642" i="3"/>
  <c r="K643" i="3"/>
  <c r="M643" i="3"/>
  <c r="K644" i="3"/>
  <c r="M644" i="3"/>
  <c r="K645" i="3"/>
  <c r="M645" i="3"/>
  <c r="K646" i="3"/>
  <c r="M646" i="3"/>
  <c r="K647" i="3"/>
  <c r="M647" i="3"/>
  <c r="K648" i="3"/>
  <c r="M648" i="3"/>
  <c r="K649" i="3"/>
  <c r="M649" i="3"/>
  <c r="K650" i="3"/>
  <c r="M650" i="3"/>
  <c r="K651" i="3"/>
  <c r="M651" i="3"/>
  <c r="K652" i="3"/>
  <c r="M652" i="3"/>
  <c r="K653" i="3"/>
  <c r="M653" i="3"/>
  <c r="K654" i="3"/>
  <c r="M654" i="3"/>
  <c r="K655" i="3"/>
  <c r="M655" i="3"/>
  <c r="K656" i="3"/>
  <c r="M656" i="3"/>
  <c r="K657" i="3"/>
  <c r="M657" i="3"/>
  <c r="K658" i="3"/>
  <c r="M658" i="3"/>
  <c r="K659" i="3"/>
  <c r="M659" i="3"/>
  <c r="K660" i="3"/>
  <c r="M660" i="3"/>
  <c r="K661" i="3"/>
  <c r="M661" i="3"/>
  <c r="K662" i="3"/>
  <c r="M662" i="3"/>
  <c r="K663" i="3"/>
  <c r="M663" i="3"/>
  <c r="K664" i="3"/>
  <c r="M664" i="3"/>
  <c r="K665" i="3"/>
  <c r="M665" i="3"/>
  <c r="K666" i="3"/>
  <c r="M666" i="3"/>
  <c r="K667" i="3"/>
  <c r="M667" i="3"/>
  <c r="K668" i="3"/>
  <c r="M668" i="3"/>
  <c r="K669" i="3"/>
  <c r="M669" i="3"/>
  <c r="K670" i="3"/>
  <c r="M670" i="3"/>
  <c r="K671" i="3"/>
  <c r="M671" i="3"/>
  <c r="K672" i="3"/>
  <c r="M672" i="3"/>
  <c r="K673" i="3"/>
  <c r="M673" i="3"/>
  <c r="K674" i="3"/>
  <c r="M674" i="3"/>
  <c r="K675" i="3"/>
  <c r="M675" i="3"/>
  <c r="K676" i="3"/>
  <c r="M676" i="3"/>
  <c r="K677" i="3"/>
  <c r="M677" i="3"/>
  <c r="K678" i="3"/>
  <c r="M678" i="3"/>
  <c r="K679" i="3"/>
  <c r="M679" i="3"/>
  <c r="K680" i="3"/>
  <c r="M680" i="3"/>
  <c r="K681" i="3"/>
  <c r="M681" i="3"/>
  <c r="K682" i="3"/>
  <c r="M682" i="3"/>
  <c r="K683" i="3"/>
  <c r="M683" i="3"/>
  <c r="K684" i="3"/>
  <c r="M684" i="3"/>
  <c r="K685" i="3"/>
  <c r="M685" i="3"/>
  <c r="K686" i="3"/>
  <c r="M686" i="3"/>
  <c r="K687" i="3"/>
  <c r="M687" i="3"/>
  <c r="K688" i="3"/>
  <c r="M688" i="3"/>
  <c r="K689" i="3"/>
  <c r="M689" i="3"/>
  <c r="K690" i="3"/>
  <c r="M690" i="3"/>
  <c r="K691" i="3"/>
  <c r="M691" i="3"/>
  <c r="K692" i="3"/>
  <c r="M692" i="3"/>
  <c r="K693" i="3"/>
  <c r="M693" i="3"/>
  <c r="K694" i="3"/>
  <c r="M694" i="3"/>
  <c r="K695" i="3"/>
  <c r="M695" i="3"/>
  <c r="K696" i="3"/>
  <c r="M696" i="3"/>
  <c r="K697" i="3"/>
  <c r="M697" i="3"/>
  <c r="K698" i="3"/>
  <c r="M698" i="3"/>
  <c r="K699" i="3"/>
  <c r="M699" i="3"/>
  <c r="K700" i="3"/>
  <c r="M700" i="3"/>
  <c r="K701" i="3"/>
  <c r="M701" i="3"/>
  <c r="K702" i="3"/>
  <c r="M702" i="3"/>
  <c r="K703" i="3"/>
  <c r="M703" i="3"/>
  <c r="K704" i="3"/>
  <c r="M704" i="3"/>
  <c r="K705" i="3"/>
  <c r="M705" i="3"/>
  <c r="K706" i="3"/>
  <c r="M706" i="3"/>
  <c r="K707" i="3"/>
  <c r="M707" i="3"/>
  <c r="K708" i="3"/>
  <c r="M708" i="3"/>
  <c r="K709" i="3"/>
  <c r="M709" i="3"/>
  <c r="K710" i="3"/>
  <c r="M710" i="3"/>
  <c r="K711" i="3"/>
  <c r="M711" i="3"/>
  <c r="K712" i="3"/>
  <c r="M712" i="3"/>
  <c r="K713" i="3"/>
  <c r="M713" i="3"/>
  <c r="K714" i="3"/>
  <c r="M714" i="3"/>
  <c r="K715" i="3"/>
  <c r="M715" i="3"/>
  <c r="K716" i="3"/>
  <c r="M716" i="3"/>
  <c r="K717" i="3"/>
  <c r="M717" i="3"/>
  <c r="K718" i="3"/>
  <c r="M718" i="3"/>
  <c r="K719" i="3"/>
  <c r="M719" i="3"/>
  <c r="K720" i="3"/>
  <c r="M720" i="3"/>
  <c r="K721" i="3"/>
  <c r="M721" i="3"/>
  <c r="K722" i="3"/>
  <c r="M722" i="3"/>
  <c r="K723" i="3"/>
  <c r="M723" i="3"/>
  <c r="K724" i="3"/>
  <c r="M724" i="3"/>
  <c r="K725" i="3"/>
  <c r="M725" i="3"/>
  <c r="K726" i="3"/>
  <c r="M726" i="3"/>
  <c r="K727" i="3"/>
  <c r="M727" i="3"/>
  <c r="K728" i="3"/>
  <c r="M728" i="3"/>
  <c r="K729" i="3"/>
  <c r="M729" i="3"/>
  <c r="K730" i="3"/>
  <c r="M730" i="3"/>
  <c r="K731" i="3"/>
  <c r="M731" i="3"/>
  <c r="K732" i="3"/>
  <c r="M732" i="3"/>
  <c r="K733" i="3"/>
  <c r="M733" i="3"/>
  <c r="K734" i="3"/>
  <c r="M734" i="3"/>
  <c r="K735" i="3"/>
  <c r="M735" i="3"/>
  <c r="K736" i="3"/>
  <c r="M736" i="3"/>
  <c r="K737" i="3"/>
  <c r="M737" i="3"/>
  <c r="K738" i="3"/>
  <c r="M738" i="3"/>
  <c r="K739" i="3"/>
  <c r="M739" i="3"/>
  <c r="K740" i="3"/>
  <c r="M740" i="3"/>
  <c r="K741" i="3"/>
  <c r="M741" i="3"/>
  <c r="K742" i="3"/>
  <c r="M742" i="3"/>
  <c r="K743" i="3"/>
  <c r="M743" i="3"/>
  <c r="K744" i="3"/>
  <c r="M744" i="3"/>
  <c r="K745" i="3"/>
  <c r="M745" i="3"/>
  <c r="K746" i="3"/>
  <c r="M746" i="3"/>
  <c r="K747" i="3"/>
  <c r="M747" i="3"/>
  <c r="K748" i="3"/>
  <c r="M748" i="3"/>
  <c r="K749" i="3"/>
  <c r="M749" i="3"/>
  <c r="K750" i="3"/>
  <c r="M750" i="3"/>
  <c r="K751" i="3"/>
  <c r="M751" i="3"/>
  <c r="K752" i="3"/>
  <c r="M752" i="3"/>
  <c r="K753" i="3"/>
  <c r="M753" i="3"/>
  <c r="K754" i="3"/>
  <c r="M754" i="3"/>
  <c r="K755" i="3"/>
  <c r="M755" i="3"/>
  <c r="K756" i="3"/>
  <c r="M756" i="3"/>
  <c r="K757" i="3"/>
  <c r="M757" i="3"/>
  <c r="K758" i="3"/>
  <c r="M758" i="3"/>
  <c r="K759" i="3"/>
  <c r="M759" i="3"/>
  <c r="K760" i="3"/>
  <c r="M760" i="3"/>
  <c r="K761" i="3"/>
  <c r="M761" i="3"/>
  <c r="K762" i="3"/>
  <c r="M762" i="3"/>
  <c r="K763" i="3"/>
  <c r="M763" i="3"/>
  <c r="K764" i="3"/>
  <c r="M764" i="3"/>
  <c r="K765" i="3"/>
  <c r="M765" i="3"/>
  <c r="K766" i="3"/>
  <c r="M766" i="3"/>
  <c r="K767" i="3"/>
  <c r="M767" i="3"/>
  <c r="K768" i="3"/>
  <c r="M768" i="3"/>
  <c r="K769" i="3"/>
  <c r="M769" i="3"/>
  <c r="K770" i="3"/>
  <c r="M770" i="3"/>
  <c r="K771" i="3"/>
  <c r="M771" i="3"/>
  <c r="K772" i="3"/>
  <c r="M772" i="3"/>
  <c r="K773" i="3"/>
  <c r="M773" i="3"/>
  <c r="K774" i="3"/>
  <c r="M774" i="3"/>
  <c r="K775" i="3"/>
  <c r="M775" i="3"/>
  <c r="K776" i="3"/>
  <c r="M776" i="3"/>
  <c r="K777" i="3"/>
  <c r="M777" i="3"/>
  <c r="K778" i="3"/>
  <c r="M778" i="3"/>
  <c r="K779" i="3"/>
  <c r="M779" i="3"/>
  <c r="K780" i="3"/>
  <c r="M780" i="3"/>
  <c r="K781" i="3"/>
  <c r="M781" i="3"/>
  <c r="K782" i="3"/>
  <c r="M782" i="3"/>
  <c r="K783" i="3"/>
  <c r="M783" i="3"/>
  <c r="K784" i="3"/>
  <c r="M784" i="3"/>
  <c r="K785" i="3"/>
  <c r="M785" i="3"/>
  <c r="K786" i="3"/>
  <c r="M786" i="3"/>
  <c r="K787" i="3"/>
  <c r="M787" i="3"/>
  <c r="K788" i="3"/>
  <c r="M788" i="3"/>
  <c r="K789" i="3"/>
  <c r="M789" i="3"/>
  <c r="K790" i="3"/>
  <c r="M790" i="3"/>
  <c r="K791" i="3"/>
  <c r="M791" i="3"/>
  <c r="K792" i="3"/>
  <c r="M792" i="3"/>
  <c r="K793" i="3"/>
  <c r="M793" i="3"/>
  <c r="K794" i="3"/>
  <c r="M794" i="3"/>
  <c r="K795" i="3"/>
  <c r="M795" i="3"/>
  <c r="K796" i="3"/>
  <c r="M796" i="3"/>
  <c r="K797" i="3"/>
  <c r="M797" i="3"/>
  <c r="K798" i="3"/>
  <c r="M798" i="3"/>
  <c r="K799" i="3"/>
  <c r="M799" i="3"/>
  <c r="K800" i="3"/>
  <c r="M800" i="3"/>
  <c r="K801" i="3"/>
  <c r="M801" i="3"/>
  <c r="K802" i="3"/>
  <c r="M802" i="3"/>
  <c r="K803" i="3"/>
  <c r="M803" i="3"/>
  <c r="K804" i="3"/>
  <c r="M804" i="3"/>
  <c r="K805" i="3"/>
  <c r="M805" i="3"/>
  <c r="K806" i="3"/>
  <c r="M806" i="3"/>
  <c r="K807" i="3"/>
  <c r="M807" i="3"/>
  <c r="K808" i="3"/>
  <c r="M808" i="3"/>
  <c r="K809" i="3"/>
  <c r="M809" i="3"/>
  <c r="K810" i="3"/>
  <c r="M810" i="3"/>
  <c r="K811" i="3"/>
  <c r="M811" i="3"/>
  <c r="K812" i="3"/>
  <c r="M812" i="3"/>
  <c r="K813" i="3"/>
  <c r="M813" i="3"/>
  <c r="K814" i="3"/>
  <c r="M814" i="3"/>
  <c r="K815" i="3"/>
  <c r="M815" i="3"/>
  <c r="K816" i="3"/>
  <c r="M816" i="3"/>
  <c r="K817" i="3"/>
  <c r="M817" i="3"/>
  <c r="K818" i="3"/>
  <c r="M818" i="3"/>
  <c r="K819" i="3"/>
  <c r="M819" i="3"/>
  <c r="K820" i="3"/>
  <c r="M820" i="3"/>
  <c r="K821" i="3"/>
  <c r="M821" i="3"/>
  <c r="K822" i="3"/>
  <c r="M822" i="3"/>
  <c r="K823" i="3"/>
  <c r="M823" i="3"/>
  <c r="K824" i="3"/>
  <c r="M824" i="3"/>
  <c r="K825" i="3"/>
  <c r="M825" i="3"/>
  <c r="K826" i="3"/>
  <c r="M826" i="3"/>
  <c r="K827" i="3"/>
  <c r="M827" i="3"/>
  <c r="K828" i="3"/>
  <c r="M828" i="3"/>
  <c r="K829" i="3"/>
  <c r="M829" i="3"/>
  <c r="K830" i="3"/>
  <c r="M830" i="3"/>
  <c r="K831" i="3"/>
  <c r="M831" i="3"/>
  <c r="K832" i="3"/>
  <c r="M832" i="3"/>
  <c r="K833" i="3"/>
  <c r="M833" i="3"/>
  <c r="K834" i="3"/>
  <c r="M834" i="3"/>
  <c r="K835" i="3"/>
  <c r="M835" i="3"/>
  <c r="K836" i="3"/>
  <c r="M836" i="3"/>
  <c r="K837" i="3"/>
  <c r="M837" i="3"/>
  <c r="K838" i="3"/>
  <c r="M838" i="3"/>
  <c r="K839" i="3"/>
  <c r="M839" i="3"/>
  <c r="K840" i="3"/>
  <c r="M840" i="3"/>
  <c r="K841" i="3"/>
  <c r="M841" i="3"/>
  <c r="K842" i="3"/>
  <c r="M842" i="3"/>
  <c r="K843" i="3"/>
  <c r="M843" i="3"/>
  <c r="K844" i="3"/>
  <c r="M844" i="3"/>
  <c r="K845" i="3"/>
  <c r="M845" i="3"/>
  <c r="K846" i="3"/>
  <c r="M846" i="3"/>
  <c r="K847" i="3"/>
  <c r="M847" i="3"/>
  <c r="K848" i="3"/>
  <c r="M848" i="3"/>
  <c r="K849" i="3"/>
  <c r="M849" i="3"/>
  <c r="K850" i="3"/>
  <c r="M850" i="3"/>
  <c r="K851" i="3"/>
  <c r="M851" i="3"/>
  <c r="K852" i="3"/>
  <c r="M852" i="3"/>
  <c r="K853" i="3"/>
  <c r="M853" i="3"/>
  <c r="K854" i="3"/>
  <c r="M854" i="3"/>
  <c r="K855" i="3"/>
  <c r="M855" i="3"/>
  <c r="K856" i="3"/>
  <c r="M856" i="3"/>
  <c r="K857" i="3"/>
  <c r="M857" i="3"/>
  <c r="K858" i="3"/>
  <c r="M858" i="3"/>
  <c r="K859" i="3"/>
  <c r="M859" i="3"/>
  <c r="K860" i="3"/>
  <c r="M860" i="3"/>
  <c r="K861" i="3"/>
  <c r="M861" i="3"/>
  <c r="K862" i="3"/>
  <c r="M862" i="3"/>
  <c r="K863" i="3"/>
  <c r="M863" i="3"/>
  <c r="K864" i="3"/>
  <c r="M864" i="3"/>
  <c r="K865" i="3"/>
  <c r="M865" i="3"/>
  <c r="K866" i="3"/>
  <c r="M866" i="3"/>
  <c r="K867" i="3"/>
  <c r="M867" i="3"/>
  <c r="K868" i="3"/>
  <c r="M868" i="3"/>
  <c r="K869" i="3"/>
  <c r="M869" i="3"/>
  <c r="K870" i="3"/>
  <c r="M870" i="3"/>
  <c r="K871" i="3"/>
  <c r="M871" i="3"/>
  <c r="K872" i="3"/>
  <c r="M872" i="3"/>
  <c r="K873" i="3"/>
  <c r="M873" i="3"/>
  <c r="K874" i="3"/>
  <c r="M874" i="3"/>
  <c r="K875" i="3"/>
  <c r="M875" i="3"/>
  <c r="K876" i="3"/>
  <c r="M876" i="3"/>
  <c r="K877" i="3"/>
  <c r="M877" i="3"/>
  <c r="K878" i="3"/>
  <c r="M878" i="3"/>
  <c r="K879" i="3"/>
  <c r="M879" i="3"/>
  <c r="K880" i="3"/>
  <c r="M880" i="3"/>
  <c r="K881" i="3"/>
  <c r="M881" i="3"/>
  <c r="K882" i="3"/>
  <c r="M882" i="3"/>
  <c r="K883" i="3"/>
  <c r="M883" i="3"/>
  <c r="K884" i="3"/>
  <c r="M884" i="3"/>
  <c r="K885" i="3"/>
  <c r="M885" i="3"/>
  <c r="K886" i="3"/>
  <c r="M886" i="3"/>
  <c r="K887" i="3"/>
  <c r="M887" i="3"/>
  <c r="K888" i="3"/>
  <c r="M888" i="3"/>
  <c r="K889" i="3"/>
  <c r="M889" i="3"/>
  <c r="K890" i="3"/>
  <c r="M890" i="3"/>
  <c r="K891" i="3"/>
  <c r="M891" i="3"/>
  <c r="K892" i="3"/>
  <c r="M892" i="3"/>
  <c r="K893" i="3"/>
  <c r="M893" i="3"/>
  <c r="K894" i="3"/>
  <c r="M894" i="3"/>
  <c r="K895" i="3"/>
  <c r="M895" i="3"/>
  <c r="K896" i="3"/>
  <c r="M896" i="3"/>
  <c r="K897" i="3"/>
  <c r="M897" i="3"/>
  <c r="K898" i="3"/>
  <c r="M898" i="3"/>
  <c r="K899" i="3"/>
  <c r="M899" i="3"/>
  <c r="K900" i="3"/>
  <c r="M900" i="3"/>
  <c r="K901" i="3"/>
  <c r="M901" i="3"/>
  <c r="K902" i="3"/>
  <c r="M902" i="3"/>
  <c r="K903" i="3"/>
  <c r="M903" i="3"/>
  <c r="K904" i="3"/>
  <c r="M904" i="3"/>
  <c r="K905" i="3"/>
  <c r="M905" i="3"/>
  <c r="K906" i="3"/>
  <c r="M906" i="3"/>
  <c r="K907" i="3"/>
  <c r="M907" i="3"/>
  <c r="K908" i="3"/>
  <c r="M908" i="3"/>
  <c r="K909" i="3"/>
  <c r="M909" i="3"/>
  <c r="K910" i="3"/>
  <c r="M910" i="3"/>
  <c r="K911" i="3"/>
  <c r="M911" i="3"/>
  <c r="K912" i="3"/>
  <c r="M912" i="3"/>
  <c r="K913" i="3"/>
  <c r="M913" i="3"/>
  <c r="K914" i="3"/>
  <c r="M914" i="3"/>
  <c r="K915" i="3"/>
  <c r="M915" i="3"/>
  <c r="K916" i="3"/>
  <c r="M916" i="3"/>
  <c r="K917" i="3"/>
  <c r="M917" i="3"/>
  <c r="K918" i="3"/>
  <c r="M918" i="3"/>
  <c r="K919" i="3"/>
  <c r="M919" i="3"/>
  <c r="K920" i="3"/>
  <c r="M920" i="3"/>
  <c r="K921" i="3"/>
  <c r="M921" i="3"/>
  <c r="K922" i="3"/>
  <c r="M922" i="3"/>
  <c r="K923" i="3"/>
  <c r="M923" i="3"/>
  <c r="K924" i="3"/>
  <c r="M924" i="3"/>
  <c r="K925" i="3"/>
  <c r="M925" i="3"/>
  <c r="K926" i="3"/>
  <c r="M926" i="3"/>
  <c r="K927" i="3"/>
  <c r="M927" i="3"/>
  <c r="K928" i="3"/>
  <c r="M928" i="3"/>
  <c r="K929" i="3"/>
  <c r="M929" i="3"/>
  <c r="K930" i="3"/>
  <c r="M930" i="3"/>
  <c r="K931" i="3"/>
  <c r="M931" i="3"/>
  <c r="K932" i="3"/>
  <c r="M932" i="3"/>
  <c r="K933" i="3"/>
  <c r="M933" i="3"/>
  <c r="K934" i="3"/>
  <c r="M934" i="3"/>
  <c r="K935" i="3"/>
  <c r="M935" i="3"/>
  <c r="K936" i="3"/>
  <c r="M936" i="3"/>
  <c r="K937" i="3"/>
  <c r="M937" i="3"/>
  <c r="K938" i="3"/>
  <c r="M938" i="3"/>
  <c r="K939" i="3"/>
  <c r="M939" i="3"/>
  <c r="K940" i="3"/>
  <c r="M940" i="3"/>
  <c r="K941" i="3"/>
  <c r="M941" i="3"/>
  <c r="K942" i="3"/>
  <c r="M942" i="3"/>
  <c r="K943" i="3"/>
  <c r="M943" i="3"/>
  <c r="K944" i="3"/>
  <c r="M944" i="3"/>
  <c r="K945" i="3"/>
  <c r="M945" i="3"/>
  <c r="K946" i="3"/>
  <c r="M946" i="3"/>
  <c r="K947" i="3"/>
  <c r="M947" i="3"/>
  <c r="K948" i="3"/>
  <c r="M948" i="3"/>
  <c r="K949" i="3"/>
  <c r="M949" i="3"/>
  <c r="K950" i="3"/>
  <c r="M950" i="3"/>
  <c r="K951" i="3"/>
  <c r="M951" i="3"/>
  <c r="K952" i="3"/>
  <c r="M952" i="3"/>
  <c r="K953" i="3"/>
  <c r="M953" i="3"/>
  <c r="K954" i="3"/>
  <c r="M954" i="3"/>
  <c r="K955" i="3"/>
  <c r="M955" i="3"/>
  <c r="K956" i="3"/>
  <c r="M956" i="3"/>
  <c r="K957" i="3"/>
  <c r="M957" i="3"/>
  <c r="K958" i="3"/>
  <c r="M958" i="3"/>
  <c r="K959" i="3"/>
  <c r="M959" i="3"/>
  <c r="K960" i="3"/>
  <c r="M960" i="3"/>
  <c r="K961" i="3"/>
  <c r="M961" i="3"/>
  <c r="K962" i="3"/>
  <c r="M962" i="3"/>
  <c r="K963" i="3"/>
  <c r="M963" i="3"/>
  <c r="K964" i="3"/>
  <c r="M964" i="3"/>
  <c r="K965" i="3"/>
  <c r="M965" i="3"/>
  <c r="K966" i="3"/>
  <c r="M966" i="3"/>
  <c r="K967" i="3"/>
  <c r="M967" i="3"/>
  <c r="K968" i="3"/>
  <c r="M968" i="3"/>
  <c r="K969" i="3"/>
  <c r="M969" i="3"/>
  <c r="K970" i="3"/>
  <c r="M970" i="3"/>
  <c r="K971" i="3"/>
  <c r="M971" i="3"/>
  <c r="K972" i="3"/>
  <c r="M972" i="3"/>
  <c r="K973" i="3"/>
  <c r="M973" i="3"/>
  <c r="K974" i="3"/>
  <c r="M974" i="3"/>
  <c r="K975" i="3"/>
  <c r="M975" i="3"/>
  <c r="K976" i="3"/>
  <c r="M976" i="3"/>
  <c r="K977" i="3"/>
  <c r="M977" i="3"/>
  <c r="K978" i="3"/>
  <c r="M978" i="3"/>
  <c r="K979" i="3"/>
  <c r="M979" i="3"/>
  <c r="K980" i="3"/>
  <c r="M980" i="3"/>
  <c r="K981" i="3"/>
  <c r="M981" i="3"/>
  <c r="K982" i="3"/>
  <c r="M982" i="3"/>
  <c r="K983" i="3"/>
  <c r="M983" i="3"/>
  <c r="K984" i="3"/>
  <c r="M984" i="3"/>
  <c r="K985" i="3"/>
  <c r="M985" i="3"/>
  <c r="K986" i="3"/>
  <c r="M986" i="3"/>
  <c r="K987" i="3"/>
  <c r="M987" i="3"/>
  <c r="K988" i="3"/>
  <c r="M988" i="3"/>
  <c r="K989" i="3"/>
  <c r="M989" i="3"/>
  <c r="K990" i="3"/>
  <c r="M990" i="3"/>
  <c r="K991" i="3"/>
  <c r="M991" i="3"/>
  <c r="K992" i="3"/>
  <c r="M992" i="3"/>
  <c r="K993" i="3"/>
  <c r="M993" i="3"/>
  <c r="K994" i="3"/>
  <c r="M994" i="3"/>
  <c r="K995" i="3"/>
  <c r="M995" i="3"/>
  <c r="K996" i="3"/>
  <c r="M996" i="3"/>
  <c r="K997" i="3"/>
  <c r="M997" i="3"/>
  <c r="K998" i="3"/>
  <c r="M998" i="3"/>
  <c r="K999" i="3"/>
  <c r="M999" i="3"/>
  <c r="K1000" i="3"/>
  <c r="M1000" i="3"/>
  <c r="K1001" i="3"/>
  <c r="M1001" i="3"/>
  <c r="K1002" i="3"/>
  <c r="M1002" i="3"/>
  <c r="K1003" i="3"/>
  <c r="M1003" i="3"/>
  <c r="K1004" i="3"/>
  <c r="M1004" i="3"/>
  <c r="K1005" i="3"/>
  <c r="M1005" i="3"/>
  <c r="K1006" i="3"/>
  <c r="M1006" i="3"/>
  <c r="K1007" i="3"/>
  <c r="M1007" i="3"/>
  <c r="K1008" i="3"/>
  <c r="M1008" i="3"/>
  <c r="K1009" i="3"/>
  <c r="M1009" i="3"/>
  <c r="K1010" i="3"/>
  <c r="M1010" i="3"/>
  <c r="K1011" i="3"/>
  <c r="M1011" i="3"/>
  <c r="K1012" i="3"/>
  <c r="M1012" i="3"/>
  <c r="K1013" i="3"/>
  <c r="M1013" i="3"/>
  <c r="K1014" i="3"/>
  <c r="M1014" i="3"/>
  <c r="K1015" i="3"/>
  <c r="M1015" i="3"/>
  <c r="K1016" i="3"/>
  <c r="M1016" i="3"/>
  <c r="K1017" i="3"/>
  <c r="M1017" i="3"/>
  <c r="K1018" i="3"/>
  <c r="M1018" i="3"/>
  <c r="K1019" i="3"/>
  <c r="M1019" i="3"/>
  <c r="K1020" i="3"/>
  <c r="M1020" i="3"/>
  <c r="K1021" i="3"/>
  <c r="M1021" i="3"/>
  <c r="K1022" i="3"/>
  <c r="M1022" i="3"/>
  <c r="K1023" i="3"/>
  <c r="M1023" i="3"/>
  <c r="K1024" i="3"/>
  <c r="M1024" i="3"/>
  <c r="K1025" i="3"/>
  <c r="M1025" i="3"/>
  <c r="K1026" i="3"/>
  <c r="M1026" i="3"/>
  <c r="K1027" i="3"/>
  <c r="M1027" i="3"/>
  <c r="K1028" i="3"/>
  <c r="M1028" i="3"/>
  <c r="K1029" i="3"/>
  <c r="M1029" i="3"/>
  <c r="K1030" i="3"/>
  <c r="M1030" i="3"/>
  <c r="K1031" i="3"/>
  <c r="M1031" i="3"/>
  <c r="K1032" i="3"/>
  <c r="M1032" i="3"/>
  <c r="K1033" i="3"/>
  <c r="M1033" i="3"/>
  <c r="K1034" i="3"/>
  <c r="M1034" i="3"/>
  <c r="K1035" i="3"/>
  <c r="M1035" i="3"/>
  <c r="K1036" i="3"/>
  <c r="M1036" i="3"/>
  <c r="K1037" i="3"/>
  <c r="M1037" i="3"/>
  <c r="K1038" i="3"/>
  <c r="M1038" i="3"/>
  <c r="K1039" i="3"/>
  <c r="M1039" i="3"/>
  <c r="K1040" i="3"/>
  <c r="M1040" i="3"/>
  <c r="K1041" i="3"/>
  <c r="M1041" i="3"/>
  <c r="K1042" i="3"/>
  <c r="M1042" i="3"/>
  <c r="K1043" i="3"/>
  <c r="M1043" i="3"/>
  <c r="K1044" i="3"/>
  <c r="M1044" i="3"/>
  <c r="K1045" i="3"/>
  <c r="M1045" i="3"/>
  <c r="K1046" i="3"/>
  <c r="M1046" i="3"/>
  <c r="K1047" i="3"/>
  <c r="M1047" i="3"/>
  <c r="K1048" i="3"/>
  <c r="M1048" i="3"/>
  <c r="K1049" i="3"/>
  <c r="M1049" i="3"/>
  <c r="K1050" i="3"/>
  <c r="M1050" i="3"/>
  <c r="K1051" i="3"/>
  <c r="M1051" i="3"/>
  <c r="K1052" i="3"/>
  <c r="M1052" i="3"/>
  <c r="K1053" i="3"/>
  <c r="M1053" i="3"/>
  <c r="K1054" i="3"/>
  <c r="M1054" i="3"/>
  <c r="K1055" i="3"/>
  <c r="M1055" i="3"/>
  <c r="K1056" i="3"/>
  <c r="M1056" i="3"/>
  <c r="K1057" i="3"/>
  <c r="M1057" i="3"/>
  <c r="K1058" i="3"/>
  <c r="M1058" i="3"/>
  <c r="K1059" i="3"/>
  <c r="M1059" i="3"/>
  <c r="K1060" i="3"/>
  <c r="M1060" i="3"/>
  <c r="K1061" i="3"/>
  <c r="M1061" i="3"/>
  <c r="K1062" i="3"/>
  <c r="M1062" i="3"/>
  <c r="K1063" i="3"/>
  <c r="M1063" i="3"/>
  <c r="K1064" i="3"/>
  <c r="M1064" i="3"/>
  <c r="K1065" i="3"/>
  <c r="M1065" i="3"/>
  <c r="K1066" i="3"/>
  <c r="M1066" i="3"/>
  <c r="K1067" i="3"/>
  <c r="M1067" i="3"/>
  <c r="K1068" i="3"/>
  <c r="M1068" i="3"/>
  <c r="K1069" i="3"/>
  <c r="M1069" i="3"/>
  <c r="K1070" i="3"/>
  <c r="M1070" i="3"/>
  <c r="K1071" i="3"/>
  <c r="M1071" i="3"/>
  <c r="K1072" i="3"/>
  <c r="M1072" i="3"/>
  <c r="K1073" i="3"/>
  <c r="M1073" i="3"/>
  <c r="K1074" i="3"/>
  <c r="M1074" i="3"/>
  <c r="K1075" i="3"/>
  <c r="M1075" i="3"/>
  <c r="K1076" i="3"/>
  <c r="M1076" i="3"/>
  <c r="K1077" i="3"/>
  <c r="M1077" i="3"/>
  <c r="K1078" i="3"/>
  <c r="M1078" i="3"/>
  <c r="K1079" i="3"/>
  <c r="M1079" i="3"/>
  <c r="K1080" i="3"/>
  <c r="M1080" i="3"/>
  <c r="K1081" i="3"/>
  <c r="M1081" i="3"/>
  <c r="K1082" i="3"/>
  <c r="M1082" i="3"/>
  <c r="K1083" i="3"/>
  <c r="M1083" i="3"/>
  <c r="K1084" i="3"/>
  <c r="M1084" i="3"/>
  <c r="K1085" i="3"/>
  <c r="M1085" i="3"/>
  <c r="K1086" i="3"/>
  <c r="M1086" i="3"/>
  <c r="K1087" i="3"/>
  <c r="M1087" i="3"/>
  <c r="K1088" i="3"/>
  <c r="M1088" i="3"/>
  <c r="K1089" i="3"/>
  <c r="M1089" i="3"/>
  <c r="K1090" i="3"/>
  <c r="M1090" i="3"/>
  <c r="K1091" i="3"/>
  <c r="M1091" i="3"/>
  <c r="K1092" i="3"/>
  <c r="M1092" i="3"/>
  <c r="K1093" i="3"/>
  <c r="M1093" i="3"/>
  <c r="K1094" i="3"/>
  <c r="M1094" i="3"/>
  <c r="K1095" i="3"/>
  <c r="M1095" i="3"/>
  <c r="K1096" i="3"/>
  <c r="M1096" i="3"/>
  <c r="K1097" i="3"/>
  <c r="M1097" i="3"/>
  <c r="K1098" i="3"/>
  <c r="M1098" i="3"/>
  <c r="K1099" i="3"/>
  <c r="M1099" i="3"/>
  <c r="K1100" i="3"/>
  <c r="M1100" i="3"/>
  <c r="K1101" i="3"/>
  <c r="M1101" i="3"/>
  <c r="K1102" i="3"/>
  <c r="M1102" i="3"/>
  <c r="K1103" i="3"/>
  <c r="M1103" i="3"/>
  <c r="K1104" i="3"/>
  <c r="M1104" i="3"/>
  <c r="K1105" i="3"/>
  <c r="M1105" i="3"/>
  <c r="K1106" i="3"/>
  <c r="M1106" i="3"/>
  <c r="K1107" i="3"/>
  <c r="M1107" i="3"/>
  <c r="K1108" i="3"/>
  <c r="M1108" i="3"/>
  <c r="K1109" i="3"/>
  <c r="M1109" i="3"/>
  <c r="K1110" i="3"/>
  <c r="M1110" i="3"/>
  <c r="K1111" i="3"/>
  <c r="M1111" i="3"/>
  <c r="K1112" i="3"/>
  <c r="M1112" i="3"/>
  <c r="K1113" i="3"/>
  <c r="M1113" i="3"/>
  <c r="K1114" i="3"/>
  <c r="M1114" i="3"/>
  <c r="K1115" i="3"/>
  <c r="M1115" i="3"/>
  <c r="K1116" i="3"/>
  <c r="M1116" i="3"/>
  <c r="K1117" i="3"/>
  <c r="M1117" i="3"/>
  <c r="K1118" i="3"/>
  <c r="M1118" i="3"/>
  <c r="K1119" i="3"/>
  <c r="M1119" i="3"/>
  <c r="K1120" i="3"/>
  <c r="M1120" i="3"/>
  <c r="K1121" i="3"/>
  <c r="M1121" i="3"/>
  <c r="K1122" i="3"/>
  <c r="M1122" i="3"/>
  <c r="K1123" i="3"/>
  <c r="M1123" i="3"/>
  <c r="K1124" i="3"/>
  <c r="M1124" i="3"/>
  <c r="K1125" i="3"/>
  <c r="M1125" i="3"/>
  <c r="K1126" i="3"/>
  <c r="M1126" i="3"/>
  <c r="K1127" i="3"/>
  <c r="M1127" i="3"/>
  <c r="K1128" i="3"/>
  <c r="M1128" i="3"/>
  <c r="K1129" i="3"/>
  <c r="M1129" i="3"/>
  <c r="K1130" i="3"/>
  <c r="M1130" i="3"/>
  <c r="K1131" i="3"/>
  <c r="M1131" i="3"/>
  <c r="K1132" i="3"/>
  <c r="M1132" i="3"/>
  <c r="K1133" i="3"/>
  <c r="M1133" i="3"/>
  <c r="K1134" i="3"/>
  <c r="M1134" i="3"/>
  <c r="K1135" i="3"/>
  <c r="M1135" i="3"/>
  <c r="K1136" i="3"/>
  <c r="M1136" i="3"/>
  <c r="K1137" i="3"/>
  <c r="M1137" i="3"/>
  <c r="K1138" i="3"/>
  <c r="M1138" i="3"/>
  <c r="K1139" i="3"/>
  <c r="M1139" i="3"/>
  <c r="K1140" i="3"/>
  <c r="M1140" i="3"/>
  <c r="K1141" i="3"/>
  <c r="M1141" i="3"/>
  <c r="K1142" i="3"/>
  <c r="M1142" i="3"/>
  <c r="K1143" i="3"/>
  <c r="M1143" i="3"/>
  <c r="K1144" i="3"/>
  <c r="M1144" i="3"/>
  <c r="K1145" i="3"/>
  <c r="M1145" i="3"/>
  <c r="K1146" i="3"/>
  <c r="M1146" i="3"/>
  <c r="K1147" i="3"/>
  <c r="M1147" i="3"/>
  <c r="K1148" i="3"/>
  <c r="M1148" i="3"/>
  <c r="K1149" i="3"/>
  <c r="M1149" i="3"/>
  <c r="K1150" i="3"/>
  <c r="M1150" i="3"/>
  <c r="K1151" i="3"/>
  <c r="M1151" i="3"/>
  <c r="K1152" i="3"/>
  <c r="M1152" i="3"/>
  <c r="K1153" i="3"/>
  <c r="M1153" i="3"/>
  <c r="K1154" i="3"/>
  <c r="M1154" i="3"/>
  <c r="K1155" i="3"/>
  <c r="M1155" i="3"/>
  <c r="K1156" i="3"/>
  <c r="M1156" i="3"/>
  <c r="K1157" i="3"/>
  <c r="M1157" i="3"/>
  <c r="K1158" i="3"/>
  <c r="M1158" i="3"/>
  <c r="K1159" i="3"/>
  <c r="M1159" i="3"/>
  <c r="K1160" i="3"/>
  <c r="M1160" i="3"/>
  <c r="K1161" i="3"/>
  <c r="M1161" i="3"/>
  <c r="K1162" i="3"/>
  <c r="M1162" i="3"/>
  <c r="K1163" i="3"/>
  <c r="M1163" i="3"/>
  <c r="K1164" i="3"/>
  <c r="M1164" i="3"/>
  <c r="K1165" i="3"/>
  <c r="M1165" i="3"/>
  <c r="K1166" i="3"/>
  <c r="M1166" i="3"/>
  <c r="K1167" i="3"/>
  <c r="M1167" i="3"/>
  <c r="K1168" i="3"/>
  <c r="M1168" i="3"/>
  <c r="K1169" i="3"/>
  <c r="M1169" i="3"/>
  <c r="K1170" i="3"/>
  <c r="M1170" i="3"/>
  <c r="K1171" i="3"/>
  <c r="M1171" i="3"/>
  <c r="K1172" i="3"/>
  <c r="M1172" i="3"/>
  <c r="K1173" i="3"/>
  <c r="M1173" i="3"/>
  <c r="K1174" i="3"/>
  <c r="M1174" i="3"/>
  <c r="K1175" i="3"/>
  <c r="M1175" i="3"/>
  <c r="K1176" i="3"/>
  <c r="M1176" i="3"/>
  <c r="K1177" i="3"/>
  <c r="M1177" i="3"/>
  <c r="K1178" i="3"/>
  <c r="M1178" i="3"/>
  <c r="K1179" i="3"/>
  <c r="M1179" i="3"/>
  <c r="K1180" i="3"/>
  <c r="M1180" i="3"/>
  <c r="K1181" i="3"/>
  <c r="M1181" i="3"/>
  <c r="K1182" i="3"/>
  <c r="M1182" i="3"/>
  <c r="K1183" i="3"/>
  <c r="M1183" i="3"/>
  <c r="K1184" i="3"/>
  <c r="M1184" i="3"/>
  <c r="K1185" i="3"/>
  <c r="M1185" i="3"/>
  <c r="K1186" i="3"/>
  <c r="M1186" i="3"/>
  <c r="K1187" i="3"/>
  <c r="M1187" i="3"/>
  <c r="K1188" i="3"/>
  <c r="M1188" i="3"/>
  <c r="K1189" i="3"/>
  <c r="M1189" i="3"/>
  <c r="K1190" i="3"/>
  <c r="M1190" i="3"/>
  <c r="K1191" i="3"/>
  <c r="M1191" i="3"/>
  <c r="K1192" i="3"/>
  <c r="M1192" i="3"/>
  <c r="K1193" i="3"/>
  <c r="M1193" i="3"/>
  <c r="K1194" i="3"/>
  <c r="M1194" i="3"/>
  <c r="K1195" i="3"/>
  <c r="M1195" i="3"/>
  <c r="K1196" i="3"/>
  <c r="M1196" i="3"/>
  <c r="K1197" i="3"/>
  <c r="M1197" i="3"/>
  <c r="K1198" i="3"/>
  <c r="M1198" i="3"/>
  <c r="K1199" i="3"/>
  <c r="M1199" i="3"/>
  <c r="K1200" i="3"/>
  <c r="M1200" i="3"/>
  <c r="K1201" i="3"/>
  <c r="M1201" i="3"/>
  <c r="K1202" i="3"/>
  <c r="M1202" i="3"/>
  <c r="K1203" i="3"/>
  <c r="M1203" i="3"/>
  <c r="K1204" i="3"/>
  <c r="M1204" i="3"/>
  <c r="K1205" i="3"/>
  <c r="M1205" i="3"/>
  <c r="K1206" i="3"/>
  <c r="M1206" i="3"/>
  <c r="K1207" i="3"/>
  <c r="M1207" i="3"/>
  <c r="K1208" i="3"/>
  <c r="M1208" i="3"/>
  <c r="K1209" i="3"/>
  <c r="M1209" i="3"/>
  <c r="K1210" i="3"/>
  <c r="M1210" i="3"/>
  <c r="K1211" i="3"/>
  <c r="M1211" i="3"/>
  <c r="K1212" i="3"/>
  <c r="M1212" i="3"/>
  <c r="K1213" i="3"/>
  <c r="M1213" i="3"/>
  <c r="K1214" i="3"/>
  <c r="M1214" i="3"/>
  <c r="K1215" i="3"/>
  <c r="M1215" i="3"/>
  <c r="K1216" i="3"/>
  <c r="M1216" i="3"/>
  <c r="K1217" i="3"/>
  <c r="M1217" i="3"/>
  <c r="K1218" i="3"/>
  <c r="M1218" i="3"/>
  <c r="K1219" i="3"/>
  <c r="M1219" i="3"/>
  <c r="K1220" i="3"/>
  <c r="M1220" i="3"/>
  <c r="K1221" i="3"/>
  <c r="M1221" i="3"/>
  <c r="K1222" i="3"/>
  <c r="M1222" i="3"/>
  <c r="K1223" i="3"/>
  <c r="M1223" i="3"/>
  <c r="K1224" i="3"/>
  <c r="M1224" i="3"/>
  <c r="K1225" i="3"/>
  <c r="M1225" i="3"/>
  <c r="K1226" i="3"/>
  <c r="M1226" i="3"/>
  <c r="K1227" i="3"/>
  <c r="M1227" i="3"/>
  <c r="K1228" i="3"/>
  <c r="M1228" i="3"/>
  <c r="K1229" i="3"/>
  <c r="M1229" i="3"/>
  <c r="K1230" i="3"/>
  <c r="M1230" i="3"/>
  <c r="K1231" i="3"/>
  <c r="M1231" i="3"/>
  <c r="K1232" i="3"/>
  <c r="M1232" i="3"/>
  <c r="K1233" i="3"/>
  <c r="M1233" i="3"/>
  <c r="K1234" i="3"/>
  <c r="M1234" i="3"/>
  <c r="K1235" i="3"/>
  <c r="M1235" i="3"/>
  <c r="K1236" i="3"/>
  <c r="M1236" i="3"/>
  <c r="K1237" i="3"/>
  <c r="M1237" i="3"/>
  <c r="K1238" i="3"/>
  <c r="M1238" i="3"/>
  <c r="K1239" i="3"/>
  <c r="M1239" i="3"/>
  <c r="K1240" i="3"/>
  <c r="M1240" i="3"/>
  <c r="K1241" i="3"/>
  <c r="M1241" i="3"/>
  <c r="K1242" i="3"/>
  <c r="M1242" i="3"/>
  <c r="K1243" i="3"/>
  <c r="M1243" i="3"/>
  <c r="K1244" i="3"/>
  <c r="M1244" i="3"/>
  <c r="K1245" i="3"/>
  <c r="M1245" i="3"/>
  <c r="K1246" i="3"/>
  <c r="M1246" i="3"/>
  <c r="K1247" i="3"/>
  <c r="M1247" i="3"/>
  <c r="K1248" i="3"/>
  <c r="M1248" i="3"/>
  <c r="K1249" i="3"/>
  <c r="M1249" i="3"/>
  <c r="K1250" i="3"/>
  <c r="M1250" i="3"/>
  <c r="K1251" i="3"/>
  <c r="M1251" i="3"/>
  <c r="K1252" i="3"/>
  <c r="M1252" i="3"/>
  <c r="K1253" i="3"/>
  <c r="M1253" i="3"/>
  <c r="K1254" i="3"/>
  <c r="M1254" i="3"/>
  <c r="K1255" i="3"/>
  <c r="M1255" i="3"/>
  <c r="K1256" i="3"/>
  <c r="M1256" i="3"/>
  <c r="K1257" i="3"/>
  <c r="M1257" i="3"/>
  <c r="K1258" i="3"/>
  <c r="M1258" i="3"/>
  <c r="K1259" i="3"/>
  <c r="M1259" i="3"/>
  <c r="K1260" i="3"/>
  <c r="M1260" i="3"/>
  <c r="K1261" i="3"/>
  <c r="M1261" i="3"/>
  <c r="K1262" i="3"/>
  <c r="M1262" i="3"/>
  <c r="K1263" i="3"/>
  <c r="M1263" i="3"/>
  <c r="K1264" i="3"/>
  <c r="M1264" i="3"/>
  <c r="K1265" i="3"/>
  <c r="M1265" i="3"/>
  <c r="K1266" i="3"/>
  <c r="M1266" i="3"/>
  <c r="K1267" i="3"/>
  <c r="M1267" i="3"/>
  <c r="K1268" i="3"/>
  <c r="M1268" i="3"/>
  <c r="K1269" i="3"/>
  <c r="M1269" i="3"/>
  <c r="K1270" i="3"/>
  <c r="M1270" i="3"/>
  <c r="K1271" i="3"/>
  <c r="M1271" i="3"/>
  <c r="K1272" i="3"/>
  <c r="M1272" i="3"/>
</calcChain>
</file>

<file path=xl/connections.xml><?xml version="1.0" encoding="utf-8"?>
<connections xmlns="http://schemas.openxmlformats.org/spreadsheetml/2006/main">
  <connection id="1"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name="WorksheetConnection_MTD Rejection.xlsx!MTDRejection" type="102" refreshedVersion="8" minRefreshableVersion="5">
    <extLst>
      <ext xmlns:x15="http://schemas.microsoft.com/office/spreadsheetml/2010/11/main" uri="{DE250136-89BD-433C-8126-D09CA5730AF9}">
        <x15:connection id="MTDRejection" autoDelete="1">
          <x15:rangePr sourceName="_xlcn.WorksheetConnection_MTDRejection.xlsxMTDRejection1"/>
        </x15:connection>
      </ext>
    </extLst>
  </connection>
</connections>
</file>

<file path=xl/sharedStrings.xml><?xml version="1.0" encoding="utf-8"?>
<sst xmlns="http://schemas.openxmlformats.org/spreadsheetml/2006/main" count="48786" uniqueCount="6664">
  <si>
    <t>ClientName</t>
  </si>
  <si>
    <t>Refno</t>
  </si>
  <si>
    <t>SubCheckName</t>
  </si>
  <si>
    <t>CheckStatus</t>
  </si>
  <si>
    <t>RejectionDate</t>
  </si>
  <si>
    <t>userName</t>
  </si>
  <si>
    <t>aging</t>
  </si>
  <si>
    <t>CaseStatus</t>
  </si>
  <si>
    <t>CheckActiveStatus</t>
  </si>
  <si>
    <t>CaseActiveStatus</t>
  </si>
  <si>
    <t>Fractal Analytics Limited</t>
  </si>
  <si>
    <t>FAPL-20-11-2024-8489</t>
  </si>
  <si>
    <t>Current Employment Verification</t>
  </si>
  <si>
    <t>Rejected to DE TM</t>
  </si>
  <si>
    <t>Naresh Solanki DE</t>
  </si>
  <si>
    <t>Data Entry TM</t>
  </si>
  <si>
    <t>Active</t>
  </si>
  <si>
    <t>SERVOSYS SOLUTIONS</t>
  </si>
  <si>
    <t>SERVOSYS-19-11-2024-653</t>
  </si>
  <si>
    <t>Current Address Verification</t>
  </si>
  <si>
    <t>Partner Rejected</t>
  </si>
  <si>
    <t>Madhukumar R ADD</t>
  </si>
  <si>
    <t>Operation TL</t>
  </si>
  <si>
    <t>Uplift Resources Management India Private Limited</t>
  </si>
  <si>
    <t>UPLIFT-25-09-2024-39</t>
  </si>
  <si>
    <t>Permanent Address Verification</t>
  </si>
  <si>
    <t>Rejected to OP TM</t>
  </si>
  <si>
    <t>Operation TM</t>
  </si>
  <si>
    <t>IPL Biologicals Ltd</t>
  </si>
  <si>
    <t>IPLBL-14-11-2024-1021</t>
  </si>
  <si>
    <t>L-1 insuff</t>
  </si>
  <si>
    <t>Aska Equipments Pvt Ltd</t>
  </si>
  <si>
    <t>ASKA-22-11-2024-37</t>
  </si>
  <si>
    <t>Sachin Pal DE</t>
  </si>
  <si>
    <t>Hitachi Astemo Gurugram Powertrain Systems Private Limited</t>
  </si>
  <si>
    <t>KEIHIN-22-05-2024-438</t>
  </si>
  <si>
    <t>Previous Employment Verification 1</t>
  </si>
  <si>
    <t>Amisha Rawat EMP</t>
  </si>
  <si>
    <t>Rejected to OP QC</t>
  </si>
  <si>
    <t>Employment Quality Check</t>
  </si>
  <si>
    <t>Gebbs Healthcare Services Pvt.Ltd.</t>
  </si>
  <si>
    <t>GEBBS-28-10-2024-1403</t>
  </si>
  <si>
    <t>Operation QC</t>
  </si>
  <si>
    <t>Ford Motor Private Limited</t>
  </si>
  <si>
    <t>FMPL-04-11-2024-2160</t>
  </si>
  <si>
    <t>LTIMindtree Limited</t>
  </si>
  <si>
    <t>LTIM-08-11-2024-16674</t>
  </si>
  <si>
    <t>Innovsource Services Private Limited</t>
  </si>
  <si>
    <t>INSPL-22-11-2024-2336</t>
  </si>
  <si>
    <t>Criminal Verification through E-Court - Current Address</t>
  </si>
  <si>
    <t>CRC</t>
  </si>
  <si>
    <t>Rejected to Scan</t>
  </si>
  <si>
    <t>Noida Initiation Team Member-Scan</t>
  </si>
  <si>
    <t>Allocated to Scaning</t>
  </si>
  <si>
    <t>Highest Education</t>
  </si>
  <si>
    <t>Education</t>
  </si>
  <si>
    <t>ID Verification</t>
  </si>
  <si>
    <t>Special Check</t>
  </si>
  <si>
    <t>GEBBS-25-11-2024-1862</t>
  </si>
  <si>
    <t>Global Database Check</t>
  </si>
  <si>
    <t>Bharat Forge Limited</t>
  </si>
  <si>
    <t>BFL-20-11-2024-558</t>
  </si>
  <si>
    <t>Ashish Kumar Sharma</t>
  </si>
  <si>
    <t>Amit Singh Edu</t>
  </si>
  <si>
    <t>Sai Life Sciences Ltd</t>
  </si>
  <si>
    <t>SAI-04-11-2024-1591</t>
  </si>
  <si>
    <t>Siddharth</t>
  </si>
  <si>
    <t>RSA Actuarial Services (India) Private Limited</t>
  </si>
  <si>
    <t>RSA-08-10-2024-198</t>
  </si>
  <si>
    <t>Ampcus Tech Pvt. Ltd</t>
  </si>
  <si>
    <t>AMPCUS-25-11-2024-581</t>
  </si>
  <si>
    <t>Criminal Verification through E-Court - Permanent Address</t>
  </si>
  <si>
    <t>Neeraj Singh Bisht</t>
  </si>
  <si>
    <t>Cyient</t>
  </si>
  <si>
    <t>CYIENT-30-09-2024-12349</t>
  </si>
  <si>
    <t>LTIM-20-11-2024-17142</t>
  </si>
  <si>
    <t>Ankit Kumar</t>
  </si>
  <si>
    <t>LTIM-21-11-2024-17175</t>
  </si>
  <si>
    <t>Toyota Tsusho Insurance Broker India Private Limited</t>
  </si>
  <si>
    <t>TTIBIPL-11-11-2024-128</t>
  </si>
  <si>
    <t>Abinaya Linsy Emp</t>
  </si>
  <si>
    <t>ICICI Home Finance Ltd</t>
  </si>
  <si>
    <t>ICICI-22-11-2024-9047</t>
  </si>
  <si>
    <t>Anu Tomar Emp</t>
  </si>
  <si>
    <t>Tata Consultancy Services</t>
  </si>
  <si>
    <t>TCS-26-08-2024-26039</t>
  </si>
  <si>
    <t>Cognizant Technology Solutions India Private Limited – Lateral</t>
  </si>
  <si>
    <t>COGNIZANT-L-14-11-2024-2428</t>
  </si>
  <si>
    <t>Cholamandalam MS General Insurance Company Limited</t>
  </si>
  <si>
    <t>CMS-13-11-2024-1129</t>
  </si>
  <si>
    <t>Kanchan Lata Nautiyal DE</t>
  </si>
  <si>
    <t>IKYA HUMAN CAPITAL SOLUTIONS PVT. LTD.</t>
  </si>
  <si>
    <t>IKYA-20-11-2024-5615</t>
  </si>
  <si>
    <t>Education Verification 1</t>
  </si>
  <si>
    <t>Bhawna Education TM</t>
  </si>
  <si>
    <t>PV Field Verifier</t>
  </si>
  <si>
    <t>Genpact India Private Limited</t>
  </si>
  <si>
    <t>GENPACT-25-11-2024-14948</t>
  </si>
  <si>
    <t>Aditi Rao DE</t>
  </si>
  <si>
    <t>GENPACT-25-11-2024-15052</t>
  </si>
  <si>
    <t>Capgemini Technology Services India Ltd.</t>
  </si>
  <si>
    <t>CTSIL-21-11-2024-21756</t>
  </si>
  <si>
    <t>Education Verification</t>
  </si>
  <si>
    <t>Education Verification2</t>
  </si>
  <si>
    <t>Cooper Corporation Pvt. Ltd.</t>
  </si>
  <si>
    <t>COOPER-25-11-2024-193</t>
  </si>
  <si>
    <t>Professional Reference Check 1</t>
  </si>
  <si>
    <t>Mahendra Singh DE</t>
  </si>
  <si>
    <t>Guruvindar Singh</t>
  </si>
  <si>
    <t>TCS-22-11-2024-29293</t>
  </si>
  <si>
    <t>Lucky Sharma Emp</t>
  </si>
  <si>
    <t>TCS-15-11-2024-29046</t>
  </si>
  <si>
    <t>Previous Employment Verification 3</t>
  </si>
  <si>
    <t>DDP Publications Private Limited</t>
  </si>
  <si>
    <t>DDP-15-11-2024-31</t>
  </si>
  <si>
    <t>Diksha Rani Emp</t>
  </si>
  <si>
    <t>Capco Technologies Private Limited</t>
  </si>
  <si>
    <t>CAPCO-30-10-2024-04</t>
  </si>
  <si>
    <t>Ram Ratan</t>
  </si>
  <si>
    <t>Titan Company Limited</t>
  </si>
  <si>
    <t>Titan-07-11-2024-3842</t>
  </si>
  <si>
    <t>Education Verification15</t>
  </si>
  <si>
    <t>Indian Database Check</t>
  </si>
  <si>
    <t>CIBIL</t>
  </si>
  <si>
    <t>LTIM-13-11-2024-16842</t>
  </si>
  <si>
    <t>Previous Employment Verification 2</t>
  </si>
  <si>
    <t>Surabhi Gupta EMP</t>
  </si>
  <si>
    <t>Muthoot Capital Services Limited</t>
  </si>
  <si>
    <t>MCSLTD-20-11-2024-190</t>
  </si>
  <si>
    <t>Sachin Chauhan ADD</t>
  </si>
  <si>
    <t>L2-Insuff</t>
  </si>
  <si>
    <t>Walsons Services Private Limited-Hyderabad</t>
  </si>
  <si>
    <t>WSSH-18-11-2024-9189</t>
  </si>
  <si>
    <t>Muthoot Finance Limited</t>
  </si>
  <si>
    <t>MUTHOOTF-18-11-2024-5576</t>
  </si>
  <si>
    <t>MUTHOOTF-20-11-2024-5617</t>
  </si>
  <si>
    <t>MUTHOOTF-18-11-2024-5587</t>
  </si>
  <si>
    <t>Belstar Microfinance Limited</t>
  </si>
  <si>
    <t>BML-19-11-2024-6410</t>
  </si>
  <si>
    <t>Religare Broking Limited</t>
  </si>
  <si>
    <t>RBL-13-11-2024-1582</t>
  </si>
  <si>
    <t>Aditi Vijay Tambadkar Emp</t>
  </si>
  <si>
    <t>Tata Consultancy Services BPO Limited</t>
  </si>
  <si>
    <t>TCSBPO-17-10-2024-10895</t>
  </si>
  <si>
    <t>Takeda ICC</t>
  </si>
  <si>
    <t>TakedaICC-05-08-2024-196</t>
  </si>
  <si>
    <t>Aitana IT Solutions Private Limited</t>
  </si>
  <si>
    <t>AIISPL-15-09-2024-16</t>
  </si>
  <si>
    <t>Abhishek Sharma Emp</t>
  </si>
  <si>
    <t>GEBBS-21-11-2024-1744</t>
  </si>
  <si>
    <t>TCS-19-08-2024-25651</t>
  </si>
  <si>
    <t>Karan Arya Emp</t>
  </si>
  <si>
    <t>TCS-20-09-2024-27414</t>
  </si>
  <si>
    <t>TCS-13-11-2024-29007</t>
  </si>
  <si>
    <t>Itsacheckmate.com Services India Private Limited</t>
  </si>
  <si>
    <t>ICMS-17-05-2024-143</t>
  </si>
  <si>
    <t>Rahul Singh DE</t>
  </si>
  <si>
    <t>Skylar Technology Pvt. Ltd</t>
  </si>
  <si>
    <t>SKYLAR-14-11-2024-81</t>
  </si>
  <si>
    <t>Nisha Yadav Emp</t>
  </si>
  <si>
    <t>Ambit Private Limited</t>
  </si>
  <si>
    <t>AMBIT-25-10-2024-4080</t>
  </si>
  <si>
    <t>Sandip Mhapankar EmpTM</t>
  </si>
  <si>
    <t>HT Digital Streams Ltd</t>
  </si>
  <si>
    <t>HTDS-22-10-2024-1029</t>
  </si>
  <si>
    <t>Nagarro Software Pvt Ltd</t>
  </si>
  <si>
    <t>NAGARRO-01-10-2024-12769</t>
  </si>
  <si>
    <t>Deepak Kumar Edu</t>
  </si>
  <si>
    <t>UPLIFT-25-09-2024-40</t>
  </si>
  <si>
    <t>Pooja Shah Emp</t>
  </si>
  <si>
    <t>Bio Veda Farmacy Private Limited</t>
  </si>
  <si>
    <t>BIOVF-18-11-2024-180</t>
  </si>
  <si>
    <t>Titan Engineering and Automation Limited</t>
  </si>
  <si>
    <t>TEAL-04-11-2024-1230</t>
  </si>
  <si>
    <t>AMPCUS-20-09-2024-519</t>
  </si>
  <si>
    <t>Functional - Emp</t>
  </si>
  <si>
    <t>Tech Mahindra Limited</t>
  </si>
  <si>
    <t>TechM-29-08-2024-7972</t>
  </si>
  <si>
    <t>LTIM-07-11-2024-16644</t>
  </si>
  <si>
    <t>Manpreet Kaur Emp</t>
  </si>
  <si>
    <t>Cvent India Private Ltd</t>
  </si>
  <si>
    <t>CVENT-05-11-2024-2241</t>
  </si>
  <si>
    <t>Geetanjali Singh EmpRef</t>
  </si>
  <si>
    <t>TCS-08-10-2024-27894</t>
  </si>
  <si>
    <t>Samadhanam D Employment</t>
  </si>
  <si>
    <t>GEBBS-21-11-2024-1760</t>
  </si>
  <si>
    <t>Concentrix Daksh Services India Private Limited</t>
  </si>
  <si>
    <t>CDSIPL-14-11-2024-15263</t>
  </si>
  <si>
    <t>Antim Chaudhary</t>
  </si>
  <si>
    <t>Infiniti Retail Limited</t>
  </si>
  <si>
    <t>INFINITI-05-11-2024-2010</t>
  </si>
  <si>
    <t>Sanju Kumari</t>
  </si>
  <si>
    <t>Walsons Services Private Limited-Gurugram</t>
  </si>
  <si>
    <t>WSSG-24-11-2024-1100</t>
  </si>
  <si>
    <t>Ajay Kumar SCAN</t>
  </si>
  <si>
    <t>SKYLAR-19-11-2024-82</t>
  </si>
  <si>
    <t>Priya Gupta</t>
  </si>
  <si>
    <t>GEBBS-21-11-2024-1751</t>
  </si>
  <si>
    <t>GEBBS-21-11-2024-1767</t>
  </si>
  <si>
    <t>LTIM-30-10-2024-16430</t>
  </si>
  <si>
    <t>Sequel Logistics Pvt. Ltd.</t>
  </si>
  <si>
    <t>SLPL-19-11-2024-1718</t>
  </si>
  <si>
    <t>SAI-19-11-2024-1645</t>
  </si>
  <si>
    <t>Core Integra Consulting Services Private Limited - Contract</t>
  </si>
  <si>
    <t>CICSPL-03-10-2024-15674</t>
  </si>
  <si>
    <t>Cosette Pharmaceuticals India Pvt. Ltd.</t>
  </si>
  <si>
    <t>COSETTE-14-11-2024-05</t>
  </si>
  <si>
    <t>First American (India) Private Limited</t>
  </si>
  <si>
    <t>FAIPL-19-11-2024-2477</t>
  </si>
  <si>
    <t>TCS-19-11-2024-29167</t>
  </si>
  <si>
    <t>Pinki EDU</t>
  </si>
  <si>
    <t>Sutherland Global Services Private Limited</t>
  </si>
  <si>
    <t>SUGS-19-11-2024-11310</t>
  </si>
  <si>
    <t>CTSIL-21-11-2024-21725</t>
  </si>
  <si>
    <t>ICICI-11-11-2024-8854</t>
  </si>
  <si>
    <t>Lokesh Kumar Edu</t>
  </si>
  <si>
    <t>Wipro DOP</t>
  </si>
  <si>
    <t>WIPRO-DOP-18-11-2024-6930</t>
  </si>
  <si>
    <t>WSSG-16-04-2024-857</t>
  </si>
  <si>
    <t>SUGS-16-11-2024-11265</t>
  </si>
  <si>
    <t>Professional Reference Check 2</t>
  </si>
  <si>
    <t>AMBIT-22-11-2024-4567</t>
  </si>
  <si>
    <t>Employment Centralized TM</t>
  </si>
  <si>
    <t>LTIM-09-11-2024-16697</t>
  </si>
  <si>
    <t>Priyanka Pathror Emp</t>
  </si>
  <si>
    <t>LTIM-19-11-2024-17095</t>
  </si>
  <si>
    <t>CVENT-13-11-2024-2258</t>
  </si>
  <si>
    <t>TCS-19-08-2024-25667</t>
  </si>
  <si>
    <t>Acuity Knowledge Centre (India) Private Limited</t>
  </si>
  <si>
    <t>ACUITYKC-22-11-2024-1768</t>
  </si>
  <si>
    <t>Saurabh Maurya DETM</t>
  </si>
  <si>
    <t>Sun TV Network Limited</t>
  </si>
  <si>
    <t>STVNL-15-10-2024-901</t>
  </si>
  <si>
    <t>SAI-21-11-2024-1650</t>
  </si>
  <si>
    <t>CTSIL-20-11-2024-21674</t>
  </si>
  <si>
    <t>Global Database</t>
  </si>
  <si>
    <t>Rahul</t>
  </si>
  <si>
    <t>Prolifics Corporation Private Limited</t>
  </si>
  <si>
    <t>PROLIFICS-18-11-2024-47</t>
  </si>
  <si>
    <t>Muthoot Microfin Ltd</t>
  </si>
  <si>
    <t>MUTHOOT-21-10-2024-10495</t>
  </si>
  <si>
    <t>Titan-21-11-2024-3889</t>
  </si>
  <si>
    <t>Kalyani Motors Pvt. Ltd.</t>
  </si>
  <si>
    <t>KMPL-13-11-2024-3738</t>
  </si>
  <si>
    <t>KMPL-14-08-2024-3345</t>
  </si>
  <si>
    <t>M&amp;G Global Services Pvt. Ltd.</t>
  </si>
  <si>
    <t>10FA-15-11-2024-1368</t>
  </si>
  <si>
    <t>SERVOSYS-19-11-2024-656</t>
  </si>
  <si>
    <t>AMBIT-25-11-2024-4595</t>
  </si>
  <si>
    <t>Rahul Kumar Paswan DE</t>
  </si>
  <si>
    <t>Daimler India Commercial Vehicles Private Limited</t>
  </si>
  <si>
    <t>DICVPL-16-11-2024-33</t>
  </si>
  <si>
    <t>SUGS-17-11-2024-11275</t>
  </si>
  <si>
    <t>National Sex Offender Registry</t>
  </si>
  <si>
    <t>SAI-21-11-2024-1651</t>
  </si>
  <si>
    <t>India Database</t>
  </si>
  <si>
    <t>LTIM-21-08-2024-13231</t>
  </si>
  <si>
    <t>TCS-07-06-2024-21942</t>
  </si>
  <si>
    <t>LTIM-09-11-2024-16715</t>
  </si>
  <si>
    <t>Previous Employment Verification 4</t>
  </si>
  <si>
    <t>TCS-18-11-2024-29119</t>
  </si>
  <si>
    <t>CDSIPL-14-11-2024-15221</t>
  </si>
  <si>
    <t>LTIM-12-11-2024-16775</t>
  </si>
  <si>
    <t>Gallagher Service Center LLP</t>
  </si>
  <si>
    <t>GALLAGHER-15-11-2024-6918</t>
  </si>
  <si>
    <t>LTIM-04-11-2024-16547</t>
  </si>
  <si>
    <t>New Delhi Television Limited</t>
  </si>
  <si>
    <t>NDTV-19-11-2024-766</t>
  </si>
  <si>
    <t>WSSH-19-11-2024-9221</t>
  </si>
  <si>
    <t>Employment Check through - UAN</t>
  </si>
  <si>
    <t>WSSH-19-11-2024-9215</t>
  </si>
  <si>
    <t>10FA-21-11-2024-1373</t>
  </si>
  <si>
    <t>KMPL-13-11-2024-3723</t>
  </si>
  <si>
    <t>Vaibhav Chauhan ADD</t>
  </si>
  <si>
    <t>Allegis Services India Pvt Ltd - GTCA</t>
  </si>
  <si>
    <t>AllegisGTCA-14-10-2024-402</t>
  </si>
  <si>
    <t>ICICI-15-11-2024-8932</t>
  </si>
  <si>
    <t>Manjeet Yadav Emp</t>
  </si>
  <si>
    <t>LTIM-26-10-2024-16326</t>
  </si>
  <si>
    <t>LTIM-23-08-2024-13437</t>
  </si>
  <si>
    <t>Nirmal Yadav Employment</t>
  </si>
  <si>
    <t>Allegis Services India Pvt Ltd - TEKsystems Contractors</t>
  </si>
  <si>
    <t>AllegisT-06-11-2024-3909</t>
  </si>
  <si>
    <t>PureSoftware Technologies Private Limited</t>
  </si>
  <si>
    <t>PSTPL-04-11-2024-1546</t>
  </si>
  <si>
    <t>Bunge India Pvt Ltd</t>
  </si>
  <si>
    <t>BGIPL-08-11-2024-487</t>
  </si>
  <si>
    <t>LTIM-13-11-2024-16833</t>
  </si>
  <si>
    <t>Photon Interactive Private Limited</t>
  </si>
  <si>
    <t>PHOTON-18-11-2024-1191</t>
  </si>
  <si>
    <t>PV TM</t>
  </si>
  <si>
    <t>CDSIPL-20-11-2024-15402</t>
  </si>
  <si>
    <t>Cyril Amarchand Mangaldas</t>
  </si>
  <si>
    <t>CYRIL-15-11-2024-347</t>
  </si>
  <si>
    <t>Simran Arya</t>
  </si>
  <si>
    <t>Uneecops Technologies Ltd.</t>
  </si>
  <si>
    <t>UTL-06-11-2024-658</t>
  </si>
  <si>
    <t>Omender</t>
  </si>
  <si>
    <t>IKYA-07-11-2024-5559</t>
  </si>
  <si>
    <t>Varroc Engineering Limited</t>
  </si>
  <si>
    <t>VEL-24-10-2024-223</t>
  </si>
  <si>
    <t>Yuvraj Sharma Employment</t>
  </si>
  <si>
    <t>LTIM-19-11-2024-17110</t>
  </si>
  <si>
    <t>VEL-18-11-2024-248</t>
  </si>
  <si>
    <t>Isuzu Engineering Business Center India (P) Ltd.</t>
  </si>
  <si>
    <t>IEBCI-10-11-2024-02</t>
  </si>
  <si>
    <t>Wipro Limited</t>
  </si>
  <si>
    <t>WIPRO-12-11-2024-21076</t>
  </si>
  <si>
    <t>Certification</t>
  </si>
  <si>
    <t>Shivani Yadav Education</t>
  </si>
  <si>
    <t>LTIM-23-08-2024-13436</t>
  </si>
  <si>
    <t>Prema B Emp</t>
  </si>
  <si>
    <t>NTT India Private Limited</t>
  </si>
  <si>
    <t>NTT-06-11-2024-1141</t>
  </si>
  <si>
    <t>TechM-14-11-2024-8504</t>
  </si>
  <si>
    <t>LTIM-28-05-2024-9857</t>
  </si>
  <si>
    <t>LTIM-12-11-2024-16814</t>
  </si>
  <si>
    <t>Datamatics Global Services Limited - Mumbai</t>
  </si>
  <si>
    <t>DATAMATICS-M-15-11-2024-295</t>
  </si>
  <si>
    <t>LTIM-14-11-2024-16921</t>
  </si>
  <si>
    <t>Accenture Solutions Private Limited</t>
  </si>
  <si>
    <t>AccSPL-06-11-2024-25329</t>
  </si>
  <si>
    <t>Address Verification 1</t>
  </si>
  <si>
    <t>AccSPL-16-11-2024-25904</t>
  </si>
  <si>
    <t>Previous Employment - Tier 3</t>
  </si>
  <si>
    <t>Soniya Chauhan Emp</t>
  </si>
  <si>
    <t>Vilwaa Tech Enablers Private Limited</t>
  </si>
  <si>
    <t>VILWAA-15-11-2024-04</t>
  </si>
  <si>
    <t>LTIM-23-10-2024-16226</t>
  </si>
  <si>
    <t>AMBIT-26-09-2024-3814</t>
  </si>
  <si>
    <t>Suhail khan</t>
  </si>
  <si>
    <t>Datanimbus Technologies Private Limited</t>
  </si>
  <si>
    <t>APPVEEN-12-11-2024-109</t>
  </si>
  <si>
    <t>Esri India Technologies Private Limited</t>
  </si>
  <si>
    <t>ESRIITPL-14-11-2024-239</t>
  </si>
  <si>
    <t>TCS-18-11-2024-29123</t>
  </si>
  <si>
    <t>AllegisT-04-11-2024-3890</t>
  </si>
  <si>
    <t>National Institute For Smart Government</t>
  </si>
  <si>
    <t>NISG-11-11-2024-464</t>
  </si>
  <si>
    <t>Suraj Mallick EMP</t>
  </si>
  <si>
    <t>KMPL-23-07-2024-3320</t>
  </si>
  <si>
    <t>LTIM-22-10-2024-16168</t>
  </si>
  <si>
    <t>MUTHOOT-14-11-2024-10607</t>
  </si>
  <si>
    <t>Sri Sai Samardha Solutions Private Limited</t>
  </si>
  <si>
    <t>SSSSPL-12-11-2024-357</t>
  </si>
  <si>
    <t>KMPL-13-11-2024-3707</t>
  </si>
  <si>
    <t>GALLAGHER-30-10-2024-6784</t>
  </si>
  <si>
    <t>TCS-11-11-2024-28897</t>
  </si>
  <si>
    <t>TCS-30-09-2024-27693</t>
  </si>
  <si>
    <t>Walsons Services Private Limited-Gurugram (Billed Staff BGV)</t>
  </si>
  <si>
    <t>WSPLG-BS-15-11-2024-340</t>
  </si>
  <si>
    <t>A K Shubhang Edu</t>
  </si>
  <si>
    <t>VEL-16-08-2024-58</t>
  </si>
  <si>
    <t>IFFCO Kisan Finance Ltd</t>
  </si>
  <si>
    <t>IFFCO-30-09-2024-1881</t>
  </si>
  <si>
    <t>Laxman Prasad Emp</t>
  </si>
  <si>
    <t>CTSIL-04-11-2024-21200</t>
  </si>
  <si>
    <t>Employment Verification – P-2</t>
  </si>
  <si>
    <t>CTSIL-20-10-2024-20964</t>
  </si>
  <si>
    <t>Employment Verification – P-1</t>
  </si>
  <si>
    <t>Tiger Analytics India Consulting Private Limited</t>
  </si>
  <si>
    <t>TAICPL-16-10-2024-1613</t>
  </si>
  <si>
    <t>Chola People and Marketing Services Private Limited</t>
  </si>
  <si>
    <t>CPMSPL-29-06-2024-5286</t>
  </si>
  <si>
    <t>WSSH-05-11-2024-8992</t>
  </si>
  <si>
    <t>Gemini Software Solutions Pvt. Ltd.</t>
  </si>
  <si>
    <t>GEMINI-12-11-2024-19</t>
  </si>
  <si>
    <t>Acsia Technologies Pvt Ltd</t>
  </si>
  <si>
    <t>ACSIA-05-11-2024-442</t>
  </si>
  <si>
    <t>LTIM-08-11-2024-16682</t>
  </si>
  <si>
    <t>TCS-01-10-2024-27759</t>
  </si>
  <si>
    <t>Shikha kumari EDU</t>
  </si>
  <si>
    <t>CICSPL-08-10-2024-15687</t>
  </si>
  <si>
    <t>TCS-07-11-2024-28839</t>
  </si>
  <si>
    <t>SG Analytics Private Limited</t>
  </si>
  <si>
    <t>SGAPL-30-10-2024-1300</t>
  </si>
  <si>
    <t>TCS-23-10-2024-28433</t>
  </si>
  <si>
    <t>BML-28-10-2024-6260</t>
  </si>
  <si>
    <t>LTIM-29-10-2024-16423</t>
  </si>
  <si>
    <t>CTSIL-08-11-2024-21271</t>
  </si>
  <si>
    <t>Komal Emp</t>
  </si>
  <si>
    <t>UPLIFT-04-12-2023-03</t>
  </si>
  <si>
    <t>LTIM-28-09-2024-15214</t>
  </si>
  <si>
    <t>Cholamandalam MS Risk Services Limited</t>
  </si>
  <si>
    <t>CMSRSL-22-10-2024-582</t>
  </si>
  <si>
    <t>IDP Education India Pvt. Ltd.</t>
  </si>
  <si>
    <t>IDP-29-10-2024-928</t>
  </si>
  <si>
    <t>Overseas Supervisor Verification (Reference)</t>
  </si>
  <si>
    <t>BIOVF-22-10-2024-177</t>
  </si>
  <si>
    <t>PIT Solutions Pvt. Ltd</t>
  </si>
  <si>
    <t>PITS-18-10-2024-145</t>
  </si>
  <si>
    <t>Northern Operating Services Private Limited</t>
  </si>
  <si>
    <t>NOSPL-25-06-2024-3554</t>
  </si>
  <si>
    <t>Vandana Bisht Emp</t>
  </si>
  <si>
    <t>Infiiloom India Private Limited</t>
  </si>
  <si>
    <t>INFIILOOM-10-06-2024-74</t>
  </si>
  <si>
    <t>Neudesic Technologies Pvt. Ltd</t>
  </si>
  <si>
    <t>NTPL-24-10-2024-1219</t>
  </si>
  <si>
    <t>WIPRO-20-11-2024-21175</t>
  </si>
  <si>
    <t>WIPRO-25-11-2024-21275</t>
  </si>
  <si>
    <t>SLPL-22-11-2024-1831</t>
  </si>
  <si>
    <t>SLPL-20-11-2024-1814</t>
  </si>
  <si>
    <t>CommScope India Private Ltd</t>
  </si>
  <si>
    <t>COMMSCOPE-28-10-2024-792</t>
  </si>
  <si>
    <t>Master Capital Services Limited</t>
  </si>
  <si>
    <t>MCSL-13-11-2024-578</t>
  </si>
  <si>
    <t>MCSL-13-11-2024-580</t>
  </si>
  <si>
    <t>Uniqlo India Pvt. Ltd.</t>
  </si>
  <si>
    <t>UNIQLO-05-10-2024-146</t>
  </si>
  <si>
    <t>WIPRO-20-11-2024-21186</t>
  </si>
  <si>
    <t>CDSIPL-14-11-2024-15234</t>
  </si>
  <si>
    <t>INSPL-17-01-2024-1288</t>
  </si>
  <si>
    <t>Sushil Kumar DE</t>
  </si>
  <si>
    <t>S Chand Publishing Pvt Ltd</t>
  </si>
  <si>
    <t>SCP-19-11-2024-47</t>
  </si>
  <si>
    <t>DSV Air and Sea Pvt. Ltd.</t>
  </si>
  <si>
    <t>DSV-11-09-2024-528</t>
  </si>
  <si>
    <t>TechM-08-11-2024-8477</t>
  </si>
  <si>
    <t>Freelancing Reference Check - 2</t>
  </si>
  <si>
    <t>Sify Technologies Limited</t>
  </si>
  <si>
    <t>SIFY-15-11-2024-847</t>
  </si>
  <si>
    <t>SSSSPL-15-11-2024-359</t>
  </si>
  <si>
    <t>Personal Reference Check 1</t>
  </si>
  <si>
    <t>BFL-22-11-2024-564</t>
  </si>
  <si>
    <t>SUGS-23-11-2024-11356</t>
  </si>
  <si>
    <t>Operation Manager</t>
  </si>
  <si>
    <t>WIPRO-15-11-2024-21103</t>
  </si>
  <si>
    <t>Manish Kumar</t>
  </si>
  <si>
    <t>ESRIITPL-18-11-2024-240</t>
  </si>
  <si>
    <t>Hyundai Motor India Limited</t>
  </si>
  <si>
    <t>HYUNDAI-19-11-2024-411</t>
  </si>
  <si>
    <t>Vinod Kumar Emp</t>
  </si>
  <si>
    <t>Infinx Services Private Limited</t>
  </si>
  <si>
    <t>INFINX-04-11-2024-5041</t>
  </si>
  <si>
    <t>GEBBS-19-11-2024-1546</t>
  </si>
  <si>
    <t>VEL-18-11-2024-247</t>
  </si>
  <si>
    <t>GEBBS-21-11-2024-1675</t>
  </si>
  <si>
    <t>CYIENT-06-08-2024-11562</t>
  </si>
  <si>
    <t>CYRIL-18-11-2024-352</t>
  </si>
  <si>
    <t>Sanad Certification – Digital</t>
  </si>
  <si>
    <t>TCSBPO-18-11-2024-11088</t>
  </si>
  <si>
    <t>RBL-29-10-2024-1560</t>
  </si>
  <si>
    <t>LTIM-18-11-2024-17038</t>
  </si>
  <si>
    <t>TCS-14-11-2024-29010</t>
  </si>
  <si>
    <t>Sachin Kumar-EDU</t>
  </si>
  <si>
    <t>LTIM-18-11-2024-17054</t>
  </si>
  <si>
    <t>Plan International (India Chapter)</t>
  </si>
  <si>
    <t>PLAN-19-11-2024-1035</t>
  </si>
  <si>
    <t>ACUITYKC-14-11-2024-1754</t>
  </si>
  <si>
    <t>SLPL-19-11-2024-1704</t>
  </si>
  <si>
    <t>SLPL-20-11-2024-1808</t>
  </si>
  <si>
    <t>NAGARRO-19-11-2024-13195</t>
  </si>
  <si>
    <t>Walsons Facility Solutions Private Limited - Sequel Client</t>
  </si>
  <si>
    <t>WFSPL-S-15-11-2024-3142</t>
  </si>
  <si>
    <t>10FA-25-11-2024-1374</t>
  </si>
  <si>
    <t>COGNIZANT-L-01-11-2024-2400</t>
  </si>
  <si>
    <t>Granules India Limited</t>
  </si>
  <si>
    <t>GIL-12-11-2024-2444</t>
  </si>
  <si>
    <t>Akash Education TM</t>
  </si>
  <si>
    <t>B2C Client</t>
  </si>
  <si>
    <t>B2C-22-11-2024-655</t>
  </si>
  <si>
    <t>Ctrl S Datacenters Limited</t>
  </si>
  <si>
    <t>CtrlS-16-11-2024-184</t>
  </si>
  <si>
    <t>NAGARRO-19-11-2024-13184</t>
  </si>
  <si>
    <t>AMBIT-18-11-2024-4513</t>
  </si>
  <si>
    <t>Renault Nissan Technology &amp; Business Centre India Pvt. Ltd.</t>
  </si>
  <si>
    <t>RNTBCIPL-21-11-2024-5121</t>
  </si>
  <si>
    <t>UAN Validation</t>
  </si>
  <si>
    <t>AMBIT-25-10-2024-4079</t>
  </si>
  <si>
    <t>RR Kabel Limited</t>
  </si>
  <si>
    <t>RRKL-24-11-2023-490</t>
  </si>
  <si>
    <t>Prager Metis Global Services LLP</t>
  </si>
  <si>
    <t>PRAGER-20-11-2024-94</t>
  </si>
  <si>
    <t>INSPL-13-09-2024-2173</t>
  </si>
  <si>
    <t>KMPL-26-03-2024-2733</t>
  </si>
  <si>
    <t>KMPL-13-11-2024-3718</t>
  </si>
  <si>
    <t>AMBIT-18-11-2024-4524</t>
  </si>
  <si>
    <t>SIFY-18-11-2024-860</t>
  </si>
  <si>
    <t>SIFY-18-11-2024-851</t>
  </si>
  <si>
    <t>NAGARRO-21-11-2024-13222</t>
  </si>
  <si>
    <t>AccSPL-21-10-2024-24815</t>
  </si>
  <si>
    <t>Previous Employment 1</t>
  </si>
  <si>
    <t>BIOVF-11-11-2024-178</t>
  </si>
  <si>
    <t>LTIM-17-09-2024-14563</t>
  </si>
  <si>
    <t>LTIM-31-10-2024-16480</t>
  </si>
  <si>
    <t>LTIM-13-11-2024-16867</t>
  </si>
  <si>
    <t>BFL-08-11-2024-528</t>
  </si>
  <si>
    <t>Society of Jesus Mary and Joseph</t>
  </si>
  <si>
    <t>SJMJ-26-11-2024-397</t>
  </si>
  <si>
    <t>SJMJ-26-11-2024-410</t>
  </si>
  <si>
    <t>AccSPL-26-11-2024-26280</t>
  </si>
  <si>
    <t>Criminal Court Check</t>
  </si>
  <si>
    <t>Gaurav Saini</t>
  </si>
  <si>
    <t>SIFY-18-11-2024-879</t>
  </si>
  <si>
    <t>LTIM-05-11-2024-16582</t>
  </si>
  <si>
    <t>AngleZ Cloud Consulting Private Limited</t>
  </si>
  <si>
    <t>ACCPL-21-11-2024-13</t>
  </si>
  <si>
    <t>LTIM-12-11-2024-16818</t>
  </si>
  <si>
    <t>LTIM-16-11-2024-17015</t>
  </si>
  <si>
    <t>Embitel Technologies (I) Pvt. Ltd</t>
  </si>
  <si>
    <t>ETPL-21-11-2024-760</t>
  </si>
  <si>
    <t>Le Travenues Technology Limited</t>
  </si>
  <si>
    <t>LTTL-26-11-2024-602</t>
  </si>
  <si>
    <t>AMPCUS-25-11-2024-579</t>
  </si>
  <si>
    <t>Ambika Fartyal</t>
  </si>
  <si>
    <t>L1-Research</t>
  </si>
  <si>
    <t>AMPCUS-25-11-2024-582</t>
  </si>
  <si>
    <t>LTIM-21-11-2024-17193</t>
  </si>
  <si>
    <t>AllegisT-22-10-2024-3795</t>
  </si>
  <si>
    <t>Gaurav Kumar</t>
  </si>
  <si>
    <t>Awign Enterprises Pvt. Ltd</t>
  </si>
  <si>
    <t>AWIGN-27-11-2024-9446</t>
  </si>
  <si>
    <t>FMPL-21-09-2024-2074</t>
  </si>
  <si>
    <t>AMBIT-23-10-2024-4019</t>
  </si>
  <si>
    <t>TCSBPO-06-11-2024-11029</t>
  </si>
  <si>
    <t>CTSIL-20-11-2024-21687</t>
  </si>
  <si>
    <t>Employment Verification – P-3</t>
  </si>
  <si>
    <t>Securitas BGV Sample Client</t>
  </si>
  <si>
    <t>SBGV-08-11-2024-4824</t>
  </si>
  <si>
    <t>Resource Pro Operational Solutions Private Limited</t>
  </si>
  <si>
    <t>RPOSPL-18-11-2024-1869</t>
  </si>
  <si>
    <t>LTIM-11-11-2024-16737</t>
  </si>
  <si>
    <t>LTIM-08-11-2024-16680</t>
  </si>
  <si>
    <t>Umbrella Infocare Private Limited</t>
  </si>
  <si>
    <t>UIPL-14-10-2024-193</t>
  </si>
  <si>
    <t>Databorough India Pvt. Ltd.</t>
  </si>
  <si>
    <t>DIPL-12-09-2024-25</t>
  </si>
  <si>
    <t>SUGS-11-11-2024-11195</t>
  </si>
  <si>
    <t>TechM-25-11-2024-8599</t>
  </si>
  <si>
    <t>Gap Verification 2</t>
  </si>
  <si>
    <t>Abhishek Bisht DE</t>
  </si>
  <si>
    <t>Gap Verification 1</t>
  </si>
  <si>
    <t>WIPRO-25-11-2024-21283</t>
  </si>
  <si>
    <t>Gap Verification</t>
  </si>
  <si>
    <t>ICICI-11-11-2024-8868</t>
  </si>
  <si>
    <t>Education Verification13</t>
  </si>
  <si>
    <t>LTIM-26-11-2024-17366</t>
  </si>
  <si>
    <t>GENPACT-25-11-2024-14912</t>
  </si>
  <si>
    <t>Raveena Gurung Edu</t>
  </si>
  <si>
    <t>INFINITI-07-11-2024-2017</t>
  </si>
  <si>
    <t>Ravi Prakash DE</t>
  </si>
  <si>
    <t>FMPL-25-11-2024-2205</t>
  </si>
  <si>
    <t>Jyoti Sharma Emp</t>
  </si>
  <si>
    <t>NOSPL-20-11-2024-4331</t>
  </si>
  <si>
    <t>GEBBS-25-11-2024-1868</t>
  </si>
  <si>
    <t>LTIM-25-11-2024-17320</t>
  </si>
  <si>
    <t>Varian Systems</t>
  </si>
  <si>
    <t>VAS-05-11-2024-613</t>
  </si>
  <si>
    <t>INFINX-25-10-2024-4613</t>
  </si>
  <si>
    <t>BML-19-11-2024-6393</t>
  </si>
  <si>
    <t>GEBBS-25-11-2024-1854</t>
  </si>
  <si>
    <t>GALLAGHER-15-11-2024-6916</t>
  </si>
  <si>
    <t>AMBIT-18-11-2024-4503</t>
  </si>
  <si>
    <t>LTIM-21-11-2024-17176</t>
  </si>
  <si>
    <t>BML-27-11-2024-6483</t>
  </si>
  <si>
    <t>Shakeel Ahmad SCAN</t>
  </si>
  <si>
    <t>Guru Gowri Krupa Technologies Private Limited</t>
  </si>
  <si>
    <t>GGKTPL-19-11-2024-1997</t>
  </si>
  <si>
    <t>INFINX-19-11-2024-5277</t>
  </si>
  <si>
    <t>LTIM-26-08-2024-13589</t>
  </si>
  <si>
    <t>TCSBPO-27-09-2024-10647</t>
  </si>
  <si>
    <t>Titan-21-11-2024-3898</t>
  </si>
  <si>
    <t>CMS-26-11-2024-1136</t>
  </si>
  <si>
    <t>AMBIT-25-11-2024-4638</t>
  </si>
  <si>
    <t>AllegisT-19-11-2024-3991</t>
  </si>
  <si>
    <t>CPMSPL-26-11-2024-5674</t>
  </si>
  <si>
    <t>Data Entry QC</t>
  </si>
  <si>
    <t>Saksoft Limited</t>
  </si>
  <si>
    <t>SAKSOFT-23-10-2024-817</t>
  </si>
  <si>
    <t>BML-27-11-2024-6460</t>
  </si>
  <si>
    <t>RNTBCIPL-27-11-2024-5144</t>
  </si>
  <si>
    <t>WSSH-27-11-2024-9306</t>
  </si>
  <si>
    <t>Ferrero India Private Limited</t>
  </si>
  <si>
    <t>FERRERO-19-11-2024-590</t>
  </si>
  <si>
    <t>Manish Prajapati DE</t>
  </si>
  <si>
    <t>AMBIT-18-11-2024-4496</t>
  </si>
  <si>
    <t>TEAL-13-11-2024-1235</t>
  </si>
  <si>
    <t>Kimberly-Clark India Pvt. Ltd.</t>
  </si>
  <si>
    <t>KCIPL-27-11-2024-624</t>
  </si>
  <si>
    <t>Gaurav Pandey DE</t>
  </si>
  <si>
    <t>PepsiCo India Holdings Pvt. Ltd</t>
  </si>
  <si>
    <t>PEPSI-27-11-2024-208</t>
  </si>
  <si>
    <t>Centric Consulting India Private Limited</t>
  </si>
  <si>
    <t>CCIPL-30-10-2024-459</t>
  </si>
  <si>
    <t>Datamatics Global Services Limited - Nashik</t>
  </si>
  <si>
    <t>DATAMATICS-N-20-10-2024-542</t>
  </si>
  <si>
    <t>IKYA-20-11-2024-5616</t>
  </si>
  <si>
    <t>Permanent Address Verification 2</t>
  </si>
  <si>
    <t>CTSIL-13-11-2024-21387</t>
  </si>
  <si>
    <t>LTIM-01-11-2024-16510</t>
  </si>
  <si>
    <t>SAI-21-11-2024-1646</t>
  </si>
  <si>
    <t>MUTHOOTF-19-11-2024-5597</t>
  </si>
  <si>
    <t>Titan-19-11-2024-3887</t>
  </si>
  <si>
    <t>UIPL-21-11-2024-206</t>
  </si>
  <si>
    <t>SLPL-22-11-2024-1832</t>
  </si>
  <si>
    <t>ESRIITPL-09-10-2024-219</t>
  </si>
  <si>
    <t>Vinclo Systems</t>
  </si>
  <si>
    <t>VINCLO-11-11-2024-202</t>
  </si>
  <si>
    <t>IFFCO-13-08-2024-1673</t>
  </si>
  <si>
    <t>Tech Mahindra Foundation</t>
  </si>
  <si>
    <t>TMF-19-11-2024-376</t>
  </si>
  <si>
    <t>FAPL-07-11-2024-8460</t>
  </si>
  <si>
    <t>NISG-18-11-2024-468</t>
  </si>
  <si>
    <t>ICICI-22-11-2024-9078</t>
  </si>
  <si>
    <t>Rohini Rajput EDU</t>
  </si>
  <si>
    <t>INSPL-17-01-2024-1281</t>
  </si>
  <si>
    <t>Mona Porwal DE</t>
  </si>
  <si>
    <t>GEBBS-19-11-2024-1613</t>
  </si>
  <si>
    <t>Preeti Choudhary</t>
  </si>
  <si>
    <t>Basware India Private Limited</t>
  </si>
  <si>
    <t>BAIPL-12-11-2024-162</t>
  </si>
  <si>
    <t>LTIM-19-11-2024-17072</t>
  </si>
  <si>
    <t>LTIM-16-10-2024-16022</t>
  </si>
  <si>
    <t>IFFCO-08-11-2024-1965</t>
  </si>
  <si>
    <t>Monika Malhotra</t>
  </si>
  <si>
    <t>MUTHOOTF-26-11-2024-5695</t>
  </si>
  <si>
    <t>MUTHOOTF-26-11-2024-5700</t>
  </si>
  <si>
    <t>BML-27-11-2024-6468</t>
  </si>
  <si>
    <t>BML-27-11-2024-6548</t>
  </si>
  <si>
    <t>INFIILOOM-17-10-2023-35</t>
  </si>
  <si>
    <t>LTIM-24-08-2024-13495</t>
  </si>
  <si>
    <t>CPMSPL-27-11-2024-5677</t>
  </si>
  <si>
    <t>CPMSPL-27-11-2024-5676</t>
  </si>
  <si>
    <t>CPMSPL-26-11-2024-5675</t>
  </si>
  <si>
    <t>BIOVF-18-11-2024-189</t>
  </si>
  <si>
    <t>Quatrro Business Support Solutions Pvt. Ltd</t>
  </si>
  <si>
    <t>QBSS-22-11-2024-264</t>
  </si>
  <si>
    <t>Chola Insurance Distribution Services Private Limited</t>
  </si>
  <si>
    <t>CIDSPL-26-11-2024-559</t>
  </si>
  <si>
    <t>AccSPL-21-11-2024-26070</t>
  </si>
  <si>
    <t>TCS-01-08-2024-24527</t>
  </si>
  <si>
    <t>LTIM-11-10-2024-15849</t>
  </si>
  <si>
    <t>LTIM-23-10-2024-16229</t>
  </si>
  <si>
    <t>WIPRO-30-10-2024-20431</t>
  </si>
  <si>
    <t>SUGS-08-11-2024-11169</t>
  </si>
  <si>
    <t>INSPL-16-07-2024-1932</t>
  </si>
  <si>
    <t>Infogain India Private Limited-Mumbai</t>
  </si>
  <si>
    <t>INFOGAIN-M-22-11-2024-210</t>
  </si>
  <si>
    <t>NTT-21-11-2024-1175</t>
  </si>
  <si>
    <t>TechM-05-11-2024-8429</t>
  </si>
  <si>
    <t>SERVOSYS-19-11-2024-657</t>
  </si>
  <si>
    <t>SCP-19-11-2024-54</t>
  </si>
  <si>
    <t>AllegisGTCA-21-11-2024-416</t>
  </si>
  <si>
    <t>SAI-18-11-2024-1641</t>
  </si>
  <si>
    <t>ATG Business Solutions Private Limited</t>
  </si>
  <si>
    <t>ATGBSPL-22-11-2024-1497</t>
  </si>
  <si>
    <t>INFINX-26-11-2024-5417</t>
  </si>
  <si>
    <t>INFINX-26-11-2024-5414</t>
  </si>
  <si>
    <t>TCS-26-11-2024-29322</t>
  </si>
  <si>
    <t>TCS-26-11-2024-29320</t>
  </si>
  <si>
    <t>TCS-26-11-2024-29327</t>
  </si>
  <si>
    <t>TCS-26-11-2024-29316</t>
  </si>
  <si>
    <t>TCS-26-11-2024-29318</t>
  </si>
  <si>
    <t>TCS-26-11-2024-29324</t>
  </si>
  <si>
    <t>TCS-26-11-2024-29334</t>
  </si>
  <si>
    <t>TCS-26-11-2024-29326</t>
  </si>
  <si>
    <t>TCS-26-11-2024-29319</t>
  </si>
  <si>
    <t>TCS-26-11-2024-29313</t>
  </si>
  <si>
    <t>TCS-26-11-2024-29315</t>
  </si>
  <si>
    <t>TCS-26-11-2024-29314</t>
  </si>
  <si>
    <t>TCS-26-11-2024-29328</t>
  </si>
  <si>
    <t>NTT Global Data Centers &amp; Cloud Infrastructure India Private Limited</t>
  </si>
  <si>
    <t>NMS-13-11-2024-1377</t>
  </si>
  <si>
    <t>Education Verification16</t>
  </si>
  <si>
    <t>TE Connectivity India Private Limited</t>
  </si>
  <si>
    <t>TECIPL-26-11-2024-811</t>
  </si>
  <si>
    <t>IKYA-12-08-2024-5113</t>
  </si>
  <si>
    <t>Quess IT Staffing, A Division of Quess Corp Ltd</t>
  </si>
  <si>
    <t>QuessITS-27-11-2024-435</t>
  </si>
  <si>
    <t>Nykaa Fashion Pvt Ltd</t>
  </si>
  <si>
    <t>NFPL-21-11-2024-683</t>
  </si>
  <si>
    <t>Ethos Limited</t>
  </si>
  <si>
    <t>ETHOS-17-10-2024-679</t>
  </si>
  <si>
    <t>IKYA-20-11-2024-5628</t>
  </si>
  <si>
    <t>IKYA-12-08-2024-5118</t>
  </si>
  <si>
    <t>Piyush Paliwal Emp</t>
  </si>
  <si>
    <t>CVENT-20-09-2024-2159</t>
  </si>
  <si>
    <t>TCS-09-11-2024-28884</t>
  </si>
  <si>
    <t>LTIM-05-10-2024-15538</t>
  </si>
  <si>
    <t>PEPSI-15-11-2024-203</t>
  </si>
  <si>
    <t>Inventia Healthcare Limited</t>
  </si>
  <si>
    <t>IHL-30-10-2024-553</t>
  </si>
  <si>
    <t>PricewaterhouseCoopers Service Delivery Center (Kolkata) Private Limited</t>
  </si>
  <si>
    <t>PWC-16-09-2024-4003</t>
  </si>
  <si>
    <t>NMS-08-11-2024-1373</t>
  </si>
  <si>
    <t>Sobek Auto India Private Limited</t>
  </si>
  <si>
    <t>SOBEK-26-11-2024-940</t>
  </si>
  <si>
    <t>OCS Group (India) Pvt. Ltd</t>
  </si>
  <si>
    <t>OCS-27-11-2024-1046</t>
  </si>
  <si>
    <t>CV Validation</t>
  </si>
  <si>
    <t>TechM-25-11-2024-8591</t>
  </si>
  <si>
    <t>GENPACT-26-11-2024-15089</t>
  </si>
  <si>
    <t>CVENT-12-11-2024-2251</t>
  </si>
  <si>
    <t>FMPL-10-10-2024-2112</t>
  </si>
  <si>
    <t>Pritamkumari Sharma EMP</t>
  </si>
  <si>
    <t>INSPL-17-02-2024-1347</t>
  </si>
  <si>
    <t>Amod Yadav DE</t>
  </si>
  <si>
    <t>Amelia Global Services Pvt Ltd.</t>
  </si>
  <si>
    <t>AMELIA-18-11-2024-35</t>
  </si>
  <si>
    <t>SAI-12-11-2024-1612</t>
  </si>
  <si>
    <t>SAI-22-10-2024-1557</t>
  </si>
  <si>
    <t>IPLBL-19-11-2024-1025</t>
  </si>
  <si>
    <t>CPMSPL-12-11-2024-5636</t>
  </si>
  <si>
    <t>RNTBCIPL-14-11-2024-5105</t>
  </si>
  <si>
    <t>ATGBSPL-11-11-2024-1488</t>
  </si>
  <si>
    <t>TCS-27-11-2024-29396</t>
  </si>
  <si>
    <t>Vandana</t>
  </si>
  <si>
    <t>Titan-23-11-2024-3914</t>
  </si>
  <si>
    <t>FSN E-COMMERCE VENTURES LIMITED</t>
  </si>
  <si>
    <t>FSNE-27-11-2024-420</t>
  </si>
  <si>
    <t>Green Park Hotels &amp; Resorts Ltd</t>
  </si>
  <si>
    <t>GPHRL-25-11-2024-255</t>
  </si>
  <si>
    <t>WIPRO-27-11-2024-21391</t>
  </si>
  <si>
    <t>TechM-11-11-2024-8483</t>
  </si>
  <si>
    <t>TechM-12-11-2024-8493</t>
  </si>
  <si>
    <t>TAICPL-06-11-2024-1703</t>
  </si>
  <si>
    <t>CYIENT-23-11-2024-12784</t>
  </si>
  <si>
    <t>BML-19-11-2024-6433</t>
  </si>
  <si>
    <t>INSPL-17-01-2024-1282</t>
  </si>
  <si>
    <t>Titan-07-11-2024-3843</t>
  </si>
  <si>
    <t>RNTBCIPL-04-10-2024-4893</t>
  </si>
  <si>
    <t>Vidya Bisht EMP</t>
  </si>
  <si>
    <t>CVENT-13-11-2024-2259</t>
  </si>
  <si>
    <t>CTSIL-26-11-2024-21996</t>
  </si>
  <si>
    <t>SUGS-19-09-2024-10289</t>
  </si>
  <si>
    <t>AMBIT-15-11-2024-4440</t>
  </si>
  <si>
    <t>CYRIL-07-10-2024-306</t>
  </si>
  <si>
    <t>DSV-20-11-2024-595</t>
  </si>
  <si>
    <t>CYIENT-24-11-2024-12788</t>
  </si>
  <si>
    <t>WIPRO-16-11-2024-21137</t>
  </si>
  <si>
    <t>CYRIL-25-11-2024-358</t>
  </si>
  <si>
    <t>Polaris Logistics Park Private Limited</t>
  </si>
  <si>
    <t>PLPPL-26-11-2024-36</t>
  </si>
  <si>
    <t>SLPL-22-11-2024-1825</t>
  </si>
  <si>
    <t>Presto Infosolutions Pvt. Ltd.</t>
  </si>
  <si>
    <t>PRESTO-22-11-2024-422</t>
  </si>
  <si>
    <t>SLPL-22-11-2024-1840</t>
  </si>
  <si>
    <t>SLPL-22-11-2024-1822</t>
  </si>
  <si>
    <t>TEAL-25-11-2024-1240</t>
  </si>
  <si>
    <t>TAICPL-20-11-2024-1834</t>
  </si>
  <si>
    <t>INFINX-30-10-2024-5002</t>
  </si>
  <si>
    <t>INFINX-26-11-2024-5416</t>
  </si>
  <si>
    <t>NAGARRO-25-11-2024-13260</t>
  </si>
  <si>
    <t>NAGARRO-25-11-2024-13261</t>
  </si>
  <si>
    <t>WFSPL-S-21-11-2024-3151</t>
  </si>
  <si>
    <t>WFSPL-S-25-11-2024-3162</t>
  </si>
  <si>
    <t>Aeries Technology</t>
  </si>
  <si>
    <t>AERIES-26-11-2024-696</t>
  </si>
  <si>
    <t>SJMJ-26-11-2024-399</t>
  </si>
  <si>
    <t>Fossil India Pvt. Ltd.</t>
  </si>
  <si>
    <t>FIPL-15-10-2024-253</t>
  </si>
  <si>
    <t>Phygital Insights Pvt. Ltd.</t>
  </si>
  <si>
    <t>PHYGITAL-22-10-2024-06</t>
  </si>
  <si>
    <t>Samsung India Electronics Private Limited</t>
  </si>
  <si>
    <t>SIEPL-27-11-2024-250</t>
  </si>
  <si>
    <t>India Police Record Verification through Law Firm - Permanent Address</t>
  </si>
  <si>
    <t>AWIGN-28-11-2024-9851</t>
  </si>
  <si>
    <t>Nihon Kohden India Pvt Ltd</t>
  </si>
  <si>
    <t>NIHON-17-10-2024-42</t>
  </si>
  <si>
    <t>Amit Kumar DE</t>
  </si>
  <si>
    <t>Synergy Power Pvt. Ltd</t>
  </si>
  <si>
    <t>SYNERGY-07-11-2024-275</t>
  </si>
  <si>
    <t>LTIM-13-11-2024-16823</t>
  </si>
  <si>
    <t>SUGS-14-11-2024-11231</t>
  </si>
  <si>
    <t>TCS-21-11-2024-29198</t>
  </si>
  <si>
    <t>CMSRSL-08-11-2024-596</t>
  </si>
  <si>
    <t>Locon Solutions Private Limited</t>
  </si>
  <si>
    <t>LOCON-13-11-2024-350</t>
  </si>
  <si>
    <t>TCS-26-11-2024-29337</t>
  </si>
  <si>
    <t>AWIGN-27-11-2024-9652</t>
  </si>
  <si>
    <t>AWIGN-27-11-2024-9661</t>
  </si>
  <si>
    <t>INFIILOOM-28-10-2024-106</t>
  </si>
  <si>
    <t>AWIGN-27-11-2024-9552</t>
  </si>
  <si>
    <t>AMBIT-20-11-2024-4544</t>
  </si>
  <si>
    <t>CTSIL-11-11-2024-21317</t>
  </si>
  <si>
    <t>Employment Verification – P</t>
  </si>
  <si>
    <t>CTSIL-22-11-2024-21846</t>
  </si>
  <si>
    <t>Dell International Pvt Ltd</t>
  </si>
  <si>
    <t>DELL-27-11-2024-4765</t>
  </si>
  <si>
    <t>CYIENT-15-11-2024-12684</t>
  </si>
  <si>
    <t>AWIGN-27-11-2024-9523</t>
  </si>
  <si>
    <t>Vivek Sharma DE</t>
  </si>
  <si>
    <t>TCS-05-08-2024-24746</t>
  </si>
  <si>
    <t>SJMJ-26-11-2024-402</t>
  </si>
  <si>
    <t>LTIM-08-11-2024-16675</t>
  </si>
  <si>
    <t>INFINX-19-11-2024-5279</t>
  </si>
  <si>
    <t>Azuga Global Capability Centers</t>
  </si>
  <si>
    <t>AGCC-20-11-2024-143</t>
  </si>
  <si>
    <t>INSPL-08-10-2024-2251</t>
  </si>
  <si>
    <t>RBL-04-11-2024-1568</t>
  </si>
  <si>
    <t>New Permanent Address Verification</t>
  </si>
  <si>
    <t>TechM-14-11-2024-8510</t>
  </si>
  <si>
    <t>Drug Test-Panel 10</t>
  </si>
  <si>
    <t>Color Code Rejected</t>
  </si>
  <si>
    <t>FIPL-22-11-2024-274</t>
  </si>
  <si>
    <t>FMPL-22-11-2024-2196</t>
  </si>
  <si>
    <t>DATAMATICS-M-03-10-2024-184</t>
  </si>
  <si>
    <t>TCS-19-11-2024-29136</t>
  </si>
  <si>
    <t>TCS-09-11-2024-28885</t>
  </si>
  <si>
    <t>LTIM-14-11-2024-16894</t>
  </si>
  <si>
    <t>AllegisT-16-10-2024-3723</t>
  </si>
  <si>
    <t>CYIENT-28-11-2024-12824</t>
  </si>
  <si>
    <t>GEBBS-03-07-2024-570</t>
  </si>
  <si>
    <t>Tenon Facility Management India Pvt. Ltd</t>
  </si>
  <si>
    <t>TFMIPL-27-11-2024-41</t>
  </si>
  <si>
    <t>Education Verification 2</t>
  </si>
  <si>
    <t>AWIGN-27-11-2024-9612</t>
  </si>
  <si>
    <t>AMBIT-22-10-2024-3971</t>
  </si>
  <si>
    <t>SBGV-26-11-2024-5348</t>
  </si>
  <si>
    <t>NAGARRO-22-10-2024-12899</t>
  </si>
  <si>
    <t>LTIM-28-10-2024-16358</t>
  </si>
  <si>
    <t>BML-12-06-2024-4756</t>
  </si>
  <si>
    <t>IndoSpace Development Management Limited</t>
  </si>
  <si>
    <t>ISDML-26-11-2024-94</t>
  </si>
  <si>
    <t>TechM-07-11-2024-8457</t>
  </si>
  <si>
    <t>TEAL-25-07-2024-1112</t>
  </si>
  <si>
    <t>TCSBPO-27-09-2024-10639</t>
  </si>
  <si>
    <t>BIOVF-18-11-2024-182</t>
  </si>
  <si>
    <t>WIPRO-25-11-2024-21289</t>
  </si>
  <si>
    <t>Ayush Goyal</t>
  </si>
  <si>
    <t>IKYA-24-05-2024-4800</t>
  </si>
  <si>
    <t>Achal Shrivastava</t>
  </si>
  <si>
    <t>IKYA-03-06-2024-4851</t>
  </si>
  <si>
    <t>HYUNDAI-23-07-2024-262</t>
  </si>
  <si>
    <t>AWIGN-27-11-2024-9478</t>
  </si>
  <si>
    <t>PSTPL-15-11-2024-1560</t>
  </si>
  <si>
    <t>AMBIT-18-11-2024-4494</t>
  </si>
  <si>
    <t>T.M. Inputs and Services Private Limited</t>
  </si>
  <si>
    <t>TMI-22-11-2024-79</t>
  </si>
  <si>
    <t>SLPL-20-11-2024-1789</t>
  </si>
  <si>
    <t>INSPL-17-04-2024-1569</t>
  </si>
  <si>
    <t>Kulmani Pathak DE</t>
  </si>
  <si>
    <t>TCS-18-11-2024-29086</t>
  </si>
  <si>
    <t>Interocean Shipping (India) Pvt. Ltd</t>
  </si>
  <si>
    <t>INTERO-26-11-2024-48</t>
  </si>
  <si>
    <t>LTIM-25-11-2024-17308</t>
  </si>
  <si>
    <t>Titan-23-11-2024-3915</t>
  </si>
  <si>
    <t>NAGARRO-20-11-2024-13197</t>
  </si>
  <si>
    <t>SLPL-19-11-2024-1729</t>
  </si>
  <si>
    <t>Titan-22-11-2024-3906</t>
  </si>
  <si>
    <t>RNTBCIPL-22-11-2024-5129</t>
  </si>
  <si>
    <t>SUGS-15-11-2024-11242</t>
  </si>
  <si>
    <t>NAGARRO-08-11-2024-13125</t>
  </si>
  <si>
    <t>WIPRO-22-11-2024-21208</t>
  </si>
  <si>
    <t>Surya Prakash R DE</t>
  </si>
  <si>
    <t>Sureminds Solutions Private Limited</t>
  </si>
  <si>
    <t>SUREMINDS-25-11-2024-137</t>
  </si>
  <si>
    <t>CDSIPL-28-11-2024-15540</t>
  </si>
  <si>
    <t>AWIGN-28-11-2024-9900</t>
  </si>
  <si>
    <t>ICMS-09-04-2024-129</t>
  </si>
  <si>
    <t>AMBIT-18-11-2024-4525</t>
  </si>
  <si>
    <t>LTIM-26-11-2024-17350</t>
  </si>
  <si>
    <t>Kartik Singh EDU</t>
  </si>
  <si>
    <t>Newgen Software Technologies Ltd.</t>
  </si>
  <si>
    <t>NSTL-24-09-2024-1310</t>
  </si>
  <si>
    <t>GEBBS-19-11-2024-1615</t>
  </si>
  <si>
    <t>GEBBS-21-11-2024-1698</t>
  </si>
  <si>
    <t>CDSIPL-28-11-2024-15530</t>
  </si>
  <si>
    <t>BPTP Ltd</t>
  </si>
  <si>
    <t>BPTP-28-11-2024-744</t>
  </si>
  <si>
    <t>DATAMATICS-M-28-11-2024-328</t>
  </si>
  <si>
    <t>DATAMATICS-M-28-11-2024-329</t>
  </si>
  <si>
    <t>LTIM-28-11-2024-17448</t>
  </si>
  <si>
    <t>FAPL-15-11-2024-8483</t>
  </si>
  <si>
    <t>WIPRO-DOP-20-11-2024-6947</t>
  </si>
  <si>
    <t>MUTHOOTF-27-11-2024-5713</t>
  </si>
  <si>
    <t>PRGX India Pvt. Ltd.</t>
  </si>
  <si>
    <t>PRGX-27-11-2024-339</t>
  </si>
  <si>
    <t>Laxmi Synergy Infra &amp; FM Services Private Limited</t>
  </si>
  <si>
    <t>LAXMI-28-11-2024-15</t>
  </si>
  <si>
    <t>AMBIT-28-11-2024-4706</t>
  </si>
  <si>
    <t>MUTHOOTF-28-11-2024-5722</t>
  </si>
  <si>
    <t>ICICI-19-10-2024-8703</t>
  </si>
  <si>
    <t>CTSIL-26-10-2024-21103</t>
  </si>
  <si>
    <t>AMBIT-01-11-2024-4257</t>
  </si>
  <si>
    <t>MCSLTD-07-11-2024-180</t>
  </si>
  <si>
    <t>ACL Mobile Limited</t>
  </si>
  <si>
    <t>ACLML-08-11-2024-368</t>
  </si>
  <si>
    <t>Diverse Lynx lndia Pvt. Ltd</t>
  </si>
  <si>
    <t>DIVERSE-05-11-2024-1215</t>
  </si>
  <si>
    <t>WIPRO-12-11-2024-21001</t>
  </si>
  <si>
    <t>TCS-13-11-2024-28998</t>
  </si>
  <si>
    <t>LTIM-13-11-2024-16870</t>
  </si>
  <si>
    <t>STT Global Data Centres India Private Limited</t>
  </si>
  <si>
    <t>STTGDC-14-11-2024-209</t>
  </si>
  <si>
    <t>CTSIL-14-11-2024-21413</t>
  </si>
  <si>
    <t>TCSBPO-16-11-2024-11083</t>
  </si>
  <si>
    <t>LTIM-18-11-2024-17036</t>
  </si>
  <si>
    <t>NAGARRO-20-11-2024-13208</t>
  </si>
  <si>
    <t>CDSIPL-20-11-2024-15411</t>
  </si>
  <si>
    <t>GEBBS-22-11-2024-1822</t>
  </si>
  <si>
    <t>WIPRO-22-11-2024-21207</t>
  </si>
  <si>
    <t>WSPLG-BS-22-11-2024-345</t>
  </si>
  <si>
    <t>Ageas Federal Life Insurance Company Limited</t>
  </si>
  <si>
    <t>AGEAS-22-11-2024-2051</t>
  </si>
  <si>
    <t>AMBIT-25-11-2024-4602</t>
  </si>
  <si>
    <t>TakedaICC-27-11-2024-302</t>
  </si>
  <si>
    <t>CDSIPL-08-11-2024-15033</t>
  </si>
  <si>
    <t>CDSIPL-14-11-2024-15255</t>
  </si>
  <si>
    <t>INSPL-12-08-2024-2090</t>
  </si>
  <si>
    <t>LTIM-25-10-2024-16294</t>
  </si>
  <si>
    <t>CMS-29-10-2024-1114</t>
  </si>
  <si>
    <t>PWC-24-09-2024-4098</t>
  </si>
  <si>
    <t>NAGARRO-23-10-2024-12935</t>
  </si>
  <si>
    <t>CtrlS-20-11-2024-194</t>
  </si>
  <si>
    <t>IKYA-27-11-2024-5642</t>
  </si>
  <si>
    <t>TCS-22-11-2024-29267</t>
  </si>
  <si>
    <t>CPMSPL-22-11-2024-5668</t>
  </si>
  <si>
    <t>CPMSPL-22-11-2024-5666</t>
  </si>
  <si>
    <t>CPMSPL-14-11-2024-5647</t>
  </si>
  <si>
    <t>CPMSPL-23-11-2024-5669</t>
  </si>
  <si>
    <t>Titan-28-11-2024-3932</t>
  </si>
  <si>
    <t>Jade Global Software Pvt. Ltd</t>
  </si>
  <si>
    <t>JGS-28-11-2024-1947</t>
  </si>
  <si>
    <t>JGS-28-11-2024-1949</t>
  </si>
  <si>
    <t>GEBBS-21-11-2024-1706</t>
  </si>
  <si>
    <t>CTSIL-21-11-2024-21744</t>
  </si>
  <si>
    <t>CTSIL-26-09-2024-20536</t>
  </si>
  <si>
    <t>AMBIT-10-10-2024-3881</t>
  </si>
  <si>
    <t>AMBIT-11-11-2024-4432</t>
  </si>
  <si>
    <t>AMBIT-11-11-2024-4433</t>
  </si>
  <si>
    <t>CtrlS-19-11-2024-191</t>
  </si>
  <si>
    <t>PHOTON-22-11-2024-1201</t>
  </si>
  <si>
    <t>SBGV-10-10-2024-4569</t>
  </si>
  <si>
    <t>AWIGN-28-11-2024-9902</t>
  </si>
  <si>
    <t>LTIM-07-11-2024-16647</t>
  </si>
  <si>
    <t>Namrata Kumari Employment TM</t>
  </si>
  <si>
    <t>GEBBS-25-11-2024-1897</t>
  </si>
  <si>
    <t>CTSIL-19-11-2024-21546</t>
  </si>
  <si>
    <t>Company Investigation 1</t>
  </si>
  <si>
    <t>Investigation</t>
  </si>
  <si>
    <t>NTT-25-11-2024-1182</t>
  </si>
  <si>
    <t>WIPRO-26-11-2024-21361</t>
  </si>
  <si>
    <t>SLPL-22-11-2024-1861</t>
  </si>
  <si>
    <t>Optimum Infosystem Private Limited</t>
  </si>
  <si>
    <t>OIPL-22-11-2024-330</t>
  </si>
  <si>
    <t>AMBIT-18-11-2024-4474</t>
  </si>
  <si>
    <t>LTIM-18-07-2024-11987</t>
  </si>
  <si>
    <t>CVENT-04-11-2024-2236</t>
  </si>
  <si>
    <t>RNTBCIPL-09-08-2024-4635</t>
  </si>
  <si>
    <t>IKYA-20-11-2024-5629</t>
  </si>
  <si>
    <t>GEBBS-21-11-2024-1735</t>
  </si>
  <si>
    <t>GEBBS-25-11-2024-1866</t>
  </si>
  <si>
    <t>BFL-14-11-2024-535</t>
  </si>
  <si>
    <t>SAI-13-11-2024-1623</t>
  </si>
  <si>
    <t>Mynd Integrated Solutions Private Limited</t>
  </si>
  <si>
    <t>MISPL-14-11-2024-1835</t>
  </si>
  <si>
    <t>SLPL-19-11-2024-1709</t>
  </si>
  <si>
    <t>PHOTON-12-11-2024-1168</t>
  </si>
  <si>
    <t>SIFY-18-11-2024-869</t>
  </si>
  <si>
    <t>LTIM-22-11-2024-17227</t>
  </si>
  <si>
    <t>LTIM-22-11-2024-17247</t>
  </si>
  <si>
    <t>LTIM-09-11-2024-16709</t>
  </si>
  <si>
    <t>LTIM-22-08-2024-13356</t>
  </si>
  <si>
    <t>TAICPL-06-11-2024-1717</t>
  </si>
  <si>
    <t>CPMSPL-27-11-2024-5680</t>
  </si>
  <si>
    <t>CPMSPL-25-11-2024-5670</t>
  </si>
  <si>
    <t>CPMSPL-27-11-2024-5678</t>
  </si>
  <si>
    <t>CMS-25-11-2024-1134</t>
  </si>
  <si>
    <t>AllegisT-27-11-2024-4027</t>
  </si>
  <si>
    <t>WSSH-16-11-2024-9178</t>
  </si>
  <si>
    <t>TCS-21-11-2024-29224</t>
  </si>
  <si>
    <t>TCS-21-11-2024-29228</t>
  </si>
  <si>
    <t>Quicko Technosoft Labs Private Limited</t>
  </si>
  <si>
    <t>QTLPL-19-11-2024-871</t>
  </si>
  <si>
    <t>Address Verification</t>
  </si>
  <si>
    <t>SAI-12-11-2024-1619</t>
  </si>
  <si>
    <t>Spectrum Talent Management - Project</t>
  </si>
  <si>
    <t>STM-P-25-11-2024-754</t>
  </si>
  <si>
    <t>AWIGN-27-11-2024-9574</t>
  </si>
  <si>
    <t>AWIGN-28-11-2024-9907</t>
  </si>
  <si>
    <t>AWIGN-28-11-2024-10000</t>
  </si>
  <si>
    <t>LTIM-27-11-2024-17386</t>
  </si>
  <si>
    <t>GENPACT-21-06-2024-11952</t>
  </si>
  <si>
    <t>PWC-05-10-2024-4235</t>
  </si>
  <si>
    <t>KEIHIN-21-06-2024-446</t>
  </si>
  <si>
    <t>AMBIT-25-11-2024-4626</t>
  </si>
  <si>
    <t>CloudAngles Digital Transformation India Pvt Ltd</t>
  </si>
  <si>
    <t>CADTIPL-28-11-2024-248</t>
  </si>
  <si>
    <t>TAICPL-18-11-2024-1817</t>
  </si>
  <si>
    <t>Present Address Verification</t>
  </si>
  <si>
    <t>LTIM-26-11-2024-17349</t>
  </si>
  <si>
    <t>WIPRO-DOP-29-11-2024-7033</t>
  </si>
  <si>
    <t>LTIM-07-11-2024-16631</t>
  </si>
  <si>
    <t>Ample Enterprise Technologies Pvt. Ltd</t>
  </si>
  <si>
    <t>AETPL-28-11-2024-51</t>
  </si>
  <si>
    <t>Acuity Knowledge Research (India) Private Limited</t>
  </si>
  <si>
    <t>MTBCSPL-14-03-2024-21</t>
  </si>
  <si>
    <t>SKYLAR-28-11-2024-85</t>
  </si>
  <si>
    <t>Advanced Web &amp; Media Searches</t>
  </si>
  <si>
    <t>AWIGN-27-11-2024-9557</t>
  </si>
  <si>
    <t>AWIGN-27-11-2024-9558</t>
  </si>
  <si>
    <t>ATGBSPL-04-11-2024-1480</t>
  </si>
  <si>
    <t>JGS-16-09-2024-1846</t>
  </si>
  <si>
    <t>ETHOS-12-11-2024-718</t>
  </si>
  <si>
    <t>COMMSCOPE-16-09-2024-741</t>
  </si>
  <si>
    <t>AstraZeneca India Private Limited</t>
  </si>
  <si>
    <t>AZIPL-18-11-2024-2415</t>
  </si>
  <si>
    <t>RNTBCIPL-18-11-2024-5111</t>
  </si>
  <si>
    <t>Sellcraft Global Solutions Pvt. Ltd</t>
  </si>
  <si>
    <t>SGSPL-18-11-2024-43</t>
  </si>
  <si>
    <t>General Energy Management System Ltd</t>
  </si>
  <si>
    <t>GEMSL-12-11-2024-509</t>
  </si>
  <si>
    <t>TCS-23-10-2024-28494</t>
  </si>
  <si>
    <t>OEC India Services Private Limited</t>
  </si>
  <si>
    <t>OECISPL-14-11-2024-183</t>
  </si>
  <si>
    <t>FIPL-11-11-2024-270</t>
  </si>
  <si>
    <t>Care Ratings Ltd</t>
  </si>
  <si>
    <t>CARE-28-10-2024-592</t>
  </si>
  <si>
    <t>LTIM-11-11-2024-16762</t>
  </si>
  <si>
    <t>LTIM-18-11-2024-17047</t>
  </si>
  <si>
    <t>VEL-30-09-2024-177</t>
  </si>
  <si>
    <t>AWIGN-28-11-2024-9975</t>
  </si>
  <si>
    <t>Ankur Joshi</t>
  </si>
  <si>
    <t>RBL-18-09-2024-1488</t>
  </si>
  <si>
    <t>CCIPL-17-10-2024-452</t>
  </si>
  <si>
    <t>Maruti Suzuki India Limited - B</t>
  </si>
  <si>
    <t>MSIL--B-13-11-2024-32110</t>
  </si>
  <si>
    <t>Hitachi Lift India Private Limited</t>
  </si>
  <si>
    <t>HLIPL-21-11-2024-178</t>
  </si>
  <si>
    <t>SLPL-22-11-2024-1824</t>
  </si>
  <si>
    <t>SLPL-22-11-2024-1828</t>
  </si>
  <si>
    <t>SLPL-22-11-2024-1837</t>
  </si>
  <si>
    <t>TCSBPO-26-11-2024-11142</t>
  </si>
  <si>
    <t>Uniqus Consultech Inc.</t>
  </si>
  <si>
    <t>UNIQUS-26-11-2024-10</t>
  </si>
  <si>
    <t>Graduation Verification</t>
  </si>
  <si>
    <t>QTLPL-19-11-2024-873</t>
  </si>
  <si>
    <t>Walsons Services Private Limited - BGV Team</t>
  </si>
  <si>
    <t>WSPL-BGV-25-11-2024-279</t>
  </si>
  <si>
    <t>CDSIPL-20-11-2024-15380</t>
  </si>
  <si>
    <t>Beetel Teletech Limited</t>
  </si>
  <si>
    <t>BTL-19-11-2024-149</t>
  </si>
  <si>
    <t>CTSIL-22-11-2024-21804</t>
  </si>
  <si>
    <t>INFINITI-29-11-2024-2038</t>
  </si>
  <si>
    <t>AMBIT-28-11-2024-4700</t>
  </si>
  <si>
    <t>AMBIT-25-11-2024-4627</t>
  </si>
  <si>
    <t>TAICPL-11-04-2024-853</t>
  </si>
  <si>
    <t>TAICPL-25-11-2024-1860</t>
  </si>
  <si>
    <t>AWIGN-27-11-2024-9666</t>
  </si>
  <si>
    <t>SVN Systech India Private Limited</t>
  </si>
  <si>
    <t>SVNSIPL-19-08-2024-128</t>
  </si>
  <si>
    <t>CICSPL-17-08-2024-15529</t>
  </si>
  <si>
    <t>WIPRO-25-11-2024-21339</t>
  </si>
  <si>
    <t>WIPRO-25-11-2024-21333</t>
  </si>
  <si>
    <t>WIPRO-25-11-2024-21314</t>
  </si>
  <si>
    <t>WFSPL-S-23-09-2024-2995</t>
  </si>
  <si>
    <t>CMS-29-10-2024-1115</t>
  </si>
  <si>
    <t>CTSIL-01-12-2024-22279</t>
  </si>
  <si>
    <t>IHL-29-11-2024-566</t>
  </si>
  <si>
    <t>INSPL-17-02-2024-1351</t>
  </si>
  <si>
    <t>Suraj Kumar DE</t>
  </si>
  <si>
    <t>Titan-18-11-2024-3881</t>
  </si>
  <si>
    <t>AMBIT-28-11-2024-4705</t>
  </si>
  <si>
    <t>SGSPL-01-10-2024-26</t>
  </si>
  <si>
    <t>Rameshwar Pachauri</t>
  </si>
  <si>
    <t>TEKsystems Global Services Private Limited</t>
  </si>
  <si>
    <t>TGSPL-13-11-2024-659</t>
  </si>
  <si>
    <t>OIPL-28-10-2024-313</t>
  </si>
  <si>
    <t>COMMSCOPE-27-11-2024-815</t>
  </si>
  <si>
    <t>TCS-16-11-2024-29073</t>
  </si>
  <si>
    <t>TCS-22-11-2024-29240</t>
  </si>
  <si>
    <t>CDSIPL-28-11-2024-15544</t>
  </si>
  <si>
    <t>CICSPL-17-09-2024-15626</t>
  </si>
  <si>
    <t>LTIM-26-11-2024-17341</t>
  </si>
  <si>
    <t>SUGS-29-11-2024-11412</t>
  </si>
  <si>
    <t>SUGS-29-11-2024-11414</t>
  </si>
  <si>
    <t>LTIM-28-11-2024-17439</t>
  </si>
  <si>
    <t>PAN No Verification</t>
  </si>
  <si>
    <t>LTIM-02-12-2024-17522</t>
  </si>
  <si>
    <t>Mirae Asset Capital Markets (India) Private Limited</t>
  </si>
  <si>
    <t>MIRAE-12-11-2024-54</t>
  </si>
  <si>
    <t>AccSPL-07-10-2024-24215</t>
  </si>
  <si>
    <t>NAGARRO-25-10-2024-13011</t>
  </si>
  <si>
    <t>RBL-04-11-2024-1570</t>
  </si>
  <si>
    <t>SIFY-22-11-2024-884</t>
  </si>
  <si>
    <t>CTSIL-28-10-2024-21127</t>
  </si>
  <si>
    <t>CTSIL-26-09-2024-20544</t>
  </si>
  <si>
    <t>CTSIL-21-11-2024-21784</t>
  </si>
  <si>
    <t>AGEAS-14-11-2024-2019</t>
  </si>
  <si>
    <t>LaRenon Healthcare Pvt. Ltd.</t>
  </si>
  <si>
    <t>LRH-30-11-2024-2055</t>
  </si>
  <si>
    <t>BML-13-11-2024-6378</t>
  </si>
  <si>
    <t>MUTHOOTF-06-09-2024-4580</t>
  </si>
  <si>
    <t>NAGARRO-03-11-2024-13066</t>
  </si>
  <si>
    <t>WIPRO-DOP-28-11-2024-7024</t>
  </si>
  <si>
    <t>WIPRO-29-11-2024-21417</t>
  </si>
  <si>
    <t>WIPRO-29-11-2024-21424</t>
  </si>
  <si>
    <t>Microland Limited</t>
  </si>
  <si>
    <t>MIC-29-11-2024-2641</t>
  </si>
  <si>
    <t>More Retail Limited</t>
  </si>
  <si>
    <t>MORE-22-11-2024-612</t>
  </si>
  <si>
    <t>Idemia Syscom India Private Limited</t>
  </si>
  <si>
    <t>IDEMIA-28-11-2024-1714</t>
  </si>
  <si>
    <t>TCSBPO-28-11-2024-11149</t>
  </si>
  <si>
    <t>TCSBPO-28-11-2024-11152</t>
  </si>
  <si>
    <t>LTIM-25-11-2024-17301</t>
  </si>
  <si>
    <t>AZIPL-27-11-2024-2430</t>
  </si>
  <si>
    <t>2nd Highest Education</t>
  </si>
  <si>
    <t>ICICI-22-11-2024-9048</t>
  </si>
  <si>
    <t>AWIGN-28-11-2024-10018</t>
  </si>
  <si>
    <t>CYIENT-27-11-2024-12812</t>
  </si>
  <si>
    <t>WIPRO-DOP-21-11-2024-6955</t>
  </si>
  <si>
    <t>Criminal Verification through E-Court - Previous Address 1</t>
  </si>
  <si>
    <t>Criminal Verification through E-Court - Previous Address 2</t>
  </si>
  <si>
    <t>VEL-01-08-2024-31</t>
  </si>
  <si>
    <t>TCS-26-11-2024-29369</t>
  </si>
  <si>
    <t>FSN Brands Marketing Pvt Ltd</t>
  </si>
  <si>
    <t>FSNB-21-11-2024-1554</t>
  </si>
  <si>
    <t>FIPL-26-11-2024-277</t>
  </si>
  <si>
    <t>Eureka Forbes Limited</t>
  </si>
  <si>
    <t>EUREKA-13-11-2024-28061</t>
  </si>
  <si>
    <t>AMBIT-25-11-2024-4650</t>
  </si>
  <si>
    <t>BML-27-11-2024-6504</t>
  </si>
  <si>
    <t>BML-27-11-2024-6533</t>
  </si>
  <si>
    <t>SLPL-22-11-2024-1821</t>
  </si>
  <si>
    <t>MResult Technologies Pvt Ltd</t>
  </si>
  <si>
    <t>MRESULT-25-11-2024-15</t>
  </si>
  <si>
    <t>AMBIT-11-11-2024-4413</t>
  </si>
  <si>
    <t>CTSIL-21-11-2024-21772</t>
  </si>
  <si>
    <t>LTIM-22-11-2024-17261</t>
  </si>
  <si>
    <t>AMBIT-16-10-2024-3916</t>
  </si>
  <si>
    <t>SLPL-20-11-2024-1817</t>
  </si>
  <si>
    <t>MRESULT-22-11-2024-14</t>
  </si>
  <si>
    <t>9.9 Group Pvt. Ltd.</t>
  </si>
  <si>
    <t>9.9GPL-22-11-2024-55</t>
  </si>
  <si>
    <t>CYIENT-27-11-2024-12819</t>
  </si>
  <si>
    <t>MUTHOOTF-22-11-2024-5643</t>
  </si>
  <si>
    <t>PHOTON-11-11-2024-1159</t>
  </si>
  <si>
    <t>RAH Infotech Pvt Ltd</t>
  </si>
  <si>
    <t>RAH-23-10-2024-241</t>
  </si>
  <si>
    <t>Centific Global Technologies India Pvt Ltd</t>
  </si>
  <si>
    <t>CENTIFIC-27-11-2024-26</t>
  </si>
  <si>
    <t>RNTBCIPL-21-08-2024-4674</t>
  </si>
  <si>
    <t>MUTHOOTF-29-11-2024-5739</t>
  </si>
  <si>
    <t>TAICPL-08-11-2024-1765</t>
  </si>
  <si>
    <t>SUGS-29-10-2024-10994</t>
  </si>
  <si>
    <t>TECIPL-04-10-2024-730</t>
  </si>
  <si>
    <t>FSNB-27-11-2024-1569</t>
  </si>
  <si>
    <t>Manju Singh Emp</t>
  </si>
  <si>
    <t>Gro Digital Platforms Limited</t>
  </si>
  <si>
    <t>GRO-22-11-2024-199</t>
  </si>
  <si>
    <t>CYIENT-27-09-2024-12323</t>
  </si>
  <si>
    <t>DICVPL-20-11-2024-50</t>
  </si>
  <si>
    <t>CPMSPL-19-07-2024-5356</t>
  </si>
  <si>
    <t>GEBBS-22-11-2024-1808</t>
  </si>
  <si>
    <t>TechM-21-08-2024-7896</t>
  </si>
  <si>
    <t>DICVPL-18-11-2024-41</t>
  </si>
  <si>
    <t>DIVERSE-28-11-2024-1237</t>
  </si>
  <si>
    <t>TAICPL-28-11-2024-1892</t>
  </si>
  <si>
    <t>TAICPL-28-11-2024-1889</t>
  </si>
  <si>
    <t>QTLPL-19-11-2024-874</t>
  </si>
  <si>
    <t>HLIPL-27-11-2024-179</t>
  </si>
  <si>
    <t>10FA-27-11-2024-1376</t>
  </si>
  <si>
    <t>NAGARRO-18-11-2024-13172</t>
  </si>
  <si>
    <t>NAGARRO-25-11-2024-13252</t>
  </si>
  <si>
    <t>EUREKA-26-11-2024-28288</t>
  </si>
  <si>
    <t>EUREKA-26-11-2024-28293</t>
  </si>
  <si>
    <t>GALLAGHER-26-11-2024-6960</t>
  </si>
  <si>
    <t>CTSIL-29-10-2024-21140</t>
  </si>
  <si>
    <t>MB Power (Madhya Pradesh) Limited</t>
  </si>
  <si>
    <t>MBPL-05-11-2024-533</t>
  </si>
  <si>
    <t>WSSH-30-11-2024-9474</t>
  </si>
  <si>
    <t>CMS-30-11-2024-1140</t>
  </si>
  <si>
    <t>CMS-30-11-2024-1141</t>
  </si>
  <si>
    <t>CIDSPL-29-11-2024-561</t>
  </si>
  <si>
    <t>EUREKA-25-11-2024-28245</t>
  </si>
  <si>
    <t>EUREKA-18-11-2024-28095</t>
  </si>
  <si>
    <t>CPMSPL-29-11-2024-5688</t>
  </si>
  <si>
    <t>YTR Cleared</t>
  </si>
  <si>
    <t>CPMSPL-29-11-2024-5687</t>
  </si>
  <si>
    <t>CPMSPL-02-12-2024-5689</t>
  </si>
  <si>
    <t>CTSIL-02-12-2024-22310</t>
  </si>
  <si>
    <t>Path Infotech Limited</t>
  </si>
  <si>
    <t>PIL-06-11-2024-602</t>
  </si>
  <si>
    <t>AWIGN-27-11-2024-9677</t>
  </si>
  <si>
    <t>CAPCO-02-12-2024-21</t>
  </si>
  <si>
    <t>WIPRO-DOP-25-11-2024-6980</t>
  </si>
  <si>
    <t>AMBIT-18-11-2024-4515</t>
  </si>
  <si>
    <t>TCS-18-11-2024-29079</t>
  </si>
  <si>
    <t>DSV-02-12-2024-604</t>
  </si>
  <si>
    <t>Nelito Systems Private Limited</t>
  </si>
  <si>
    <t>NELITO-12-11-2024-12</t>
  </si>
  <si>
    <t>CTSIL-20-11-2024-21639</t>
  </si>
  <si>
    <t>Company Investigation 2</t>
  </si>
  <si>
    <t>CTSIL-20-11-2024-21638</t>
  </si>
  <si>
    <t>PSTPL-25-11-2024-1576</t>
  </si>
  <si>
    <t>Rajesh Kumar Senapati Emp</t>
  </si>
  <si>
    <t>GALLAGHER-18-11-2024-6928</t>
  </si>
  <si>
    <t>EUREKA-11-11-2024-28039</t>
  </si>
  <si>
    <t>Mohit Kumar ADD</t>
  </si>
  <si>
    <t>ETPL-09-08-2024-644</t>
  </si>
  <si>
    <t>MBit Computraining Pvt. Ltd</t>
  </si>
  <si>
    <t>TCSV-MB-06-11-2024-470</t>
  </si>
  <si>
    <t>LTIM-29-11-2024-17494</t>
  </si>
  <si>
    <t>STM-P-25-11-2024-746</t>
  </si>
  <si>
    <t>WSSH-16-11-2024-9152</t>
  </si>
  <si>
    <t>Smart Chip Private Limited</t>
  </si>
  <si>
    <t>SCPL-25-11-2024-1580</t>
  </si>
  <si>
    <t>LTIM-23-11-2024-17277</t>
  </si>
  <si>
    <t>PLAN-21-11-2024-1040</t>
  </si>
  <si>
    <t>WIPRO-02-12-2024-21443</t>
  </si>
  <si>
    <t>WIPRO-02-12-2024-21454</t>
  </si>
  <si>
    <t>WIPRO-02-12-2024-21456</t>
  </si>
  <si>
    <t>Tata Elxsi Limited</t>
  </si>
  <si>
    <t>TEL-02-12-2024-10223</t>
  </si>
  <si>
    <t>Shalender Kumar</t>
  </si>
  <si>
    <t>CVENT-12-08-2024-2084</t>
  </si>
  <si>
    <t>TechM-24-10-2024-8391</t>
  </si>
  <si>
    <t>CTSIL-25-11-2024-21941</t>
  </si>
  <si>
    <t>ACUITYKC-15-07-2024-1510</t>
  </si>
  <si>
    <t>AMELIA-15-11-2024-22</t>
  </si>
  <si>
    <t>TMF-07-10-2024-363</t>
  </si>
  <si>
    <t>CtrlS-28-10-2024-150</t>
  </si>
  <si>
    <t>LTIM-25-11-2024-17296</t>
  </si>
  <si>
    <t>CPMSPL-14-11-2024-5645</t>
  </si>
  <si>
    <t>TCS-23-11-2024-29298</t>
  </si>
  <si>
    <t>LTIM-28-11-2024-17418</t>
  </si>
  <si>
    <t>Gap verification (Basic)</t>
  </si>
  <si>
    <t>Mayank Madhwal DE</t>
  </si>
  <si>
    <t>WIPRO-25-11-2024-21345</t>
  </si>
  <si>
    <t>Acuity Knowledge Services (India) Private Limited</t>
  </si>
  <si>
    <t>ACUITYKS-25-11-2024-1304</t>
  </si>
  <si>
    <t>Titan-28-11-2024-3934</t>
  </si>
  <si>
    <t>MUTHOOTF-05-11-2024-5340</t>
  </si>
  <si>
    <t>Object Technology Solutions India Pvt. Ltd.</t>
  </si>
  <si>
    <t>OTSIPL-21-10-2024-515</t>
  </si>
  <si>
    <t>IFFCO-24-04-2024-1151</t>
  </si>
  <si>
    <t>Dev Kumar DE</t>
  </si>
  <si>
    <t>SUGS-29-10-2024-11000</t>
  </si>
  <si>
    <t>TCS-27-11-2024-29376</t>
  </si>
  <si>
    <t>INFINX-25-11-2024-5410</t>
  </si>
  <si>
    <t>INFINX-22-11-2024-5372</t>
  </si>
  <si>
    <t>RNTBCIPL-27-11-2024-5146</t>
  </si>
  <si>
    <t>EUREKA-10-11-2024-28028</t>
  </si>
  <si>
    <t>SAI-12-11-2024-1611</t>
  </si>
  <si>
    <t>CICSPL-21-02-2024-11408</t>
  </si>
  <si>
    <t>Ciel HR Services Pvt. Ltd</t>
  </si>
  <si>
    <t>CIEL-29-11-2024-555</t>
  </si>
  <si>
    <t>TCS-17-09-2024-27199</t>
  </si>
  <si>
    <t>CDSIPL-20-11-2024-15432</t>
  </si>
  <si>
    <t>TCSBPO-28-11-2024-11158</t>
  </si>
  <si>
    <t>SAI-25-11-2024-1653</t>
  </si>
  <si>
    <t>EUREKA-26-11-2024-28278</t>
  </si>
  <si>
    <t>WIPRO-28-11-2024-21411</t>
  </si>
  <si>
    <t>INSPL-03-10-2023-932</t>
  </si>
  <si>
    <t>Ajanta Pharma Limited</t>
  </si>
  <si>
    <t>APL-26-11-2024-1653</t>
  </si>
  <si>
    <t>EUREKA-22-11-2024-28194</t>
  </si>
  <si>
    <t>EUREKA-13-11-2024-28056</t>
  </si>
  <si>
    <t>EUREKA-18-11-2024-28116</t>
  </si>
  <si>
    <t>EUREKA-13-11-2024-28063</t>
  </si>
  <si>
    <t>SAI-25-11-2024-1655</t>
  </si>
  <si>
    <t>HT Media Limited</t>
  </si>
  <si>
    <t>HTML-19-11-2024-368</t>
  </si>
  <si>
    <t>HTDS-11-11-2024-1052</t>
  </si>
  <si>
    <t>LTIM-01-10-2024-15349</t>
  </si>
  <si>
    <t>INSPL-17-01-2024-1285</t>
  </si>
  <si>
    <t>AMBIT-20-11-2024-4548</t>
  </si>
  <si>
    <t>KAIZEN IT Services Private Limited</t>
  </si>
  <si>
    <t>KAIZEN-18-11-2024-07</t>
  </si>
  <si>
    <t>WIPRO-DOP-29-11-2024-7040</t>
  </si>
  <si>
    <t>NAGARRO-26-11-2024-13271</t>
  </si>
  <si>
    <t>DATAMATICS-M-28-11-2024-318</t>
  </si>
  <si>
    <t>CPMSPL-29-11-2024-5682</t>
  </si>
  <si>
    <t>CMS-20-11-2024-1131</t>
  </si>
  <si>
    <t>CMS-27-11-2024-1137</t>
  </si>
  <si>
    <t>HT Media Ltd. (Fever 104)</t>
  </si>
  <si>
    <t>HTMLF-26-11-2024-283</t>
  </si>
  <si>
    <t>GGKTPL-08-11-2024-1984</t>
  </si>
  <si>
    <t>CtrlS-26-11-2024-209</t>
  </si>
  <si>
    <t>Teamlease Digital Pvt Ltd</t>
  </si>
  <si>
    <t>TDPL-22-11-2024-1261</t>
  </si>
  <si>
    <t>Green Park Hotel &amp; Resorts - Bangalore</t>
  </si>
  <si>
    <t>GPHRLS-02-12-2024-121</t>
  </si>
  <si>
    <t>AllegisT-02-12-2024-4041</t>
  </si>
  <si>
    <t>Cyient DLM Limited</t>
  </si>
  <si>
    <t>CDLML-02-12-2024-318</t>
  </si>
  <si>
    <t>PRGX-28-11-2024-345</t>
  </si>
  <si>
    <t>AMPCUS-25-11-2024-571</t>
  </si>
  <si>
    <t>GENPACT-27-11-2024-15106</t>
  </si>
  <si>
    <t>GENPACT-27-11-2024-15104</t>
  </si>
  <si>
    <t>LTIM-26-11-2024-17343</t>
  </si>
  <si>
    <t>LTIM-18-11-2024-17070</t>
  </si>
  <si>
    <t>BGIPL-19-08-2024-424</t>
  </si>
  <si>
    <t>WIPRO-02-12-2024-21680</t>
  </si>
  <si>
    <t>IDEMIA-08-11-2024-1698</t>
  </si>
  <si>
    <t>LTIM-21-10-2024-16158</t>
  </si>
  <si>
    <t>AWIGN-28-11-2024-9751</t>
  </si>
  <si>
    <t>TakedaICC-28-11-2024-316</t>
  </si>
  <si>
    <t>TakedaICC-28-11-2024-315</t>
  </si>
  <si>
    <t>TakedaICC-28-11-2024-317</t>
  </si>
  <si>
    <t>RPOSPL-15-11-2024-1854</t>
  </si>
  <si>
    <t>Graduation</t>
  </si>
  <si>
    <t>NOSPL-23-09-2024-4083</t>
  </si>
  <si>
    <t>SCPL-19-11-2024-1574</t>
  </si>
  <si>
    <t>AMBIT-10-07-2024-3400</t>
  </si>
  <si>
    <t>SOBEK-25-11-2024-939</t>
  </si>
  <si>
    <t>Exide Energy Solutions Limited</t>
  </si>
  <si>
    <t>EESL-12-02-2024-180</t>
  </si>
  <si>
    <t>AWIGN-28-11-2024-10023</t>
  </si>
  <si>
    <t>BML-27-11-2024-6503</t>
  </si>
  <si>
    <t>Savvysoft Technologies Private Limited</t>
  </si>
  <si>
    <t>SAVVYSOFT-29-11-2024-13</t>
  </si>
  <si>
    <t>Shantala. N Edu</t>
  </si>
  <si>
    <t>CTSIL-14-08-2024-19744</t>
  </si>
  <si>
    <t>Infogain India Private Limited-Bangalore</t>
  </si>
  <si>
    <t>INFOGAIN-B-07-11-2024-2128</t>
  </si>
  <si>
    <t>LTIM-23-11-2024-17268</t>
  </si>
  <si>
    <t>Titan-03-12-2024-3956</t>
  </si>
  <si>
    <t>Jitender Singh Rawat DE</t>
  </si>
  <si>
    <t>DIVERSE-28-11-2024-1236</t>
  </si>
  <si>
    <t>TCSBPO-28-11-2024-11163</t>
  </si>
  <si>
    <t>GOQii Technologies Private Limited</t>
  </si>
  <si>
    <t>GOQii-03-12-2024-227</t>
  </si>
  <si>
    <t>Titan-03-12-2024-3953</t>
  </si>
  <si>
    <t>Futurz Staffing Solutions Private Limited</t>
  </si>
  <si>
    <t>FUTURZ-18-10-2024-415</t>
  </si>
  <si>
    <t>CYIENT-21-08-2024-11769</t>
  </si>
  <si>
    <t>INFINX-03-12-2024-5517</t>
  </si>
  <si>
    <t>RSA-03-12-2024-210</t>
  </si>
  <si>
    <t>Credit Database Check</t>
  </si>
  <si>
    <t>RSA-03-12-2024-211</t>
  </si>
  <si>
    <t>LTIM-22-08-2024-13341</t>
  </si>
  <si>
    <t>TCS-29-10-2024-28634</t>
  </si>
  <si>
    <t>LTIM-03-12-2024-17569</t>
  </si>
  <si>
    <t>CTSIL-03-12-2024-22357</t>
  </si>
  <si>
    <t>GENPACT-29-11-2024-15563</t>
  </si>
  <si>
    <t>MUTHOOTF-27-11-2024-5711</t>
  </si>
  <si>
    <t>NTT-11-07-2024-899</t>
  </si>
  <si>
    <t>INSPL-26-03-2024-1462</t>
  </si>
  <si>
    <t>CICSPL-29-11-2024-15831</t>
  </si>
  <si>
    <t>CTSIL-29-11-2024-22211</t>
  </si>
  <si>
    <t>Court Record Verification - Current address</t>
  </si>
  <si>
    <t>Court Record Verification - Permanent address</t>
  </si>
  <si>
    <t>Court Record Verification – Previous Address 1</t>
  </si>
  <si>
    <t>AMBIT-07-11-2024-4362</t>
  </si>
  <si>
    <t>ICICI-15-11-2024-8907</t>
  </si>
  <si>
    <t>LTIM-06-08-2024-12617</t>
  </si>
  <si>
    <t>MUTHOOTF-03-12-2024-5791</t>
  </si>
  <si>
    <t>CTSIL-02-12-2024-22286</t>
  </si>
  <si>
    <t>SCP-19-11-2024-49</t>
  </si>
  <si>
    <t>AllegisT-27-11-2024-4024</t>
  </si>
  <si>
    <t>AGEAS-03-12-2024-2079</t>
  </si>
  <si>
    <t>TCS-16-10-2024-28297</t>
  </si>
  <si>
    <t>CMSRSL-04-11-2024-592</t>
  </si>
  <si>
    <t>CADTIPL-03-12-2024-252</t>
  </si>
  <si>
    <t>Criminal Verification through E-Court - Longest 7yrs of stay</t>
  </si>
  <si>
    <t>RT Network Solutions Pvt. Ltd</t>
  </si>
  <si>
    <t>RTNSPL-21-11-2024-798</t>
  </si>
  <si>
    <t>WIPRO-DOP-03-12-2024-7066</t>
  </si>
  <si>
    <t>WIPRO-DOP-03-12-2024-7078</t>
  </si>
  <si>
    <t>INSPL-17-02-2024-1373</t>
  </si>
  <si>
    <t>South Asia FM Ltd</t>
  </si>
  <si>
    <t>SAFM-12-07-2024-264</t>
  </si>
  <si>
    <t>SCPL-27-11-2024-1587</t>
  </si>
  <si>
    <t>RNTBCIPL-30-09-2024-4884</t>
  </si>
  <si>
    <t>CPMSPL-20-08-2024-5443</t>
  </si>
  <si>
    <t>KrazyBee Services Private Limited</t>
  </si>
  <si>
    <t>KSPL-13-11-2024-4568</t>
  </si>
  <si>
    <t>Titan-10-10-2024-3739</t>
  </si>
  <si>
    <t>IFFCO-08-11-2024-1953</t>
  </si>
  <si>
    <t>Titan-03-12-2024-3964</t>
  </si>
  <si>
    <t>LTIM-23-11-2024-17274</t>
  </si>
  <si>
    <t>AWIGN-28-11-2024-9849</t>
  </si>
  <si>
    <t>OIPL-20-11-2024-325</t>
  </si>
  <si>
    <t>NISG-18-09-2024-439</t>
  </si>
  <si>
    <t>NOSPL-22-06-2024-3538</t>
  </si>
  <si>
    <t>AMELIA-15-11-2024-14</t>
  </si>
  <si>
    <t>AMELIA-15-11-2024-24</t>
  </si>
  <si>
    <t>ACUITYKC-26-09-2024-1654</t>
  </si>
  <si>
    <t>LTIM-13-11-2024-16858</t>
  </si>
  <si>
    <t>LTIM-14-11-2024-16915</t>
  </si>
  <si>
    <t>TCS-27-09-2024-27648</t>
  </si>
  <si>
    <t>CtrlS-26-11-2024-210</t>
  </si>
  <si>
    <t>TCS-23-08-2024-26008</t>
  </si>
  <si>
    <t>Filtrec Bharat Manufacturing Private Limited</t>
  </si>
  <si>
    <t>FILTREC-28-08-2023-21</t>
  </si>
  <si>
    <t>TCSBPO-26-11-2024-11139</t>
  </si>
  <si>
    <t>BML-27-11-2024-6517</t>
  </si>
  <si>
    <t>COSETTE-16-11-2024-06</t>
  </si>
  <si>
    <t>SIFY-25-11-2024-890</t>
  </si>
  <si>
    <t>ACUITYKC-28-08-2024-1590</t>
  </si>
  <si>
    <t>CTSIL-21-11-2024-21757</t>
  </si>
  <si>
    <t>IPLBL-09-11-2024-1018</t>
  </si>
  <si>
    <t>SAI-12-11-2024-1613</t>
  </si>
  <si>
    <t>AGEAS-22-11-2024-2033</t>
  </si>
  <si>
    <t>AGEAS-22-11-2024-2041</t>
  </si>
  <si>
    <t>EUREKA-26-11-2024-28299</t>
  </si>
  <si>
    <t>EUREKA-25-11-2024-28244</t>
  </si>
  <si>
    <t>EUREKA-25-11-2024-28272</t>
  </si>
  <si>
    <t>TCS-22-11-2024-29265</t>
  </si>
  <si>
    <t>TCS-26-11-2024-29309</t>
  </si>
  <si>
    <t>Multi Commodity Exchange of India Limited</t>
  </si>
  <si>
    <t>MCX-27-11-2024-43</t>
  </si>
  <si>
    <t>Titan-15-11-2024-3871</t>
  </si>
  <si>
    <t>TCS-25-09-2024-27607</t>
  </si>
  <si>
    <t>TakedaICC-27-11-2024-305</t>
  </si>
  <si>
    <t>TAICPL-13-11-2024-1797</t>
  </si>
  <si>
    <t>EUREKA-25-11-2024-28217</t>
  </si>
  <si>
    <t>MIRAE-25-11-2024-57</t>
  </si>
  <si>
    <t>MISPL-27-11-2024-1842</t>
  </si>
  <si>
    <t>NAGARRO-26-11-2024-13269</t>
  </si>
  <si>
    <t>IKYA-01-10-2024-5345</t>
  </si>
  <si>
    <t>INSPL-26-03-2024-1455</t>
  </si>
  <si>
    <t>INFINX-29-11-2024-5487</t>
  </si>
  <si>
    <t>AllegisT-07-11-2024-3922</t>
  </si>
  <si>
    <t>WIPRO-02-12-2024-21462</t>
  </si>
  <si>
    <t>Kellogg India Private Limited</t>
  </si>
  <si>
    <t>KIPL-03-10-2024-558</t>
  </si>
  <si>
    <t>CTSIL-20-11-2024-21656</t>
  </si>
  <si>
    <t>LTIM-19-11-2024-17073</t>
  </si>
  <si>
    <t>CTSIL-21-11-2024-21692</t>
  </si>
  <si>
    <t>TECIPL-09-11-2024-777</t>
  </si>
  <si>
    <t>AMBIT-30-10-2024-4245</t>
  </si>
  <si>
    <t>LTIM-20-11-2024-17145</t>
  </si>
  <si>
    <t>CICSPL-22-11-2024-15784</t>
  </si>
  <si>
    <t>LTIM-29-07-2024-12351</t>
  </si>
  <si>
    <t>WIPRO-02-12-2024-21448</t>
  </si>
  <si>
    <t>TEL-02-12-2024-10213</t>
  </si>
  <si>
    <t>GENPACT-02-12-2024-15606</t>
  </si>
  <si>
    <t>Badal ChaudharyDETM</t>
  </si>
  <si>
    <t>INFINITI-23-11-2024-2033</t>
  </si>
  <si>
    <t>WIPRO-03-12-2024-21803</t>
  </si>
  <si>
    <t>Intelliest Technology Private Limited</t>
  </si>
  <si>
    <t>INTELLIEST-07-09-2024-08</t>
  </si>
  <si>
    <t>LTIM-19-09-2024-14657</t>
  </si>
  <si>
    <t>NASSCOM</t>
  </si>
  <si>
    <t>NASSCOM-09-09-2024-95</t>
  </si>
  <si>
    <t>LTIM-20-11-2024-17138</t>
  </si>
  <si>
    <t>SAI-09-10-2024-1525</t>
  </si>
  <si>
    <t>INSPL-17-01-2024-1283</t>
  </si>
  <si>
    <t>INSPL-08-03-2024-1391</t>
  </si>
  <si>
    <t>GALLAGHER-03-12-2024-6975</t>
  </si>
  <si>
    <t>DATAMATICS-M-28-11-2024-331</t>
  </si>
  <si>
    <t>Tawakkal Tours and Travels</t>
  </si>
  <si>
    <t>TAWAKKAL-28-11-2024-348</t>
  </si>
  <si>
    <t>adidas Marketing India Pvt Ltd</t>
  </si>
  <si>
    <t>adidas-18-09-2024-1932</t>
  </si>
  <si>
    <t>EUREKA-23-11-2024-28204</t>
  </si>
  <si>
    <t>EUREKA-25-11-2024-28224</t>
  </si>
  <si>
    <t>EUREKA-06-11-2024-28001</t>
  </si>
  <si>
    <t>Invimatic Technologies Pvt Ltd</t>
  </si>
  <si>
    <t>INVIMATIC-28-11-2024-13</t>
  </si>
  <si>
    <t>AWIGN-27-11-2024-9538</t>
  </si>
  <si>
    <t>INSPL-12-03-2024-1442</t>
  </si>
  <si>
    <t>GENPACT-02-12-2024-15594</t>
  </si>
  <si>
    <t>GENPACT-23-10-2024-13960</t>
  </si>
  <si>
    <t>Titan-12-11-2024-3864</t>
  </si>
  <si>
    <t>TCS-26-11-2024-29333</t>
  </si>
  <si>
    <t>INSPL-24-01-2024-1328</t>
  </si>
  <si>
    <t>Yogender Singh</t>
  </si>
  <si>
    <t>LTIM-10-10-2024-15694</t>
  </si>
  <si>
    <t>OCS-26-11-2024-1044</t>
  </si>
  <si>
    <t>TCSBPO-02-12-2024-11184</t>
  </si>
  <si>
    <t>Tech Mahindra Cerium Private Limited</t>
  </si>
  <si>
    <t>TechMCPL-04-12-2024-1392</t>
  </si>
  <si>
    <t>TechMCPL-04-12-2024-1393</t>
  </si>
  <si>
    <t>LTIM-21-11-2024-17203</t>
  </si>
  <si>
    <t>AllegisT-27-11-2024-4028</t>
  </si>
  <si>
    <t>TCSBPO-03-12-2024-11203</t>
  </si>
  <si>
    <t>LTIM-21-11-2024-17211</t>
  </si>
  <si>
    <t>adidas-13-11-2024-1967</t>
  </si>
  <si>
    <t>AMBIT-07-11-2024-4341</t>
  </si>
  <si>
    <t>AMBIT-03-12-2024-4785</t>
  </si>
  <si>
    <t>CTSIL-27-11-2024-22032</t>
  </si>
  <si>
    <t>CTSIL-24-11-2024-21893</t>
  </si>
  <si>
    <t>VEL-27-08-2024-73</t>
  </si>
  <si>
    <t>CTSIL-27-11-2024-22078</t>
  </si>
  <si>
    <t>BML-27-11-2024-6516</t>
  </si>
  <si>
    <t>CtrlS-20-10-2024-127</t>
  </si>
  <si>
    <t>WIPRO-03-12-2024-21799</t>
  </si>
  <si>
    <t>QuessITS-03-12-2024-448</t>
  </si>
  <si>
    <t>INSPL-17-01-2024-1278</t>
  </si>
  <si>
    <t>PRGX-28-11-2024-346</t>
  </si>
  <si>
    <t>PROLIFICS-07-11-2024-32</t>
  </si>
  <si>
    <t>AZIPL-27-11-2024-2434</t>
  </si>
  <si>
    <t>PRGX-26-11-2024-336</t>
  </si>
  <si>
    <t>UNIQUS-27-11-2024-13</t>
  </si>
  <si>
    <t>12th Grade Verification (Higher Secondary Education)</t>
  </si>
  <si>
    <t>GENPACT-24-10-2024-13964</t>
  </si>
  <si>
    <t>INSPL-26-03-2024-1466</t>
  </si>
  <si>
    <t>SUGS-29-11-2024-11405</t>
  </si>
  <si>
    <t>Neblio Technologies Private Limited</t>
  </si>
  <si>
    <t>NEBLIO-02-12-2024-332</t>
  </si>
  <si>
    <t>LTIM-21-11-2024-17194</t>
  </si>
  <si>
    <t>TCS-02-12-2024-29497</t>
  </si>
  <si>
    <t>WIPRO-03-12-2024-21742</t>
  </si>
  <si>
    <t>WIPRO-DOP-02-12-2024-7052</t>
  </si>
  <si>
    <t>AMBIT-10-07-2024-3406</t>
  </si>
  <si>
    <t>IFFCO-13-08-2024-1678</t>
  </si>
  <si>
    <t>JMAN Group Private Limited</t>
  </si>
  <si>
    <t>JMAN-29-11-2024-05</t>
  </si>
  <si>
    <t>10FA-27-11-2024-1378</t>
  </si>
  <si>
    <t>Integrated Personnel Services Limited</t>
  </si>
  <si>
    <t>TCSV-IP-19-11-2024-314</t>
  </si>
  <si>
    <t>LTIM-23-09-2024-14843</t>
  </si>
  <si>
    <t>BML-27-11-2024-6505</t>
  </si>
  <si>
    <t>MIC-29-11-2024-2642</t>
  </si>
  <si>
    <t>CTSIL-27-11-2024-22042</t>
  </si>
  <si>
    <t>LTIM-21-11-2024-17209</t>
  </si>
  <si>
    <t>SOBEK-12-11-2024-934</t>
  </si>
  <si>
    <t>CVENT-04-12-2024-2284</t>
  </si>
  <si>
    <t>FAPL-04-12-2024-8549</t>
  </si>
  <si>
    <t>CIEL-04-12-2024-558</t>
  </si>
  <si>
    <t>CTSIL-04-12-2024-22415</t>
  </si>
  <si>
    <t>TechM-04-12-2024-8653</t>
  </si>
  <si>
    <t>LTIM-04-12-2024-17614</t>
  </si>
  <si>
    <t>LTIM-11-10-2024-15802</t>
  </si>
  <si>
    <t>WIPRO-04-12-2024-21828</t>
  </si>
  <si>
    <t>Previous Address Verification 1</t>
  </si>
  <si>
    <t>INFINX-04-12-2024-5530</t>
  </si>
  <si>
    <t>INFINX-04-12-2024-5531</t>
  </si>
  <si>
    <t>KSPL-04-12-2024-4751</t>
  </si>
  <si>
    <t>NOSPL-03-12-2024-4381</t>
  </si>
  <si>
    <t>TCS-21-11-2024-29195</t>
  </si>
  <si>
    <t>TCSBPO-23-08-2024-10213</t>
  </si>
  <si>
    <t>PROLIFICS-25-11-2024-52</t>
  </si>
  <si>
    <t>TechM-28-11-2024-8622</t>
  </si>
  <si>
    <t>CDSIPL-20-11-2024-15417</t>
  </si>
  <si>
    <t>WIPRO-16-11-2024-21120</t>
  </si>
  <si>
    <t>MUTHOOTF-28-09-2024-4945</t>
  </si>
  <si>
    <t>GRO-22-11-2024-201</t>
  </si>
  <si>
    <t>KIPL-27-11-2024-571</t>
  </si>
  <si>
    <t>TechM-02-12-2024-8636</t>
  </si>
  <si>
    <t>CtrlS-15-11-2024-178</t>
  </si>
  <si>
    <t>IKYA-30-10-2024-5524</t>
  </si>
  <si>
    <t>IDP-29-11-2024-950</t>
  </si>
  <si>
    <t>ID Check – Overseas Passport</t>
  </si>
  <si>
    <t>IPSoft Global Services Pvt. Ltd.</t>
  </si>
  <si>
    <t>IPSoft-17-07-2023-157</t>
  </si>
  <si>
    <t>CtrlS-02-12-2024-224</t>
  </si>
  <si>
    <t>AllegisT-24-10-2024-3843</t>
  </si>
  <si>
    <t>AllegisT-14-10-2024-3693</t>
  </si>
  <si>
    <t>Victor Luxury Limousine Private Limited</t>
  </si>
  <si>
    <t>VLPL-21-11-2024-390</t>
  </si>
  <si>
    <t>SGSPL-29-10-2024-35</t>
  </si>
  <si>
    <t>LTIM-09-11-2024-16713</t>
  </si>
  <si>
    <t>Hartek Power Pvt. Ltd.</t>
  </si>
  <si>
    <t>HARTEK-17-10-2024-06</t>
  </si>
  <si>
    <t>SUGS-25-11-2024-11369</t>
  </si>
  <si>
    <t>Calcutta International School Society</t>
  </si>
  <si>
    <t>CISS-27-11-2024-69</t>
  </si>
  <si>
    <t>LTIM-28-11-2024-17446</t>
  </si>
  <si>
    <t>TDPL-08-10-2024-1252</t>
  </si>
  <si>
    <t>AMPCUS-04-12-2024-586</t>
  </si>
  <si>
    <t>WSSH-04-12-2024-9552</t>
  </si>
  <si>
    <t>AMBIT-25-11-2024-4613</t>
  </si>
  <si>
    <t>BSH Household Appliances Mfg. Pvt Ltd</t>
  </si>
  <si>
    <t>BSH-04-12-2024-518</t>
  </si>
  <si>
    <t>LTIM-22-10-2024-16169</t>
  </si>
  <si>
    <t>LTIM-24-10-2024-16283</t>
  </si>
  <si>
    <t>IGT Solutions Private Limited - Project (Drivers BGV)</t>
  </si>
  <si>
    <t>IGT- P-20-11-2024-216</t>
  </si>
  <si>
    <t>SBGV-26-11-2024-5347</t>
  </si>
  <si>
    <t>LTIM-10-10-2024-15738</t>
  </si>
  <si>
    <t>AccSPL-15-11-2024-25856</t>
  </si>
  <si>
    <t>CtrlS-24-11-2024-207</t>
  </si>
  <si>
    <t>TCS-14-11-2024-29038</t>
  </si>
  <si>
    <t>WSSH-20-11-2024-9232</t>
  </si>
  <si>
    <t>SVNSIPL-10-10-2024-152</t>
  </si>
  <si>
    <t>COMMSCOPE-30-07-2024-708</t>
  </si>
  <si>
    <t>EUREKA-25-11-2024-28231</t>
  </si>
  <si>
    <t>EUREKA-08-11-2024-28019</t>
  </si>
  <si>
    <t>AZUGA TELEMATICS PVT. LTD.</t>
  </si>
  <si>
    <t>AZUGA-22-11-2024-475</t>
  </si>
  <si>
    <t>HT Media Limited-Shine.com</t>
  </si>
  <si>
    <t>SHINE-03-12-2024-570</t>
  </si>
  <si>
    <t>TCSBPO-30-09-2024-10657</t>
  </si>
  <si>
    <t>PIL-22-11-2024-608</t>
  </si>
  <si>
    <t>Triarq Health LLP</t>
  </si>
  <si>
    <t>TRIARQ-29-11-2024-658</t>
  </si>
  <si>
    <t>EUREKA-25-11-2024-28247</t>
  </si>
  <si>
    <t>Tianish Laboratories Private Limited</t>
  </si>
  <si>
    <t>TIANISH-11-11-2024-10</t>
  </si>
  <si>
    <t>AMBIT-28-11-2024-4683</t>
  </si>
  <si>
    <t>ICICI-20-11-2024-9016</t>
  </si>
  <si>
    <t>LTIM-06-11-2024-16589</t>
  </si>
  <si>
    <t>TCSBPO-19-11-2024-11092</t>
  </si>
  <si>
    <t>IKYA-22-10-2024-5463</t>
  </si>
  <si>
    <t>CtrlS-02-12-2024-223</t>
  </si>
  <si>
    <t>Quinte Financial Technologies Pvt. Ltd</t>
  </si>
  <si>
    <t>QUINTE-04-12-2024-394</t>
  </si>
  <si>
    <t>CYIENT-04-12-2024-12914</t>
  </si>
  <si>
    <t>Infogain India Pvt Ltd</t>
  </si>
  <si>
    <t>INFOGAIN-29-10-2024-1250</t>
  </si>
  <si>
    <t>AMBIT-02-09-2024-3792</t>
  </si>
  <si>
    <t>LTIM-03-10-2024-15448</t>
  </si>
  <si>
    <t>LTIM-13-11-2024-16846</t>
  </si>
  <si>
    <t>Titan-02-12-2024-3947</t>
  </si>
  <si>
    <t>IKYA-11-03-2024-4530</t>
  </si>
  <si>
    <t>IKYA-10-10-2024-5386</t>
  </si>
  <si>
    <t>JMAN-30-11-2024-43</t>
  </si>
  <si>
    <t>TCS-18-11-2024-29124</t>
  </si>
  <si>
    <t>CMS-30-08-2024-1074</t>
  </si>
  <si>
    <t>SUGS-18-11-2024-11291</t>
  </si>
  <si>
    <t>Allegis Services India Pvt Ltd – Actalent</t>
  </si>
  <si>
    <t>AllegisE-29-11-2024-1106</t>
  </si>
  <si>
    <t>ACCPL-25-11-2024-16</t>
  </si>
  <si>
    <t>Conviction HR Private Limited</t>
  </si>
  <si>
    <t>CONVICTION-22-11-2024-01</t>
  </si>
  <si>
    <t>Criminal Verification through E-Court - Previous Address 3</t>
  </si>
  <si>
    <t>TCS-31-07-2024-24464</t>
  </si>
  <si>
    <t>IKYA-23-10-2024-5473</t>
  </si>
  <si>
    <t>Rajesh Semwal</t>
  </si>
  <si>
    <t>IKYA-21-08-2024-5139</t>
  </si>
  <si>
    <t>IKYA-07-02-2024-4453</t>
  </si>
  <si>
    <t>FSNB-27-11-2024-1570</t>
  </si>
  <si>
    <t>Save the Children</t>
  </si>
  <si>
    <t>SAVE-14-10-2024-1918</t>
  </si>
  <si>
    <t>Kennametal Shared Services Pvt. Ltd</t>
  </si>
  <si>
    <t>KSS-02-11-2024-175</t>
  </si>
  <si>
    <t>TCSBPO-11-11-2024-11045</t>
  </si>
  <si>
    <t>AllegisT-04-11-2024-3886</t>
  </si>
  <si>
    <t>Sub Check Name</t>
  </si>
  <si>
    <t>a</t>
  </si>
  <si>
    <t>Criminal Verification through E-Court – New Current Address</t>
  </si>
  <si>
    <t>Criminal Court Check 1</t>
  </si>
  <si>
    <t>Criminal Court Check 2</t>
  </si>
  <si>
    <t>Criminal Court Check 3</t>
  </si>
  <si>
    <t>Criminal Court Check 4</t>
  </si>
  <si>
    <t>Court Record Verification – Previous Address 2</t>
  </si>
  <si>
    <t>Court Record Verification – Previous Address 3</t>
  </si>
  <si>
    <t>Criminal Record Check</t>
  </si>
  <si>
    <t>Criminal Verification through E-Court - Intermediate Address 1</t>
  </si>
  <si>
    <t>Court Record Check through Law firm – Permanent Address</t>
  </si>
  <si>
    <t>Court Record Check through Law firm – Current Address</t>
  </si>
  <si>
    <t>Court Record Database Check</t>
  </si>
  <si>
    <t>Court Record Verification - 10 Years of Stay</t>
  </si>
  <si>
    <t>Criminal Verification through E-Court - Present Address</t>
  </si>
  <si>
    <t>Fast Track - Criminal Verification through E-Court - Permanent Address</t>
  </si>
  <si>
    <t>Criminal Verification through E-Court - Previous Address 5</t>
  </si>
  <si>
    <t>Criminal Verification through E-Court - Previous Address 12</t>
  </si>
  <si>
    <t>Criminal Verification through E-Court - Intermediate Address 2</t>
  </si>
  <si>
    <t>Criminal Verification through E-Court - Previous Address 4</t>
  </si>
  <si>
    <t>Criminal Verification through E-Court - Previous Address 6</t>
  </si>
  <si>
    <t>Criminal Verification through E-Court - Previous Address 7</t>
  </si>
  <si>
    <t>Court Record Verification - 7 Years of Stay</t>
  </si>
  <si>
    <t>Criminal Court Check 5</t>
  </si>
  <si>
    <t>Criminal Court Check 6</t>
  </si>
  <si>
    <t>Criminal Verification through E-Court – New Permanent Address</t>
  </si>
  <si>
    <t>Court Record Verification – Previous Address 4</t>
  </si>
  <si>
    <t>Criminal Verification through E-Court - Previous Address 8</t>
  </si>
  <si>
    <t>Criminal Verification through E-Court - Previous Address 10</t>
  </si>
  <si>
    <t>Criminal Verification through E-Court - Intermediate Address 3</t>
  </si>
  <si>
    <t>Court Record Check via Law Firm</t>
  </si>
  <si>
    <t>Criminal Court Check 7</t>
  </si>
  <si>
    <t>Criminal Court Check 8</t>
  </si>
  <si>
    <t>New Current Address Verification</t>
  </si>
  <si>
    <t>Previous Address Verification 2</t>
  </si>
  <si>
    <t>Address Verification 2</t>
  </si>
  <si>
    <t>Address Verification 3</t>
  </si>
  <si>
    <t>SSN Trace Check</t>
  </si>
  <si>
    <t>Previous Address Verification 3</t>
  </si>
  <si>
    <t>Previous Address Verification 4</t>
  </si>
  <si>
    <t>Previous Address Verification 5</t>
  </si>
  <si>
    <t>Address Verification 4</t>
  </si>
  <si>
    <t>Previous Address Verification 10</t>
  </si>
  <si>
    <t>Previous Address Verification 6</t>
  </si>
  <si>
    <t>Previous Address Verification 7</t>
  </si>
  <si>
    <t>Previous Address Verification 8</t>
  </si>
  <si>
    <t>Previous Address Verification 9</t>
  </si>
  <si>
    <t>Address Verification 5</t>
  </si>
  <si>
    <t>Address Verification 6</t>
  </si>
  <si>
    <t>12th</t>
  </si>
  <si>
    <t>Highest Professional Education</t>
  </si>
  <si>
    <t>10th</t>
  </si>
  <si>
    <t>Education Verification 4</t>
  </si>
  <si>
    <t>Education Verification 3</t>
  </si>
  <si>
    <t>Education Check</t>
  </si>
  <si>
    <t>Highest Education Check (PG)</t>
  </si>
  <si>
    <t>Post Graduation</t>
  </si>
  <si>
    <t>Highest Education Check (UG)</t>
  </si>
  <si>
    <t>Overseas Education Verification</t>
  </si>
  <si>
    <t>Previous Employment Verification 7</t>
  </si>
  <si>
    <t>Current Employment</t>
  </si>
  <si>
    <t>Employment verification through RM</t>
  </si>
  <si>
    <t>Previous Employment Verification 5</t>
  </si>
  <si>
    <t>Previous Employment</t>
  </si>
  <si>
    <t>Employment Verification</t>
  </si>
  <si>
    <t>Previous Employment Verification 6</t>
  </si>
  <si>
    <t>Employment Verification – P-4</t>
  </si>
  <si>
    <t>Pre-Employment Medical Test</t>
  </si>
  <si>
    <t>Overseas Employment Verification</t>
  </si>
  <si>
    <t>Current Employment - Tier 3</t>
  </si>
  <si>
    <t>Previous Employment 1 - Tier 3</t>
  </si>
  <si>
    <t>Criminal Verification through Police- Permanent Address (Written)</t>
  </si>
  <si>
    <t>Criminal Verification through Police- Current Address (Written)</t>
  </si>
  <si>
    <t>Criminal Check - Previous Address 2</t>
  </si>
  <si>
    <t>Criminal Check - Previous Address 7</t>
  </si>
  <si>
    <t>Criminal Check - Previous Address 3</t>
  </si>
  <si>
    <t>Criminal Verification through Police- Permanent Address (Verbal)</t>
  </si>
  <si>
    <t>Criminal Check - Current Address</t>
  </si>
  <si>
    <t>Criminal Database Check</t>
  </si>
  <si>
    <t>Criminal Verification through Police – New Current Address (Verbal)</t>
  </si>
  <si>
    <t>National Criminal Search</t>
  </si>
  <si>
    <t>County Criminal Check - Permanent Address</t>
  </si>
  <si>
    <t>Criminal Check - Previous Address 1</t>
  </si>
  <si>
    <t>Criminal Check - Previous Address 4</t>
  </si>
  <si>
    <t>Criminal Verification through Police- Current Address (Verbal)</t>
  </si>
  <si>
    <t>Criminal verification through Judiciary website and proprietary database - Current Address</t>
  </si>
  <si>
    <t>County Criminal Check - Current Address</t>
  </si>
  <si>
    <t>Criminal Record Check – Basic DBS</t>
  </si>
  <si>
    <t>Criminality Watch List</t>
  </si>
  <si>
    <t>Criminal Verification through Police- Previous Address 1 (Verbal)</t>
  </si>
  <si>
    <t>Criminal Check - Previous Address 5</t>
  </si>
  <si>
    <t>Criminal Verification through Police- Previous Address 2 (Verbal)</t>
  </si>
  <si>
    <t>Criminal Check - Permanent Address</t>
  </si>
  <si>
    <t>Criminal Certificate Validation</t>
  </si>
  <si>
    <t>Criminal Check - Previous Address 6</t>
  </si>
  <si>
    <t>Personal Reference Check 2</t>
  </si>
  <si>
    <t>Professional Reference Check 3</t>
  </si>
  <si>
    <t>Professional Reference Check</t>
  </si>
  <si>
    <t>Freelancing Reference Check - 1</t>
  </si>
  <si>
    <t>360 Degree Reference Check</t>
  </si>
  <si>
    <t>Freelancing Reference Check - 4</t>
  </si>
  <si>
    <t>Freelancing Reference Check - 3</t>
  </si>
  <si>
    <t>India Police Record Verification through Law Firm - Previous Address 3</t>
  </si>
  <si>
    <t>India Police Record Verification through Law Firm - Previous Address 4</t>
  </si>
  <si>
    <t>India Police Record Verification through Law Firm - Previous Address 2</t>
  </si>
  <si>
    <t>Drug Test-Panel 5</t>
  </si>
  <si>
    <t>Aadhaar verification</t>
  </si>
  <si>
    <t>Identity Proof Check</t>
  </si>
  <si>
    <t>OFAC</t>
  </si>
  <si>
    <t>Company Investigation</t>
  </si>
  <si>
    <t>Passport Verification</t>
  </si>
  <si>
    <t>Company Investigation 3</t>
  </si>
  <si>
    <t>Company Investigation : Digital</t>
  </si>
  <si>
    <t>Drug Test-Panel 12</t>
  </si>
  <si>
    <t>Drug Test-Panel 9</t>
  </si>
  <si>
    <t>Right to Work</t>
  </si>
  <si>
    <t>Sex Offender Search</t>
  </si>
  <si>
    <t>Credit Default Database Check</t>
  </si>
  <si>
    <t>World Check</t>
  </si>
  <si>
    <t>India level Database</t>
  </si>
  <si>
    <t>GSA Database check</t>
  </si>
  <si>
    <t>Social Media Check</t>
  </si>
  <si>
    <t>OIG Database</t>
  </si>
  <si>
    <t>FDA Database Check</t>
  </si>
  <si>
    <t>Company Investigation 4</t>
  </si>
  <si>
    <t>Company Investigation : Physical</t>
  </si>
  <si>
    <t>Global Database OFAC</t>
  </si>
  <si>
    <t>Checks</t>
  </si>
  <si>
    <t>Pending Rejection</t>
  </si>
  <si>
    <t>Day</t>
  </si>
  <si>
    <t>Noida Initiation Team Member DE</t>
  </si>
  <si>
    <t>Pixtone Images Pvt Ltd</t>
  </si>
  <si>
    <t>Weekday</t>
  </si>
  <si>
    <t>Row Labels</t>
  </si>
  <si>
    <t>Monday</t>
  </si>
  <si>
    <t>Tuesday</t>
  </si>
  <si>
    <t>Wednesday</t>
  </si>
  <si>
    <t>Thursday</t>
  </si>
  <si>
    <t>Grand Total</t>
  </si>
  <si>
    <t>MTD Rejection</t>
  </si>
  <si>
    <t>PIERAG Consulting LLP</t>
  </si>
  <si>
    <t>National Skill Development Corporation - BGV</t>
  </si>
  <si>
    <t>FSN International Limited</t>
  </si>
  <si>
    <t>Cohance Lifesciences Limited</t>
  </si>
  <si>
    <t>iBus Network and Infrastructure Private Limited</t>
  </si>
  <si>
    <t>Jaasit Technologies Private Limited</t>
  </si>
  <si>
    <t>JAASIT-03-10-2024-03</t>
  </si>
  <si>
    <t>LTIM-26-11-2024-17354</t>
  </si>
  <si>
    <t>Patra India BPO Service Pvt Ltd</t>
  </si>
  <si>
    <t>Mea Platform Technologies Private Limited</t>
  </si>
  <si>
    <t>TCS-26-11-2024-29331</t>
  </si>
  <si>
    <t>Viraj Infotech</t>
  </si>
  <si>
    <t>Friday</t>
  </si>
  <si>
    <t>INSPL-27-04-2024-1633</t>
  </si>
  <si>
    <t>SLPL-03-12-2024-1895</t>
  </si>
  <si>
    <t>Devyani Food Industries Limited</t>
  </si>
  <si>
    <t>Practus Professional Services Private Limited</t>
  </si>
  <si>
    <t>ContinuServe Softech India Pvt Ltd</t>
  </si>
  <si>
    <t>Titan-28-11-2024-3940</t>
  </si>
  <si>
    <t>LTIM-06-12-2024-17778</t>
  </si>
  <si>
    <t>Rastreator Comparador Correduria de Seguros S.L.U. (India Branch Office)</t>
  </si>
  <si>
    <t>Education Quality Check</t>
  </si>
  <si>
    <t>Saturday</t>
  </si>
  <si>
    <t>Frankfinn Aviation Services Private Limited</t>
  </si>
  <si>
    <t>Space World Digital Solution Private Limited</t>
  </si>
  <si>
    <t>Cremica Food Industries Ltd.</t>
  </si>
  <si>
    <t>Softura Private Ltd</t>
  </si>
  <si>
    <t>Imerys Ceramics India Private Limited</t>
  </si>
  <si>
    <t>IGT- P-03-12-2024-265</t>
  </si>
  <si>
    <t>Infogain Systems Pvt. Ltd., Pune</t>
  </si>
  <si>
    <t>LTIM-15-11-2024-16963</t>
  </si>
  <si>
    <t>Next Radio Limited</t>
  </si>
  <si>
    <t>Maruti Suzuki India Limited - W</t>
  </si>
  <si>
    <t>IKYA-22-05-2024-4785</t>
  </si>
  <si>
    <t>Pasona India Private Limited</t>
  </si>
  <si>
    <t>Nykaa E-Retail Private Limited</t>
  </si>
  <si>
    <t>TEL-16-11-2024-10203</t>
  </si>
  <si>
    <t>Mobiversa Private Limited</t>
  </si>
  <si>
    <t>Sterling Software Private Limited</t>
  </si>
  <si>
    <t>ChildFund India</t>
  </si>
  <si>
    <t>JK Urbanscapes Developers Limited</t>
  </si>
  <si>
    <t>New Saraswati House</t>
  </si>
  <si>
    <t>Sunday</t>
  </si>
  <si>
    <t>Sandeep Singh Edu</t>
  </si>
  <si>
    <t>CMS IT Services Private Limited</t>
  </si>
  <si>
    <t>Titan-03-12-2024-3950</t>
  </si>
  <si>
    <t>Datami Mobile Solutions Private Limited</t>
  </si>
  <si>
    <t>Creospan Private Limited</t>
  </si>
  <si>
    <t>Atidiv (India) Private Limited</t>
  </si>
  <si>
    <t>OMR India outsources Pvt. Ltd.</t>
  </si>
  <si>
    <t>Prometric Testing Private Limited</t>
  </si>
  <si>
    <t>Ashirvad Pipes Pvt. Ltd</t>
  </si>
  <si>
    <t>Parle Biscuits Pvt Ltd</t>
  </si>
  <si>
    <t>The British School</t>
  </si>
  <si>
    <t>WIPRO-07-12-2024-21877</t>
  </si>
  <si>
    <t>CARE-16-11-2024-612</t>
  </si>
  <si>
    <t>Aham Housing Finance Ltd</t>
  </si>
  <si>
    <t>AZIPL-06-07-2024-1995</t>
  </si>
  <si>
    <t>Enavant Research LLP</t>
  </si>
  <si>
    <t>Jaya Hind Industries Pvt. Ltd</t>
  </si>
  <si>
    <t>Sacha Engineering Pvt Ltd</t>
  </si>
  <si>
    <t>Kal Radio Limited</t>
  </si>
  <si>
    <t>Anupama Panwar</t>
  </si>
  <si>
    <t>ID Verification 1</t>
  </si>
  <si>
    <t>ClinChoice Private Limited</t>
  </si>
  <si>
    <t>BorgWarner Cooling Systems (India) Pvt. Ltd.</t>
  </si>
  <si>
    <t>eCAPS Computers India Pvt Ltd</t>
  </si>
  <si>
    <t>Trinity Touch Private Limited</t>
  </si>
  <si>
    <t>Vishwa Samudra Holdings Pvt. Ltd.</t>
  </si>
  <si>
    <t>Naxnova Technologies Private Limited</t>
  </si>
  <si>
    <t>Hema Gauri EDU</t>
  </si>
  <si>
    <t>Klaus IT Solutions Private Limited</t>
  </si>
  <si>
    <t>AWIGN-28-11-2024-9864</t>
  </si>
  <si>
    <t>Noventiq Services India Private Limited</t>
  </si>
  <si>
    <t>GEMSL-06-12-2024-519</t>
  </si>
  <si>
    <t>BML-10-12-2024-6591</t>
  </si>
  <si>
    <t>GeoTech Infoservices Pvt Ltd</t>
  </si>
  <si>
    <t>Infravision Transmission Solutions Pvt Ltd</t>
  </si>
  <si>
    <t>Hitachi Rail STS India Pvt Ltd</t>
  </si>
  <si>
    <t>RBL Bank Ltd.</t>
  </si>
  <si>
    <t>Fermenta Biotech Limited</t>
  </si>
  <si>
    <t>Titan-03-12-2024-3962</t>
  </si>
  <si>
    <t>Ozonetel Communications Private Limited</t>
  </si>
  <si>
    <t>TCS-10-12-2024-29713</t>
  </si>
  <si>
    <t>AMBIT-05-12-2024-4890</t>
  </si>
  <si>
    <t>Kennametal India Limited</t>
  </si>
  <si>
    <t>CTSIL-30-11-2024-22227</t>
  </si>
  <si>
    <t>ChargeBee Technologies Private Limited - USA</t>
  </si>
  <si>
    <t>Face Match</t>
  </si>
  <si>
    <t>WIPRO-DOP-10-12-2024-7115</t>
  </si>
  <si>
    <t>WIPRO-11-12-2024-21927</t>
  </si>
  <si>
    <t>Matex Net Pvt. Ltd</t>
  </si>
  <si>
    <t>Nexval Infotech Private Limited</t>
  </si>
  <si>
    <t>CTSIL-27-11-2024-22034</t>
  </si>
  <si>
    <t>LTIM-04-12-2024-17615</t>
  </si>
  <si>
    <t>Accelirate Softech Pvt Ltd</t>
  </si>
  <si>
    <t>Cognizant Technology Solutions India Private Limited - Campus</t>
  </si>
  <si>
    <t>KRBL Limited</t>
  </si>
  <si>
    <t>Client</t>
  </si>
  <si>
    <t>Envision Wind Power Technologies India Private Limited</t>
  </si>
  <si>
    <t>TMotions Global Private Limited</t>
  </si>
  <si>
    <t>Bank Statement Verification</t>
  </si>
  <si>
    <t>India Police Record Verification through Law Firm - Current Address</t>
  </si>
  <si>
    <t>Genpact - Europe</t>
  </si>
  <si>
    <t>BML-27-11-2024-6543</t>
  </si>
  <si>
    <t>Tata Realty and Infrastructure Limited - Corporate</t>
  </si>
  <si>
    <t>Amisha Singh Budha DE</t>
  </si>
  <si>
    <t>Hapag Lloyd Business Services LLP</t>
  </si>
  <si>
    <t>Qure.ai Technologies Private Limited</t>
  </si>
  <si>
    <t>QueensNine Advisors LLP</t>
  </si>
  <si>
    <t>SLPL-11-12-2024-1951</t>
  </si>
  <si>
    <t>TCS-11-12-2024-29774</t>
  </si>
  <si>
    <t>IKYA-03-10-2024-5347</t>
  </si>
  <si>
    <t>Total Rejection</t>
  </si>
  <si>
    <t>UAN Validation 2</t>
  </si>
  <si>
    <t>Jeh Aerospace</t>
  </si>
  <si>
    <t>Furukawa Minda Electric Pvt. Ltd</t>
  </si>
  <si>
    <t>Quantum Advisor Pvt. Ltd</t>
  </si>
  <si>
    <t>10th Grade Verification (Secondary Education)</t>
  </si>
  <si>
    <t>Zindagi Technologies Pvt Ltd</t>
  </si>
  <si>
    <t>TechM-11-12-2024-8715</t>
  </si>
  <si>
    <t>Quantum Asset Management Company Pvt. Ltd.</t>
  </si>
  <si>
    <t>Tata Realty and Infrastructure Limited - North &amp; East</t>
  </si>
  <si>
    <t>WIPRO-12-12-2024-21944</t>
  </si>
  <si>
    <t>Walsons PCC</t>
  </si>
  <si>
    <t>Zamil Steel Engineering India Pvt. Ltd</t>
  </si>
  <si>
    <t>Vedanta Limited</t>
  </si>
  <si>
    <t>Dish Network Technologies India Private Limited</t>
  </si>
  <si>
    <t>Intermediate Address -2</t>
  </si>
  <si>
    <t>Vedanta Limited - Cairn(Oil &amp; Gas)</t>
  </si>
  <si>
    <t>Walsons Facility Solutions Private Limited</t>
  </si>
  <si>
    <t>GalaxE Solutions India Private Limited</t>
  </si>
  <si>
    <t>VDA Infosolutions Pvt. Ltd.</t>
  </si>
  <si>
    <t>Enerpac India Private Limited</t>
  </si>
  <si>
    <t>JRK Infotech Private Limited</t>
  </si>
  <si>
    <t>WSSH-12-12-2024-9666</t>
  </si>
  <si>
    <t>BluOcean Digital Tech Private Limited</t>
  </si>
  <si>
    <t>NAF Technology Services India Pvt Ltd</t>
  </si>
  <si>
    <t>LTIM-07-12-2024-17946</t>
  </si>
  <si>
    <t>Batco Integrated Logistics Pvt. Ltd</t>
  </si>
  <si>
    <t>Markem Imaje India Private Limited</t>
  </si>
  <si>
    <t>TCS-12-12-2024-29807</t>
  </si>
  <si>
    <t>TCS-05-12-2024-29611</t>
  </si>
  <si>
    <t>Directorship Search</t>
  </si>
  <si>
    <t>AccSPL-13-12-2024-26605</t>
  </si>
  <si>
    <t>AccSPL-13-12-2024-26597</t>
  </si>
  <si>
    <t>AccSPL-13-12-2024-26610</t>
  </si>
  <si>
    <t>AccSPL-13-12-2024-26614</t>
  </si>
  <si>
    <t>AccSPL-13-12-2024-26617</t>
  </si>
  <si>
    <t>AccSPL-13-12-2024-26603</t>
  </si>
  <si>
    <t>AccSPL-13-12-2024-26619</t>
  </si>
  <si>
    <t>TCS-11-12-2024-29772</t>
  </si>
  <si>
    <t>Insurance Information Bureau of India</t>
  </si>
  <si>
    <t>Ammann India Private Limited</t>
  </si>
  <si>
    <t>BML-16-12-2024-6651</t>
  </si>
  <si>
    <t>TCS-11-12-2024-29771</t>
  </si>
  <si>
    <t>TCS-11-12-2024-29775</t>
  </si>
  <si>
    <t>TCS-11-12-2024-29778</t>
  </si>
  <si>
    <t>TCS-11-12-2024-29770</t>
  </si>
  <si>
    <t>TCS-11-12-2024-29781</t>
  </si>
  <si>
    <t>TCS-12-12-2024-29816</t>
  </si>
  <si>
    <t>TCS-12-12-2024-29818</t>
  </si>
  <si>
    <t>TCS-11-12-2024-29776</t>
  </si>
  <si>
    <t>TCS-11-12-2024-29780</t>
  </si>
  <si>
    <t>Bar Code India Limited</t>
  </si>
  <si>
    <t>WIPRO-16-12-2024-22045</t>
  </si>
  <si>
    <t>TCS-11-12-2024-29760</t>
  </si>
  <si>
    <t>TCS-11-12-2024-29783</t>
  </si>
  <si>
    <t>TCS-11-12-2024-29784</t>
  </si>
  <si>
    <t>TCS-11-12-2024-29759</t>
  </si>
  <si>
    <t>TCS-11-12-2024-29767</t>
  </si>
  <si>
    <t>TCS-11-12-2024-29792</t>
  </si>
  <si>
    <t>TCS-12-12-2024-29799</t>
  </si>
  <si>
    <t>TCS-12-12-2024-29803</t>
  </si>
  <si>
    <t>TCS-12-12-2024-29825</t>
  </si>
  <si>
    <t>TCS-12-12-2024-29822</t>
  </si>
  <si>
    <t>TCS-12-12-2024-29796</t>
  </si>
  <si>
    <t>TCS-12-12-2024-29821</t>
  </si>
  <si>
    <t>TCS-12-12-2024-29808</t>
  </si>
  <si>
    <t>TCS-11-12-2024-29793</t>
  </si>
  <si>
    <t>TCS-12-12-2024-29824</t>
  </si>
  <si>
    <t>Chhaya Ganesh Dhamne</t>
  </si>
  <si>
    <t>TAICPL-09-12-2024-1956</t>
  </si>
  <si>
    <t>CAPCO-16-12-2024-30</t>
  </si>
  <si>
    <t>Odessa Solutions Pvt Ltd</t>
  </si>
  <si>
    <t>WIPRO-16-12-2024-22086</t>
  </si>
  <si>
    <t>AMELIA-09-12-2024-41</t>
  </si>
  <si>
    <t>Freight Wings &amp; Travels</t>
  </si>
  <si>
    <t>Cherubim Security Force LLP</t>
  </si>
  <si>
    <t>Compass India Support Services Private Limited</t>
  </si>
  <si>
    <t>Datamatics Global Services Limited - Puducherry</t>
  </si>
  <si>
    <t>CTSIL-17-12-2024-23087</t>
  </si>
  <si>
    <t>CTSIL-14-12-2024-23019</t>
  </si>
  <si>
    <t>LTIM-07-12-2024-17949</t>
  </si>
  <si>
    <t>FSN Distribution Private Limited</t>
  </si>
  <si>
    <t>WFSPL-S-17-12-2024-3224</t>
  </si>
  <si>
    <t>MKS Vision Private Limited</t>
  </si>
  <si>
    <t>Messe Frankfurt Trade Fairs India Pvt. Ltd</t>
  </si>
  <si>
    <t>LTIM-11-10-2024-15848</t>
  </si>
  <si>
    <t>Religare Enterprises Limited</t>
  </si>
  <si>
    <t>TCS-11-12-2024-29788</t>
  </si>
  <si>
    <t>TCSBPO-11-12-2024-11270</t>
  </si>
  <si>
    <t>TCS-11-12-2024-29769</t>
  </si>
  <si>
    <t>Invengene Limited</t>
  </si>
  <si>
    <t>Kaar Technologies India Private Limited</t>
  </si>
  <si>
    <t>C-Sec Technologies Pvt Ltd</t>
  </si>
  <si>
    <t>Kancor Ingredients Ltd.</t>
  </si>
  <si>
    <t>Sannam S4 Acumen India Private Limited</t>
  </si>
  <si>
    <t>QUINTE-17-12-2024-409</t>
  </si>
  <si>
    <t>Moonlighting Check (UAN &amp; GST)</t>
  </si>
  <si>
    <t>Sum of Pending Rejection</t>
  </si>
  <si>
    <t>WIPRO-18-12-2024-22126</t>
  </si>
  <si>
    <t>LTIM-21-11-2024-17182</t>
  </si>
  <si>
    <t>LTIM-15-11-2024-16964</t>
  </si>
  <si>
    <t>Walsons PCC-25-09-2024-3066</t>
  </si>
  <si>
    <t>Walsons PCC-28-08-2024-2402</t>
  </si>
  <si>
    <t>Walsons PCC-27-08-2024-1810</t>
  </si>
  <si>
    <t>Walsons PCC-28-08-2024-2451</t>
  </si>
  <si>
    <t>Walsons PCC-27-08-2024-1857</t>
  </si>
  <si>
    <t>Walsons PCC-30-09-2024-3267</t>
  </si>
  <si>
    <t>Walsons PCC-27-08-2024-1958</t>
  </si>
  <si>
    <t>Walsons PCC-28-08-2024-2409</t>
  </si>
  <si>
    <t>Walsons PCC-10-09-2024-2771</t>
  </si>
  <si>
    <t>Walsons PCC-28-08-2024-2458</t>
  </si>
  <si>
    <t>Walsons PCC-27-08-2024-2032</t>
  </si>
  <si>
    <t>Walsons PCC-28-08-2024-2500</t>
  </si>
  <si>
    <t>Walsons PCC-28-08-2024-2457</t>
  </si>
  <si>
    <t>Walsons PCC-27-08-2024-2192</t>
  </si>
  <si>
    <t>Walsons PCC-28-08-2024-2498</t>
  </si>
  <si>
    <t>Walsons PCC-13-11-2024-3882</t>
  </si>
  <si>
    <t>Walsons PCC-30-08-2024-2630</t>
  </si>
  <si>
    <t>Walsons PCC-27-08-2024-1904</t>
  </si>
  <si>
    <t>Walsons PCC-27-08-2024-2204</t>
  </si>
  <si>
    <t>Walsons PCC-27-08-2024-2149</t>
  </si>
  <si>
    <t>Walsons PCC-28-08-2024-2447</t>
  </si>
  <si>
    <t>Walsons PCC-29-08-2024-2546</t>
  </si>
  <si>
    <t>Walsons PCC-28-08-2024-2346</t>
  </si>
  <si>
    <t>Walsons PCC-27-08-2024-2058</t>
  </si>
  <si>
    <t>Walsons PCC-27-08-2024-2076</t>
  </si>
  <si>
    <t>Walsons PCC-27-08-2024-2172</t>
  </si>
  <si>
    <t>Walsons PCC-27-08-2024-1816</t>
  </si>
  <si>
    <t>Walsons PCC-27-08-2024-2011</t>
  </si>
  <si>
    <t>Walsons PCC-22-11-2024-4041</t>
  </si>
  <si>
    <t>Walsons PCC-28-08-2024-2472</t>
  </si>
  <si>
    <t>Walsons PCC-28-08-2024-2323</t>
  </si>
  <si>
    <t>Walsons PCC-27-08-2024-2014</t>
  </si>
  <si>
    <t>Walsons PCC-25-09-2024-3023</t>
  </si>
  <si>
    <t>Walsons PCC-27-08-2024-2041</t>
  </si>
  <si>
    <t>Walsons PCC-27-08-2024-1959</t>
  </si>
  <si>
    <t>Walsons PCC-10-09-2024-2799</t>
  </si>
  <si>
    <t>Walsons PCC-28-08-2024-2411</t>
  </si>
  <si>
    <t>Walsons PCC-27-08-2024-2050</t>
  </si>
  <si>
    <t>Walsons PCC-25-09-2024-3095</t>
  </si>
  <si>
    <t>Walsons PCC-28-08-2024-2406</t>
  </si>
  <si>
    <t>Walsons PCC-27-08-2024-1815</t>
  </si>
  <si>
    <t>Walsons PCC-28-08-2024-2477</t>
  </si>
  <si>
    <t>Walsons PCC-27-08-2024-1870</t>
  </si>
  <si>
    <t>Walsons PCC-29-08-2024-2556</t>
  </si>
  <si>
    <t>Walsons PCC-27-08-2024-2242</t>
  </si>
  <si>
    <t>Walsons PCC-28-08-2024-2349</t>
  </si>
  <si>
    <t>Walsons PCC-28-08-2024-2449</t>
  </si>
  <si>
    <t>Walsons PCC-30-08-2024-2626</t>
  </si>
  <si>
    <t>Walsons PCC-27-08-2024-2057</t>
  </si>
  <si>
    <t>Walsons PCC-28-08-2024-2490</t>
  </si>
  <si>
    <t>Walsons PCC-27-08-2024-2042</t>
  </si>
  <si>
    <t>Walsons PCC-27-08-2024-1850</t>
  </si>
  <si>
    <t>Walsons PCC-30-08-2024-2619</t>
  </si>
  <si>
    <t>Walsons PCC-27-08-2024-2089</t>
  </si>
  <si>
    <t>Walsons PCC-28-08-2024-2410</t>
  </si>
  <si>
    <t>Walsons PCC-28-08-2024-2379</t>
  </si>
  <si>
    <t>Walsons PCC-28-08-2024-2278</t>
  </si>
  <si>
    <t>LTIM-09-12-2024-17983</t>
  </si>
  <si>
    <t>TAICPL-10-12-2024-1960</t>
  </si>
  <si>
    <t>LTIM-28-11-2024-17427</t>
  </si>
  <si>
    <t>CloudEQ Software India Pvt Ltd</t>
  </si>
  <si>
    <t>Digital Radio Broadcasting Limited</t>
  </si>
  <si>
    <t>Golde Pune Automotive India Private Limited</t>
  </si>
  <si>
    <t>Blenheim Chalcot IT Services Pvt. Ltd.</t>
  </si>
  <si>
    <t>Manitou Equipment India Private Limited</t>
  </si>
  <si>
    <t>Aithent Technologies Private Limited</t>
  </si>
  <si>
    <t>Quality Care India Limited</t>
  </si>
  <si>
    <t>LTIM-09-12-2024-17999</t>
  </si>
  <si>
    <t>Integrated Personnel Services Limited – Corporate</t>
  </si>
  <si>
    <t>Datamatics Global Services Limited - Bangalore</t>
  </si>
  <si>
    <t>Neysa Networks Private Limited</t>
  </si>
  <si>
    <t>TCS-19-12-2024-29960</t>
  </si>
  <si>
    <t>Nisshinbo Comprehensive Precision Machining (Gurgaon) Pvt. Ltd</t>
  </si>
  <si>
    <t>WSSH-16-11-2024-9174</t>
  </si>
  <si>
    <t>KMPL-15-05-2024-2985</t>
  </si>
  <si>
    <t>CDSIPL-18-12-2024-15648</t>
  </si>
  <si>
    <t>Add</t>
  </si>
  <si>
    <t>Emp</t>
  </si>
  <si>
    <t>Edu</t>
  </si>
  <si>
    <t>Ref</t>
  </si>
  <si>
    <t>Drug</t>
  </si>
  <si>
    <t>TCS-10-12-2024-29716</t>
  </si>
  <si>
    <t>TCSBPO-10-12-2024-11259</t>
  </si>
  <si>
    <t>Religare Finvest Limited</t>
  </si>
  <si>
    <t>Finadvantage Consulting Private Limited</t>
  </si>
  <si>
    <t>TCS-10-12-2024-29712</t>
  </si>
  <si>
    <t>Kerry Ingredients India Private Limited</t>
  </si>
  <si>
    <t>Arshad khan DE</t>
  </si>
  <si>
    <t>o9 Solutions</t>
  </si>
  <si>
    <t>CLL-09-12-2024-90</t>
  </si>
  <si>
    <t>Insightek Global Consulting Private Limited</t>
  </si>
  <si>
    <t>Titan-23-11-2024-3913</t>
  </si>
  <si>
    <t>NDTV Convergence Limited</t>
  </si>
  <si>
    <t>Infogain Software Solutions Private Limited</t>
  </si>
  <si>
    <t>Vikas Publishing House Pvt. Ltd.</t>
  </si>
  <si>
    <t>LTIM-17-12-2024-18224</t>
  </si>
  <si>
    <t>CTSIL-14-12-2024-23005</t>
  </si>
  <si>
    <t>LTIM-29-11-2024-17469</t>
  </si>
  <si>
    <t>EUREKA-25-11-2024-28235</t>
  </si>
  <si>
    <t>AZIPL-05-12-2024-2454</t>
  </si>
  <si>
    <t>TAICPL-18-12-2024-2035</t>
  </si>
  <si>
    <t>AMBIT-12-12-2024-4956</t>
  </si>
  <si>
    <t>Innova Solutions Private Limited- Chennai</t>
  </si>
  <si>
    <t>Om Sai Travels</t>
  </si>
  <si>
    <t>CENTIFIC-12-12-2024-32</t>
  </si>
  <si>
    <t>Terrabit Consulting Pvt. Ltd</t>
  </si>
  <si>
    <t>AMBIT-28-11-2024-4702</t>
  </si>
  <si>
    <t>BML-10-12-2024-6597</t>
  </si>
  <si>
    <t>Telemerge IT Services Pvt Ltd</t>
  </si>
  <si>
    <t>Acefone Software Pvt. Ltd.</t>
  </si>
  <si>
    <t>LTIM-07-12-2024-17899</t>
  </si>
  <si>
    <t>CTSIL-14-12-2024-23008</t>
  </si>
  <si>
    <t>CDSIPL-05-12-2024-15603</t>
  </si>
  <si>
    <t>Trimaster Pvt. Ltd.</t>
  </si>
  <si>
    <t>Montran Corporation (India) Private Limited</t>
  </si>
  <si>
    <t>BML-16-12-2024-6653</t>
  </si>
  <si>
    <t>Sigma Staffing Solutions Pvt. Ltd.</t>
  </si>
  <si>
    <t>Quess Corp Limited – Hyderabad</t>
  </si>
  <si>
    <t>CLASSICSPL-19-12-2024-77</t>
  </si>
  <si>
    <t>Decipher Market Research</t>
  </si>
  <si>
    <t>Wintech Services Pvt. Ltd</t>
  </si>
  <si>
    <t>De facto Infotech Pvt.Ltd.</t>
  </si>
  <si>
    <t>Wiselink Global Services Pvt. Ltd.</t>
  </si>
  <si>
    <t>IDP-23-12-2024-966</t>
  </si>
  <si>
    <t>Post joining UAN validation</t>
  </si>
  <si>
    <t>Global Regulatory and Debarment Database Check</t>
  </si>
  <si>
    <t>Route Mobile</t>
  </si>
  <si>
    <t>GIL-02-12-2024-2459</t>
  </si>
  <si>
    <t>DL Verification</t>
  </si>
  <si>
    <t>Triton Exec Pvt Ltd</t>
  </si>
  <si>
    <t>Nexwave Talent Management Solutions Pvt Ltd</t>
  </si>
  <si>
    <t>ACS Global Tech Solutions Private Limited</t>
  </si>
  <si>
    <t>EUREKA-24-12-2024-28741</t>
  </si>
  <si>
    <t>Legal Age to Work</t>
  </si>
  <si>
    <t>Current Company</t>
  </si>
  <si>
    <t>Previous Company</t>
  </si>
  <si>
    <t>Drug Test-Panel 5 -Urine</t>
  </si>
  <si>
    <t>National Sex Offender Search</t>
  </si>
  <si>
    <t>Healthcare Sanction Search</t>
  </si>
  <si>
    <t>Reputational (Web &amp; Media search)</t>
  </si>
  <si>
    <t>PF Validation</t>
  </si>
  <si>
    <t>Form 16 - Validation Check</t>
  </si>
  <si>
    <t>SSN Validation</t>
  </si>
  <si>
    <t>Overseas Education Check</t>
  </si>
  <si>
    <t>Overseas Employment Check</t>
  </si>
  <si>
    <t>Directorship Check - DIN</t>
  </si>
  <si>
    <t>Bank Statement Verification 1</t>
  </si>
  <si>
    <t>Bank Statement Verification 2</t>
  </si>
  <si>
    <t>Voter ID</t>
  </si>
  <si>
    <t>Driving License</t>
  </si>
  <si>
    <t>Credit History Check</t>
  </si>
  <si>
    <t>Identity Verification</t>
  </si>
  <si>
    <t>Facis Level 3</t>
  </si>
  <si>
    <t>Address Verification (Physical)</t>
  </si>
  <si>
    <t>Digital Employment check</t>
  </si>
  <si>
    <t>Employment Check (through HR)</t>
  </si>
  <si>
    <t>AFP Check</t>
  </si>
  <si>
    <t>Overseas Criminal Record Check</t>
  </si>
  <si>
    <t>100-point check</t>
  </si>
  <si>
    <t>Global Sanctions &amp; Enforcement Check</t>
  </si>
  <si>
    <t>Court Record Verification – Previous Address 5</t>
  </si>
  <si>
    <t>Employment Verification – P-5</t>
  </si>
  <si>
    <t>Company Investigation 5</t>
  </si>
  <si>
    <t>Database Check</t>
  </si>
  <si>
    <t>Court Record Verification - 5 Years of Stay</t>
  </si>
  <si>
    <t>GST Verification</t>
  </si>
  <si>
    <t>UAN Validation 1</t>
  </si>
  <si>
    <t>Eligibility to Work</t>
  </si>
  <si>
    <t>FACIS</t>
  </si>
  <si>
    <t>Court Record Verification - 5 Years of Stay - Address 1</t>
  </si>
  <si>
    <t>Court Record Verification - 5 Years of Stay - Address 2</t>
  </si>
  <si>
    <t>Court Record Verification - 5 Years of Stay - Address 3</t>
  </si>
  <si>
    <t>Court Record Verification - 5 Years of Stay - Address 4</t>
  </si>
  <si>
    <t>Company Investigation Report - Previous Emp 1</t>
  </si>
  <si>
    <t>Court Record Verification - 10 Years of Stay - Address 5</t>
  </si>
  <si>
    <t>Company Investigation Report - Previous Emp 2</t>
  </si>
  <si>
    <t>Court Record Verification - 10 Years of Stay - Address 2</t>
  </si>
  <si>
    <t>Court Record Verification - 10 Years of Stay - Address 1</t>
  </si>
  <si>
    <t>Court Record Verification - 10 Years of Stay - Address 3</t>
  </si>
  <si>
    <t>Court Record Verification - 10 Years of Stay - Address 4</t>
  </si>
  <si>
    <t>Physical Address Verification – 1 year of stay</t>
  </si>
  <si>
    <t>Company Investigation Report</t>
  </si>
  <si>
    <t>Court Record Verification - 5 Years of Stay - Address 5</t>
  </si>
  <si>
    <t>Manupatra Check</t>
  </si>
  <si>
    <t>Court Record Verification - 7 Years of Stay - Address 1</t>
  </si>
  <si>
    <t>Court Record Verification - 7 Years of Stay - Address 2</t>
  </si>
  <si>
    <t>Court Record Verification - 7 Years of Stay - Address 3</t>
  </si>
  <si>
    <t>Court Record Verification - 10 Years of Stay - Address 6</t>
  </si>
  <si>
    <t>Court Record Verification - 3 Years of Stay - Address 1</t>
  </si>
  <si>
    <t>Company Investigation Report - Previous Emp 3</t>
  </si>
  <si>
    <t>Court Record Verification - 3 Years of Stay - Address 2</t>
  </si>
  <si>
    <t>Court Record Verification - 7 Years of Stay - Address 4</t>
  </si>
  <si>
    <t>Court Record Verification - 7 Years of Stay - Address 5</t>
  </si>
  <si>
    <t>Motor Vehicle Records verification</t>
  </si>
  <si>
    <t>Court Record Verification - 10 Years of Stay - Address 7</t>
  </si>
  <si>
    <t>Criminal Verification through Police- Previous Address 3 (Written)</t>
  </si>
  <si>
    <t>Criminal Verification through Police- Previous Address 1 (Written)</t>
  </si>
  <si>
    <t>Criminal Verification through Police- Previous Address 2 (Written)</t>
  </si>
  <si>
    <t>Criminal Verification through Police- Previous Address 4 (Written)</t>
  </si>
  <si>
    <t>Notice Pay Statement Validation</t>
  </si>
  <si>
    <t>Previous Employment Verification 8</t>
  </si>
  <si>
    <t>Previous Employment Verification 9</t>
  </si>
  <si>
    <t>Drug Test-Panel 7</t>
  </si>
  <si>
    <t>Credit Database Check - India</t>
  </si>
  <si>
    <t>Alcohol Test</t>
  </si>
  <si>
    <t>Address Check (Overseas)</t>
  </si>
  <si>
    <t>GSA OIG Medical Database Check</t>
  </si>
  <si>
    <t>Global Regulatory, Compliance and Criminal Database Verification</t>
  </si>
  <si>
    <t>Company Check</t>
  </si>
  <si>
    <t>Credit history database check</t>
  </si>
  <si>
    <t>Fingerprinting Check</t>
  </si>
  <si>
    <t>Workstation Verification and Present Address Verification</t>
  </si>
  <si>
    <t>Terrorism Financing Check (OFAC &amp; SDN)</t>
  </si>
  <si>
    <t>Death Certificate Validation</t>
  </si>
  <si>
    <t>Service Validation</t>
  </si>
  <si>
    <t>India Police Record Verification through Law Firm - Previous Address 1</t>
  </si>
  <si>
    <t>Overseas Professional Reference Check</t>
  </si>
  <si>
    <t>NYSC Check</t>
  </si>
  <si>
    <t>Drug Test-Panel 13</t>
  </si>
  <si>
    <t>Affidavit Check</t>
  </si>
  <si>
    <t>Character Verification</t>
  </si>
  <si>
    <t>Gap Verification 3</t>
  </si>
  <si>
    <t>Gap Verification 4</t>
  </si>
  <si>
    <t>Gap Verification 5</t>
  </si>
  <si>
    <t>Criminal Verification through Police- Previous Address 3 (Verbal)</t>
  </si>
  <si>
    <t>Criminal Verification through Police- Previous Address 4 (Verbal)</t>
  </si>
  <si>
    <t>Drug Test-Panel 6</t>
  </si>
  <si>
    <t>Drug Test-Panel 9 -Urine</t>
  </si>
  <si>
    <t>Address Verification 7</t>
  </si>
  <si>
    <t>Previous Company 1</t>
  </si>
  <si>
    <t>Politically Exposed Persons (PEP) Check</t>
  </si>
  <si>
    <t>Media Check</t>
  </si>
  <si>
    <t>SSN Trace</t>
  </si>
  <si>
    <t>Global Watchlist Search</t>
  </si>
  <si>
    <t>NULL</t>
  </si>
  <si>
    <t>Court Record Verification – Previous Address 6</t>
  </si>
  <si>
    <t>SSN Verification</t>
  </si>
  <si>
    <t>Global Database Check 1</t>
  </si>
  <si>
    <t>Previous Employment Check</t>
  </si>
  <si>
    <t>Court Record Verification - 7 Years of Stay - Address 6</t>
  </si>
  <si>
    <t>Court Record Verification - 5 Years of Stay - Address 6</t>
  </si>
  <si>
    <t>Age Check</t>
  </si>
  <si>
    <t>Criminal Verification through E-Court - Previous Address 9</t>
  </si>
  <si>
    <t>India Criminal Litigation Database Check</t>
  </si>
  <si>
    <t>Education Verification 5</t>
  </si>
  <si>
    <t>DBS Check</t>
  </si>
  <si>
    <t>Adverse Media Check</t>
  </si>
  <si>
    <t>Sanction Screening</t>
  </si>
  <si>
    <t>India Police Record Verification through Law Firm - Previous Address 5</t>
  </si>
  <si>
    <t>Comprehensive Criminal (Outside Dhaka)</t>
  </si>
  <si>
    <t>Certification 1</t>
  </si>
  <si>
    <t>Certification 2</t>
  </si>
  <si>
    <t>Personal Reference Check 3</t>
  </si>
  <si>
    <t>Professional Reference Check 4</t>
  </si>
  <si>
    <t>Caste Verification</t>
  </si>
  <si>
    <t>Form 26AS</t>
  </si>
  <si>
    <t>Diploma Verification</t>
  </si>
  <si>
    <t>Language Certificate Check</t>
  </si>
  <si>
    <t>Council Registration Check</t>
  </si>
  <si>
    <t>Photographic ID</t>
  </si>
  <si>
    <t>Marriage Certificate</t>
  </si>
  <si>
    <t>Proof of Address 1</t>
  </si>
  <si>
    <t>Employment Certificate</t>
  </si>
  <si>
    <t>COS form</t>
  </si>
  <si>
    <t>NMC Paperwork Upload</t>
  </si>
  <si>
    <t>Signed offer letter acceptance</t>
  </si>
  <si>
    <t>Professional Registration Certificate and Card</t>
  </si>
  <si>
    <t>Medical/ TB test</t>
  </si>
  <si>
    <t>Qualification Certificate</t>
  </si>
  <si>
    <t>Professional Registration Certificate &amp; Card</t>
  </si>
  <si>
    <t>Professional License Credential Check</t>
  </si>
  <si>
    <t>Aadhar Verification (Without OTP)</t>
  </si>
  <si>
    <t>Credit Database Check 1</t>
  </si>
  <si>
    <t>National Criminal Record Check</t>
  </si>
  <si>
    <t>Criminal Check - Previous Address 11</t>
  </si>
  <si>
    <t>Criminal Check - Previous Address 10</t>
  </si>
  <si>
    <t>Criminal Check - Previous Address 8</t>
  </si>
  <si>
    <t>Criminal Check - Previous Address 9</t>
  </si>
  <si>
    <t>Criminal Verification through E-Court- Intermediate Address 4</t>
  </si>
  <si>
    <t>Australian Federal Police Check</t>
  </si>
  <si>
    <t>Company Check 2</t>
  </si>
  <si>
    <t>Credit Check</t>
  </si>
  <si>
    <t>Criminal Verification through E-Court - Previous Address 11</t>
  </si>
  <si>
    <t>Corporate and Regulatory Review &amp; Directorship Check</t>
  </si>
  <si>
    <t>External Interview 1</t>
  </si>
  <si>
    <t>External Interview 3</t>
  </si>
  <si>
    <t>External Interview 2</t>
  </si>
  <si>
    <t>ID</t>
  </si>
  <si>
    <t>-</t>
  </si>
  <si>
    <t>Matric Verification Check</t>
  </si>
  <si>
    <t>Health Checkup</t>
  </si>
  <si>
    <t>Facial Match Check</t>
  </si>
  <si>
    <t>Drug Test-Panel 8</t>
  </si>
  <si>
    <t>Eligibility to work check</t>
  </si>
  <si>
    <t>Physical Address Verification – 5 years of stay</t>
  </si>
  <si>
    <t>Physical Address Verification – 4 years of stay</t>
  </si>
  <si>
    <t>Company Investigation Report - Current Emp</t>
  </si>
  <si>
    <t>Physical Address Verification – 2 years of stay</t>
  </si>
  <si>
    <t>Physical Address Verification – 7 years of stay</t>
  </si>
  <si>
    <t>Physical Address Verification – 8 years of stay</t>
  </si>
  <si>
    <t>Court Record Verification - 3 Years of Stay</t>
  </si>
  <si>
    <t>Physical Address Verification – 6 years of stay</t>
  </si>
  <si>
    <t>Physical Address Verification – 10 years of stay</t>
  </si>
  <si>
    <t>Drug Test-Panel 10 - Urine</t>
  </si>
  <si>
    <t>Comprehensive Criminal (Dhaka)</t>
  </si>
  <si>
    <t>Police Clearance Certificate</t>
  </si>
  <si>
    <t>Gap verification (Advanced)</t>
  </si>
  <si>
    <t>SAM Check</t>
  </si>
  <si>
    <t>Company Check 1</t>
  </si>
  <si>
    <t xml:space="preserve">Global Database Check - With Action Base (NMLS) </t>
  </si>
  <si>
    <t xml:space="preserve">Civil Litigation </t>
  </si>
  <si>
    <t>GAP Address Verification 1</t>
  </si>
  <si>
    <t>Previous Employment 2</t>
  </si>
  <si>
    <t>CRC on Address Verification Check</t>
  </si>
  <si>
    <t>Criminal Check - Previous Address 16</t>
  </si>
  <si>
    <t>Criminal Check - Previous Address 18</t>
  </si>
  <si>
    <t>Criminal Check - Previous Address 17</t>
  </si>
  <si>
    <t>Criminal Check - Previous Address 19</t>
  </si>
  <si>
    <t>Criminal Check - Previous Address 20</t>
  </si>
  <si>
    <t>Criminal Check - Previous Address 14</t>
  </si>
  <si>
    <t>Criminal Check - Previous Address 12</t>
  </si>
  <si>
    <t>Criminal Check - Previous Address 21</t>
  </si>
  <si>
    <t>Criminal Check - Previous Address 13</t>
  </si>
  <si>
    <t>Criminal Check - Previous Address 15</t>
  </si>
  <si>
    <t>Criminal Check - Previous Address 23</t>
  </si>
  <si>
    <t>Criminal Check - Previous Address 22</t>
  </si>
  <si>
    <t>Intermediate Address -3</t>
  </si>
  <si>
    <t>Intermediate Address -5</t>
  </si>
  <si>
    <t>Intermediate Address -4</t>
  </si>
  <si>
    <t>Criminal Verification through E-Court - Intermediate Address 5</t>
  </si>
  <si>
    <t>Intermediate Address -1</t>
  </si>
  <si>
    <t>Criminal Verification through Police- Intermediate Address -1 (Written)</t>
  </si>
  <si>
    <t>Motor Vehicle Check</t>
  </si>
  <si>
    <t>Criminal activity Database check</t>
  </si>
  <si>
    <t>Post Graduation Verification</t>
  </si>
  <si>
    <t>Employment Check 1 (Prior to Uniqus)</t>
  </si>
  <si>
    <t>Employment Check 2</t>
  </si>
  <si>
    <t>Colorwise</t>
  </si>
  <si>
    <t>Checkwise</t>
  </si>
  <si>
    <t>Monthwise closure</t>
  </si>
  <si>
    <t>Monthwise closure color code</t>
  </si>
  <si>
    <t>Client Wise</t>
  </si>
  <si>
    <t>Embee Software Pvt Ltd</t>
  </si>
  <si>
    <t>Walsons PCC-25-09-2024-3107</t>
  </si>
  <si>
    <t>IGT- P-03-12-2024-263</t>
  </si>
  <si>
    <t>LTIM-24-12-2024-18547</t>
  </si>
  <si>
    <t>Space Telelink Limited</t>
  </si>
  <si>
    <t>CTSIL-02-12-2024-22326</t>
  </si>
  <si>
    <t>Ad Astra Consultants Pvt. Ltd.</t>
  </si>
  <si>
    <t>ELB Learning India Pvt Ltd</t>
  </si>
  <si>
    <t>BML-16-12-2024-6648</t>
  </si>
  <si>
    <t>A G Industries Private Limited</t>
  </si>
  <si>
    <t>Unison Consulting Pte Limited</t>
  </si>
  <si>
    <t>Bureau Veritas Consumer Products Services (I) Pvt Ltd</t>
  </si>
  <si>
    <t>Force Motors Limited</t>
  </si>
  <si>
    <t>INSPL-26-03-2024-1456</t>
  </si>
  <si>
    <t>MPOnline Ltd.</t>
  </si>
  <si>
    <t>Naresh Arya DE</t>
  </si>
  <si>
    <t>MadhuArya R ADD</t>
  </si>
  <si>
    <t>Suraj Arya DE</t>
  </si>
  <si>
    <t>Sachin Arya-EDU</t>
  </si>
  <si>
    <t>Ashish Arya Arya</t>
  </si>
  <si>
    <t>Ajay Arya SCAN</t>
  </si>
  <si>
    <t>Vivek Arya DE</t>
  </si>
  <si>
    <t>Lucky Arya Emp</t>
  </si>
  <si>
    <t>Amit Arya DE</t>
  </si>
  <si>
    <t>Yuvraj Arya Employment</t>
  </si>
  <si>
    <t>Rajesh Arya Senapati Emp</t>
  </si>
  <si>
    <t>Abhishek Arya Emp</t>
  </si>
  <si>
    <t>Mohit Arya ADD</t>
  </si>
  <si>
    <t>Jyoti Arya Emp</t>
  </si>
  <si>
    <t>Shalender Arya</t>
  </si>
  <si>
    <t>Sanju Aryai</t>
  </si>
  <si>
    <t>Dev Arya DE</t>
  </si>
  <si>
    <t>Rahul Arya Paswan DE</t>
  </si>
  <si>
    <t>Lokesh Arya Edu</t>
  </si>
  <si>
    <t>Manish Arya</t>
  </si>
  <si>
    <t>Namrata Aryai Employment TM</t>
  </si>
  <si>
    <t>Vinod Arya Emp</t>
  </si>
  <si>
    <t>Ankit Arya</t>
  </si>
  <si>
    <t>Gaurav Arya</t>
  </si>
  <si>
    <t>PritamAryai Arya EMP</t>
  </si>
  <si>
    <t>Deepak Arya Edu</t>
  </si>
  <si>
    <t>Ankit Arya Add</t>
  </si>
  <si>
    <t>Shikha Aryai EDU</t>
  </si>
  <si>
    <t>Priya Katyal</t>
  </si>
  <si>
    <t>Surabhi Katyal EMP</t>
  </si>
  <si>
    <t>INFINITI-29-11-2024-2030</t>
  </si>
  <si>
    <t>SAI-21-11-2024-1655</t>
  </si>
  <si>
    <t>INSPL-17-02-2024-1358</t>
  </si>
  <si>
    <t>OIPL-28-10-2024-318</t>
  </si>
  <si>
    <t>LTIM-26-11-2024-17340</t>
  </si>
  <si>
    <t>TCS-26-11-2024-29360</t>
  </si>
  <si>
    <t>TAICPL-28-11-2024-1884</t>
  </si>
  <si>
    <t>HLIPL-27-11-2024-174</t>
  </si>
  <si>
    <t>10FA-27-11-2024-1375</t>
  </si>
  <si>
    <t>NAGARRO-18-11-2024-13178</t>
  </si>
  <si>
    <t>EUREKA-26-11-2024-28285</t>
  </si>
  <si>
    <t>EUREKA-25-11-2024-28242</t>
  </si>
  <si>
    <t>TCS-18-11-2024-29076</t>
  </si>
  <si>
    <t>WSSH-16-11-2024-9158</t>
  </si>
  <si>
    <t>WIPRO-02-12-2024-21450</t>
  </si>
  <si>
    <t>AMELIA-15-11-2024-26</t>
  </si>
  <si>
    <t>INFINX-22-11-2024-5375</t>
  </si>
  <si>
    <t>CICSPL-21-02-2024-11407</t>
  </si>
  <si>
    <t>CIEL-29-11-2024-556</t>
  </si>
  <si>
    <t>AMPCUS-25-11-2024-574</t>
  </si>
  <si>
    <t>LTIM-18-11-2024-17077</t>
  </si>
  <si>
    <t>CTSIL-14-08-2024-19742</t>
  </si>
  <si>
    <t>CTSIL-29-11-2024-22216</t>
  </si>
  <si>
    <t>MUTHOOTF-03-12-2024-5797</t>
  </si>
  <si>
    <t>CMSRSL-04-11-2024-594</t>
  </si>
  <si>
    <t>RTNSPL-21-11-2024-793</t>
  </si>
  <si>
    <t>RNTBCIPL-30-09-2024-4887</t>
  </si>
  <si>
    <t>Titan-10-10-2024-3734</t>
  </si>
  <si>
    <t>AMELIA-15-11-2024-27</t>
  </si>
  <si>
    <t>LTIM-13-11-2024-16852</t>
  </si>
  <si>
    <t>TCS-23-08-2024-26006</t>
  </si>
  <si>
    <t>TCSBPO-26-11-2024-11132</t>
  </si>
  <si>
    <t>BML-27-11-2024-6512</t>
  </si>
  <si>
    <t>COSETTE-16-11-2024-04</t>
  </si>
  <si>
    <t>EUREKA-25-11-2024-28275</t>
  </si>
  <si>
    <t>NAGARRO-26-11-2024-13260</t>
  </si>
  <si>
    <t>WIPRO-02-12-2024-21467</t>
  </si>
  <si>
    <t>GALLAGHER-03-12-2024-6971</t>
  </si>
  <si>
    <t>DATAMATICS-M-28-11-2024-332</t>
  </si>
  <si>
    <t>EUREKA-25-11-2024-28225</t>
  </si>
  <si>
    <t>INVIMATIC-28-11-2024-18</t>
  </si>
  <si>
    <t>OCS-26-11-2024-1043</t>
  </si>
  <si>
    <t>TCSBPO-02-12-2024-11185</t>
  </si>
  <si>
    <t>CtrlS-20-10-2024-121</t>
  </si>
  <si>
    <t>UNIQUS-27-11-2024-18</t>
  </si>
  <si>
    <t>LTIM-23-09-2024-14841</t>
  </si>
  <si>
    <t>LTIM-11-10-2024-15804</t>
  </si>
  <si>
    <t>WIPRO-04-12-2024-21825</t>
  </si>
  <si>
    <t>SUGS-25-11-2024-11361</t>
  </si>
  <si>
    <t>LTIM-28-11-2024-17442</t>
  </si>
  <si>
    <t>AMPCUS-04-12-2024-582</t>
  </si>
  <si>
    <t>AMPCUS-04-12-2024-589</t>
  </si>
  <si>
    <t>TCS-14-11-2024-29037</t>
  </si>
  <si>
    <t>WSSH-20-11-2024-9238</t>
  </si>
  <si>
    <t>EUREKA-25-11-2024-28236</t>
  </si>
  <si>
    <t>CONVICTION-22-11-2024-00</t>
  </si>
  <si>
    <t>CONVICTION-22-11-2024-03</t>
  </si>
  <si>
    <t>TCS-04-09-2024-26592</t>
  </si>
  <si>
    <t>RRKL-05-12-2024-812</t>
  </si>
  <si>
    <t>SVNSIPL-27-11-2024-177</t>
  </si>
  <si>
    <t>TEAL-25-07-2024-1116</t>
  </si>
  <si>
    <t>Titan-26-10-2024-3801</t>
  </si>
  <si>
    <t>AccSPL-28-11-2024-26361</t>
  </si>
  <si>
    <t>INSPL-25-05-2024-1709</t>
  </si>
  <si>
    <t>MUTHOOTF-02-12-2024-5760</t>
  </si>
  <si>
    <t>TCS-26-09-2024-27634</t>
  </si>
  <si>
    <t>CTSIL-04-12-2024-22420</t>
  </si>
  <si>
    <t>PHOTON-12-11-2024-1165</t>
  </si>
  <si>
    <t>MUTHOOTF-12-11-2024-5456</t>
  </si>
  <si>
    <t>WIPRO-02-12-2024-21460</t>
  </si>
  <si>
    <t>TECIPL-03-12-2024-829</t>
  </si>
  <si>
    <t>INFINX-29-11-2024-5497</t>
  </si>
  <si>
    <t>INSPL-12-03-2024-1445</t>
  </si>
  <si>
    <t>GRO-22-11-2024-205</t>
  </si>
  <si>
    <t>BGIPL-18-05-2024-114</t>
  </si>
  <si>
    <t>CTSIL-05-12-2024-22514</t>
  </si>
  <si>
    <t>WIPRO-06-12-2024-21863</t>
  </si>
  <si>
    <t>CDSIPL-28-11-2024-15550</t>
  </si>
  <si>
    <t>RNTBCIPL-25-09-2024-4873</t>
  </si>
  <si>
    <t>PPSPL-05-12-2024-37</t>
  </si>
  <si>
    <t>LOCON-13-11-2024-357</t>
  </si>
  <si>
    <t>RNTBCIPL-25-06-2024-4220</t>
  </si>
  <si>
    <t>AMBIT-28-11-2024-4692</t>
  </si>
  <si>
    <t>SAI-10-09-2024-1468</t>
  </si>
  <si>
    <t>SAVVYSOFT-11-11-2024-06</t>
  </si>
  <si>
    <t>TCS-06-12-2024-29640</t>
  </si>
  <si>
    <t>TCS-03-12-2024-29511</t>
  </si>
  <si>
    <t>LTIM-21-11-2024-17196</t>
  </si>
  <si>
    <t>INSPL-12-03-2024-1443</t>
  </si>
  <si>
    <t>CTSIL-07-10-2024-20717</t>
  </si>
  <si>
    <t>NOSPL-20-11-2024-4323</t>
  </si>
  <si>
    <t>JMAN-30-11-2024-37</t>
  </si>
  <si>
    <t>NRL-03-12-2024-37</t>
  </si>
  <si>
    <t>SAVE-07-12-2024-1944</t>
  </si>
  <si>
    <t>TEL-16-11-2024-10202</t>
  </si>
  <si>
    <t>BFL-02-12-2024-573</t>
  </si>
  <si>
    <t>CYIENT-06-12-2024-12931</t>
  </si>
  <si>
    <t>SIFY-03-12-2024-912</t>
  </si>
  <si>
    <t>CICSPL-30-10-2024-15742</t>
  </si>
  <si>
    <t>TCS-02-09-2024-26493</t>
  </si>
  <si>
    <t>AMBIT-25-11-2024-4636</t>
  </si>
  <si>
    <t>Titan-05-12-2024-3977</t>
  </si>
  <si>
    <t>CtrlS-07-11-2024-168</t>
  </si>
  <si>
    <t>INSPL-12-03-2024-1436</t>
  </si>
  <si>
    <t>ICICI-20-11-2024-8996</t>
  </si>
  <si>
    <t>PEPSI-03-12-2024-203</t>
  </si>
  <si>
    <t>TAWAKKAL-28-11-2024-340</t>
  </si>
  <si>
    <t>WIPRO-DOP-09-12-2024-7119</t>
  </si>
  <si>
    <t>CDSIPL-05-12-2024-15621</t>
  </si>
  <si>
    <t>CDSIPL-05-12-2024-15606</t>
  </si>
  <si>
    <t>LTIM-05-12-2024-17671</t>
  </si>
  <si>
    <t>FASPL-10-09-2024-1044</t>
  </si>
  <si>
    <t>CICSPL-08-10-2024-15688</t>
  </si>
  <si>
    <t>TCS-27-11-2024-29401</t>
  </si>
  <si>
    <t>RPOSPL-05-11-2024-1752</t>
  </si>
  <si>
    <t>SLPL-03-12-2024-1870</t>
  </si>
  <si>
    <t>TAICPL-04-12-2024-1925</t>
  </si>
  <si>
    <t>WIPRO-10-12-2024-21906</t>
  </si>
  <si>
    <t>CTSIL-10-12-2024-22724</t>
  </si>
  <si>
    <t>AMPCUS-10-12-2024-599</t>
  </si>
  <si>
    <t>AMPCUS-10-12-2024-596</t>
  </si>
  <si>
    <t>CLASSICSPL-03-12-2024-62</t>
  </si>
  <si>
    <t>VISHWA-29-11-2024-100</t>
  </si>
  <si>
    <t>Titan-07-12-2024-3975</t>
  </si>
  <si>
    <t>LTIM-29-11-2024-17460</t>
  </si>
  <si>
    <t>LTIM-29-11-2024-17461</t>
  </si>
  <si>
    <t>CDSIPL-28-11-2024-15521</t>
  </si>
  <si>
    <t>HITACHI-23-10-2024-129</t>
  </si>
  <si>
    <t>SWDSPL-03-12-2024-103</t>
  </si>
  <si>
    <t>MIC-04-12-2024-2652</t>
  </si>
  <si>
    <t>LTIM-03-12-2024-17586</t>
  </si>
  <si>
    <t>TCSBPO-10-12-2024-11267</t>
  </si>
  <si>
    <t>WIPRO-10-12-2024-21914</t>
  </si>
  <si>
    <t>BFL-01-11-2024-523</t>
  </si>
  <si>
    <t>ETPL-02-12-2024-774</t>
  </si>
  <si>
    <t>TCS-10-12-2024-29711</t>
  </si>
  <si>
    <t>TCS-09-08-2024-25137</t>
  </si>
  <si>
    <t>TCS-26-11-2024-29350</t>
  </si>
  <si>
    <t>LTIM-10-12-2024-18029</t>
  </si>
  <si>
    <t>CICSPL-07-10-2024-15676</t>
  </si>
  <si>
    <t>IKYA-06-05-2024-4724</t>
  </si>
  <si>
    <t>CMSRSL-22-10-2024-581</t>
  </si>
  <si>
    <t>LTIM-27-07-2024-12326</t>
  </si>
  <si>
    <t>NSTL-28-10-2024-1332</t>
  </si>
  <si>
    <t>IKYA-01-11-2024-5536</t>
  </si>
  <si>
    <t>TEAL-06-12-2024-1240</t>
  </si>
  <si>
    <t>TEAL-06-12-2024-1242</t>
  </si>
  <si>
    <t>TCS-10-12-2024-29669</t>
  </si>
  <si>
    <t>KRBLL-03-12-2024-247</t>
  </si>
  <si>
    <t>SGAPL-09-12-2024-1367</t>
  </si>
  <si>
    <t>CREOSPAN-02-12-2024-261</t>
  </si>
  <si>
    <t>WSSH-22-11-2024-9251</t>
  </si>
  <si>
    <t>ENVISION-24-10-2024-97</t>
  </si>
  <si>
    <t>LTIM-29-11-2024-17488</t>
  </si>
  <si>
    <t>BML-27-11-2024-6544</t>
  </si>
  <si>
    <t>CTSIL-11-12-2024-22779</t>
  </si>
  <si>
    <t>QNALLP-09-12-2024-19</t>
  </si>
  <si>
    <t>MUTHOOT-05-12-2024-10701</t>
  </si>
  <si>
    <t>TCS-03-09-2024-26548</t>
  </si>
  <si>
    <t>CICSPL-29-11-2024-15835</t>
  </si>
  <si>
    <t>BIOVF-18-11-2024-185</t>
  </si>
  <si>
    <t>TMF-26-11-2024-389</t>
  </si>
  <si>
    <t>TechM-11-12-2024-8729</t>
  </si>
  <si>
    <t>TakedaICC-13-09-2024-235</t>
  </si>
  <si>
    <t>CTSIL-09-12-2024-22650</t>
  </si>
  <si>
    <t>WSSG-27-11-2024-1114</t>
  </si>
  <si>
    <t>TCS-20-11-2024-29189</t>
  </si>
  <si>
    <t>INFINX-04-12-2024-5526</t>
  </si>
  <si>
    <t>TechM-07-12-2024-8691</t>
  </si>
  <si>
    <t>INFOGAIN-11-12-2024-1284</t>
  </si>
  <si>
    <t>CVENT-09-12-2024-2291</t>
  </si>
  <si>
    <t>AZIPL-17-07-2024-2018</t>
  </si>
  <si>
    <t>CPMSPL-11-12-2024-5727</t>
  </si>
  <si>
    <t>adidas-14-11-2024-1975</t>
  </si>
  <si>
    <t>VEDANTA-18-03-2024-66</t>
  </si>
  <si>
    <t>APL-13-12-2024-1705</t>
  </si>
  <si>
    <t>SIFY-18-11-2024-854</t>
  </si>
  <si>
    <t>CTSIL-13-12-2024-22922</t>
  </si>
  <si>
    <t>NOSPL-12-12-2024-4416</t>
  </si>
  <si>
    <t>ACLML-28-11-2024-374</t>
  </si>
  <si>
    <t>WSSH-11-12-2024-9650</t>
  </si>
  <si>
    <t>PPSPL-05-12-2024-34</t>
  </si>
  <si>
    <t>BODTPL-06-12-2024-02</t>
  </si>
  <si>
    <t>NAF-10-12-2024-200</t>
  </si>
  <si>
    <t>STVNL-10-12-2024-956</t>
  </si>
  <si>
    <t>GENPACT-12-12-2024-15794</t>
  </si>
  <si>
    <t>TCSBPO-02-12-2024-11194</t>
  </si>
  <si>
    <t>LTIM-20-11-2024-17162</t>
  </si>
  <si>
    <t>CDSIPL-05-12-2024-15625</t>
  </si>
  <si>
    <t>LTIM-29-11-2024-17496</t>
  </si>
  <si>
    <t>FERRERO-01-11-2024-580</t>
  </si>
  <si>
    <t>KRBLL-29-11-2024-240</t>
  </si>
  <si>
    <t>LTIM-22-11-2024-17219</t>
  </si>
  <si>
    <t>CYIENT-13-12-2024-12982</t>
  </si>
  <si>
    <t>CYIENT-13-12-2024-12994</t>
  </si>
  <si>
    <t>FAPL-16-02-2023-6193</t>
  </si>
  <si>
    <t>FAPL-29-01-2024-7620</t>
  </si>
  <si>
    <t>RBL-28-11-2024-1598</t>
  </si>
  <si>
    <t>TCS-05-12-2024-29617</t>
  </si>
  <si>
    <t>TCS-22-11-2024-29272</t>
  </si>
  <si>
    <t>CDSIPL-05-12-2024-15605</t>
  </si>
  <si>
    <t>MSIL--B-13-12-2024-33296</t>
  </si>
  <si>
    <t>WIPRO-13-12-2024-22001</t>
  </si>
  <si>
    <t>AZIPL-02-03-2024-1661</t>
  </si>
  <si>
    <t>AccSPL-13-12-2024-26626</t>
  </si>
  <si>
    <t>AccSPL-13-12-2024-26616</t>
  </si>
  <si>
    <t>AWIGN-27-11-2024-9625</t>
  </si>
  <si>
    <t>MSIL--B-13-12-2024-33299</t>
  </si>
  <si>
    <t>TCS-05-12-2024-29578</t>
  </si>
  <si>
    <t>EUREKA-12-12-2024-28511</t>
  </si>
  <si>
    <t>CTSIL-07-12-2024-22588</t>
  </si>
  <si>
    <t>CTSIL-07-12-2024-22573</t>
  </si>
  <si>
    <t>IIB-12-12-2024-41</t>
  </si>
  <si>
    <t>ICICI-09-08-2024-8147</t>
  </si>
  <si>
    <t>RSA-02-12-2024-200</t>
  </si>
  <si>
    <t>CtrlS-12-11-2024-177</t>
  </si>
  <si>
    <t>TCS-11-12-2024-29798</t>
  </si>
  <si>
    <t>GALLAGHER-05-12-2024-6980</t>
  </si>
  <si>
    <t>TCS-12-12-2024-29792</t>
  </si>
  <si>
    <t>TCS-11-12-2024-29799</t>
  </si>
  <si>
    <t>TCS-12-12-2024-29826</t>
  </si>
  <si>
    <t>TCSBPO-11-12-2024-11273</t>
  </si>
  <si>
    <t>GALLAGHER-05-12-2024-6982</t>
  </si>
  <si>
    <t>NTPL-04-12-2024-1241</t>
  </si>
  <si>
    <t>CTSIL-16-12-2024-23075</t>
  </si>
  <si>
    <t>COOPER-07-12-2024-201</t>
  </si>
  <si>
    <t>BFL-12-12-2024-585</t>
  </si>
  <si>
    <t>TechM-21-10-2024-8371</t>
  </si>
  <si>
    <t>ETHOS-16-12-2024-742</t>
  </si>
  <si>
    <t>ClinCPL-06-12-2024-147</t>
  </si>
  <si>
    <t>PIERAG-29-11-2024-150</t>
  </si>
  <si>
    <t>CPMSPL-13-12-2024-5735</t>
  </si>
  <si>
    <t>LTIM-16-12-2024-18217</t>
  </si>
  <si>
    <t>WIPRO-16-12-2024-22030</t>
  </si>
  <si>
    <t>WSSG-16-12-2024-1128</t>
  </si>
  <si>
    <t>DICVPL-25-11-2024-63</t>
  </si>
  <si>
    <t>GALLAGHER-11-12-2024-7064</t>
  </si>
  <si>
    <t>INSPL-27-04-2024-1627</t>
  </si>
  <si>
    <t>NAGARRO-28-09-2024-12740</t>
  </si>
  <si>
    <t>TCS-13-12-2024-29844</t>
  </si>
  <si>
    <t>AllegisT-13-12-2024-4098</t>
  </si>
  <si>
    <t>KEIHIN-02-07-2024-450</t>
  </si>
  <si>
    <t>AZIPL-17-02-2024-1640</t>
  </si>
  <si>
    <t>TechM-02-12-2024-8638</t>
  </si>
  <si>
    <t>TAICPL-10-12-2024-1958</t>
  </si>
  <si>
    <t>TAWAKKAL-10-12-2024-351</t>
  </si>
  <si>
    <t>MSIL--B-16-10-2024-31336</t>
  </si>
  <si>
    <t>PLAN-16-12-2024-1079</t>
  </si>
  <si>
    <t>Titan-16-12-2024-4005</t>
  </si>
  <si>
    <t>VEL-13-09-2024-114</t>
  </si>
  <si>
    <t>WSSG-04-12-2024-1128</t>
  </si>
  <si>
    <t>EUREKA-12-12-2024-28520</t>
  </si>
  <si>
    <t>TCS-02-12-2024-29490</t>
  </si>
  <si>
    <t>TCS-10-12-2024-29745</t>
  </si>
  <si>
    <t>Titan-12-12-2024-3995</t>
  </si>
  <si>
    <t>LTIM-05-12-2024-17718</t>
  </si>
  <si>
    <t>LTIM-14-11-2024-16907</t>
  </si>
  <si>
    <t>CTSIL-17-12-2024-23133</t>
  </si>
  <si>
    <t>APL-25-11-2024-1640</t>
  </si>
  <si>
    <t>LTIM-17-12-2024-18227</t>
  </si>
  <si>
    <t>KIL-30-11-2024-235</t>
  </si>
  <si>
    <t>INFINX-17-12-2024-5657</t>
  </si>
  <si>
    <t>CTSIL-17-12-2024-23151</t>
  </si>
  <si>
    <t>KAAR-17-12-2024-499</t>
  </si>
  <si>
    <t>RBL-18-09-2024-1489</t>
  </si>
  <si>
    <t>INFINITI-15-10-2024-1966</t>
  </si>
  <si>
    <t>TEL-07-10-2024-10148</t>
  </si>
  <si>
    <t>CtrlS-27-11-2024-210</t>
  </si>
  <si>
    <t>FUTURZ-29-11-2024-439</t>
  </si>
  <si>
    <t>LTIM-12-12-2024-18089</t>
  </si>
  <si>
    <t>AllegisT-17-12-2024-4111</t>
  </si>
  <si>
    <t>Walsons PCC-10-09-2024-2762</t>
  </si>
  <si>
    <t>Walsons PCC-04-10-2024-3297</t>
  </si>
  <si>
    <t>Walsons PCC-25-09-2024-3060</t>
  </si>
  <si>
    <t>Walsons PCC-28-08-2024-2362</t>
  </si>
  <si>
    <t>Walsons PCC-27-08-2024-1917</t>
  </si>
  <si>
    <t>Walsons PCC-27-08-2024-1829</t>
  </si>
  <si>
    <t>Walsons PCC-30-08-2024-2582</t>
  </si>
  <si>
    <t>Walsons PCC-19-09-2024-2993</t>
  </si>
  <si>
    <t>Walsons PCC-27-08-2024-2197</t>
  </si>
  <si>
    <t>Walsons PCC-28-08-2024-2264</t>
  </si>
  <si>
    <t>Walsons PCC-28-08-2024-2417</t>
  </si>
  <si>
    <t>Walsons PCC-28-08-2024-2452</t>
  </si>
  <si>
    <t>Walsons PCC-07-10-2024-3339</t>
  </si>
  <si>
    <t>Walsons PCC-29-08-2024-2573</t>
  </si>
  <si>
    <t>Walsons PCC-19-09-2024-2997</t>
  </si>
  <si>
    <t>Walsons PCC-27-08-2024-2112</t>
  </si>
  <si>
    <t>Walsons PCC-27-08-2024-2066</t>
  </si>
  <si>
    <t>Walsons PCC-28-08-2024-2499</t>
  </si>
  <si>
    <t>Walsons PCC-16-09-2024-2964</t>
  </si>
  <si>
    <t>Walsons PCC-28-08-2024-2450</t>
  </si>
  <si>
    <t>Walsons PCC-27-08-2024-2026</t>
  </si>
  <si>
    <t>Walsons PCC-28-08-2024-2359</t>
  </si>
  <si>
    <t>Walsons PCC-28-08-2024-2466</t>
  </si>
  <si>
    <t>Walsons PCC-28-09-2024-3177</t>
  </si>
  <si>
    <t>Walsons PCC-27-08-2024-1996</t>
  </si>
  <si>
    <t>Walsons PCC-23-11-2024-4064</t>
  </si>
  <si>
    <t>Walsons PCC-27-08-2024-2140</t>
  </si>
  <si>
    <t>Walsons PCC-26-08-2024-1719</t>
  </si>
  <si>
    <t>Walsons PCC-27-08-2024-2051</t>
  </si>
  <si>
    <t>Walsons PCC-27-08-2024-2255</t>
  </si>
  <si>
    <t>Walsons PCC-27-08-2024-1811</t>
  </si>
  <si>
    <t>Walsons PCC-27-08-2024-2016</t>
  </si>
  <si>
    <t>Walsons PCC-29-08-2024-2540</t>
  </si>
  <si>
    <t>Walsons PCC-25-09-2024-3033</t>
  </si>
  <si>
    <t>Walsons PCC-30-08-2024-2572</t>
  </si>
  <si>
    <t>Walsons PCC-28-11-2024-4142</t>
  </si>
  <si>
    <t>Walsons PCC-27-08-2024-2091</t>
  </si>
  <si>
    <t>Walsons PCC-27-08-2024-2001</t>
  </si>
  <si>
    <t>Walsons PCC-21-11-2024-4014</t>
  </si>
  <si>
    <t>Walsons PCC-27-08-2024-2049</t>
  </si>
  <si>
    <t>Walsons PCC-10-09-2024-2807</t>
  </si>
  <si>
    <t>Walsons PCC-27-08-2024-2235</t>
  </si>
  <si>
    <t>Walsons PCC-28-08-2024-2316</t>
  </si>
  <si>
    <t>Walsons PCC-03-10-2024-3272</t>
  </si>
  <si>
    <t>Walsons PCC-04-11-2024-3785</t>
  </si>
  <si>
    <t>Walsons PCC-27-08-2024-1920</t>
  </si>
  <si>
    <t>Walsons PCC-10-09-2024-2794</t>
  </si>
  <si>
    <t>Walsons PCC-27-08-2024-2122</t>
  </si>
  <si>
    <t>Walsons PCC-27-08-2024-2245</t>
  </si>
  <si>
    <t>Walsons PCC-28-09-2024-3192</t>
  </si>
  <si>
    <t>Walsons PCC-18-10-2024-3555</t>
  </si>
  <si>
    <t>Walsons PCC-07-10-2024-3331</t>
  </si>
  <si>
    <t>Walsons PCC-27-08-2024-2028</t>
  </si>
  <si>
    <t>Walsons PCC-28-08-2024-2376</t>
  </si>
  <si>
    <t>Walsons PCC-04-09-2024-2700</t>
  </si>
  <si>
    <t>TAICPL-10-12-2024-1963</t>
  </si>
  <si>
    <t>IKYA-17-12-2024-5727</t>
  </si>
  <si>
    <t>AMBIT-12-12-2024-4970</t>
  </si>
  <si>
    <t>CDSIPL-28-11-2024-15508</t>
  </si>
  <si>
    <t>AMPCUS-29-11-2024-586</t>
  </si>
  <si>
    <t>TCS-04-09-2024-26595</t>
  </si>
  <si>
    <t>LTIM-05-12-2024-17631</t>
  </si>
  <si>
    <t>AZIPL-11-01-2024-1594</t>
  </si>
  <si>
    <t>AllegisT-02-12-2024-4031</t>
  </si>
  <si>
    <t>LTIM-06-12-2024-17758</t>
  </si>
  <si>
    <t>CLL-05-12-2024-81</t>
  </si>
  <si>
    <t>CLL-05-12-2024-85</t>
  </si>
  <si>
    <t>TCS-10-12-2024-29686</t>
  </si>
  <si>
    <t>GALLAGHER-13-12-2024-7075</t>
  </si>
  <si>
    <t>CYIENT-19-12-2024-13067</t>
  </si>
  <si>
    <t>Titan-12-12-2024-3991</t>
  </si>
  <si>
    <t>PEPSI-17-12-2024-229</t>
  </si>
  <si>
    <t>OCS-19-12-2024-1069</t>
  </si>
  <si>
    <t>OCS-19-12-2024-1062</t>
  </si>
  <si>
    <t>OCS-19-12-2024-1060</t>
  </si>
  <si>
    <t>AZIPL-19-03-2024-1696</t>
  </si>
  <si>
    <t>ETPL-27-11-2024-776</t>
  </si>
  <si>
    <t>WIPRO-DOP-02-12-2024-7058</t>
  </si>
  <si>
    <t>CDSIPL-18-12-2024-15645</t>
  </si>
  <si>
    <t>TAICPL-18-12-2024-2023</t>
  </si>
  <si>
    <t>AGEAS-12-12-2024-2126</t>
  </si>
  <si>
    <t>DSV-01-07-2024-476</t>
  </si>
  <si>
    <t>LTIM-13-12-2024-18169</t>
  </si>
  <si>
    <t>CTSIL-09-12-2024-22671</t>
  </si>
  <si>
    <t>GENPACT-17-12-2024-15868</t>
  </si>
  <si>
    <t>MUTHOOTF-17-12-2024-5996</t>
  </si>
  <si>
    <t>FINCPL-25-11-2024-22</t>
  </si>
  <si>
    <t>REL-09-12-2024-33</t>
  </si>
  <si>
    <t>KMPL-16-12-2024-3813</t>
  </si>
  <si>
    <t>KMPL-16-12-2024-3803</t>
  </si>
  <si>
    <t>AGEAS-05-12-2024-2088</t>
  </si>
  <si>
    <t>TCS-18-12-2024-29949</t>
  </si>
  <si>
    <t>AllegisGTCA-05-12-2024-427</t>
  </si>
  <si>
    <t>APL-20-12-2024-1712</t>
  </si>
  <si>
    <t>INFOGAINSSPL-20-12-2024-498</t>
  </si>
  <si>
    <t>TechM-17-12-2024-8789</t>
  </si>
  <si>
    <t>IKYA-11-11-2024-5570</t>
  </si>
  <si>
    <t>FAPL-11-10-2022-1583</t>
  </si>
  <si>
    <t>LTIM-11-12-2024-18074</t>
  </si>
  <si>
    <t>CPMSPL-19-12-2024-5743</t>
  </si>
  <si>
    <t>TCS-29-10-2024-28640</t>
  </si>
  <si>
    <t>EUREKA-25-11-2024-28238</t>
  </si>
  <si>
    <t>TDPL-06-12-2024-1261</t>
  </si>
  <si>
    <t>RNTBCIPL-07-12-2024-5165</t>
  </si>
  <si>
    <t>NAF-10-12-2024-205</t>
  </si>
  <si>
    <t>EUREKA-06-12-2024-28423</t>
  </si>
  <si>
    <t>EUREKA-22-12-2024-28696</t>
  </si>
  <si>
    <t>TCSBPO-16-12-2024-11316</t>
  </si>
  <si>
    <t>MBPL-10-12-2024-541</t>
  </si>
  <si>
    <t>WSSH-21-12-2024-9817</t>
  </si>
  <si>
    <t>WIPRO-20-12-2024-22144</t>
  </si>
  <si>
    <t>ACUITYKC-13-12-2024-1784</t>
  </si>
  <si>
    <t>SMPL-13-12-2024-900</t>
  </si>
  <si>
    <t>TCSBPO-17-12-2024-11310</t>
  </si>
  <si>
    <t>WSSH-12-12-2024-9665</t>
  </si>
  <si>
    <t>CIEL-09-12-2024-561</t>
  </si>
  <si>
    <t>CTSIL-04-12-2024-22396</t>
  </si>
  <si>
    <t>FAPL-11-01-2023-6065</t>
  </si>
  <si>
    <t>CDSIPL-19-12-2024-15721</t>
  </si>
  <si>
    <t>SUREMINDS-20-11-2024-136</t>
  </si>
  <si>
    <t>TCS-23-12-2024-30003</t>
  </si>
  <si>
    <t>TCS-23-12-2024-30005</t>
  </si>
  <si>
    <t>FBL-01-11-2024-319</t>
  </si>
  <si>
    <t>JEH-28-10-2024-31</t>
  </si>
  <si>
    <t>STTGDC-13-12-2024-223</t>
  </si>
  <si>
    <t>MFTFIPL-15-10-2024-63</t>
  </si>
  <si>
    <t>NAGARRO-18-12-2024-13437</t>
  </si>
  <si>
    <t>TCS-24-12-2024-30048</t>
  </si>
  <si>
    <t>CYRIL-14-12-2024-381</t>
  </si>
  <si>
    <t>ACUITYKC-23-12-2024-1806</t>
  </si>
  <si>
    <t>TEAL-15-06-2024-995</t>
  </si>
  <si>
    <t>GALLAGHER-20-12-2024-7122</t>
  </si>
  <si>
    <t>IGT- P-24-12-2024-332</t>
  </si>
  <si>
    <t>ROUTE-25-09-2024-401</t>
  </si>
  <si>
    <t>FAPL-17-11-2022-3910</t>
  </si>
  <si>
    <t>SIEPL-24-12-2024-256</t>
  </si>
  <si>
    <t>ACSGTSPL-16-12-2024-714</t>
  </si>
  <si>
    <t>ACLML-19-12-2024-383</t>
  </si>
  <si>
    <t>CTSIL-14-11-2024-21398</t>
  </si>
  <si>
    <t>SACHA-13-12-2024-470</t>
  </si>
  <si>
    <t>LTIM-13-12-2024-18157</t>
  </si>
  <si>
    <t>Walsons PCC-28-08-2024-2274</t>
  </si>
  <si>
    <t>Walsons PCC-27-11-2024-4115</t>
  </si>
  <si>
    <t>Walsons PCC-14-09-2024-2915</t>
  </si>
  <si>
    <t>COSETTE-18-11-2024-06</t>
  </si>
  <si>
    <t>WIPRO-19-12-2024-22135</t>
  </si>
  <si>
    <t>Titan-26-10-2024-3802</t>
  </si>
  <si>
    <t>INFINX-18-12-2024-5650</t>
  </si>
  <si>
    <t>GENPACT-24-12-2024-16081</t>
  </si>
  <si>
    <t>AACPL-18-12-2024-139</t>
  </si>
  <si>
    <t>LTIM-29-11-2024-17487</t>
  </si>
  <si>
    <t>BML-16-12-2024-6645</t>
  </si>
  <si>
    <t>LTIM-19-12-2024-18330</t>
  </si>
  <si>
    <t>NCPMPL-13-12-2024-20</t>
  </si>
  <si>
    <t>Walsons PCC-10-12-2024-4315</t>
  </si>
  <si>
    <t>Walsons PCC-06-12-2024-4247</t>
  </si>
  <si>
    <t>VPH-07-12-2024-126</t>
  </si>
  <si>
    <t>TECIPL-29-11-2024-813</t>
  </si>
  <si>
    <t>RBL-28-11-2024-1595</t>
  </si>
  <si>
    <t>ICICI-22-08-2024-8280</t>
  </si>
  <si>
    <t>CAPCO-07-11-2024-05</t>
  </si>
  <si>
    <t>MIIPL-11-11-2024-78</t>
  </si>
  <si>
    <t>TECIPL-12-12-2024-842</t>
  </si>
  <si>
    <t>SBGV-26-11-2024-5344</t>
  </si>
  <si>
    <t>AccSPL-13-12-2024-26625</t>
  </si>
  <si>
    <t>CAPCO-13-12-2024-20</t>
  </si>
  <si>
    <t>CTSIL-07-12-2024-22571</t>
  </si>
  <si>
    <t>WIPRO-16-12-2024-22069</t>
  </si>
  <si>
    <t>NAGARRO-10-12-2024-13347</t>
  </si>
  <si>
    <t>BML-16-12-2024-6657</t>
  </si>
  <si>
    <t>BML-16-12-2024-6656</t>
  </si>
  <si>
    <t>SUGS-05-12-2024-11444</t>
  </si>
  <si>
    <t>TCS-11-12-2024-29794</t>
  </si>
  <si>
    <t>TCS-11-12-2024-29751</t>
  </si>
  <si>
    <t>TCS-12-12-2024-29827</t>
  </si>
  <si>
    <t>AZIPL-30-11-2024-2448</t>
  </si>
  <si>
    <t>AZIPL-20-12-2024-2497</t>
  </si>
  <si>
    <t>TAICPL-18-12-2024-2027</t>
  </si>
  <si>
    <t>DATAMATICS-N-13-12-2024-953</t>
  </si>
  <si>
    <t>LTIM-20-12-2024-18455</t>
  </si>
  <si>
    <t>AllegisT-18-12-2024-4125</t>
  </si>
  <si>
    <t>LTIM-23-11-2024-17280</t>
  </si>
  <si>
    <t>COMMSCOPE-07-12-2024-824</t>
  </si>
  <si>
    <t>SUREMINDS-03-12-2024-148</t>
  </si>
  <si>
    <t>BGIPL-19-08-2024-425</t>
  </si>
  <si>
    <t>INFINITI-29-11-2024-2080</t>
  </si>
  <si>
    <t>INFINITI-29-11-2024-2091</t>
  </si>
  <si>
    <t>INFINITI-29-11-2024-2088</t>
  </si>
  <si>
    <t>INFINITI-29-11-2024-2056</t>
  </si>
  <si>
    <t>TMF-19-11-2024-304</t>
  </si>
  <si>
    <t>AMBIT-28-11-2024-4770</t>
  </si>
  <si>
    <t>TAICPL-11-04-2024-831</t>
  </si>
  <si>
    <t>TAICPL-25-11-2024-1837</t>
  </si>
  <si>
    <t>AWIGN-27-11-2024-9653</t>
  </si>
  <si>
    <t>SVNSIPL-19-08-2024-162</t>
  </si>
  <si>
    <t>CICSPL-17-08-2024-15591</t>
  </si>
  <si>
    <t>WIPRO-25-11-2024-21319</t>
  </si>
  <si>
    <t>WIPRO-25-11-2024-21379</t>
  </si>
  <si>
    <t>WIPRO-25-11-2024-21374</t>
  </si>
  <si>
    <t>WFSPL-S-23-09-2024-2924</t>
  </si>
  <si>
    <t>CMS-29-10-2024-1136</t>
  </si>
  <si>
    <t>CTSIL-01-12-2024-22242</t>
  </si>
  <si>
    <t>IHL-29-11-2024-522</t>
  </si>
  <si>
    <t>TCS-14-11-2024-29077</t>
  </si>
  <si>
    <t>Titan-18-11-2024-3877</t>
  </si>
  <si>
    <t>SGSPL-01-10-2024-08</t>
  </si>
  <si>
    <t>TGSPL-13-11-2024-674</t>
  </si>
  <si>
    <t>COMMSCOPE-27-11-2024-835</t>
  </si>
  <si>
    <t>TCS-16-11-2024-29096</t>
  </si>
  <si>
    <t>TCS-22-11-2024-29288</t>
  </si>
  <si>
    <t>CICSPL-17-09-2024-15657</t>
  </si>
  <si>
    <t>SUGS-29-11-2024-11434</t>
  </si>
  <si>
    <t>SUGS-29-11-2024-11490</t>
  </si>
  <si>
    <t>LTIM-02-12-2024-17538</t>
  </si>
  <si>
    <t>MIRAE-12-11-2024-93</t>
  </si>
  <si>
    <t>AccSPL-07-10-2024-24261</t>
  </si>
  <si>
    <t>NAGARRO-25-10-2024-13093</t>
  </si>
  <si>
    <t>RBL-04-11-2024-1597</t>
  </si>
  <si>
    <t>SIFY-22-11-2024-812</t>
  </si>
  <si>
    <t>CTSIL-28-10-2024-21131</t>
  </si>
  <si>
    <t>CTSIL-26-09-2024-20511</t>
  </si>
  <si>
    <t>CTSIL-21-11-2024-21709</t>
  </si>
  <si>
    <t>AGEAS-14-11-2024-2096</t>
  </si>
  <si>
    <t>LRH-30-11-2024-2078</t>
  </si>
  <si>
    <t>BML-13-11-2024-6314</t>
  </si>
  <si>
    <t>MUTHOOTF-06-09-2024-4534</t>
  </si>
  <si>
    <t>NAGARRO-03-11-2024-13080</t>
  </si>
  <si>
    <t>WIPRO-DOP-28-11-2024-7091</t>
  </si>
  <si>
    <t>WIPRO-29-11-2024-21461</t>
  </si>
  <si>
    <t>WIPRO-29-11-2024-21432</t>
  </si>
  <si>
    <t>WIPRO-29-11-2024-21408</t>
  </si>
  <si>
    <t>MIC-29-11-2024-2654</t>
  </si>
  <si>
    <t>MORE-22-11-2024-634</t>
  </si>
  <si>
    <t>IDEMIA-28-11-2024-1754</t>
  </si>
  <si>
    <t>TCSBPO-28-11-2024-11166</t>
  </si>
  <si>
    <t>TCSBPO-28-11-2024-11186</t>
  </si>
  <si>
    <t>AZIPL-27-11-2024-2486</t>
  </si>
  <si>
    <t>ICICI-22-11-2024-9063</t>
  </si>
  <si>
    <t>AWIGN-28-11-2024-10036</t>
  </si>
  <si>
    <t>CYIENT-27-11-2024-12895</t>
  </si>
  <si>
    <t>WIPRO-DOP-21-11-2024-6978</t>
  </si>
  <si>
    <t>WIPRO-DOP-21-11-2024-6936</t>
  </si>
  <si>
    <t>WIPRO-DOP-21-11-2024-6962</t>
  </si>
  <si>
    <t>VEL-01-08-2024-43</t>
  </si>
  <si>
    <t>FSNB-21-11-2024-1524</t>
  </si>
  <si>
    <t>FIPL-26-11-2024-221</t>
  </si>
  <si>
    <t>EUREKA-13-11-2024-28091</t>
  </si>
  <si>
    <t>DIVERSE-28-11-2024-1250</t>
  </si>
  <si>
    <t>TAICPL-28-11-2024-1828</t>
  </si>
  <si>
    <t>QTLPL-19-11-2024-862</t>
  </si>
  <si>
    <t>10FA-27-11-2024-1395</t>
  </si>
  <si>
    <t>NAGARRO-25-11-2024-13276</t>
  </si>
  <si>
    <t>KMPL-13-11-2024-3702</t>
  </si>
  <si>
    <t>EUREKA-26-11-2024-28245</t>
  </si>
  <si>
    <t>GALLAGHER-26-11-2024-6926</t>
  </si>
  <si>
    <t>CTSIL-29-10-2024-21168</t>
  </si>
  <si>
    <t>MBPL-05-11-2024-598</t>
  </si>
  <si>
    <t>WSSH-30-11-2024-9417</t>
  </si>
  <si>
    <t>CMS-30-11-2024-1156</t>
  </si>
  <si>
    <t>CMS-30-11-2024-1132</t>
  </si>
  <si>
    <t>CIDSPL-29-11-2024-547</t>
  </si>
  <si>
    <t>EUREKA-18-11-2024-28021</t>
  </si>
  <si>
    <t>CPMSPL-29-11-2024-5614</t>
  </si>
  <si>
    <t>CPMSPL-29-11-2024-5647</t>
  </si>
  <si>
    <t>CPMSPL-02-12-2024-5656</t>
  </si>
  <si>
    <t>CTSIL-02-12-2024-22366</t>
  </si>
  <si>
    <t>PIL-06-11-2024-649</t>
  </si>
  <si>
    <t>AWIGN-27-11-2024-9603</t>
  </si>
  <si>
    <t>WIPRO-DOP-25-11-2024-6924</t>
  </si>
  <si>
    <t>AMBIT-18-11-2024-4548</t>
  </si>
  <si>
    <t>TCS-18-11-2024-29006</t>
  </si>
  <si>
    <t>DSV-02-12-2024-653</t>
  </si>
  <si>
    <t>WIPRO-30-10-2024-20496</t>
  </si>
  <si>
    <t>NELITO-12-11-2024-70</t>
  </si>
  <si>
    <t>CTSIL-20-11-2024-21660</t>
  </si>
  <si>
    <t>CTSIL-20-11-2024-21644</t>
  </si>
  <si>
    <t>PSTPL-25-11-2024-1581</t>
  </si>
  <si>
    <t>GALLAGHER-18-11-2024-6913</t>
  </si>
  <si>
    <t>EUREKA-11-11-2024-28016</t>
  </si>
  <si>
    <t>ETPL-09-08-2024-634</t>
  </si>
  <si>
    <t>TCSV-MB-06-11-2024-411</t>
  </si>
  <si>
    <t>LTIM-29-11-2024-17425</t>
  </si>
  <si>
    <t>STM-P-25-11-2024-793</t>
  </si>
  <si>
    <t>SCPL-25-11-2024-1517</t>
  </si>
  <si>
    <t>LTIM-23-11-2024-17253</t>
  </si>
  <si>
    <t>PLAN-21-11-2024-1003</t>
  </si>
  <si>
    <t>WIPRO-02-12-2024-21489</t>
  </si>
  <si>
    <t>WIPRO-02-12-2024-21487</t>
  </si>
  <si>
    <t>WIPRO-02-12-2024-21422</t>
  </si>
  <si>
    <t>TEL-02-12-2024-10273</t>
  </si>
  <si>
    <t>TEL-02-12-2024-10201</t>
  </si>
  <si>
    <t>CVENT-12-08-2024-2073</t>
  </si>
  <si>
    <t>WIPRO-12-11-2024-21071</t>
  </si>
  <si>
    <t>TechM-24-10-2024-8361</t>
  </si>
  <si>
    <t>ACUITYKC-15-07-2024-1585</t>
  </si>
  <si>
    <t>TMF-07-10-2024-356</t>
  </si>
  <si>
    <t>CtrlS-28-10-2024-161</t>
  </si>
  <si>
    <t>LTIM-25-11-2024-17288</t>
  </si>
  <si>
    <t>CPMSPL-14-11-2024-5685</t>
  </si>
  <si>
    <t>TCS-23-11-2024-29213</t>
  </si>
  <si>
    <t>LTIM-28-11-2024-17466</t>
  </si>
  <si>
    <t>WIPRO-25-11-2024-21382</t>
  </si>
  <si>
    <t>ACUITYKS-25-11-2024-1386</t>
  </si>
  <si>
    <t>Titan-28-11-2024-3905</t>
  </si>
  <si>
    <t>MUTHOOTF-05-11-2024-5309</t>
  </si>
  <si>
    <t>OTSIPL-21-10-2024-542</t>
  </si>
  <si>
    <t>INSPL-17-02-2024-1390</t>
  </si>
  <si>
    <t>IFFCO-24-04-2024-1195</t>
  </si>
  <si>
    <t>SUGS-29-10-2024-11014</t>
  </si>
  <si>
    <t>TCS-27-11-2024-29345</t>
  </si>
  <si>
    <t>INFINX-25-11-2024-5479</t>
  </si>
  <si>
    <t>RNTBCIPL-27-11-2024-5114</t>
  </si>
  <si>
    <t>EUREKA-10-11-2024-28038</t>
  </si>
  <si>
    <t>SAI-12-11-2024-1632</t>
  </si>
  <si>
    <t>CIEL-29-11-2024-517</t>
  </si>
  <si>
    <t>INSPL-03-10-2023-996</t>
  </si>
  <si>
    <t>APL-26-11-2024-1691</t>
  </si>
  <si>
    <t>EUREKA-22-11-2024-28145</t>
  </si>
  <si>
    <t>EUREKA-13-11-2024-28017</t>
  </si>
  <si>
    <t>EUREKA-18-11-2024-28124</t>
  </si>
  <si>
    <t>EUREKA-13-11-2024-28037</t>
  </si>
  <si>
    <t>SAI-25-11-2024-1689</t>
  </si>
  <si>
    <t>HTML-19-11-2024-376</t>
  </si>
  <si>
    <t>HTDS-11-11-2024-1004</t>
  </si>
  <si>
    <t>VEL-18-11-2024-219</t>
  </si>
  <si>
    <t>LTIM-28-10-2024-16348</t>
  </si>
  <si>
    <t>INSPL-17-01-2024-1213</t>
  </si>
  <si>
    <t>AMBIT-20-11-2024-4503</t>
  </si>
  <si>
    <t>KAIZEN-18-11-2024-49</t>
  </si>
  <si>
    <t>WIPRO-DOP-29-11-2024-7062</t>
  </si>
  <si>
    <t>NAGARRO-26-11-2024-13257</t>
  </si>
  <si>
    <t>DATAMATICS-M-28-11-2024-395</t>
  </si>
  <si>
    <t>CPMSPL-29-11-2024-5667</t>
  </si>
  <si>
    <t>CMS-20-11-2024-1110</t>
  </si>
  <si>
    <t>CMS-27-11-2024-1110</t>
  </si>
  <si>
    <t>HTMLF-26-11-2024-239</t>
  </si>
  <si>
    <t>GGKTPL-08-11-2024-1918</t>
  </si>
  <si>
    <t>CtrlS-26-11-2024-249</t>
  </si>
  <si>
    <t>TDPL-22-11-2024-1238</t>
  </si>
  <si>
    <t>GPHRLS-02-12-2024-146</t>
  </si>
  <si>
    <t>AllegisT-02-12-2024-4030</t>
  </si>
  <si>
    <t>CDLML-02-12-2024-389</t>
  </si>
  <si>
    <t>PRGX-28-11-2024-390</t>
  </si>
  <si>
    <t>AMPCUS-25-11-2024-524</t>
  </si>
  <si>
    <t>GENPACT-27-11-2024-15199</t>
  </si>
  <si>
    <t>GENPACT-27-11-2024-15178</t>
  </si>
  <si>
    <t>LTIM-26-11-2024-17351</t>
  </si>
  <si>
    <t>BGIPL-19-08-2024-442</t>
  </si>
  <si>
    <t>BGIPL-19-08-2024-430</t>
  </si>
  <si>
    <t>WIPRO-02-12-2024-21626</t>
  </si>
  <si>
    <t>IDEMIA-08-11-2024-1619</t>
  </si>
  <si>
    <t>LTIM-21-10-2024-16104</t>
  </si>
  <si>
    <t>AWIGN-28-11-2024-9715</t>
  </si>
  <si>
    <t>TakedaICC-28-11-2024-395</t>
  </si>
  <si>
    <t>TakedaICC-28-11-2024-342</t>
  </si>
  <si>
    <t>TakedaICC-28-11-2024-371</t>
  </si>
  <si>
    <t>RPOSPL-15-11-2024-1895</t>
  </si>
  <si>
    <t>NOSPL-23-09-2024-4071</t>
  </si>
  <si>
    <t>SCPL-19-11-2024-1597</t>
  </si>
  <si>
    <t>AMBIT-10-07-2024-3461</t>
  </si>
  <si>
    <t>SOBEK-25-11-2024-966</t>
  </si>
  <si>
    <t>EESL-12-02-2024-124</t>
  </si>
  <si>
    <t>AWIGN-28-11-2024-10069</t>
  </si>
  <si>
    <t>BML-27-11-2024-6571</t>
  </si>
  <si>
    <t>SAVVYSOFT-29-11-2024-63</t>
  </si>
  <si>
    <t>Titan-03-12-2024-3907</t>
  </si>
  <si>
    <t>DIVERSE-28-11-2024-1267</t>
  </si>
  <si>
    <t>TCSBPO-28-11-2024-11107</t>
  </si>
  <si>
    <t>GOQii-03-12-2024-270</t>
  </si>
  <si>
    <t>FUTURZ-18-10-2024-491</t>
  </si>
  <si>
    <t>CYIENT-21-08-2024-11741</t>
  </si>
  <si>
    <t>INFINX-03-12-2024-5580</t>
  </si>
  <si>
    <t>RSA-03-12-2024-251</t>
  </si>
  <si>
    <t>RSA-03-12-2024-220</t>
  </si>
  <si>
    <t>LTIM-22-08-2024-13338</t>
  </si>
  <si>
    <t>TCS-29-10-2024-28676</t>
  </si>
  <si>
    <t>LTIM-03-12-2024-17596</t>
  </si>
  <si>
    <t>CTSIL-03-12-2024-22303</t>
  </si>
  <si>
    <t>GENPACT-29-11-2024-15519</t>
  </si>
  <si>
    <t>MUTHOOTF-27-11-2024-5794</t>
  </si>
  <si>
    <t>NTT-11-07-2024-817</t>
  </si>
  <si>
    <t>INSPL-26-03-2024-1406</t>
  </si>
  <si>
    <t>CICSPL-29-11-2024-15827</t>
  </si>
  <si>
    <t>CTSIL-29-11-2024-22254</t>
  </si>
  <si>
    <t>CTSIL-29-11-2024-22207</t>
  </si>
  <si>
    <t>AMBIT-07-11-2024-4347</t>
  </si>
  <si>
    <t>ICICI-15-11-2024-8963</t>
  </si>
  <si>
    <t>LTIM-06-08-2024-12671</t>
  </si>
  <si>
    <t>CTSIL-02-12-2024-22200</t>
  </si>
  <si>
    <t>CTSIL-02-12-2024-22202</t>
  </si>
  <si>
    <t>SCP-19-11-2024-51</t>
  </si>
  <si>
    <t>AllegisT-27-11-2024-4050</t>
  </si>
  <si>
    <t>AGEAS-03-12-2024-2006</t>
  </si>
  <si>
    <t>TCS-16-10-2024-28276</t>
  </si>
  <si>
    <t>CADTIPL-03-12-2024-242</t>
  </si>
  <si>
    <t>WIPRO-DOP-03-12-2024-7025</t>
  </si>
  <si>
    <t>WIPRO-DOP-03-12-2024-7009</t>
  </si>
  <si>
    <t>INSPL-17-02-2024-1369</t>
  </si>
  <si>
    <t>INSPL-17-02-2024-1343</t>
  </si>
  <si>
    <t>SAFM-12-07-2024-235</t>
  </si>
  <si>
    <t>SCPL-27-11-2024-1567</t>
  </si>
  <si>
    <t>CPMSPL-20-08-2024-5455</t>
  </si>
  <si>
    <t>KSPL-13-11-2024-4550</t>
  </si>
  <si>
    <t>IFFCO-08-11-2024-1933</t>
  </si>
  <si>
    <t>Titan-03-12-2024-3991</t>
  </si>
  <si>
    <t>Titan-03-12-2024-3989</t>
  </si>
  <si>
    <t>LTIM-23-11-2024-17236</t>
  </si>
  <si>
    <t>AWIGN-28-11-2024-9880</t>
  </si>
  <si>
    <t>OIPL-20-11-2024-335</t>
  </si>
  <si>
    <t>NISG-18-09-2024-451</t>
  </si>
  <si>
    <t>NOSPL-22-06-2024-3586</t>
  </si>
  <si>
    <t>AMELIA-15-11-2024-30</t>
  </si>
  <si>
    <t>ACUITYKC-26-09-2024-1637</t>
  </si>
  <si>
    <t>LTIM-14-11-2024-16950</t>
  </si>
  <si>
    <t>TCS-27-09-2024-27660</t>
  </si>
  <si>
    <t>CtrlS-26-11-2024-287</t>
  </si>
  <si>
    <t>CtrlS-26-11-2024-277</t>
  </si>
  <si>
    <t>FILTREC-28-08-2023-14</t>
  </si>
  <si>
    <t>SIFY-25-11-2024-808</t>
  </si>
  <si>
    <t>ACUITYKC-28-08-2024-1517</t>
  </si>
  <si>
    <t>CTSIL-21-11-2024-21716</t>
  </si>
  <si>
    <t>IPLBL-09-11-2024-1009</t>
  </si>
  <si>
    <t>SAI-12-11-2024-1609</t>
  </si>
  <si>
    <t>AGEAS-22-11-2024-2074</t>
  </si>
  <si>
    <t>AGEAS-22-11-2024-2026</t>
  </si>
  <si>
    <t>EUREKA-26-11-2024-28223</t>
  </si>
  <si>
    <t>EUREKA-25-11-2024-28258</t>
  </si>
  <si>
    <t>TCS-22-11-2024-29257</t>
  </si>
  <si>
    <t>TCS-26-11-2024-29341</t>
  </si>
  <si>
    <t>INSPL-17-01-2024-1237</t>
  </si>
  <si>
    <t>MCX-27-11-2024-69</t>
  </si>
  <si>
    <t>Titan-15-11-2024-3882</t>
  </si>
  <si>
    <t>TCS-25-09-2024-27626</t>
  </si>
  <si>
    <t>TCSBPO-28-11-2024-11161</t>
  </si>
  <si>
    <t>TakedaICC-27-11-2024-349</t>
  </si>
  <si>
    <t>TAICPL-13-11-2024-1758</t>
  </si>
  <si>
    <t>MIRAE-25-11-2024-84</t>
  </si>
  <si>
    <t>MISPL-27-11-2024-1829</t>
  </si>
  <si>
    <t>IKYA-01-10-2024-5376</t>
  </si>
  <si>
    <t>INSPL-26-03-2024-1446</t>
  </si>
  <si>
    <t>INFINX-29-11-2024-5477</t>
  </si>
  <si>
    <t>AllegisT-07-11-2024-3950</t>
  </si>
  <si>
    <t>LTIM-20-11-2024-17130</t>
  </si>
  <si>
    <t>CICSPL-22-11-2024-15766</t>
  </si>
  <si>
    <t>LTIM-29-07-2024-12338</t>
  </si>
  <si>
    <t>WIPRO-02-12-2024-21408</t>
  </si>
  <si>
    <t>TEL-02-12-2024-10229</t>
  </si>
  <si>
    <t>GENPACT-02-12-2024-15643</t>
  </si>
  <si>
    <t>INFINITI-23-11-2024-2003</t>
  </si>
  <si>
    <t>FAPL-20-11-2024-8448</t>
  </si>
  <si>
    <t>WIPRO-03-12-2024-21811</t>
  </si>
  <si>
    <t>INTELLIEST-07-09-2024-45</t>
  </si>
  <si>
    <t>LTIM-19-09-2024-14682</t>
  </si>
  <si>
    <t>NASSCOM-09-09-2024-85</t>
  </si>
  <si>
    <t>INSPL-17-01-2024-1259</t>
  </si>
  <si>
    <t>INSPL-08-03-2024-1300</t>
  </si>
  <si>
    <t>DATAMATICS-M-28-11-2024-362</t>
  </si>
  <si>
    <t>TAWAKKAL-28-11-2024-369</t>
  </si>
  <si>
    <t>adidas-18-09-2024-1976</t>
  </si>
  <si>
    <t>EUREKA-23-11-2024-28235</t>
  </si>
  <si>
    <t>EUREKA-06-11-2024-28084</t>
  </si>
  <si>
    <t>AWIGN-27-11-2024-9594</t>
  </si>
  <si>
    <t>INSPL-12-03-2024-1457</t>
  </si>
  <si>
    <t>GENPACT-02-12-2024-15552</t>
  </si>
  <si>
    <t>GENPACT-23-10-2024-13977</t>
  </si>
  <si>
    <t>Titan-12-11-2024-3816</t>
  </si>
  <si>
    <t>INSPL-24-01-2024-1353</t>
  </si>
  <si>
    <t>LTIM-10-10-2024-15688</t>
  </si>
  <si>
    <t>TechMCPL-04-12-2024-1351</t>
  </si>
  <si>
    <t>TechMCPL-04-12-2024-1314</t>
  </si>
  <si>
    <t>LTIM-21-11-2024-17268</t>
  </si>
  <si>
    <t>AllegisT-27-11-2024-4015</t>
  </si>
  <si>
    <t>TCSBPO-03-12-2024-11298</t>
  </si>
  <si>
    <t>LTIM-21-11-2024-17271</t>
  </si>
  <si>
    <t>adidas-13-11-2024-1925</t>
  </si>
  <si>
    <t>AMBIT-03-12-2024-4754</t>
  </si>
  <si>
    <t>CTSIL-27-11-2024-22009</t>
  </si>
  <si>
    <t>CTSIL-24-11-2024-21879</t>
  </si>
  <si>
    <t>VEL-27-08-2024-44</t>
  </si>
  <si>
    <t>BML-27-11-2024-6557</t>
  </si>
  <si>
    <t>WIPRO-03-12-2024-21739</t>
  </si>
  <si>
    <t>QuessITS-03-12-2024-403</t>
  </si>
  <si>
    <t>INSPL-17-01-2024-1247</t>
  </si>
  <si>
    <t>INSPL-17-01-2024-1243</t>
  </si>
  <si>
    <t>PRGX-28-11-2024-302</t>
  </si>
  <si>
    <t>PROLIFICS-07-11-2024-08</t>
  </si>
  <si>
    <t>AZIPL-27-11-2024-2467</t>
  </si>
  <si>
    <t>PRGX-26-11-2024-399</t>
  </si>
  <si>
    <t>GENPACT-24-10-2024-13923</t>
  </si>
  <si>
    <t>INSPL-26-03-2024-1418</t>
  </si>
  <si>
    <t>SUGS-29-11-2024-11492</t>
  </si>
  <si>
    <t>NEBLIO-02-12-2024-301</t>
  </si>
  <si>
    <t>LTIM-21-11-2024-17111</t>
  </si>
  <si>
    <t>TCS-02-12-2024-29467</t>
  </si>
  <si>
    <t>WIPRO-03-12-2024-21706</t>
  </si>
  <si>
    <t>WIPRO-DOP-02-12-2024-7042</t>
  </si>
  <si>
    <t>AMBIT-10-07-2024-3479</t>
  </si>
  <si>
    <t>IFFCO-13-08-2024-1622</t>
  </si>
  <si>
    <t>JMAN-29-11-2024-21</t>
  </si>
  <si>
    <t>TCSV-IP-19-11-2024-378</t>
  </si>
  <si>
    <t>MIC-29-11-2024-2657</t>
  </si>
  <si>
    <t>CVENT-04-12-2024-2213</t>
  </si>
  <si>
    <t>FAPL-04-12-2024-8563</t>
  </si>
  <si>
    <t>FAPL-04-12-2024-8551</t>
  </si>
  <si>
    <t>CIEL-04-12-2024-524</t>
  </si>
  <si>
    <t>CTSIL-04-12-2024-22462</t>
  </si>
  <si>
    <t>TechM-04-12-2024-8647</t>
  </si>
  <si>
    <t>LTIM-04-12-2024-17685</t>
  </si>
  <si>
    <t>WIPRO-04-12-2024-21830</t>
  </si>
  <si>
    <t>INFINX-04-12-2024-5563</t>
  </si>
  <si>
    <t>KSPL-04-12-2024-4709</t>
  </si>
  <si>
    <t>NOSPL-03-12-2024-4363</t>
  </si>
  <si>
    <t>TCS-21-11-2024-29170</t>
  </si>
  <si>
    <t>TCSBPO-23-08-2024-10237</t>
  </si>
  <si>
    <t>PROLIFICS-25-11-2024-31</t>
  </si>
  <si>
    <t>TechM-28-11-2024-8633</t>
  </si>
  <si>
    <t>CDSIPL-20-11-2024-15487</t>
  </si>
  <si>
    <t>WIPRO-16-11-2024-21187</t>
  </si>
  <si>
    <t>MUTHOOTF-28-09-2024-4972</t>
  </si>
  <si>
    <t>WIPRO-DOP-29-11-2024-7067</t>
  </si>
  <si>
    <t>GRO-22-11-2024-252</t>
  </si>
  <si>
    <t>KIPL-27-11-2024-506</t>
  </si>
  <si>
    <t>TechM-02-12-2024-8691</t>
  </si>
  <si>
    <t>CtrlS-15-11-2024-134</t>
  </si>
  <si>
    <t>IKYA-30-10-2024-5574</t>
  </si>
  <si>
    <t>IDP-29-11-2024-972</t>
  </si>
  <si>
    <t>IPSoft-17-07-2023-195</t>
  </si>
  <si>
    <t>CtrlS-02-12-2024-263</t>
  </si>
  <si>
    <t>AllegisT-24-10-2024-3889</t>
  </si>
  <si>
    <t>AllegisT-14-10-2024-3687</t>
  </si>
  <si>
    <t>VLPL-21-11-2024-309</t>
  </si>
  <si>
    <t>SGSPL-29-10-2024-68</t>
  </si>
  <si>
    <t>LTIM-09-11-2024-16720</t>
  </si>
  <si>
    <t>HARTEK-17-10-2024-18</t>
  </si>
  <si>
    <t>CISS-27-11-2024-03</t>
  </si>
  <si>
    <t>TDPL-08-10-2024-1222</t>
  </si>
  <si>
    <t>AMPCUS-04-12-2024-561</t>
  </si>
  <si>
    <t>AMPCUS-04-12-2024-541</t>
  </si>
  <si>
    <t>AMPCUS-04-12-2024-532</t>
  </si>
  <si>
    <t>AMPCUS-04-12-2024-560</t>
  </si>
  <si>
    <t>AMPCUS-04-12-2024-577</t>
  </si>
  <si>
    <t>AMPCUS-04-12-2024-592</t>
  </si>
  <si>
    <t>AMPCUS-04-12-2024-544</t>
  </si>
  <si>
    <t>WSSH-04-12-2024-9594</t>
  </si>
  <si>
    <t>WSSH-04-12-2024-9564</t>
  </si>
  <si>
    <t>AMBIT-25-11-2024-4639</t>
  </si>
  <si>
    <t>BSH-04-12-2024-547</t>
  </si>
  <si>
    <t>LTIM-22-10-2024-16134</t>
  </si>
  <si>
    <t>LTIM-24-10-2024-16239</t>
  </si>
  <si>
    <t>IGT- P-20-11-2024-285</t>
  </si>
  <si>
    <t>SBGV-26-11-2024-5305</t>
  </si>
  <si>
    <t>LTIM-10-10-2024-15758</t>
  </si>
  <si>
    <t>AccSPL-15-11-2024-25823</t>
  </si>
  <si>
    <t>CtrlS-24-11-2024-299</t>
  </si>
  <si>
    <t>SVNSIPL-10-10-2024-141</t>
  </si>
  <si>
    <t>COMMSCOPE-30-07-2024-745</t>
  </si>
  <si>
    <t>EUREKA-25-11-2024-28226</t>
  </si>
  <si>
    <t>EUREKA-08-11-2024-28067</t>
  </si>
  <si>
    <t>AZUGA-22-11-2024-459</t>
  </si>
  <si>
    <t>SHINE-03-12-2024-539</t>
  </si>
  <si>
    <t>SHINE-03-12-2024-549</t>
  </si>
  <si>
    <t>PIL-22-11-2024-634</t>
  </si>
  <si>
    <t>TRIARQ-29-11-2024-693</t>
  </si>
  <si>
    <t>TIANISH-11-11-2024-65</t>
  </si>
  <si>
    <t>AMBIT-28-11-2024-4650</t>
  </si>
  <si>
    <t>ICICI-20-11-2024-9041</t>
  </si>
  <si>
    <t>IKYA-22-10-2024-5499</t>
  </si>
  <si>
    <t>CtrlS-02-12-2024-252</t>
  </si>
  <si>
    <t>QUINTE-04-12-2024-334</t>
  </si>
  <si>
    <t>CYIENT-04-12-2024-12976</t>
  </si>
  <si>
    <t>CYIENT-04-12-2024-12901</t>
  </si>
  <si>
    <t>TCS-18-11-2024-29017</t>
  </si>
  <si>
    <t>INFOGAIN-29-10-2024-1286</t>
  </si>
  <si>
    <t>AMBIT-02-09-2024-3740</t>
  </si>
  <si>
    <t>LTIM-03-10-2024-15464</t>
  </si>
  <si>
    <t>LTIM-13-11-2024-16898</t>
  </si>
  <si>
    <t>Titan-02-12-2024-3990</t>
  </si>
  <si>
    <t>IKYA-11-03-2024-4582</t>
  </si>
  <si>
    <t>IKYA-10-10-2024-5371</t>
  </si>
  <si>
    <t>JMAN-30-11-2024-07</t>
  </si>
  <si>
    <t>TCS-18-11-2024-29118</t>
  </si>
  <si>
    <t>CMS-30-08-2024-1036</t>
  </si>
  <si>
    <t>SUGS-18-11-2024-11284</t>
  </si>
  <si>
    <t>AllegisE-29-11-2024-1150</t>
  </si>
  <si>
    <t>ACCPL-25-11-2024-50</t>
  </si>
  <si>
    <t>CONVICTION-22-11-2024-40</t>
  </si>
  <si>
    <t>CONVICTION-22-11-2024-96</t>
  </si>
  <si>
    <t>TCS-31-07-2024-24454</t>
  </si>
  <si>
    <t>IKYA-23-10-2024-5463</t>
  </si>
  <si>
    <t>IKYA-21-08-2024-5109</t>
  </si>
  <si>
    <t>IKYA-07-02-2024-4482</t>
  </si>
  <si>
    <t>FSNB-27-11-2024-1587</t>
  </si>
  <si>
    <t>SAVE-14-10-2024-1931</t>
  </si>
  <si>
    <t>KAIZEN-15-10-2024-31</t>
  </si>
  <si>
    <t>BML-19-11-2024-6405</t>
  </si>
  <si>
    <t>DICVPL-22-11-2024-55</t>
  </si>
  <si>
    <t>WSSH-04-12-2024-9595</t>
  </si>
  <si>
    <t>PIL-02-12-2024-608</t>
  </si>
  <si>
    <t>TEL-13-07-2022-1801</t>
  </si>
  <si>
    <t>FAPL-28-11-2024-8580</t>
  </si>
  <si>
    <t>TechM-25-11-2024-8540</t>
  </si>
  <si>
    <t>TechM-03-12-2024-8625</t>
  </si>
  <si>
    <t>TCS-29-11-2024-29448</t>
  </si>
  <si>
    <t>TCS-22-11-2024-29218</t>
  </si>
  <si>
    <t>RPOSPL-02-12-2024-1931</t>
  </si>
  <si>
    <t>WIPRO-DOP-29-11-2024-7009</t>
  </si>
  <si>
    <t>AMBIT-07-11-2024-4306</t>
  </si>
  <si>
    <t>PIXTONE-19-11-2024-347</t>
  </si>
  <si>
    <t>CTSIL-20-11-2024-21676</t>
  </si>
  <si>
    <t>CYIENT-27-11-2024-12868</t>
  </si>
  <si>
    <t>SAI-25-11-2024-1672</t>
  </si>
  <si>
    <t>CPMSPL-26-11-2024-5653</t>
  </si>
  <si>
    <t>IDP-04-12-2024-920</t>
  </si>
  <si>
    <t>OIPL-21-10-2024-263</t>
  </si>
  <si>
    <t>MCX-27-11-2024-56</t>
  </si>
  <si>
    <t>Titan-22-10-2024-3737</t>
  </si>
  <si>
    <t>SLPL-03-12-2024-1908</t>
  </si>
  <si>
    <t>RBL-03-12-2024-1696</t>
  </si>
  <si>
    <t>GGKTPL-29-11-2024-2095</t>
  </si>
  <si>
    <t>Titan-26-10-2024-3821</t>
  </si>
  <si>
    <t>INSPL-25-05-2024-1629</t>
  </si>
  <si>
    <t>STTGDC-04-12-2024-282</t>
  </si>
  <si>
    <t>PIERAG-27-11-2024-185</t>
  </si>
  <si>
    <t>NSDC-BGV-22-11-2024-334</t>
  </si>
  <si>
    <t>CTSIL-29-11-2024-22169</t>
  </si>
  <si>
    <t>FSNI-21-11-2024-31</t>
  </si>
  <si>
    <t>INSPL-25-05-2024-1652</t>
  </si>
  <si>
    <t>CLL-05-12-2024-52</t>
  </si>
  <si>
    <t>ICICI-29-11-2024-9154</t>
  </si>
  <si>
    <t>CTSIL-14-08-2024-19731</t>
  </si>
  <si>
    <t>WIPRO-DOP-22-11-2024-6982</t>
  </si>
  <si>
    <t>TechM-25-11-2024-8589</t>
  </si>
  <si>
    <t>CYIENT-02-12-2024-12815</t>
  </si>
  <si>
    <t>CICSPL-04-12-2024-15891</t>
  </si>
  <si>
    <t>CMSRSL-18-10-2024-552</t>
  </si>
  <si>
    <t>CTSIL-04-12-2024-22432</t>
  </si>
  <si>
    <t>CTSIL-04-12-2024-22428</t>
  </si>
  <si>
    <t>MUTHOOTF-02-12-2024-5790</t>
  </si>
  <si>
    <t>WIPRO-03-12-2024-21891</t>
  </si>
  <si>
    <t>CTSIL-19-11-2024-21506</t>
  </si>
  <si>
    <t>PIL-25-11-2024-675</t>
  </si>
  <si>
    <t>AWIGN-29-11-2024-10084</t>
  </si>
  <si>
    <t>AWIGN-28-11-2024-10053</t>
  </si>
  <si>
    <t>AWIGN-27-11-2024-9402</t>
  </si>
  <si>
    <t>AWIGN-29-11-2024-10085</t>
  </si>
  <si>
    <t>AWIGN-29-11-2024-10028</t>
  </si>
  <si>
    <t>iBus-27-11-2024-273</t>
  </si>
  <si>
    <t>EUREKA-20-11-2024-28103</t>
  </si>
  <si>
    <t>CTSIL-04-12-2024-22404</t>
  </si>
  <si>
    <t>CMS-05-12-2024-1178</t>
  </si>
  <si>
    <t>NAGARRO-25-11-2024-13292</t>
  </si>
  <si>
    <t>CPMSPL-05-12-2024-5787</t>
  </si>
  <si>
    <t>CPMSPL-05-12-2024-5747</t>
  </si>
  <si>
    <t>INSPL-03-10-2023-918</t>
  </si>
  <si>
    <t>LTIM-27-11-2024-17428</t>
  </si>
  <si>
    <t>TCS-03-12-2024-29523</t>
  </si>
  <si>
    <t>QBSS-16-09-2024-164</t>
  </si>
  <si>
    <t>GGKTPL-21-11-2024-2048</t>
  </si>
  <si>
    <t>PHOTON-18-11-2024-1126</t>
  </si>
  <si>
    <t>LTIM-26-11-2024-17369</t>
  </si>
  <si>
    <t>SIFY-27-11-2024-910</t>
  </si>
  <si>
    <t>SIFY-27-11-2024-954</t>
  </si>
  <si>
    <t>SIFY-27-11-2024-963</t>
  </si>
  <si>
    <t>SIFY-27-11-2024-931</t>
  </si>
  <si>
    <t>SIFY-27-11-2024-925</t>
  </si>
  <si>
    <t>SIFY-27-11-2024-983</t>
  </si>
  <si>
    <t>CDSIPL-28-11-2024-15573</t>
  </si>
  <si>
    <t>Titan-04-10-2024-3783</t>
  </si>
  <si>
    <t>PATRA-05-12-2024-6690</t>
  </si>
  <si>
    <t>AMBIT-28-11-2024-4666</t>
  </si>
  <si>
    <t>IFFCO-20-06-2024-1524</t>
  </si>
  <si>
    <t>INSPL-12-04-2024-1594</t>
  </si>
  <si>
    <t>WIPRO-DOP-25-11-2024-6905</t>
  </si>
  <si>
    <t>MPTPL-27-11-2024-55</t>
  </si>
  <si>
    <t>TCS-04-12-2024-29520</t>
  </si>
  <si>
    <t>IGT- P-29-11-2024-299</t>
  </si>
  <si>
    <t>EUREKA-19-11-2024-28122</t>
  </si>
  <si>
    <t>ICICI-29-11-2024-9180</t>
  </si>
  <si>
    <t>PEPSI-25-09-2024-132</t>
  </si>
  <si>
    <t>INSPL-27-04-2024-1619</t>
  </si>
  <si>
    <t>INSPL-27-04-2024-1670</t>
  </si>
  <si>
    <t>COMMSCOPE-21-11-2024-893</t>
  </si>
  <si>
    <t>TechM-18-11-2024-8535</t>
  </si>
  <si>
    <t>TCS-26-11-2024-29357</t>
  </si>
  <si>
    <t>TechM-04-12-2024-8679</t>
  </si>
  <si>
    <t>TechM-27-11-2024-8639</t>
  </si>
  <si>
    <t>ICICI-16-11-2024-8976</t>
  </si>
  <si>
    <t>ICICI-16-11-2024-8982</t>
  </si>
  <si>
    <t>GEBBS-03-12-2024-1906</t>
  </si>
  <si>
    <t>TCS-26-11-2024-29383</t>
  </si>
  <si>
    <t>PWC-27-09-2024-4159</t>
  </si>
  <si>
    <t>SUGS-01-11-2024-11010</t>
  </si>
  <si>
    <t>VIRAJ-02-12-2024-286</t>
  </si>
  <si>
    <t>RBL-18-09-2024-1460</t>
  </si>
  <si>
    <t>TAICPL-18-10-2024-1662</t>
  </si>
  <si>
    <t>INSPL-12-04-2024-1563</t>
  </si>
  <si>
    <t>INSPL-27-04-2024-1616</t>
  </si>
  <si>
    <t>TECIPL-03-12-2024-873</t>
  </si>
  <si>
    <t>IGT- P-03-12-2024-287</t>
  </si>
  <si>
    <t>SIFY-27-11-2024-809</t>
  </si>
  <si>
    <t>TCSBPO-03-12-2024-11287</t>
  </si>
  <si>
    <t>TCSBPO-23-08-2024-10222</t>
  </si>
  <si>
    <t>WFSPL-S-22-11-2024-3196</t>
  </si>
  <si>
    <t>RNTBCIPL-02-12-2024-5119</t>
  </si>
  <si>
    <t>EUREKA-11-11-2024-28018</t>
  </si>
  <si>
    <t>EUREKA-18-11-2024-28000</t>
  </si>
  <si>
    <t>TAICPL-28-11-2024-1863</t>
  </si>
  <si>
    <t>EUREKA-19-11-2024-28111</t>
  </si>
  <si>
    <t>EUREKA-14-11-2024-28037</t>
  </si>
  <si>
    <t>SLPL-03-12-2024-1846</t>
  </si>
  <si>
    <t>SLPL-03-12-2024-1803</t>
  </si>
  <si>
    <t>WSSH-03-12-2024-9531</t>
  </si>
  <si>
    <t>TCS-03-12-2024-29530</t>
  </si>
  <si>
    <t>TCS-03-12-2024-29552</t>
  </si>
  <si>
    <t>INFINX-29-11-2024-5488</t>
  </si>
  <si>
    <t>INFINX-29-11-2024-5401</t>
  </si>
  <si>
    <t>INFINX-29-11-2024-5452</t>
  </si>
  <si>
    <t>INFINX-29-11-2024-5418</t>
  </si>
  <si>
    <t>INFINX-29-11-2024-5470</t>
  </si>
  <si>
    <t>10FA-11-10-2024-1396</t>
  </si>
  <si>
    <t>INSPL-12-03-2024-1487</t>
  </si>
  <si>
    <t>IKYA-05-12-2024-5639</t>
  </si>
  <si>
    <t>CLL-05-12-2024-14</t>
  </si>
  <si>
    <t>CYIENT-05-12-2024-12991</t>
  </si>
  <si>
    <t>SIFY-05-12-2024-923</t>
  </si>
  <si>
    <t>DFIL-03-12-2024-569</t>
  </si>
  <si>
    <t>TCS-14-11-2024-29094</t>
  </si>
  <si>
    <t>CTSIL-05-12-2024-22539</t>
  </si>
  <si>
    <t>CTSIL-26-11-2024-22008</t>
  </si>
  <si>
    <t>CICSPL-07-10-2024-15688</t>
  </si>
  <si>
    <t>WIPRO-27-11-2024-21371</t>
  </si>
  <si>
    <t>INFINITI-20-09-2024-1995</t>
  </si>
  <si>
    <t>LTIM-19-09-2024-14711</t>
  </si>
  <si>
    <t>CYRIL-18-09-2024-239</t>
  </si>
  <si>
    <t>CYIENT-04-12-2024-12830</t>
  </si>
  <si>
    <t>LTIM-04-12-2024-17535</t>
  </si>
  <si>
    <t>INSPL-27-04-2024-1612</t>
  </si>
  <si>
    <t>NELITO-19-11-2024-98</t>
  </si>
  <si>
    <t>INSPL-27-04-2024-1668</t>
  </si>
  <si>
    <t>CSSIPL-05-12-2024-62</t>
  </si>
  <si>
    <t>CtrlS-20-09-2024-23</t>
  </si>
  <si>
    <t>TCS-06-09-2024-26629</t>
  </si>
  <si>
    <t>LAXMI-28-11-2024-69</t>
  </si>
  <si>
    <t>AWIGN-28-11-2024-9949</t>
  </si>
  <si>
    <t>TechM-21-08-2024-7841</t>
  </si>
  <si>
    <t>LTIM-30-11-2024-17558</t>
  </si>
  <si>
    <t>SAI-09-10-2024-1502</t>
  </si>
  <si>
    <t>WSSH-28-10-2024-8930</t>
  </si>
  <si>
    <t>CTSIL-24-11-2024-21846</t>
  </si>
  <si>
    <t>GGKTPL-06-12-2024-2050</t>
  </si>
  <si>
    <t>AZIPL-06-12-2024-2440</t>
  </si>
  <si>
    <t>PWC-26-09-2024-4106</t>
  </si>
  <si>
    <t>adidas-06-12-2024-1998</t>
  </si>
  <si>
    <t>RNTBCIPL-06-12-2024-5194</t>
  </si>
  <si>
    <t>Titan-28-11-2024-3939</t>
  </si>
  <si>
    <t>NAGARRO-03-11-2024-13037</t>
  </si>
  <si>
    <t>AMBIT-20-11-2024-4593</t>
  </si>
  <si>
    <t>NAGARRO-30-11-2024-13355</t>
  </si>
  <si>
    <t>AMBIT-03-12-2024-4769</t>
  </si>
  <si>
    <t>FAPL-22-11-2024-8598</t>
  </si>
  <si>
    <t>GEBBS-21-11-2024-1730</t>
  </si>
  <si>
    <t>LTIM-06-12-2024-17710</t>
  </si>
  <si>
    <t>RBL-03-12-2024-1687</t>
  </si>
  <si>
    <t>ATGBSPL-30-10-2024-1485</t>
  </si>
  <si>
    <t>RCCDS-22-11-2024-85</t>
  </si>
  <si>
    <t>LTIM-24-11-2024-17216</t>
  </si>
  <si>
    <t>TCS-06-12-2024-29661</t>
  </si>
  <si>
    <t>TCS-06-12-2024-29600</t>
  </si>
  <si>
    <t>CTSIL-06-12-2024-22500</t>
  </si>
  <si>
    <t>PWC-24-09-2024-4014</t>
  </si>
  <si>
    <t>PWC-23-09-2024-4083</t>
  </si>
  <si>
    <t>AMELIA-21-11-2024-63</t>
  </si>
  <si>
    <t>LTIM-25-11-2024-17353</t>
  </si>
  <si>
    <t>GENPACT-04-12-2024-15633</t>
  </si>
  <si>
    <t>WIPRO-02-12-2024-21409</t>
  </si>
  <si>
    <t>CDSIPL-20-11-2024-15395</t>
  </si>
  <si>
    <t>AMBIT-05-12-2024-4822</t>
  </si>
  <si>
    <t>TCS-03-12-2024-29541</t>
  </si>
  <si>
    <t>TakedaICC-28-11-2024-378</t>
  </si>
  <si>
    <t>QBSS-06-12-2024-236</t>
  </si>
  <si>
    <t>TCS-29-11-2024-29450</t>
  </si>
  <si>
    <t>EUREKA-07-11-2024-28086</t>
  </si>
  <si>
    <t>Titan-06-12-2024-3940</t>
  </si>
  <si>
    <t>GENPACT-06-12-2024-15661</t>
  </si>
  <si>
    <t>CTSIL-04-12-2024-22300</t>
  </si>
  <si>
    <t>LTIM-27-11-2024-17460</t>
  </si>
  <si>
    <t>TCS-13-11-2024-29027</t>
  </si>
  <si>
    <t>AKRIPL-04-09-2024-163</t>
  </si>
  <si>
    <t>NOSPL-20-08-2024-3891</t>
  </si>
  <si>
    <t>IKYA-29-11-2024-5613</t>
  </si>
  <si>
    <t>CPMSPL-03-12-2024-5660</t>
  </si>
  <si>
    <t>GENPACT-02-12-2024-15535</t>
  </si>
  <si>
    <t>FAPL-12-11-2024-8447</t>
  </si>
  <si>
    <t>AWIGN-28-11-2024-9806</t>
  </si>
  <si>
    <t>AWIGN-28-11-2024-10083</t>
  </si>
  <si>
    <t>QuessITS-07-12-2024-461</t>
  </si>
  <si>
    <t>LTIM-12-11-2024-16873</t>
  </si>
  <si>
    <t>LTIM-21-11-2024-17287</t>
  </si>
  <si>
    <t>CPMSPL-05-12-2024-5777</t>
  </si>
  <si>
    <t>INSPL-12-03-2024-1473</t>
  </si>
  <si>
    <t>INFINX-18-09-2024-4041</t>
  </si>
  <si>
    <t>SBGV-06-12-2024-5377</t>
  </si>
  <si>
    <t>NEBLIO-02-09-2024-295</t>
  </si>
  <si>
    <t>FASPL-21-10-2024-1059</t>
  </si>
  <si>
    <t>TCS-22-08-2024-25827</t>
  </si>
  <si>
    <t>WFSPL-S-05-12-2024-3109</t>
  </si>
  <si>
    <t>NTT-18-11-2024-1184</t>
  </si>
  <si>
    <t>TCS-03-12-2024-29518</t>
  </si>
  <si>
    <t>TCS-04-12-2024-29532</t>
  </si>
  <si>
    <t>TCS-04-12-2024-29558</t>
  </si>
  <si>
    <t>TCS-03-12-2024-29537</t>
  </si>
  <si>
    <t>AWIGN-28-11-2024-9945</t>
  </si>
  <si>
    <t>WSSH-22-11-2024-9207</t>
  </si>
  <si>
    <t>KMPL-13-11-2024-3732</t>
  </si>
  <si>
    <t>TAICPL-28-11-2024-1816</t>
  </si>
  <si>
    <t>TAICPL-26-11-2024-1818</t>
  </si>
  <si>
    <t>MISPL-04-12-2024-1848</t>
  </si>
  <si>
    <t>SWDSPL-03-12-2024-120</t>
  </si>
  <si>
    <t>NMS-25-11-2024-1321</t>
  </si>
  <si>
    <t>CREMICA-10-11-2024-618</t>
  </si>
  <si>
    <t>LTIM-20-11-2024-17183</t>
  </si>
  <si>
    <t>LTIM-20-11-2024-17110</t>
  </si>
  <si>
    <t>LTIM-26-11-2024-17336</t>
  </si>
  <si>
    <t>AGEAS-13-08-2024-1782</t>
  </si>
  <si>
    <t>AMBIT-25-10-2024-4185</t>
  </si>
  <si>
    <t>AMBIT-25-11-2024-4635</t>
  </si>
  <si>
    <t>ATGBSPL-25-11-2024-1484</t>
  </si>
  <si>
    <t>QuessITS-26-11-2024-476</t>
  </si>
  <si>
    <t>TechMCPL-12-11-2024-1304</t>
  </si>
  <si>
    <t>TCS-22-11-2024-29214</t>
  </si>
  <si>
    <t>INFINITI-08-11-2024-2052</t>
  </si>
  <si>
    <t>SAI-21-11-2024-1629</t>
  </si>
  <si>
    <t>SOFTURA-20-11-2024-300</t>
  </si>
  <si>
    <t>BGIPL-18-05-2024-149</t>
  </si>
  <si>
    <t>ICIPL-30-11-2024-12</t>
  </si>
  <si>
    <t>IGT- P-03-12-2024-268</t>
  </si>
  <si>
    <t>IGT- P-03-12-2024-229</t>
  </si>
  <si>
    <t>BFL-22-11-2024-526</t>
  </si>
  <si>
    <t>VEL-18-11-2024-259</t>
  </si>
  <si>
    <t>CPMSPL-19-07-2024-5349</t>
  </si>
  <si>
    <t>RNTBCIPL-29-11-2024-5171</t>
  </si>
  <si>
    <t>CTSIL-30-11-2024-22243</t>
  </si>
  <si>
    <t>MIC-04-12-2024-2629</t>
  </si>
  <si>
    <t>INFOGAIN-P-27-11-2024-1073</t>
  </si>
  <si>
    <t>LTIM-15-11-2024-16974</t>
  </si>
  <si>
    <t>KSPL-27-11-2024-4740</t>
  </si>
  <si>
    <t>EUREKA-18-11-2024-28157</t>
  </si>
  <si>
    <t>CTSIL-07-12-2024-22623</t>
  </si>
  <si>
    <t>CTSIL-07-12-2024-22676</t>
  </si>
  <si>
    <t>ATGBSPL-18-09-2024-1462</t>
  </si>
  <si>
    <t>CAPCO-06-12-2024-76</t>
  </si>
  <si>
    <t>CAPCO-06-12-2024-73</t>
  </si>
  <si>
    <t>TechM-15-11-2024-8530</t>
  </si>
  <si>
    <t>ICICI-07-09-2024-8338</t>
  </si>
  <si>
    <t>AMBIT-02-08-2024-3508</t>
  </si>
  <si>
    <t>CICSPL-04-04-2024-11572</t>
  </si>
  <si>
    <t>CDSIPL-28-11-2024-15476</t>
  </si>
  <si>
    <t>MSIL-W-07-12-2024-1976</t>
  </si>
  <si>
    <t>IGT- P-03-12-2024-294</t>
  </si>
  <si>
    <t>NOSPL-24-09-2024-4065</t>
  </si>
  <si>
    <t>TAICPL-28-11-2024-1859</t>
  </si>
  <si>
    <t>EUREKA-03-12-2024-28321</t>
  </si>
  <si>
    <t>KMPL-14-08-2024-3434</t>
  </si>
  <si>
    <t>SLPL-03-12-2024-1816</t>
  </si>
  <si>
    <t>INFINX-25-11-2024-5423</t>
  </si>
  <si>
    <t>AccSPL-03-12-2024-26466</t>
  </si>
  <si>
    <t>LOCON-07-12-2024-343</t>
  </si>
  <si>
    <t>QBSS-28-11-2024-227</t>
  </si>
  <si>
    <t>PHOTON-29-10-2024-1137</t>
  </si>
  <si>
    <t>LTIM-19-11-2024-17058</t>
  </si>
  <si>
    <t>LTIM-13-11-2024-16878</t>
  </si>
  <si>
    <t>TCS-17-09-2024-27228</t>
  </si>
  <si>
    <t>TCS-12-11-2024-28914</t>
  </si>
  <si>
    <t>SAI-04-12-2024-1610</t>
  </si>
  <si>
    <t>CMS-25-11-2024-1182</t>
  </si>
  <si>
    <t>IGT- P-14-11-2024-102</t>
  </si>
  <si>
    <t>TCS-29-11-2024-29427</t>
  </si>
  <si>
    <t>TCS-05-12-2024-29536</t>
  </si>
  <si>
    <t>PASONA-29-11-2024-175</t>
  </si>
  <si>
    <t>WSSH-29-11-2024-9476</t>
  </si>
  <si>
    <t>BIOVF-18-11-2024-109</t>
  </si>
  <si>
    <t>LTIM-19-11-2024-17040</t>
  </si>
  <si>
    <t>WIPRO-DOP-07-12-2024-7183</t>
  </si>
  <si>
    <t>WIPRO-DOP-07-12-2024-7191</t>
  </si>
  <si>
    <t>CTSIL-13-11-2024-21320</t>
  </si>
  <si>
    <t>CTSIL-30-11-2024-22291</t>
  </si>
  <si>
    <t>IPLBL-22-10-2024-902</t>
  </si>
  <si>
    <t>LTIM-13-09-2024-14480</t>
  </si>
  <si>
    <t>NERPL-27-11-2024-1223</t>
  </si>
  <si>
    <t>ICICI-29-11-2024-9170</t>
  </si>
  <si>
    <t>PASONA-28-11-2024-187</t>
  </si>
  <si>
    <t>TechM-27-11-2024-8623</t>
  </si>
  <si>
    <t>AZIPL-02-12-2024-2403</t>
  </si>
  <si>
    <t>DFIL-02-12-2024-518</t>
  </si>
  <si>
    <t>AMBIT-02-12-2024-4761</t>
  </si>
  <si>
    <t>MCX-02-12-2024-99</t>
  </si>
  <si>
    <t>MCX-02-12-2024-89</t>
  </si>
  <si>
    <t>MOBIVERSA-03-12-2024-87</t>
  </si>
  <si>
    <t>MOBIVERSA-03-12-2024-65</t>
  </si>
  <si>
    <t>STERLING-02-12-2024-389</t>
  </si>
  <si>
    <t>SOBEK-05-12-2024-927</t>
  </si>
  <si>
    <t>SOBEK-05-12-2024-912</t>
  </si>
  <si>
    <t>WIPRO-05-12-2024-21825</t>
  </si>
  <si>
    <t>CFI-05-12-2024-56</t>
  </si>
  <si>
    <t>CFI-05-12-2024-48</t>
  </si>
  <si>
    <t>MUTHOOT-05-12-2024-10654</t>
  </si>
  <si>
    <t>MUTHOOT-05-12-2024-10764</t>
  </si>
  <si>
    <t>MUTHOOT-05-12-2024-10680</t>
  </si>
  <si>
    <t>SBGV-29-11-2024-5381</t>
  </si>
  <si>
    <t>GEBBS-03-12-2024-1918</t>
  </si>
  <si>
    <t>TEL-16-11-2024-10235</t>
  </si>
  <si>
    <t>GALLAGHER-18-11-2024-6945</t>
  </si>
  <si>
    <t>LTTL-27-08-2024-558</t>
  </si>
  <si>
    <t>LTIM-30-08-2024-13764</t>
  </si>
  <si>
    <t>TechMCPL-04-12-2024-1335</t>
  </si>
  <si>
    <t>WIPRO-DOP-26-11-2024-6930</t>
  </si>
  <si>
    <t>FMPL-28-11-2024-2253</t>
  </si>
  <si>
    <t>WIPRO-DOP-20-11-2024-6910</t>
  </si>
  <si>
    <t>AllegisE-19-11-2024-1172</t>
  </si>
  <si>
    <t>SIFY-06-11-2024-869</t>
  </si>
  <si>
    <t>TGSPL-07-11-2024-603</t>
  </si>
  <si>
    <t>RPOSPL-24-10-2024-1719</t>
  </si>
  <si>
    <t>JKUDL-07-12-2024-71</t>
  </si>
  <si>
    <t>AllegisT-27-11-2024-4055</t>
  </si>
  <si>
    <t>WIPRO-DOP-26-11-2024-6970</t>
  </si>
  <si>
    <t>LTIM-22-09-2024-14884</t>
  </si>
  <si>
    <t>TAICPL-02-12-2024-1934</t>
  </si>
  <si>
    <t>APL-28-11-2024-1611</t>
  </si>
  <si>
    <t>INFINX-03-12-2024-5594</t>
  </si>
  <si>
    <t>TechM-15-11-2024-8558</t>
  </si>
  <si>
    <t>TechM-15-11-2024-8580</t>
  </si>
  <si>
    <t>CLL-09-12-2024-47</t>
  </si>
  <si>
    <t>SUGS-27-11-2024-11344</t>
  </si>
  <si>
    <t>SUGS-06-12-2024-11472</t>
  </si>
  <si>
    <t>LTIM-28-11-2024-17463</t>
  </si>
  <si>
    <t>LTIM-01-12-2024-17550</t>
  </si>
  <si>
    <t>LTIM-01-12-2024-17575</t>
  </si>
  <si>
    <t>IKYA-08-11-2024-5579</t>
  </si>
  <si>
    <t>TCS-04-12-2024-29565</t>
  </si>
  <si>
    <t>TechM-27-11-2024-8629</t>
  </si>
  <si>
    <t>CDSIPL-01-11-2024-14873</t>
  </si>
  <si>
    <t>NSH-08-11-2024-181</t>
  </si>
  <si>
    <t>LTIM-24-11-2024-17222</t>
  </si>
  <si>
    <t>MUTHOOT-05-12-2024-10605</t>
  </si>
  <si>
    <t>EUREKA-04-11-2024-27995</t>
  </si>
  <si>
    <t>Titan-19-11-2024-3857</t>
  </si>
  <si>
    <t>ACUITYKS-17-07-2024-1211</t>
  </si>
  <si>
    <t>CMSIT-06-12-2024-392</t>
  </si>
  <si>
    <t>CTSIL-04-12-2024-22481</t>
  </si>
  <si>
    <t>CTSIL-04-12-2024-22435</t>
  </si>
  <si>
    <t>WIPRO-06-12-2024-21887</t>
  </si>
  <si>
    <t>LTIM-05-12-2024-17765</t>
  </si>
  <si>
    <t>COSETTE-18-11-2024-32</t>
  </si>
  <si>
    <t>PRAGER-20-11-2024-31</t>
  </si>
  <si>
    <t>CYRIL-19-10-2024-326</t>
  </si>
  <si>
    <t>NTPL-28-11-2024-1204</t>
  </si>
  <si>
    <t>WIPRO-02-12-2024-21468</t>
  </si>
  <si>
    <t>WIPRO-02-12-2024-21432</t>
  </si>
  <si>
    <t>TCS-09-09-2024-26748</t>
  </si>
  <si>
    <t>TCS-16-11-2024-29043</t>
  </si>
  <si>
    <t>JKUDL-17-10-2024-55</t>
  </si>
  <si>
    <t>ACCPL-25-11-2024-90</t>
  </si>
  <si>
    <t>AERIES-05-12-2024-723</t>
  </si>
  <si>
    <t>QTLPL-03-12-2024-863</t>
  </si>
  <si>
    <t>Titan-03-12-2024-3927</t>
  </si>
  <si>
    <t>Titan-03-12-2024-3923</t>
  </si>
  <si>
    <t>INFINX-05-12-2024-5540</t>
  </si>
  <si>
    <t>INFINX-05-12-2024-5567</t>
  </si>
  <si>
    <t>INFINX-05-12-2024-5565</t>
  </si>
  <si>
    <t>JGS-05-12-2024-1997</t>
  </si>
  <si>
    <t>DMSPL-04-12-2024-140</t>
  </si>
  <si>
    <t>EUREKA-03-12-2024-28368</t>
  </si>
  <si>
    <t>TechM-27-11-2024-8633</t>
  </si>
  <si>
    <t>LTIM-15-11-2024-16944</t>
  </si>
  <si>
    <t>CTSIL-03-12-2024-22305</t>
  </si>
  <si>
    <t>CREOSPAN-05-12-2024-256</t>
  </si>
  <si>
    <t>TCS-02-09-2024-26444</t>
  </si>
  <si>
    <t>NTPL-21-11-2024-1243</t>
  </si>
  <si>
    <t>AMBIT-05-12-2024-4870</t>
  </si>
  <si>
    <t>CTSIL-30-11-2024-22271</t>
  </si>
  <si>
    <t>CTSIL-21-11-2024-21759</t>
  </si>
  <si>
    <t>CTSIL-23-11-2024-21848</t>
  </si>
  <si>
    <t>CTSIL-01-12-2024-22228</t>
  </si>
  <si>
    <t>ATIDIV-06-12-2024-1069</t>
  </si>
  <si>
    <t>ICICI-11-09-2024-8444</t>
  </si>
  <si>
    <t>WIPRO-09-12-2024-21868</t>
  </si>
  <si>
    <t>WIPRO-09-12-2024-21849</t>
  </si>
  <si>
    <t>LTIM-24-11-2024-17237</t>
  </si>
  <si>
    <t>VEL-19-11-2024-212</t>
  </si>
  <si>
    <t>Titan-02-12-2024-3973</t>
  </si>
  <si>
    <t>IKYA-31-08-2023-3185</t>
  </si>
  <si>
    <t>PHOTON-22-11-2024-1215</t>
  </si>
  <si>
    <t>GEBBS-03-12-2024-2014</t>
  </si>
  <si>
    <t>OMR-25-11-2024-92</t>
  </si>
  <si>
    <t>PRT-04-12-2024-294</t>
  </si>
  <si>
    <t>SLPL-19-11-2024-1624</t>
  </si>
  <si>
    <t>WIPRO-03-12-2024-21748</t>
  </si>
  <si>
    <t>CARE-09-12-2024-654</t>
  </si>
  <si>
    <t>TCSBPO-03-12-2024-11120</t>
  </si>
  <si>
    <t>APPL-07-12-2024-454</t>
  </si>
  <si>
    <t>CtrlS-07-12-2024-229</t>
  </si>
  <si>
    <t>CTSIL-02-12-2024-22337</t>
  </si>
  <si>
    <t>GEBBS-21-11-2024-1700</t>
  </si>
  <si>
    <t>TCS-12-11-2024-28960</t>
  </si>
  <si>
    <t>TCS-26-11-2024-29365</t>
  </si>
  <si>
    <t>SIFY-27-11-2024-889</t>
  </si>
  <si>
    <t>MCSLTD-07-12-2024-289</t>
  </si>
  <si>
    <t>TAWAKKAL-28-11-2024-399</t>
  </si>
  <si>
    <t>PARLE-26-11-2024-11</t>
  </si>
  <si>
    <t>WIPRO-03-12-2024-21853</t>
  </si>
  <si>
    <t>TEL-02-12-2024-10243</t>
  </si>
  <si>
    <t>TBS-28-08-2024-447</t>
  </si>
  <si>
    <t>OCS-26-11-2024-1096</t>
  </si>
  <si>
    <t>CISS-21-11-2024-37</t>
  </si>
  <si>
    <t>TCS-02-08-2024-24662</t>
  </si>
  <si>
    <t>CICSPL-09-12-2024-15874</t>
  </si>
  <si>
    <t>WIPRO-07-12-2024-21892</t>
  </si>
  <si>
    <t>SBGV-25-10-2024-4687</t>
  </si>
  <si>
    <t>WIPRO-27-11-2024-21393</t>
  </si>
  <si>
    <t>TEL-02-09-2024-10009</t>
  </si>
  <si>
    <t>TCS-23-09-2024-27511</t>
  </si>
  <si>
    <t>RPOSPL-07-12-2024-1977</t>
  </si>
  <si>
    <t>AHAM-22-10-2024-246</t>
  </si>
  <si>
    <t>AMBIT-25-11-2024-4558</t>
  </si>
  <si>
    <t>CTSIL-30-11-2024-22245</t>
  </si>
  <si>
    <t>QuessITS-26-11-2024-478</t>
  </si>
  <si>
    <t>TGSPL-23-11-2024-687</t>
  </si>
  <si>
    <t>MISPL-27-11-2024-1890</t>
  </si>
  <si>
    <t>CDSIPL-05-12-2024-15656</t>
  </si>
  <si>
    <t>LTIM-06-12-2024-17897</t>
  </si>
  <si>
    <t>ERLLP-30-11-2024-92</t>
  </si>
  <si>
    <t>AccSPL-26-11-2024-26234</t>
  </si>
  <si>
    <t>AccSPL-18-11-2024-25994</t>
  </si>
  <si>
    <t>Titan-07-12-2024-3938</t>
  </si>
  <si>
    <t>INFOGAIN-05-12-2024-1272</t>
  </si>
  <si>
    <t>LTIM-04-11-2024-16572</t>
  </si>
  <si>
    <t>TCS-11-09-2024-26979</t>
  </si>
  <si>
    <t>WIPRO-25-11-2024-21246</t>
  </si>
  <si>
    <t>ERLLP-30-11-2024-09</t>
  </si>
  <si>
    <t>EUREKA-19-11-2024-28168</t>
  </si>
  <si>
    <t>EUREKA-05-11-2024-27906</t>
  </si>
  <si>
    <t>AMBIT-05-12-2024-4840</t>
  </si>
  <si>
    <t>JIL-02-12-2024-99</t>
  </si>
  <si>
    <t>AMBIT-18-11-2024-4408</t>
  </si>
  <si>
    <t>SUGS-25-11-2024-11385</t>
  </si>
  <si>
    <t>SACHA-26-11-2024-430</t>
  </si>
  <si>
    <t>SAI-16-11-2024-1604</t>
  </si>
  <si>
    <t>EUREKA-20-11-2024-28123</t>
  </si>
  <si>
    <t>SAI-05-12-2024-1687</t>
  </si>
  <si>
    <t>KRL-06-12-2024-278</t>
  </si>
  <si>
    <t>GIL-02-12-2024-2435</t>
  </si>
  <si>
    <t>AMBIT-20-11-2024-4532</t>
  </si>
  <si>
    <t>AMBIT-06-12-2024-4909</t>
  </si>
  <si>
    <t>INFOGAIN-B-02-12-2024-2129</t>
  </si>
  <si>
    <t>FIPL-06-12-2024-233</t>
  </si>
  <si>
    <t>HTDS-10-12-2024-1035</t>
  </si>
  <si>
    <t>WSPLG-BS-28-10-2024-319</t>
  </si>
  <si>
    <t>TCS-08-10-2024-27803</t>
  </si>
  <si>
    <t>NOSPL-30-08-2024-3969</t>
  </si>
  <si>
    <t>CICSPL-22-11-2024-15732</t>
  </si>
  <si>
    <t>PWC-09-12-2024-4426</t>
  </si>
  <si>
    <t>AMBIT-05-08-2024-3546</t>
  </si>
  <si>
    <t>AMBIT-11-10-2024-3898</t>
  </si>
  <si>
    <t>JMAN-30-11-2024-63</t>
  </si>
  <si>
    <t>FASPL-21-10-2024-1012</t>
  </si>
  <si>
    <t>FASPL-21-10-2024-1066</t>
  </si>
  <si>
    <t>IFFCO-28-05-2024-1327</t>
  </si>
  <si>
    <t>INSPL-14-09-2024-2140</t>
  </si>
  <si>
    <t>adidas-09-12-2024-1976</t>
  </si>
  <si>
    <t>PHOTON-04-11-2024-1109</t>
  </si>
  <si>
    <t>ClinCPL-05-11-2024-160</t>
  </si>
  <si>
    <t>TECIPL-11-11-2024-752</t>
  </si>
  <si>
    <t>BWCSPL-22-11-2024-69</t>
  </si>
  <si>
    <t>AllegisT-19-11-2024-3910</t>
  </si>
  <si>
    <t>CARE-28-11-2024-623</t>
  </si>
  <si>
    <t>BML-19-11-2024-6471</t>
  </si>
  <si>
    <t>Titan-28-11-2024-3948</t>
  </si>
  <si>
    <t>Titan-10-10-2024-3796</t>
  </si>
  <si>
    <t>ICICI-29-11-2024-9030</t>
  </si>
  <si>
    <t>ICICI-20-11-2024-9065</t>
  </si>
  <si>
    <t>NOSPL-29-09-2024-4193</t>
  </si>
  <si>
    <t>CDSIPL-05-12-2024-15582</t>
  </si>
  <si>
    <t>SAKSOFT-25-11-2024-821</t>
  </si>
  <si>
    <t>MUTHOOTF-04-12-2024-5876</t>
  </si>
  <si>
    <t>TechMCPL-04-12-2024-1376</t>
  </si>
  <si>
    <t>ESRIITPL-08-10-2024-299</t>
  </si>
  <si>
    <t>FSNB-15-11-2024-1595</t>
  </si>
  <si>
    <t>AMBIT-05-12-2024-4839</t>
  </si>
  <si>
    <t>CREOSPAN-03-12-2024-214</t>
  </si>
  <si>
    <t>DATAMATICS-M-29-10-2024-266</t>
  </si>
  <si>
    <t>EUREKA-03-12-2024-28399</t>
  </si>
  <si>
    <t>DMSPL-17-04-2024-168</t>
  </si>
  <si>
    <t>MISPL-04-12-2024-1866</t>
  </si>
  <si>
    <t>WIPRO-10-12-2024-21986</t>
  </si>
  <si>
    <t>WIPRO-10-12-2024-21927</t>
  </si>
  <si>
    <t>AMPCUS-10-12-2024-581</t>
  </si>
  <si>
    <t>AMELIA-10-12-2024-27</t>
  </si>
  <si>
    <t>eCAPS-10-12-2024-83</t>
  </si>
  <si>
    <t>eCAPS-10-12-2024-62</t>
  </si>
  <si>
    <t>ACCPL-06-12-2024-20</t>
  </si>
  <si>
    <t>TRINITY-29-10-2024-78</t>
  </si>
  <si>
    <t>GEMSL-28-08-2024-415</t>
  </si>
  <si>
    <t>VISHWA-06-12-2024-140</t>
  </si>
  <si>
    <t>NELITO-10-12-2024-01</t>
  </si>
  <si>
    <t>CDSIPL-20-11-2024-15496</t>
  </si>
  <si>
    <t>AllegisT-04-09-2024-3498</t>
  </si>
  <si>
    <t>GENPACT-09-12-2024-15723</t>
  </si>
  <si>
    <t>TCSBPO-29-11-2024-11117</t>
  </si>
  <si>
    <t>Titan-09-12-2024-3914</t>
  </si>
  <si>
    <t>KLAUS-28-11-2024-01</t>
  </si>
  <si>
    <t>TechM-27-11-2024-8621</t>
  </si>
  <si>
    <t>AMBIT-03-12-2024-4788</t>
  </si>
  <si>
    <t>AllegisT-03-12-2024-4052</t>
  </si>
  <si>
    <t>GENPACT-06-12-2024-15787</t>
  </si>
  <si>
    <t>BML-10-12-2024-6516</t>
  </si>
  <si>
    <t>CYIENT-09-12-2024-12932</t>
  </si>
  <si>
    <t>JGS-10-12-2024-1950</t>
  </si>
  <si>
    <t>JGS-10-12-2024-1992</t>
  </si>
  <si>
    <t>RNTBCIPL-10-12-2024-5112</t>
  </si>
  <si>
    <t>TCS-28-11-2024-29499</t>
  </si>
  <si>
    <t>SIFY-19-11-2024-856</t>
  </si>
  <si>
    <t>WIPRO-DOP-04-12-2024-7034</t>
  </si>
  <si>
    <t>TEL-02-09-2024-10057</t>
  </si>
  <si>
    <t>RRKL-28-11-2024-814</t>
  </si>
  <si>
    <t>SIFY-28-11-2024-928</t>
  </si>
  <si>
    <t>TRIARQ-05-12-2024-604</t>
  </si>
  <si>
    <t>AGEAS-28-11-2024-2052</t>
  </si>
  <si>
    <t>EUREKA-27-11-2024-28374</t>
  </si>
  <si>
    <t>EUREKA-27-11-2024-28311</t>
  </si>
  <si>
    <t>CYRIL-05-12-2024-358</t>
  </si>
  <si>
    <t>VLPL-04-12-2024-336</t>
  </si>
  <si>
    <t>VLPL-04-12-2024-308</t>
  </si>
  <si>
    <t>GALLAGHER-03-12-2024-6931</t>
  </si>
  <si>
    <t>Titan-06-12-2024-3954</t>
  </si>
  <si>
    <t>CtrlS-04-12-2024-269</t>
  </si>
  <si>
    <t>AWIGN-28-11-2024-9856</t>
  </si>
  <si>
    <t>WSSH-30-11-2024-9433</t>
  </si>
  <si>
    <t>AWIGN-28-11-2024-9725</t>
  </si>
  <si>
    <t>WIPRO-05-12-2024-21851</t>
  </si>
  <si>
    <t>TCSBPO-26-11-2024-11159</t>
  </si>
  <si>
    <t>TCSBPO-17-09-2024-10541</t>
  </si>
  <si>
    <t>STTGDC-05-12-2024-200</t>
  </si>
  <si>
    <t>ICICI-04-12-2024-9184</t>
  </si>
  <si>
    <t>LTIM-05-12-2024-17628</t>
  </si>
  <si>
    <t>AMBIT-01-11-2024-4207</t>
  </si>
  <si>
    <t>LTIM-25-11-2024-17214</t>
  </si>
  <si>
    <t>CTSIL-03-12-2024-22364</t>
  </si>
  <si>
    <t>PWC-28-09-2024-4135</t>
  </si>
  <si>
    <t>LTIM-21-11-2024-17140</t>
  </si>
  <si>
    <t>NSIPL-05-08-2024-496</t>
  </si>
  <si>
    <t>IKYA-05-12-2024-5632</t>
  </si>
  <si>
    <t>SUGS-06-12-2024-11475</t>
  </si>
  <si>
    <t>AMBIT-22-11-2024-4537</t>
  </si>
  <si>
    <t>APL-06-12-2024-1626</t>
  </si>
  <si>
    <t>BML-10-12-2024-6599</t>
  </si>
  <si>
    <t>MIRAE-12-08-2024-01</t>
  </si>
  <si>
    <t>GeoTech-09-12-2024-90</t>
  </si>
  <si>
    <t>CDSIPL-05-12-2024-15508</t>
  </si>
  <si>
    <t>EUREKA-04-12-2024-28313</t>
  </si>
  <si>
    <t>CTSIL-22-11-2024-21894</t>
  </si>
  <si>
    <t>WIPRO-DOP-03-12-2024-7096</t>
  </si>
  <si>
    <t>MUTHOOT-05-12-2024-10767</t>
  </si>
  <si>
    <t>HTDS-03-12-2024-1009</t>
  </si>
  <si>
    <t>AMBIT-29-11-2024-4700</t>
  </si>
  <si>
    <t>ITSPL-10-12-2024-35</t>
  </si>
  <si>
    <t>AMBIT-11-11-2024-4455</t>
  </si>
  <si>
    <t>ICICI-16-11-2024-8981</t>
  </si>
  <si>
    <t>QTLPL-08-11-2024-879</t>
  </si>
  <si>
    <t>APL-09-12-2024-1608</t>
  </si>
  <si>
    <t>APL-09-12-2024-1661</t>
  </si>
  <si>
    <t>APL-09-12-2024-1634</t>
  </si>
  <si>
    <t>GENPACT-02-12-2024-15549</t>
  </si>
  <si>
    <t>SAKSOFT-23-10-2024-866</t>
  </si>
  <si>
    <t>WIPRO-02-12-2024-21477</t>
  </si>
  <si>
    <t>RBLBANK-09-12-2024-1478</t>
  </si>
  <si>
    <t>TCSV-MB-03-12-2024-439</t>
  </si>
  <si>
    <t>WFSPL-S-04-12-2024-3199</t>
  </si>
  <si>
    <t>ICICI-20-11-2024-9058</t>
  </si>
  <si>
    <t>TCS-14-11-2024-29047</t>
  </si>
  <si>
    <t>INFOGAIN-B-19-11-2024-2152</t>
  </si>
  <si>
    <t>CTSIL-10-12-2024-22732</t>
  </si>
  <si>
    <t>CAPCO-04-12-2024-15</t>
  </si>
  <si>
    <t>FBL-01-11-2024-365</t>
  </si>
  <si>
    <t>MUTHOOT-05-12-2024-10775</t>
  </si>
  <si>
    <t>TCS-14-11-2024-29054</t>
  </si>
  <si>
    <t>LTIM-03-12-2024-17536</t>
  </si>
  <si>
    <t>SAKSOFT-22-10-2024-851</t>
  </si>
  <si>
    <t>CTSIL-10-12-2024-22708</t>
  </si>
  <si>
    <t>CVENT-19-11-2024-2292</t>
  </si>
  <si>
    <t>GEBBS-03-12-2024-2080</t>
  </si>
  <si>
    <t>VEL-18-11-2024-206</t>
  </si>
  <si>
    <t>TCSBPO-10-12-2024-11227</t>
  </si>
  <si>
    <t>WIPRO-10-12-2024-21868</t>
  </si>
  <si>
    <t>WIPRO-10-12-2024-21858</t>
  </si>
  <si>
    <t>WIPRO-10-12-2024-21930</t>
  </si>
  <si>
    <t>WIPRO-10-12-2024-21992</t>
  </si>
  <si>
    <t>WIPRO-10-12-2024-21933</t>
  </si>
  <si>
    <t>WIPRO-10-12-2024-21942</t>
  </si>
  <si>
    <t>HITACHI-23-10-2024-173</t>
  </si>
  <si>
    <t>IPLBL-18-04-2024-551</t>
  </si>
  <si>
    <t>COOPER-19-11-2024-183</t>
  </si>
  <si>
    <t>DFIL-02-12-2024-573</t>
  </si>
  <si>
    <t>adidas-09-12-2024-1902</t>
  </si>
  <si>
    <t>JIL-03-12-2024-06</t>
  </si>
  <si>
    <t>PRGX-05-12-2024-333</t>
  </si>
  <si>
    <t>SBGV-12-11-2024-5298</t>
  </si>
  <si>
    <t>WIPRO-02-12-2024-21430</t>
  </si>
  <si>
    <t>Titan-03-12-2024-3955</t>
  </si>
  <si>
    <t>INFINX-03-12-2024-5541</t>
  </si>
  <si>
    <t>TechM-04-12-2024-8605</t>
  </si>
  <si>
    <t>SAKSOFT-22-10-2024-808</t>
  </si>
  <si>
    <t>OZONE-25-11-2024-270</t>
  </si>
  <si>
    <t>NTT-28-11-2024-1161</t>
  </si>
  <si>
    <t>Titan-28-11-2024-3946</t>
  </si>
  <si>
    <t>BFL-19-11-2024-528</t>
  </si>
  <si>
    <t>RNTBCIPL-25-10-2024-5035</t>
  </si>
  <si>
    <t>CTSIL-06-12-2024-22508</t>
  </si>
  <si>
    <t>CTSIL-06-12-2024-22544</t>
  </si>
  <si>
    <t>WIPRO-10-12-2024-21959</t>
  </si>
  <si>
    <t>TCS-10-12-2024-29791</t>
  </si>
  <si>
    <t>LTIM-06-12-2024-17723</t>
  </si>
  <si>
    <t>CARE-04-12-2024-635</t>
  </si>
  <si>
    <t>AllegisT-24-10-2024-3840</t>
  </si>
  <si>
    <t>INSPL-04-10-2024-2292</t>
  </si>
  <si>
    <t>AMBIT-05-12-2024-4812</t>
  </si>
  <si>
    <t>SHINE-21-11-2024-521</t>
  </si>
  <si>
    <t>AWIGN-27-11-2024-9458</t>
  </si>
  <si>
    <t>TAICPL-04-12-2024-1969</t>
  </si>
  <si>
    <t>IDEMIA-05-12-2024-1739</t>
  </si>
  <si>
    <t>LTIM-24-11-2024-17256</t>
  </si>
  <si>
    <t>CtrlS-17-11-2024-171</t>
  </si>
  <si>
    <t>LTIM-04-09-2024-13993</t>
  </si>
  <si>
    <t>AWIGN-27-11-2024-9674</t>
  </si>
  <si>
    <t>TCS-10-12-2024-29771</t>
  </si>
  <si>
    <t>Titan-25-11-2024-3971</t>
  </si>
  <si>
    <t>INFINX-04-11-2024-5087</t>
  </si>
  <si>
    <t>AZIPL-23-04-2024-1789</t>
  </si>
  <si>
    <t>adidas-15-11-2024-1949</t>
  </si>
  <si>
    <t>CTSIL-08-12-2024-22671</t>
  </si>
  <si>
    <t>LTIM-10-12-2024-18019</t>
  </si>
  <si>
    <t>WIPRO-03-12-2024-21830</t>
  </si>
  <si>
    <t>KIL-30-11-2024-241</t>
  </si>
  <si>
    <t>TCS-28-11-2024-29477</t>
  </si>
  <si>
    <t>NOSPL-30-08-2024-3970</t>
  </si>
  <si>
    <t>NOSPL-09-10-2024-4114</t>
  </si>
  <si>
    <t>NOSPL-20-08-2024-3819</t>
  </si>
  <si>
    <t>TechM-04-12-2024-8625</t>
  </si>
  <si>
    <t>CTSIL-27-11-2024-22053</t>
  </si>
  <si>
    <t>NOSPL-11-12-2024-4407</t>
  </si>
  <si>
    <t>CMSRSL-18-07-2024-590</t>
  </si>
  <si>
    <t>AMBIT-18-11-2024-4491</t>
  </si>
  <si>
    <t>CtrlS-19-11-2024-160</t>
  </si>
  <si>
    <t>AZIPL-20-11-2024-2444</t>
  </si>
  <si>
    <t>AMBIT-22-11-2024-4580</t>
  </si>
  <si>
    <t>TechM-25-11-2024-8569</t>
  </si>
  <si>
    <t>KSPL-27-11-2024-4694</t>
  </si>
  <si>
    <t>BML-27-11-2024-6558</t>
  </si>
  <si>
    <t>INFINX-02-12-2024-5570</t>
  </si>
  <si>
    <t>CYIENT-02-12-2024-12894</t>
  </si>
  <si>
    <t>TRIARQ-05-12-2024-680</t>
  </si>
  <si>
    <t>LTIM-05-12-2024-17665</t>
  </si>
  <si>
    <t>AMBIT-28-11-2024-4615</t>
  </si>
  <si>
    <t>CHARGEBEE-USA-28-06-2024-09</t>
  </si>
  <si>
    <t>LTIM-20-11-2024-17191</t>
  </si>
  <si>
    <t>NAGARRO-17-08-2024-12588</t>
  </si>
  <si>
    <t>WIPRO-DOP-10-12-2024-7193</t>
  </si>
  <si>
    <t>WIPRO-DOP-10-12-2024-7175</t>
  </si>
  <si>
    <t>WIPRO-10-12-2024-21966</t>
  </si>
  <si>
    <t>WIPRO-10-12-2024-21955</t>
  </si>
  <si>
    <t>WIPRO-11-12-2024-21966</t>
  </si>
  <si>
    <t>WIPRO-DOP-12-11-2024-6833</t>
  </si>
  <si>
    <t>MUTHOOTF-05-09-2024-4524</t>
  </si>
  <si>
    <t>MTX-25-09-2024-68</t>
  </si>
  <si>
    <t>ACLML-04-11-2024-307</t>
  </si>
  <si>
    <t>NEXVAL-26-11-2024-66</t>
  </si>
  <si>
    <t>ISDML-26-11-2024-46</t>
  </si>
  <si>
    <t>WSSH-27-11-2024-9386</t>
  </si>
  <si>
    <t>LTIM-27-11-2024-17357</t>
  </si>
  <si>
    <t>WIPRO-03-12-2024-21858</t>
  </si>
  <si>
    <t>WSSH-03-12-2024-9568</t>
  </si>
  <si>
    <t>PHOTON-05-12-2024-1284</t>
  </si>
  <si>
    <t>TechM-05-10-2024-8380</t>
  </si>
  <si>
    <t>CTSIL-27-11-2024-22065</t>
  </si>
  <si>
    <t>LTIM-04-12-2024-17697</t>
  </si>
  <si>
    <t>SUGS-21-11-2024-11316</t>
  </si>
  <si>
    <t>INSPL-21-10-2024-2208</t>
  </si>
  <si>
    <t>TEAL-06-12-2024-1223</t>
  </si>
  <si>
    <t>IKYA-20-11-2024-5679</t>
  </si>
  <si>
    <t>DATAMATICS-M-28-11-2024-338</t>
  </si>
  <si>
    <t>LTIM-05-11-2024-16549</t>
  </si>
  <si>
    <t>AMBIT-29-11-2024-4755</t>
  </si>
  <si>
    <t>UTL-03-12-2024-687</t>
  </si>
  <si>
    <t>LTIM-06-12-2024-17746</t>
  </si>
  <si>
    <t>SLPL-22-11-2024-1848</t>
  </si>
  <si>
    <t>GENPACT-17-10-2022-2400</t>
  </si>
  <si>
    <t>WIPRO-22-11-2024-21292</t>
  </si>
  <si>
    <t>WIPRO-06-12-2024-21899</t>
  </si>
  <si>
    <t>adidas-14-10-2024-1911</t>
  </si>
  <si>
    <t>TechM-09-12-2024-8743</t>
  </si>
  <si>
    <t>CTSIL-24-11-2024-21808</t>
  </si>
  <si>
    <t>CTSIL-29-11-2024-22234</t>
  </si>
  <si>
    <t>ACCELIRATE-21-11-2024-100</t>
  </si>
  <si>
    <t>SBGV-10-12-2024-5406</t>
  </si>
  <si>
    <t>adidas-18-10-2024-1949</t>
  </si>
  <si>
    <t>AMBIT-25-11-2024-4523</t>
  </si>
  <si>
    <t>GIL-09-12-2024-2434</t>
  </si>
  <si>
    <t>SWDSPL-03-12-2024-136</t>
  </si>
  <si>
    <t>IKYA-16-10-2024-5455</t>
  </si>
  <si>
    <t>CDLML-29-11-2024-333</t>
  </si>
  <si>
    <t>APPL-26-11-2024-459</t>
  </si>
  <si>
    <t>DICVPL-12-11-2024-01</t>
  </si>
  <si>
    <t>FAPL-04-12-2024-8539</t>
  </si>
  <si>
    <t>COGNIZANT - C-11-12-2024-4610</t>
  </si>
  <si>
    <t>SIFY-25-11-2024-877</t>
  </si>
  <si>
    <t>SHINE-03-12-2024-546</t>
  </si>
  <si>
    <t>BML-27-11-2024-6549</t>
  </si>
  <si>
    <t>Titan-09-12-2024-3947</t>
  </si>
  <si>
    <t>TCS-03-10-2024-27751</t>
  </si>
  <si>
    <t>CYIENT-06-08-2024-11588</t>
  </si>
  <si>
    <t>COMMSCOPE-28-11-2024-849</t>
  </si>
  <si>
    <t>MUTHOOT-05-12-2024-10766</t>
  </si>
  <si>
    <t>SIFY-27-11-2024-818</t>
  </si>
  <si>
    <t>GEBBS-03-12-2024-1921</t>
  </si>
  <si>
    <t>BFL-19-11-2024-598</t>
  </si>
  <si>
    <t>MUTHOOTF-06-12-2024-5826</t>
  </si>
  <si>
    <t>AGEAS-22-11-2024-2042</t>
  </si>
  <si>
    <t>IKYA-17-10-2024-5495</t>
  </si>
  <si>
    <t>LTIM-11-12-2024-18085</t>
  </si>
  <si>
    <t>QTLPL-03-12-2024-898</t>
  </si>
  <si>
    <t>CYIENT-21-09-2024-12172</t>
  </si>
  <si>
    <t>AMBIT-25-11-2024-4564</t>
  </si>
  <si>
    <t>10FA-30-08-2024-1241</t>
  </si>
  <si>
    <t>WSSH-28-11-2024-9399</t>
  </si>
  <si>
    <t>TGPL-17-10-2024-187</t>
  </si>
  <si>
    <t>LTIM-28-11-2024-17421</t>
  </si>
  <si>
    <t>INFINX-28-11-2024-5437</t>
  </si>
  <si>
    <t>TBS-06-09-2024-437</t>
  </si>
  <si>
    <t>TBS-11-12-2024-491</t>
  </si>
  <si>
    <t>AccSPL-06-12-2024-26530</t>
  </si>
  <si>
    <t>BML-10-12-2024-6574</t>
  </si>
  <si>
    <t>APPL-10-12-2024-425</t>
  </si>
  <si>
    <t>AllegisT-15-11-2024-3956</t>
  </si>
  <si>
    <t>SAI-04-12-2024-1687</t>
  </si>
  <si>
    <t>UTL-03-12-2024-696</t>
  </si>
  <si>
    <t>TMI-29-11-2024-73</t>
  </si>
  <si>
    <t>CPMSPL-10-12-2024-5730</t>
  </si>
  <si>
    <t>TCS-07-08-2024-24873</t>
  </si>
  <si>
    <t>CLL-05-12-2024-36</t>
  </si>
  <si>
    <t>TCSBPO-10-12-2024-11280</t>
  </si>
  <si>
    <t>LTIM-05-12-2024-17614</t>
  </si>
  <si>
    <t>CPMSPL-20-11-2024-5643</t>
  </si>
  <si>
    <t>LTIM-29-11-2024-17456</t>
  </si>
  <si>
    <t>AWIGN-27-11-2024-9602</t>
  </si>
  <si>
    <t>GEBBS-25-11-2024-1861</t>
  </si>
  <si>
    <t>SAI-29-11-2024-1673</t>
  </si>
  <si>
    <t>TCS-09-09-2024-26889</t>
  </si>
  <si>
    <t>Genpact - EU-09-12-2024-563</t>
  </si>
  <si>
    <t>IKYA-23-10-2024-5485</t>
  </si>
  <si>
    <t>Titan-15-11-2024-3887</t>
  </si>
  <si>
    <t>ICICI-29-11-2024-9196</t>
  </si>
  <si>
    <t>BML-27-11-2024-6554</t>
  </si>
  <si>
    <t>CPMSPL-11-12-2024-5710</t>
  </si>
  <si>
    <t>TRAIL-C-09-12-2024-87</t>
  </si>
  <si>
    <t>TRAIL-C-09-12-2024-81</t>
  </si>
  <si>
    <t>TRAIL-C-09-12-2024-23</t>
  </si>
  <si>
    <t>MUTHOOTF-11-12-2024-5997</t>
  </si>
  <si>
    <t>MUTHOOTF-11-12-2024-5986</t>
  </si>
  <si>
    <t>CTSIL-11-12-2024-22820</t>
  </si>
  <si>
    <t>HAPAG-11-12-2024-158</t>
  </si>
  <si>
    <t>SAI-16-11-2024-1696</t>
  </si>
  <si>
    <t>QURE-13-11-2024-255</t>
  </si>
  <si>
    <t>TCS-29-11-2024-29474</t>
  </si>
  <si>
    <t>FMPL-29-09-2024-2034</t>
  </si>
  <si>
    <t>TCSBPO-18-10-2024-10916</t>
  </si>
  <si>
    <t>CTSIL-10-12-2024-22798</t>
  </si>
  <si>
    <t>CTSIL-10-12-2024-22772</t>
  </si>
  <si>
    <t>CDSIPL-05-12-2024-15674</t>
  </si>
  <si>
    <t>SAI-09-10-2024-1556</t>
  </si>
  <si>
    <t>CPMSPL-10-12-2024-5740</t>
  </si>
  <si>
    <t>DIVERSE-14-11-2024-1230</t>
  </si>
  <si>
    <t>IKYA-08-10-2024-5362</t>
  </si>
  <si>
    <t>IKYA-15-10-2024-5410</t>
  </si>
  <si>
    <t>SIFY-18-10-2024-880</t>
  </si>
  <si>
    <t>IKYA-28-10-2024-5568</t>
  </si>
  <si>
    <t>NDTV-05-12-2024-742</t>
  </si>
  <si>
    <t>SLPL-11-12-2024-1911</t>
  </si>
  <si>
    <t>TCS-11-12-2024-29714</t>
  </si>
  <si>
    <t>WSSH-11-12-2024-9655</t>
  </si>
  <si>
    <t>WSSH-11-12-2024-9698</t>
  </si>
  <si>
    <t>PWC-26-09-2024-4176</t>
  </si>
  <si>
    <t>PWC-27-08-2024-3860</t>
  </si>
  <si>
    <t>KMPL-13-11-2024-3737</t>
  </si>
  <si>
    <t>CTSIL-22-11-2024-21839</t>
  </si>
  <si>
    <t>TAICPL-29-11-2024-1875</t>
  </si>
  <si>
    <t>JIL-03-12-2024-25</t>
  </si>
  <si>
    <t>MUTHOOT-05-12-2024-10791</t>
  </si>
  <si>
    <t>CPMSPL-09-12-2024-5737</t>
  </si>
  <si>
    <t>CPMSPL-10-12-2024-5778</t>
  </si>
  <si>
    <t>CPMSPL-10-12-2024-5765</t>
  </si>
  <si>
    <t>FMPL-05-12-2024-2295</t>
  </si>
  <si>
    <t>CMS-09-12-2024-1122</t>
  </si>
  <si>
    <t>CPMSPL-09-12-2024-5761</t>
  </si>
  <si>
    <t>OCS-09-12-2024-1008</t>
  </si>
  <si>
    <t>MUTHOOTF-07-12-2024-5854</t>
  </si>
  <si>
    <t>FAPL-07-02-2024-7671</t>
  </si>
  <si>
    <t>FAPL-21-02-2024-7794</t>
  </si>
  <si>
    <t>FAPL-01-02-2024-7631</t>
  </si>
  <si>
    <t>FAPL-08-02-2024-7628</t>
  </si>
  <si>
    <t>FAPL-19-02-2024-7713</t>
  </si>
  <si>
    <t>JEH-30-11-2024-31</t>
  </si>
  <si>
    <t>KMPL-13-11-2024-3769</t>
  </si>
  <si>
    <t>AccSPL-04-12-2024-26416</t>
  </si>
  <si>
    <t>CTSIL-12-12-2024-22836</t>
  </si>
  <si>
    <t>TAICPL-11-10-2024-1504</t>
  </si>
  <si>
    <t>FAPL-05-12-2024-8503</t>
  </si>
  <si>
    <t>NOSPL-01-12-2024-4323</t>
  </si>
  <si>
    <t>ACUITYKS-03-12-2024-1355</t>
  </si>
  <si>
    <t>JIL-02-12-2024-95</t>
  </si>
  <si>
    <t>AZIPL-28-11-2024-2426</t>
  </si>
  <si>
    <t>LTIM-03-12-2024-17512</t>
  </si>
  <si>
    <t>FMPL-04-10-2024-2184</t>
  </si>
  <si>
    <t>AMBIT-25-11-2024-4670</t>
  </si>
  <si>
    <t>FASPL-05-12-2024-1095</t>
  </si>
  <si>
    <t>LTIM-03-12-2024-17524</t>
  </si>
  <si>
    <t>TCS-21-09-2024-27428</t>
  </si>
  <si>
    <t>JGS-03-12-2024-1961</t>
  </si>
  <si>
    <t>MUTHOOT-05-12-2024-10706</t>
  </si>
  <si>
    <t>KEIHIN-16-05-2024-437</t>
  </si>
  <si>
    <t>FUTURZ-05-12-2024-460</t>
  </si>
  <si>
    <t>INFIILOOM-30-11-2024-124</t>
  </si>
  <si>
    <t>FMEPL-04-12-2024-37</t>
  </si>
  <si>
    <t>TCSBPO-09-09-2024-10393</t>
  </si>
  <si>
    <t>LTIM-30-11-2024-17577</t>
  </si>
  <si>
    <t>JGS-08-10-2024-1895</t>
  </si>
  <si>
    <t>VISHWA-06-12-2024-169</t>
  </si>
  <si>
    <t>AMBIT-29-11-2024-4759</t>
  </si>
  <si>
    <t>JMAN-29-11-2024-57</t>
  </si>
  <si>
    <t>AMBIT-04-12-2024-4897</t>
  </si>
  <si>
    <t>SIFY-12-12-2024-907</t>
  </si>
  <si>
    <t>CTSIL-05-11-2024-21241</t>
  </si>
  <si>
    <t>GEMSL-26-11-2024-531</t>
  </si>
  <si>
    <t>LTIM-06-11-2024-16616</t>
  </si>
  <si>
    <t>NEBLIO-28-10-2024-376</t>
  </si>
  <si>
    <t>FAPL-04-12-2024-8593</t>
  </si>
  <si>
    <t>AMBIT-25-10-2024-4072</t>
  </si>
  <si>
    <t>SBGV-26-11-2024-5350</t>
  </si>
  <si>
    <t>HITACHI-19-07-2022-35</t>
  </si>
  <si>
    <t>LTIM-23-11-2024-17217</t>
  </si>
  <si>
    <t>TEL-09-08-2024-10075</t>
  </si>
  <si>
    <t>IKYA-21-03-2024-4546</t>
  </si>
  <si>
    <t>AMELIA-15-11-2024-86</t>
  </si>
  <si>
    <t>CYRIL-04-12-2024-399</t>
  </si>
  <si>
    <t>CTSIL-21-11-2024-21724</t>
  </si>
  <si>
    <t>CTSIL-05-12-2024-22450</t>
  </si>
  <si>
    <t>RPOSPL-26-11-2024-1936</t>
  </si>
  <si>
    <t>AMBIT-31-07-2024-3468</t>
  </si>
  <si>
    <t>QAPL-12-11-2024-62</t>
  </si>
  <si>
    <t>HTDS-11-12-2024-1046</t>
  </si>
  <si>
    <t>UNIQUS-27-11-2024-65</t>
  </si>
  <si>
    <t>IHL-29-11-2024-538</t>
  </si>
  <si>
    <t>ZTPL-11-12-2024-13</t>
  </si>
  <si>
    <t>APL-11-12-2024-1664</t>
  </si>
  <si>
    <t>TechM-11-12-2024-8705</t>
  </si>
  <si>
    <t>TechM-11-12-2024-8751</t>
  </si>
  <si>
    <t>TechM-11-12-2024-8794</t>
  </si>
  <si>
    <t>TechM-11-12-2024-8757</t>
  </si>
  <si>
    <t>TechM-11-12-2024-8795</t>
  </si>
  <si>
    <t>TechM-11-12-2024-8748</t>
  </si>
  <si>
    <t>TechM-11-12-2024-8763</t>
  </si>
  <si>
    <t>TechM-11-12-2024-8798</t>
  </si>
  <si>
    <t>TechM-11-12-2024-8791</t>
  </si>
  <si>
    <t>INFOGAIN-11-12-2024-1206</t>
  </si>
  <si>
    <t>INFINITI-03-12-2024-2087</t>
  </si>
  <si>
    <t>Titan-11-11-2024-3817</t>
  </si>
  <si>
    <t>RPOSPL-19-11-2024-1876</t>
  </si>
  <si>
    <t>RPOSPL-19-11-2024-1845</t>
  </si>
  <si>
    <t>CTSIL-08-12-2024-22686</t>
  </si>
  <si>
    <t>TAICPL-10-12-2024-1974</t>
  </si>
  <si>
    <t>WSSH-05-12-2024-9537</t>
  </si>
  <si>
    <t>LTIM-30-11-2024-17531</t>
  </si>
  <si>
    <t>COGNIZANT-L-17-10-2024-2382</t>
  </si>
  <si>
    <t>MUTHOOT-05-12-2024-10768</t>
  </si>
  <si>
    <t>AZUGA-14-10-2024-485</t>
  </si>
  <si>
    <t>MSIL-W-11-12-2024-2095</t>
  </si>
  <si>
    <t>CTSIL-10-12-2024-22769</t>
  </si>
  <si>
    <t>ACCPL-06-12-2024-44</t>
  </si>
  <si>
    <t>BGIPL-05-12-2024-426</t>
  </si>
  <si>
    <t>PWC-01-10-2024-4142</t>
  </si>
  <si>
    <t>QAM-14-11-2024-131</t>
  </si>
  <si>
    <t>BFL-06-12-2024-581</t>
  </si>
  <si>
    <t>NTT-29-11-2024-1166</t>
  </si>
  <si>
    <t>MUTHOOT-05-12-2024-10633</t>
  </si>
  <si>
    <t>KSPL-18-11-2024-4555</t>
  </si>
  <si>
    <t>AMBIT-05-12-2024-4853</t>
  </si>
  <si>
    <t>GGKTPL-19-11-2024-1985</t>
  </si>
  <si>
    <t>CTSIL-29-11-2024-22220</t>
  </si>
  <si>
    <t>AMBIT-25-11-2024-4648</t>
  </si>
  <si>
    <t>FBL-09-11-2024-372</t>
  </si>
  <si>
    <t>TCSBPO-11-12-2024-11242</t>
  </si>
  <si>
    <t>NTT-05-12-2024-1269</t>
  </si>
  <si>
    <t>TRAIL-N&amp;S-02-08-2024-71</t>
  </si>
  <si>
    <t>HTML-09-10-2024-390</t>
  </si>
  <si>
    <t>CtrlS-17-10-2024-160</t>
  </si>
  <si>
    <t>INFINX-04-12-2024-5566</t>
  </si>
  <si>
    <t>CTSIL-02-12-2024-22385</t>
  </si>
  <si>
    <t>NTT-26-08-2024-1021</t>
  </si>
  <si>
    <t>LTIM-28-11-2024-17494</t>
  </si>
  <si>
    <t>TAICPL-07-11-2024-1785</t>
  </si>
  <si>
    <t>ERLLP-16-11-2024-67</t>
  </si>
  <si>
    <t>INFINX-21-11-2024-5328</t>
  </si>
  <si>
    <t>FMPL-09-12-2024-2215</t>
  </si>
  <si>
    <t>FAPL-19-11-2024-8470</t>
  </si>
  <si>
    <t>CVENT-13-09-2024-2122</t>
  </si>
  <si>
    <t>LOCON-13-11-2024-315</t>
  </si>
  <si>
    <t>TCS-28-11-2024-29471</t>
  </si>
  <si>
    <t>TCS-28-11-2024-29472</t>
  </si>
  <si>
    <t>TCS-29-11-2024-29424</t>
  </si>
  <si>
    <t>MISPL-27-11-2024-1868</t>
  </si>
  <si>
    <t>TRIARQ-21-11-2024-670</t>
  </si>
  <si>
    <t>RRKL-05-12-2024-884</t>
  </si>
  <si>
    <t>NAGARRO-09-12-2024-13367</t>
  </si>
  <si>
    <t>AWIGN-28-11-2024-9785</t>
  </si>
  <si>
    <t>HYUNDAI-11-12-2024-410</t>
  </si>
  <si>
    <t>TechMCPL-12-12-2024-1468</t>
  </si>
  <si>
    <t>CVENT-09-12-2024-2201</t>
  </si>
  <si>
    <t>TechM-10-12-2024-8702</t>
  </si>
  <si>
    <t>CTSIL-19-11-2024-21519</t>
  </si>
  <si>
    <t>CTSIL-25-11-2024-21911</t>
  </si>
  <si>
    <t>CTSIL-10-12-2024-22711</t>
  </si>
  <si>
    <t>NAGARRO-10-12-2024-13305</t>
  </si>
  <si>
    <t>AMPCUS-10-12-2024-566</t>
  </si>
  <si>
    <t>WIPRO-12-12-2024-21969</t>
  </si>
  <si>
    <t>WIPRO-12-12-2024-21981</t>
  </si>
  <si>
    <t>SBGV-05-12-2024-5390</t>
  </si>
  <si>
    <t>AZIPL-24-05-2024-1875</t>
  </si>
  <si>
    <t>SCP-28-11-2024-37</t>
  </si>
  <si>
    <t>KSPL-11-12-2024-4774</t>
  </si>
  <si>
    <t>Walsons PCC-18-07-2024-475</t>
  </si>
  <si>
    <t>Walsons PCC-18-07-2024-413</t>
  </si>
  <si>
    <t>ETHOS-13-11-2024-702</t>
  </si>
  <si>
    <t>WIPRO-12-12-2024-21908</t>
  </si>
  <si>
    <t>NTT-26-05-2024-776</t>
  </si>
  <si>
    <t>WIPRO-12-12-2024-21907</t>
  </si>
  <si>
    <t>IGT- P-12-12-2024-383</t>
  </si>
  <si>
    <t>TCS-29-11-2024-29417</t>
  </si>
  <si>
    <t>PHOTON-17-09-2024-1057</t>
  </si>
  <si>
    <t>TCS-02-12-2024-29413</t>
  </si>
  <si>
    <t>TCS-04-12-2024-29539</t>
  </si>
  <si>
    <t>PWC-12-10-2024-4328</t>
  </si>
  <si>
    <t>AMBIT-04-12-2024-4854</t>
  </si>
  <si>
    <t>AMBIT-11-11-2024-4321</t>
  </si>
  <si>
    <t>SAI-06-06-2024-1214</t>
  </si>
  <si>
    <t>SAI-06-06-2024-1157</t>
  </si>
  <si>
    <t>TCSV-IP-10-12-2024-309</t>
  </si>
  <si>
    <t>TCS-12-12-2024-29890</t>
  </si>
  <si>
    <t>CTSIL-05-12-2024-22493</t>
  </si>
  <si>
    <t>LTIM-13-11-2024-16820</t>
  </si>
  <si>
    <t>LTIM-09-11-2024-16792</t>
  </si>
  <si>
    <t>TCSBPO-05-12-2024-11286</t>
  </si>
  <si>
    <t>AMBIT-29-11-2024-4762</t>
  </si>
  <si>
    <t>ZAMIL-08-11-2024-50</t>
  </si>
  <si>
    <t>GALLAGHER-10-12-2024-6930</t>
  </si>
  <si>
    <t>LTIM-20-11-2024-17111</t>
  </si>
  <si>
    <t>PRT-20-11-2024-262</t>
  </si>
  <si>
    <t>BIOVF-21-11-2024-157</t>
  </si>
  <si>
    <t>GEBBS-03-12-2024-1975</t>
  </si>
  <si>
    <t>INFINX-19-11-2024-5266</t>
  </si>
  <si>
    <t>VEDANTA-18-03-2024-40</t>
  </si>
  <si>
    <t>TCSBPO-06-12-2024-11256</t>
  </si>
  <si>
    <t>SMPL-16-11-2024-887</t>
  </si>
  <si>
    <t>INFOGAIN-13-12-2024-1212</t>
  </si>
  <si>
    <t>INFINX-05-12-2024-5527</t>
  </si>
  <si>
    <t>CTSIL-12-12-2024-22861</t>
  </si>
  <si>
    <t>CTSIL-12-12-2024-22878</t>
  </si>
  <si>
    <t>TechM-19-11-2024-8589</t>
  </si>
  <si>
    <t>PWC-19-09-2024-4027</t>
  </si>
  <si>
    <t>MISPL-13-12-2024-1892</t>
  </si>
  <si>
    <t>WSSH-30-11-2024-9421</t>
  </si>
  <si>
    <t>CTSIL-10-12-2024-22707</t>
  </si>
  <si>
    <t>TCSBPO-19-11-2024-11064</t>
  </si>
  <si>
    <t>APL-13-12-2024-1744</t>
  </si>
  <si>
    <t>GEBBS-03-12-2024-2082</t>
  </si>
  <si>
    <t>LTIM-08-11-2024-16651</t>
  </si>
  <si>
    <t>LTIM-06-11-2024-16591</t>
  </si>
  <si>
    <t>LTIM-03-10-2024-15473</t>
  </si>
  <si>
    <t>PHOTON-20-11-2024-1154</t>
  </si>
  <si>
    <t>TakedaICC-04-12-2024-347</t>
  </si>
  <si>
    <t>GENPACT-12-12-2024-15787</t>
  </si>
  <si>
    <t>IKYA-28-10-2024-5560</t>
  </si>
  <si>
    <t>IKYA-04-11-2024-5558</t>
  </si>
  <si>
    <t>CLL-29-11-2024-18</t>
  </si>
  <si>
    <t>MISPL-29-11-2024-1845</t>
  </si>
  <si>
    <t>VCAIRN-10-12-2024-759</t>
  </si>
  <si>
    <t>WIPRO-DOP-12-12-2024-7130</t>
  </si>
  <si>
    <t>WIPRO-13-12-2024-21914</t>
  </si>
  <si>
    <t>CTSIL-12-12-2024-22843</t>
  </si>
  <si>
    <t>CTSIL-12-12-2024-22819</t>
  </si>
  <si>
    <t>CPMSPL-04-12-2024-5737</t>
  </si>
  <si>
    <t>QuessITS-21-11-2024-400</t>
  </si>
  <si>
    <t>WIPRO-DOP-12-12-2024-7176</t>
  </si>
  <si>
    <t>WIPRO-DOP-12-12-2024-7149</t>
  </si>
  <si>
    <t>TAICPL-13-12-2024-1947</t>
  </si>
  <si>
    <t>TAICPL-13-12-2024-1939</t>
  </si>
  <si>
    <t>NTT-12-08-2024-1039</t>
  </si>
  <si>
    <t>RPOSPL-03-12-2024-1987</t>
  </si>
  <si>
    <t>LTIM-10-12-2024-18095</t>
  </si>
  <si>
    <t>Genpact - EU-11-12-2024-519</t>
  </si>
  <si>
    <t>LTIM-10-11-2024-16755</t>
  </si>
  <si>
    <t>FAPL-28-11-2024-8564</t>
  </si>
  <si>
    <t>CTSIL-22-11-2024-21877</t>
  </si>
  <si>
    <t>CTSIL-22-11-2024-21872</t>
  </si>
  <si>
    <t>ACLML-28-11-2024-320</t>
  </si>
  <si>
    <t>GENPACT-10-12-2024-15709</t>
  </si>
  <si>
    <t>ACLML-28-11-2024-336</t>
  </si>
  <si>
    <t>CTSIL-22-11-2024-21801</t>
  </si>
  <si>
    <t>PHOTON-22-11-2024-1278</t>
  </si>
  <si>
    <t>WIPRO-DOP-07-12-2024-7197</t>
  </si>
  <si>
    <t>WFSPL-10-12-2024-229</t>
  </si>
  <si>
    <t>TAICPL-04-12-2024-1949</t>
  </si>
  <si>
    <t>TCS-10-12-2024-29753</t>
  </si>
  <si>
    <t>INSPL-04-12-2024-2325</t>
  </si>
  <si>
    <t>GSIPL-08-12-2024-494</t>
  </si>
  <si>
    <t>GSIPL-07-12-2024-404</t>
  </si>
  <si>
    <t>EUREKA-04-12-2024-28330</t>
  </si>
  <si>
    <t>EUREKA-09-12-2024-28407</t>
  </si>
  <si>
    <t>CYIENT-12-12-2024-12995</t>
  </si>
  <si>
    <t>CTSIL-13-12-2024-22992</t>
  </si>
  <si>
    <t>TechM-01-08-2024-7768</t>
  </si>
  <si>
    <t>INSPL-13-12-2024-2310</t>
  </si>
  <si>
    <t>AllegisT-23-10-2024-3831</t>
  </si>
  <si>
    <t>AWIGN-28-11-2024-9987</t>
  </si>
  <si>
    <t>CYIENT-10-12-2024-12936</t>
  </si>
  <si>
    <t>ICICI-05-12-2024-9179</t>
  </si>
  <si>
    <t>CVENT-17-09-2024-2191</t>
  </si>
  <si>
    <t>INFOGAIN-05-12-2024-1232</t>
  </si>
  <si>
    <t>INSPL-08-04-2024-1523</t>
  </si>
  <si>
    <t>IKYA-05-10-2024-5350</t>
  </si>
  <si>
    <t>SIFY-28-11-2024-935</t>
  </si>
  <si>
    <t>LTIM-05-12-2024-17608</t>
  </si>
  <si>
    <t>VDAIPL-02-12-2024-62</t>
  </si>
  <si>
    <t>LTIM-04-12-2024-17686</t>
  </si>
  <si>
    <t>EUREKA-04-12-2024-28467</t>
  </si>
  <si>
    <t>AMBIT-15-11-2024-4416</t>
  </si>
  <si>
    <t>JGS-26-11-2024-1904</t>
  </si>
  <si>
    <t>TCSBPO-05-12-2024-11278</t>
  </si>
  <si>
    <t>HARTEK-12-12-2024-86</t>
  </si>
  <si>
    <t>LTIM-24-05-2023-1960</t>
  </si>
  <si>
    <t>AZIPL-11-12-2024-2483</t>
  </si>
  <si>
    <t>EIPL-25-11-2024-97</t>
  </si>
  <si>
    <t>EUREKA-12-12-2024-28558</t>
  </si>
  <si>
    <t>AMBIT-12-12-2024-4906</t>
  </si>
  <si>
    <t>RRKL-24-10-2024-766</t>
  </si>
  <si>
    <t>EUREKA-04-12-2024-28486</t>
  </si>
  <si>
    <t>AHAM-06-12-2024-218</t>
  </si>
  <si>
    <t>ATGBSPL-11-11-2024-1462</t>
  </si>
  <si>
    <t>AZIPL-12-12-2024-2499</t>
  </si>
  <si>
    <t>JRKIPL-11-12-2024-54</t>
  </si>
  <si>
    <t>LTIM-05-12-2024-17613</t>
  </si>
  <si>
    <t>LTIM-08-12-2024-17942</t>
  </si>
  <si>
    <t>LTIM-07-12-2024-17924</t>
  </si>
  <si>
    <t>ACCPL-06-12-2024-26</t>
  </si>
  <si>
    <t>OTSIPL-09-12-2024-560</t>
  </si>
  <si>
    <t>TCSBPO-26-11-2024-11114</t>
  </si>
  <si>
    <t>CDSIPL-14-11-2024-15252</t>
  </si>
  <si>
    <t>Titan-26-11-2024-3981</t>
  </si>
  <si>
    <t>AZIPL-10-09-2023-1380</t>
  </si>
  <si>
    <t>AMPCUS-25-11-2024-503</t>
  </si>
  <si>
    <t>TCSBPO-18-07-2024-9594</t>
  </si>
  <si>
    <t>PLAN-12-12-2024-1022</t>
  </si>
  <si>
    <t>INFINX-11-12-2024-5582</t>
  </si>
  <si>
    <t>CTSIL-04-12-2024-22434</t>
  </si>
  <si>
    <t>SIFY-03-12-2024-977</t>
  </si>
  <si>
    <t>GALLAGHER-11-12-2024-7008</t>
  </si>
  <si>
    <t>TAICPL-04-12-2024-1964</t>
  </si>
  <si>
    <t>IKYA-11-11-2024-5509</t>
  </si>
  <si>
    <t>CIEL-09-12-2024-520</t>
  </si>
  <si>
    <t>LTIM-10-12-2024-18051</t>
  </si>
  <si>
    <t>WSSH-07-12-2024-9658</t>
  </si>
  <si>
    <t>GALLAGHER-15-10-2024-6677</t>
  </si>
  <si>
    <t>WIPRO-11-12-2024-21998</t>
  </si>
  <si>
    <t>SGAPL-04-12-2024-1371</t>
  </si>
  <si>
    <t>INFINITI-23-11-2024-2041</t>
  </si>
  <si>
    <t>GSIPL-08-12-2024-484</t>
  </si>
  <si>
    <t>CAPCO-12-12-2024-74</t>
  </si>
  <si>
    <t>CTSIL-28-11-2024-22162</t>
  </si>
  <si>
    <t>GALLAGHER-22-10-2024-6677</t>
  </si>
  <si>
    <t>CtrlS-23-10-2024-184</t>
  </si>
  <si>
    <t>MISPL-28-11-2024-1835</t>
  </si>
  <si>
    <t>CTSIL-02-12-2024-22300</t>
  </si>
  <si>
    <t>SAVE-21-11-2024-1991</t>
  </si>
  <si>
    <t>INSPL-17-02-2024-1313</t>
  </si>
  <si>
    <t>INSPL-15-06-2024-1764</t>
  </si>
  <si>
    <t>WIPRO-29-11-2024-21418</t>
  </si>
  <si>
    <t>TechM-11-12-2024-8770</t>
  </si>
  <si>
    <t>INFINX-09-12-2024-5584</t>
  </si>
  <si>
    <t>LTIM-07-12-2024-17900</t>
  </si>
  <si>
    <t>LTIM-28-11-2024-17465</t>
  </si>
  <si>
    <t>LTIM-14-11-2024-16822</t>
  </si>
  <si>
    <t>PLAN-11-12-2024-1029</t>
  </si>
  <si>
    <t>LTIM-07-12-2024-17984</t>
  </si>
  <si>
    <t>WIPRO-07-12-2024-21845</t>
  </si>
  <si>
    <t>LTIM-04-12-2024-17682</t>
  </si>
  <si>
    <t>SUREMINDS-16-11-2024-165</t>
  </si>
  <si>
    <t>LTIM-20-11-2024-17192</t>
  </si>
  <si>
    <t>WIPRO-DOP-10-12-2024-7171</t>
  </si>
  <si>
    <t>WIPRO-DOP-10-12-2024-7136</t>
  </si>
  <si>
    <t>BILPL-15-11-2024-70</t>
  </si>
  <si>
    <t>WIPRO-07-12-2024-21867</t>
  </si>
  <si>
    <t>NAGARRO-02-12-2024-13321</t>
  </si>
  <si>
    <t>MORE-10-12-2024-656</t>
  </si>
  <si>
    <t>FMPL-04-12-2024-2219</t>
  </si>
  <si>
    <t>CYIENT-10-12-2024-12971</t>
  </si>
  <si>
    <t>CDSIPL-05-12-2024-15655</t>
  </si>
  <si>
    <t>CTSIL-13-11-2024-21303</t>
  </si>
  <si>
    <t>APPL-07-12-2024-489</t>
  </si>
  <si>
    <t>DFIL-05-12-2024-503</t>
  </si>
  <si>
    <t>WIPRO-05-12-2024-21855</t>
  </si>
  <si>
    <t>WIPRO-07-12-2024-21855</t>
  </si>
  <si>
    <t>INTERO-06-11-2024-34</t>
  </si>
  <si>
    <t>KRBLL-11-12-2024-205</t>
  </si>
  <si>
    <t>TCS-25-06-2024-22930</t>
  </si>
  <si>
    <t>WIPRO-DOP-21-11-2024-6997</t>
  </si>
  <si>
    <t>LTIM-22-11-2024-17251</t>
  </si>
  <si>
    <t>LTIM-22-11-2024-17287</t>
  </si>
  <si>
    <t>NMS-02-12-2024-1351</t>
  </si>
  <si>
    <t>SOBEK-25-11-2024-972</t>
  </si>
  <si>
    <t>WSSH-13-12-2024-9619</t>
  </si>
  <si>
    <t>SUGS-22-11-2024-11319</t>
  </si>
  <si>
    <t>IKYA-13-12-2024-5707</t>
  </si>
  <si>
    <t>KIPL-29-10-2024-510</t>
  </si>
  <si>
    <t>AMBIT-13-12-2024-4943</t>
  </si>
  <si>
    <t>NEBLIO-01-10-2024-215</t>
  </si>
  <si>
    <t>ICICI-09-12-2024-9299</t>
  </si>
  <si>
    <t>TAICPL-10-12-2024-1949</t>
  </si>
  <si>
    <t>CYIENT-13-12-2024-12962</t>
  </si>
  <si>
    <t>CYIENT-13-12-2024-12921</t>
  </si>
  <si>
    <t>CYIENT-13-12-2024-12968</t>
  </si>
  <si>
    <t>CYIENT-13-12-2024-12952</t>
  </si>
  <si>
    <t>Titan-11-12-2024-3902</t>
  </si>
  <si>
    <t>MIIPL-03-12-2024-81</t>
  </si>
  <si>
    <t>NDTV-18-11-2024-760</t>
  </si>
  <si>
    <t>TAICPL-09-12-2024-1967</t>
  </si>
  <si>
    <t>FAPL-29-01-2024-7654</t>
  </si>
  <si>
    <t>FAPL-10-11-2022-2273</t>
  </si>
  <si>
    <t>FAPL-29-01-2024-7673</t>
  </si>
  <si>
    <t>FAPL-12-02-2024-7799</t>
  </si>
  <si>
    <t>FAPL-10-11-2022-1768</t>
  </si>
  <si>
    <t>FAPL-31-01-2024-7685</t>
  </si>
  <si>
    <t>FAPL-17-11-2022-3998</t>
  </si>
  <si>
    <t>FAPL-29-01-2024-7643</t>
  </si>
  <si>
    <t>FAPL-29-01-2024-7671</t>
  </si>
  <si>
    <t>LTIM-13-12-2024-18170</t>
  </si>
  <si>
    <t>LTIM-14-11-2024-16862</t>
  </si>
  <si>
    <t>CTSIL-14-12-2024-22905</t>
  </si>
  <si>
    <t>CTSIL-14-12-2024-22980</t>
  </si>
  <si>
    <t>GENPACT-14-11-2024-14576</t>
  </si>
  <si>
    <t>LTIM-11-12-2024-18069</t>
  </si>
  <si>
    <t>CTSIL-20-11-2024-21679</t>
  </si>
  <si>
    <t>TCS-13-12-2024-29898</t>
  </si>
  <si>
    <t>CTSIL-13-12-2024-22994</t>
  </si>
  <si>
    <t>TCS-12-12-2024-29849</t>
  </si>
  <si>
    <t>LTIM-17-10-2024-16059</t>
  </si>
  <si>
    <t>CTSIL-19-11-2024-21543</t>
  </si>
  <si>
    <t>TCS-26-08-2024-26040</t>
  </si>
  <si>
    <t>CTSIL-13-12-2024-22917</t>
  </si>
  <si>
    <t>CTSIL-13-12-2024-22946</t>
  </si>
  <si>
    <t>CTSIL-13-12-2024-22928</t>
  </si>
  <si>
    <t>LTIM-13-12-2024-18191</t>
  </si>
  <si>
    <t>NOSPL-12-12-2024-4410</t>
  </si>
  <si>
    <t>CICSPL-27-08-2024-15585</t>
  </si>
  <si>
    <t>FSNE-27-11-2024-432</t>
  </si>
  <si>
    <t>ICICI-22-08-2024-8244</t>
  </si>
  <si>
    <t>CTSIL-13-12-2024-22900</t>
  </si>
  <si>
    <t>TCS-13-12-2024-29890</t>
  </si>
  <si>
    <t>WIPRO-13-12-2024-21992</t>
  </si>
  <si>
    <t>WIPRO-13-12-2024-22063</t>
  </si>
  <si>
    <t>TCS-13-12-2024-29862</t>
  </si>
  <si>
    <t>TCSBPO-13-11-2024-11004</t>
  </si>
  <si>
    <t>CTSIL-13-12-2024-22937</t>
  </si>
  <si>
    <t>TCS-05-12-2024-29609</t>
  </si>
  <si>
    <t>WIPRO-09-12-2024-21805</t>
  </si>
  <si>
    <t>ISDML-18-10-2024-74</t>
  </si>
  <si>
    <t>TCS-10-12-2024-29728</t>
  </si>
  <si>
    <t>FMPL-13-09-2024-2004</t>
  </si>
  <si>
    <t>CTSIL-06-12-2024-22519</t>
  </si>
  <si>
    <t>CADTIPL-27-11-2024-288</t>
  </si>
  <si>
    <t>INFINX-14-12-2024-5626</t>
  </si>
  <si>
    <t>CAPCO-07-11-2024-40</t>
  </si>
  <si>
    <t>ACUITYKC-13-12-2024-1712</t>
  </si>
  <si>
    <t>ACUITYKC-13-12-2024-1716</t>
  </si>
  <si>
    <t>TCS-05-12-2024-29632</t>
  </si>
  <si>
    <t>SUGS-04-11-2024-11184</t>
  </si>
  <si>
    <t>FMPL-21-10-2024-2120</t>
  </si>
  <si>
    <t>TCSBPO-10-12-2024-11229</t>
  </si>
  <si>
    <t>AZIPL-11-12-2024-2426</t>
  </si>
  <si>
    <t>APL-06-12-2024-1637</t>
  </si>
  <si>
    <t>CTSIL-03-07-2024-17581</t>
  </si>
  <si>
    <t>AZIPL-31-03-2024-1743</t>
  </si>
  <si>
    <t>MUTHOOTF-23-11-2024-5633</t>
  </si>
  <si>
    <t>AllegisT-16-12-2024-4087</t>
  </si>
  <si>
    <t>LTIM-15-12-2024-18197</t>
  </si>
  <si>
    <t>MIIPL-11-11-2024-37</t>
  </si>
  <si>
    <t>FMPL-10-12-2024-2290</t>
  </si>
  <si>
    <t>ACLML-02-12-2024-316</t>
  </si>
  <si>
    <t>Titan-28-11-2024-3913</t>
  </si>
  <si>
    <t>MIIPL-11-11-2024-34</t>
  </si>
  <si>
    <t>EUREKA-07-12-2024-28407</t>
  </si>
  <si>
    <t>GGKTPL-13-12-2024-2087</t>
  </si>
  <si>
    <t>SUGS-13-12-2024-11460</t>
  </si>
  <si>
    <t>TECIPL-11-12-2024-872</t>
  </si>
  <si>
    <t>TECIPL-12-12-2024-864</t>
  </si>
  <si>
    <t>TECIPL-12-12-2024-833</t>
  </si>
  <si>
    <t>COGNIZANT - C-11-12-2024-4526</t>
  </si>
  <si>
    <t>TCSBPO-12-12-2024-11267</t>
  </si>
  <si>
    <t>AllegisT-01-11-2024-3807</t>
  </si>
  <si>
    <t>AllegisT-11-09-2024-3550</t>
  </si>
  <si>
    <t>TCSBPO-11-12-2024-11243</t>
  </si>
  <si>
    <t>WSSH-12-12-2024-9601</t>
  </si>
  <si>
    <t>CtrlS-09-12-2024-222</t>
  </si>
  <si>
    <t>LTIM-26-09-2024-15056</t>
  </si>
  <si>
    <t>TCS-10-12-2024-29624</t>
  </si>
  <si>
    <t>LTIM-07-12-2024-17951</t>
  </si>
  <si>
    <t>SSSSPL-13-12-2024-347</t>
  </si>
  <si>
    <t>AccSPL-07-10-2024-24297</t>
  </si>
  <si>
    <t>SBGV-21-11-2024-5334</t>
  </si>
  <si>
    <t>SBGV-21-11-2024-5363</t>
  </si>
  <si>
    <t>SBGV-26-11-2024-5323</t>
  </si>
  <si>
    <t>SBGV-10-12-2024-5443</t>
  </si>
  <si>
    <t>CTSIL-14-12-2024-23076</t>
  </si>
  <si>
    <t>CTSIL-14-12-2024-23086</t>
  </si>
  <si>
    <t>CTSIL-14-12-2024-23084</t>
  </si>
  <si>
    <t>CTSIL-14-12-2024-22999</t>
  </si>
  <si>
    <t>WIPRO-13-12-2024-22041</t>
  </si>
  <si>
    <t>WFSPL-S-13-12-2024-3283</t>
  </si>
  <si>
    <t>WFSPL-S-14-12-2024-3240</t>
  </si>
  <si>
    <t>AZIPL-06-03-2024-1636</t>
  </si>
  <si>
    <t>Titan-15-11-2024-3808</t>
  </si>
  <si>
    <t>AccSPL-13-12-2024-26538</t>
  </si>
  <si>
    <t>AccSPL-13-12-2024-26568</t>
  </si>
  <si>
    <t>AccSPL-13-12-2024-26639</t>
  </si>
  <si>
    <t>AccSPL-13-12-2024-26676</t>
  </si>
  <si>
    <t>AccSPL-13-12-2024-26693</t>
  </si>
  <si>
    <t>AccSPL-13-12-2024-26573</t>
  </si>
  <si>
    <t>AccSPL-13-12-2024-26692</t>
  </si>
  <si>
    <t>AccSPL-13-12-2024-26673</t>
  </si>
  <si>
    <t>AccSPL-13-12-2024-26641</t>
  </si>
  <si>
    <t>AccSPL-13-12-2024-26518</t>
  </si>
  <si>
    <t>AccSPL-13-12-2024-26694</t>
  </si>
  <si>
    <t>AccSPL-13-12-2024-26621</t>
  </si>
  <si>
    <t>AccSPL-13-12-2024-26672</t>
  </si>
  <si>
    <t>AccSPL-13-12-2024-26567</t>
  </si>
  <si>
    <t>AccSPL-13-12-2024-26588</t>
  </si>
  <si>
    <t>AccSPL-13-12-2024-26685</t>
  </si>
  <si>
    <t>AccSPL-13-12-2024-26687</t>
  </si>
  <si>
    <t>AccSPL-13-12-2024-26552</t>
  </si>
  <si>
    <t>AccSPL-13-12-2024-26665</t>
  </si>
  <si>
    <t>AccSPL-13-12-2024-26642</t>
  </si>
  <si>
    <t>AccSPL-13-12-2024-26675</t>
  </si>
  <si>
    <t>AccSPL-13-12-2024-26656</t>
  </si>
  <si>
    <t>CAPCO-13-12-2024-46</t>
  </si>
  <si>
    <t>MSIL--B-13-12-2024-33305</t>
  </si>
  <si>
    <t>TCS-11-12-2024-29739</t>
  </si>
  <si>
    <t>TCS-12-12-2024-29883</t>
  </si>
  <si>
    <t>AKRIPL-02-12-2024-100</t>
  </si>
  <si>
    <t>EUREKA-10-12-2024-28464</t>
  </si>
  <si>
    <t>TCS-05-12-2024-29568</t>
  </si>
  <si>
    <t>LTIM-28-11-2024-17410</t>
  </si>
  <si>
    <t>AKRIPL-02-12-2024-125</t>
  </si>
  <si>
    <t>CTSIL-07-12-2024-22518</t>
  </si>
  <si>
    <t>CTSIL-07-12-2024-22590</t>
  </si>
  <si>
    <t>TAICPL-26-11-2024-1801</t>
  </si>
  <si>
    <t>CTSIL-07-12-2024-22517</t>
  </si>
  <si>
    <t>CTSIL-07-12-2024-22559</t>
  </si>
  <si>
    <t>AllegisT-09-12-2024-4045</t>
  </si>
  <si>
    <t>AllegisT-30-09-2024-3676</t>
  </si>
  <si>
    <t>WIPRO-16-12-2024-22006</t>
  </si>
  <si>
    <t>ACCPL-13-12-2024-65</t>
  </si>
  <si>
    <t>AMMANN-09-12-2024-372</t>
  </si>
  <si>
    <t>WIPRO-16-12-2024-22078</t>
  </si>
  <si>
    <t>CTSIL-07-12-2024-22563</t>
  </si>
  <si>
    <t>OIPL-11-12-2024-359</t>
  </si>
  <si>
    <t>NAGARRO-10-12-2024-13359</t>
  </si>
  <si>
    <t>BML-16-12-2024-6613</t>
  </si>
  <si>
    <t>BML-16-12-2024-6690</t>
  </si>
  <si>
    <t>LTIM-06-12-2024-17734</t>
  </si>
  <si>
    <t>PWC-22-09-2024-4021</t>
  </si>
  <si>
    <t>ICICI-29-07-2024-7827</t>
  </si>
  <si>
    <t>IFFCO-13-08-2024-1729</t>
  </si>
  <si>
    <t>CTSIL-03-08-2024-19438</t>
  </si>
  <si>
    <t>SUGS-05-12-2024-11488</t>
  </si>
  <si>
    <t>LTIM-30-11-2024-17556</t>
  </si>
  <si>
    <t>WIPRO-04-12-2024-21891</t>
  </si>
  <si>
    <t>AHAM-03-12-2024-212</t>
  </si>
  <si>
    <t>TCS-11-12-2024-29704</t>
  </si>
  <si>
    <t>TCS-12-12-2024-29882</t>
  </si>
  <si>
    <t>TCS-11-12-2024-29703</t>
  </si>
  <si>
    <t>TCS-12-12-2024-29846</t>
  </si>
  <si>
    <t>TCS-12-12-2024-29863</t>
  </si>
  <si>
    <t>TCS-12-12-2024-29873</t>
  </si>
  <si>
    <t>TCS-11-12-2024-29740</t>
  </si>
  <si>
    <t>BSH-04-12-2024-565</t>
  </si>
  <si>
    <t>RNTBCIPL-12-11-2024-5086</t>
  </si>
  <si>
    <t>AKRIPL-02-12-2024-103</t>
  </si>
  <si>
    <t>FAPL-16-12-2022-5908</t>
  </si>
  <si>
    <t>LTIM-09-12-2024-17989</t>
  </si>
  <si>
    <t>GIL-09-12-2024-2488</t>
  </si>
  <si>
    <t>BCIL-10-12-2024-106</t>
  </si>
  <si>
    <t>SUGS-02-12-2024-11400</t>
  </si>
  <si>
    <t>CYIENT-03-12-2024-12817</t>
  </si>
  <si>
    <t>CtrlS-12-11-2024-127</t>
  </si>
  <si>
    <t>CtrlS-12-11-2024-136</t>
  </si>
  <si>
    <t>SLPL-11-12-2024-1941</t>
  </si>
  <si>
    <t>TCS-04-12-2024-29594</t>
  </si>
  <si>
    <t>TGSPL-16-12-2024-661</t>
  </si>
  <si>
    <t>TCS-13-08-2024-25367</t>
  </si>
  <si>
    <t>LTIM-06-12-2024-17805</t>
  </si>
  <si>
    <t>LTIM-06-12-2024-17857</t>
  </si>
  <si>
    <t>WIPRO-16-12-2024-22090</t>
  </si>
  <si>
    <t>TCS-11-12-2024-29786</t>
  </si>
  <si>
    <t>TCS-11-12-2024-29708</t>
  </si>
  <si>
    <t>TCS-11-12-2024-29709</t>
  </si>
  <si>
    <t>TCS-11-12-2024-29757</t>
  </si>
  <si>
    <t>TCS-11-12-2024-29738</t>
  </si>
  <si>
    <t>COGNIZANT-L-28-10-2024-2360</t>
  </si>
  <si>
    <t>TCS-11-12-2024-29745</t>
  </si>
  <si>
    <t>TCS-11-12-2024-29731</t>
  </si>
  <si>
    <t>TCS-01-10-2024-27703</t>
  </si>
  <si>
    <t>SLPL-11-12-2024-1926</t>
  </si>
  <si>
    <t>TEAL-11-12-2024-1225</t>
  </si>
  <si>
    <t>BML-16-12-2024-6659</t>
  </si>
  <si>
    <t>BML-16-12-2024-6643</t>
  </si>
  <si>
    <t>BML-16-12-2024-6699</t>
  </si>
  <si>
    <t>PSTPL-12-12-2024-1694</t>
  </si>
  <si>
    <t>SUGS-25-11-2024-11327</t>
  </si>
  <si>
    <t>LTIM-09-12-2024-17982</t>
  </si>
  <si>
    <t>AllegisE-10-12-2024-1134</t>
  </si>
  <si>
    <t>TCS-11-12-2024-29730</t>
  </si>
  <si>
    <t>TCS-12-12-2024-29722</t>
  </si>
  <si>
    <t>TCS-12-12-2024-29897</t>
  </si>
  <si>
    <t>TCS-12-12-2024-29862</t>
  </si>
  <si>
    <t>TCS-12-12-2024-29858</t>
  </si>
  <si>
    <t>TCS-12-12-2024-29738</t>
  </si>
  <si>
    <t>TCS-12-12-2024-29878</t>
  </si>
  <si>
    <t>TCS-11-12-2024-29748</t>
  </si>
  <si>
    <t>TCS-12-12-2024-29892</t>
  </si>
  <si>
    <t>TCS-12-12-2024-29743</t>
  </si>
  <si>
    <t>TCS-12-12-2024-29844</t>
  </si>
  <si>
    <t>TCS-12-12-2024-29829</t>
  </si>
  <si>
    <t>TCS-12-12-2024-29887</t>
  </si>
  <si>
    <t>TCS-11-12-2024-29729</t>
  </si>
  <si>
    <t>TCS-12-12-2024-29734</t>
  </si>
  <si>
    <t>TCS-12-12-2024-29852</t>
  </si>
  <si>
    <t>TCS-12-12-2024-29716</t>
  </si>
  <si>
    <t>BGIPL-19-08-2024-406</t>
  </si>
  <si>
    <t>TCSBPO-10-12-2024-11224</t>
  </si>
  <si>
    <t>TCSBPO-11-12-2024-11267</t>
  </si>
  <si>
    <t>TCSBPO-12-12-2024-11242</t>
  </si>
  <si>
    <t>TCSBPO-12-12-2024-11211</t>
  </si>
  <si>
    <t>TCSBPO-11-12-2024-11236</t>
  </si>
  <si>
    <t>TCSBPO-11-12-2024-11233</t>
  </si>
  <si>
    <t>TCSBPO-11-12-2024-11224</t>
  </si>
  <si>
    <t>TCSBPO-10-12-2024-11278</t>
  </si>
  <si>
    <t>TCSBPO-12-12-2024-11299</t>
  </si>
  <si>
    <t>TCSBPO-12-12-2024-11213</t>
  </si>
  <si>
    <t>TCSBPO-12-12-2024-11201</t>
  </si>
  <si>
    <t>TCSBPO-12-12-2024-11291</t>
  </si>
  <si>
    <t>TCSBPO-12-12-2024-11273</t>
  </si>
  <si>
    <t>TCSBPO-12-12-2024-11298</t>
  </si>
  <si>
    <t>CVENT-25-11-2024-2229</t>
  </si>
  <si>
    <t>SIFY-04-12-2024-997</t>
  </si>
  <si>
    <t>SIFY-04-12-2024-936</t>
  </si>
  <si>
    <t>GENPACT-16-12-2024-15851</t>
  </si>
  <si>
    <t>ICICI-22-11-2024-9039</t>
  </si>
  <si>
    <t>WIPRO-16-12-2024-22051</t>
  </si>
  <si>
    <t>TCSBPO-10-12-2024-11200</t>
  </si>
  <si>
    <t>TCS-11-10-2024-28039</t>
  </si>
  <si>
    <t>LTIM-26-11-2024-17389</t>
  </si>
  <si>
    <t>NTPL-04-12-2024-1205</t>
  </si>
  <si>
    <t>NTPL-04-12-2024-1207</t>
  </si>
  <si>
    <t>NTPL-04-12-2024-1257</t>
  </si>
  <si>
    <t>NTPL-04-12-2024-1299</t>
  </si>
  <si>
    <t>NTPL-04-12-2024-1260</t>
  </si>
  <si>
    <t>NTPL-04-12-2024-1209</t>
  </si>
  <si>
    <t>IHL-06-12-2024-523</t>
  </si>
  <si>
    <t>CTSIL-16-12-2024-23045</t>
  </si>
  <si>
    <t>WIPRO-16-12-2024-22041</t>
  </si>
  <si>
    <t>WSSG-16-12-2024-1103</t>
  </si>
  <si>
    <t>WSSG-16-12-2024-1199</t>
  </si>
  <si>
    <t>CAPCO-16-12-2024-82</t>
  </si>
  <si>
    <t>CAPCO-16-12-2024-75</t>
  </si>
  <si>
    <t>CAPCO-16-12-2024-89</t>
  </si>
  <si>
    <t>CAPCO-16-12-2024-40</t>
  </si>
  <si>
    <t>SHINE-16-12-2024-538</t>
  </si>
  <si>
    <t>CTSIL-04-12-2024-22468</t>
  </si>
  <si>
    <t>CTSIL-11-12-2024-22846</t>
  </si>
  <si>
    <t>LTIM-13-12-2024-18118</t>
  </si>
  <si>
    <t>JGS-26-11-2024-1997</t>
  </si>
  <si>
    <t>WIPRO-13-12-2024-21912</t>
  </si>
  <si>
    <t>WIPRO-11-12-2024-21972</t>
  </si>
  <si>
    <t>CAPCO-06-12-2024-99</t>
  </si>
  <si>
    <t>CIDSPL-05-12-2024-548</t>
  </si>
  <si>
    <t>WIPRO-DOP-10-12-2024-7102</t>
  </si>
  <si>
    <t>TCSBPO-07-08-2024-9900</t>
  </si>
  <si>
    <t>AZIPL-30-11-2024-2434</t>
  </si>
  <si>
    <t>INFINITI-04-12-2024-2009</t>
  </si>
  <si>
    <t>ODESSA-10-12-2024-753</t>
  </si>
  <si>
    <t>JGS-26-11-2024-1916</t>
  </si>
  <si>
    <t>BFL-12-12-2024-555</t>
  </si>
  <si>
    <t>ICICI-29-11-2024-9146</t>
  </si>
  <si>
    <t>BFL-12-12-2024-541</t>
  </si>
  <si>
    <t>RNTBCIPL-26-07-2024-4516</t>
  </si>
  <si>
    <t>SUGS-29-11-2024-11431</t>
  </si>
  <si>
    <t>BML-10-12-2024-6512</t>
  </si>
  <si>
    <t>AMELIA-09-12-2024-99</t>
  </si>
  <si>
    <t>FREIGHT-10-09-2024-82</t>
  </si>
  <si>
    <t>LTIM-05-09-2024-13917</t>
  </si>
  <si>
    <t>INSPL-28-10-2024-2313</t>
  </si>
  <si>
    <t>SIFY-04-12-2024-953</t>
  </si>
  <si>
    <t>MCSL-05-12-2024-515</t>
  </si>
  <si>
    <t>BFL-06-12-2024-594</t>
  </si>
  <si>
    <t>PLAN-16-12-2024-1071</t>
  </si>
  <si>
    <t>TRINITY-09-12-2024-13</t>
  </si>
  <si>
    <t>LTIM-20-11-2024-17114</t>
  </si>
  <si>
    <t>CIDSPL-15-10-2024-504</t>
  </si>
  <si>
    <t>TCS-29-11-2024-29401</t>
  </si>
  <si>
    <t>SAI-29-11-2024-1681</t>
  </si>
  <si>
    <t>WFSPL-S-04-12-2024-3116</t>
  </si>
  <si>
    <t>TCS-05-12-2024-29674</t>
  </si>
  <si>
    <t>WSSH-05-12-2024-9580</t>
  </si>
  <si>
    <t>Titan-18-11-2024-3891</t>
  </si>
  <si>
    <t>CIEL-11-12-2024-539</t>
  </si>
  <si>
    <t>TMF-09-12-2024-355</t>
  </si>
  <si>
    <t>TMF-16-12-2024-481</t>
  </si>
  <si>
    <t>TCS-16-12-2024-29807</t>
  </si>
  <si>
    <t>AMBIT-10-12-2024-4997</t>
  </si>
  <si>
    <t>AMBIT-04-12-2024-4883</t>
  </si>
  <si>
    <t>TRINITY-09-12-2024-07</t>
  </si>
  <si>
    <t>TEL-16-12-2024-10243</t>
  </si>
  <si>
    <t>ETHOS-16-12-2024-702</t>
  </si>
  <si>
    <t>CPMSPL-12-12-2024-5718</t>
  </si>
  <si>
    <t>CMS-13-12-2024-1129</t>
  </si>
  <si>
    <t>MCSLTD-16-12-2024-243</t>
  </si>
  <si>
    <t>GENPACT-11-12-2024-15718</t>
  </si>
  <si>
    <t>LTIM-12-12-2024-18008</t>
  </si>
  <si>
    <t>INSPL-10-12-2024-2349</t>
  </si>
  <si>
    <t>LTIM-16-12-2024-18229</t>
  </si>
  <si>
    <t>LTIM-16-12-2024-18228</t>
  </si>
  <si>
    <t>LTIM-16-12-2024-18247</t>
  </si>
  <si>
    <t>TCS-16-12-2024-29801</t>
  </si>
  <si>
    <t>TCS-16-12-2024-29819</t>
  </si>
  <si>
    <t>ACUITYKS-16-12-2024-1396</t>
  </si>
  <si>
    <t>ACUITYKS-16-12-2024-1383</t>
  </si>
  <si>
    <t>CMS-30-11-2024-1136</t>
  </si>
  <si>
    <t>CICSPL-10-10-2024-15759</t>
  </si>
  <si>
    <t>FASPL-05-12-2024-1043</t>
  </si>
  <si>
    <t>FASPL-06-12-2024-1001</t>
  </si>
  <si>
    <t>TCS-04-12-2024-29530</t>
  </si>
  <si>
    <t>TCS-06-09-2024-26626</t>
  </si>
  <si>
    <t>SMPL-08-11-2024-846</t>
  </si>
  <si>
    <t>AHAM-06-12-2024-246</t>
  </si>
  <si>
    <t>TCSBPO-06-12-2024-11230</t>
  </si>
  <si>
    <t>OIPL-10-09-2024-271</t>
  </si>
  <si>
    <t>PHOTON-03-12-2024-1251</t>
  </si>
  <si>
    <t>TCS-13-12-2024-29869</t>
  </si>
  <si>
    <t>APL-11-12-2024-1642</t>
  </si>
  <si>
    <t>CPMSPL-04-11-2024-5612</t>
  </si>
  <si>
    <t>COSETTE-10-12-2024-20</t>
  </si>
  <si>
    <t>BIOVF-12-12-2024-177</t>
  </si>
  <si>
    <t>COSETTE-10-12-2024-49</t>
  </si>
  <si>
    <t>UTL-16-12-2024-661</t>
  </si>
  <si>
    <t>CLL-09-12-2024-02</t>
  </si>
  <si>
    <t>CSFLLP-09-12-2024-325</t>
  </si>
  <si>
    <t>FAIPL-12-12-2024-2412</t>
  </si>
  <si>
    <t>EUREKA-07-12-2024-28477</t>
  </si>
  <si>
    <t>EUREKA-09-12-2024-28430</t>
  </si>
  <si>
    <t>CVENT-06-12-2024-2235</t>
  </si>
  <si>
    <t>CAPCO-12-12-2024-84</t>
  </si>
  <si>
    <t>AMBIT-13-12-2024-4964</t>
  </si>
  <si>
    <t>SUGS-16-12-2024-11598</t>
  </si>
  <si>
    <t>TCSBPO-11-12-2024-11201</t>
  </si>
  <si>
    <t>LTIM-07-12-2024-17839</t>
  </si>
  <si>
    <t>LTIM-08-12-2024-17948</t>
  </si>
  <si>
    <t>TCS-17-12-2024-29875</t>
  </si>
  <si>
    <t>SIFY-27-11-2024-992</t>
  </si>
  <si>
    <t>SIFY-27-11-2024-933</t>
  </si>
  <si>
    <t>Titan-05-11-2024-3889</t>
  </si>
  <si>
    <t>ICICI-29-11-2024-9179</t>
  </si>
  <si>
    <t>SMPL-15-10-2024-828</t>
  </si>
  <si>
    <t>SIFY-27-11-2024-847</t>
  </si>
  <si>
    <t>CTSIL-09-12-2024-22662</t>
  </si>
  <si>
    <t>PIERAG-11-12-2024-198</t>
  </si>
  <si>
    <t>RRKL-02-12-2024-871</t>
  </si>
  <si>
    <t>ICICI-29-11-2024-9121</t>
  </si>
  <si>
    <t>CGS-NET-16-12-2024-156</t>
  </si>
  <si>
    <t>RPOSPL-16-12-2024-2036</t>
  </si>
  <si>
    <t>INSPL-15-06-2024-1716</t>
  </si>
  <si>
    <t>INSPL-22-07-2024-1977</t>
  </si>
  <si>
    <t>ICICI-29-11-2024-9107</t>
  </si>
  <si>
    <t>INFINX-13-12-2024-5687</t>
  </si>
  <si>
    <t>DATAMATICS-P-06-12-2024-239</t>
  </si>
  <si>
    <t>JRKIPL-10-12-2024-88</t>
  </si>
  <si>
    <t>LTIM-03-12-2024-17519</t>
  </si>
  <si>
    <t>SAI-12-11-2024-1648</t>
  </si>
  <si>
    <t>AllegisT-01-07-2023-1897</t>
  </si>
  <si>
    <t>Titan-19-11-2024-3874</t>
  </si>
  <si>
    <t>INSPL-26-03-2024-1485</t>
  </si>
  <si>
    <t>CTSIL-14-12-2024-23091</t>
  </si>
  <si>
    <t>TechM-04-12-2024-8667</t>
  </si>
  <si>
    <t>PEPSI-09-12-2024-221</t>
  </si>
  <si>
    <t>GALLAGHER-11-12-2024-7024</t>
  </si>
  <si>
    <t>INSPL-26-03-2024-1470</t>
  </si>
  <si>
    <t>INSPL-26-03-2024-1420</t>
  </si>
  <si>
    <t>INSPL-26-03-2024-1482</t>
  </si>
  <si>
    <t>INSPL-26-03-2024-1487</t>
  </si>
  <si>
    <t>INSPL-27-04-2024-1680</t>
  </si>
  <si>
    <t>INSPL-27-04-2024-1607</t>
  </si>
  <si>
    <t>INFINX-13-12-2024-5645</t>
  </si>
  <si>
    <t>TCS-04-11-2024-28645</t>
  </si>
  <si>
    <t>TCS-13-12-2024-29823</t>
  </si>
  <si>
    <t>TCS-13-12-2024-29810</t>
  </si>
  <si>
    <t>TCS-13-12-2024-29816</t>
  </si>
  <si>
    <t>SIFY-11-12-2024-909</t>
  </si>
  <si>
    <t>GENPACT-11-12-2024-15765</t>
  </si>
  <si>
    <t>LTIM-11-12-2024-18011</t>
  </si>
  <si>
    <t>SUGS-13-12-2024-11478</t>
  </si>
  <si>
    <t>TCS-13-12-2024-29804</t>
  </si>
  <si>
    <t>KIL-11-12-2024-220</t>
  </si>
  <si>
    <t>ICICI-15-07-2024-7658</t>
  </si>
  <si>
    <t>LTIM-07-12-2024-17953</t>
  </si>
  <si>
    <t>AllegisT-20-11-2024-3922</t>
  </si>
  <si>
    <t>DICVPL-15-11-2024-36</t>
  </si>
  <si>
    <t>LTIM-15-08-2024-13083</t>
  </si>
  <si>
    <t>GENPACT-16-12-2024-15867</t>
  </si>
  <si>
    <t>WSPL-BGV-13-12-2024-208</t>
  </si>
  <si>
    <t>TEL-13-12-2024-10204</t>
  </si>
  <si>
    <t>Titan-22-11-2024-3988</t>
  </si>
  <si>
    <t>BML-11-12-2024-6699</t>
  </si>
  <si>
    <t>LTIM-27-11-2024-17450</t>
  </si>
  <si>
    <t>AllegisT-16-12-2024-4028</t>
  </si>
  <si>
    <t>GIL-16-12-2024-2443</t>
  </si>
  <si>
    <t>SBGV-16-12-2024-5426</t>
  </si>
  <si>
    <t>CPMSPL-03-12-2024-5682</t>
  </si>
  <si>
    <t>QuessITS-21-11-2024-415</t>
  </si>
  <si>
    <t>TCS-16-10-2024-28250</t>
  </si>
  <si>
    <t>FSND-21-11-2024-219</t>
  </si>
  <si>
    <t>WFSPL-S-17-12-2024-3290</t>
  </si>
  <si>
    <t>Titan-12-10-2024-3767</t>
  </si>
  <si>
    <t>WSSH-03-12-2024-9556</t>
  </si>
  <si>
    <t>LTIM-23-11-2024-17258</t>
  </si>
  <si>
    <t>IKYA-30-09-2024-5334</t>
  </si>
  <si>
    <t>MKSVPL-06-12-2024-174</t>
  </si>
  <si>
    <t>CVENT-10-12-2024-2289</t>
  </si>
  <si>
    <t>MFTFIPL-16-08-2024-45</t>
  </si>
  <si>
    <t>TCS-11-11-2024-28808</t>
  </si>
  <si>
    <t>TCS-17-09-2024-27291</t>
  </si>
  <si>
    <t>REL-09-12-2024-89</t>
  </si>
  <si>
    <t>AZIPL-27-06-2024-1917</t>
  </si>
  <si>
    <t>CAPCO-13-12-2024-84</t>
  </si>
  <si>
    <t>EUREKA-12-12-2024-28563</t>
  </si>
  <si>
    <t>SLPL-11-12-2024-1968</t>
  </si>
  <si>
    <t>INFINX-24-10-2024-4523</t>
  </si>
  <si>
    <t>RNTBCIPL-01-12-2024-5121</t>
  </si>
  <si>
    <t>CtrlS-23-10-2024-139</t>
  </si>
  <si>
    <t>ODESSA-17-12-2024-729</t>
  </si>
  <si>
    <t>BGIPL-05-09-2024-482</t>
  </si>
  <si>
    <t>TCS-11-12-2024-29725</t>
  </si>
  <si>
    <t>TCSBPO-11-12-2024-11230</t>
  </si>
  <si>
    <t>RBL-13-12-2024-1631</t>
  </si>
  <si>
    <t>TRIARQ-13-12-2024-651</t>
  </si>
  <si>
    <t>TechM-12-12-2024-8782</t>
  </si>
  <si>
    <t>TCS-11-12-2024-29711</t>
  </si>
  <si>
    <t>Titan-15-12-2024-3906</t>
  </si>
  <si>
    <t>LTIM-28-08-2024-13628</t>
  </si>
  <si>
    <t>AMBIT-03-12-2024-4712</t>
  </si>
  <si>
    <t>INFINX-12-12-2024-5577</t>
  </si>
  <si>
    <t>CHARGEBEE-USA-28-06-2024-38</t>
  </si>
  <si>
    <t>ICICI-15-10-2024-8678</t>
  </si>
  <si>
    <t>TEL-04-11-2024-10102</t>
  </si>
  <si>
    <t>TechMCPL-04-12-2024-1361</t>
  </si>
  <si>
    <t>WSPLG-BS-17-12-2024-377</t>
  </si>
  <si>
    <t>WSPLG-BS-17-12-2024-388</t>
  </si>
  <si>
    <t>AZIPL-06-06-2024-1868</t>
  </si>
  <si>
    <t>CTSIL-17-12-2024-23169</t>
  </si>
  <si>
    <t>CTSIL-17-12-2024-23187</t>
  </si>
  <si>
    <t>CTSIL-17-12-2024-23193</t>
  </si>
  <si>
    <t>CTSIL-17-12-2024-23113</t>
  </si>
  <si>
    <t>SUREMINDS-07-12-2024-120</t>
  </si>
  <si>
    <t>AZIPL-27-11-2024-2410</t>
  </si>
  <si>
    <t>APL-17-12-2024-1710</t>
  </si>
  <si>
    <t>INVENGENE-17-12-2024-50</t>
  </si>
  <si>
    <t>INVENGENE-17-12-2024-37</t>
  </si>
  <si>
    <t>BGIPL-18-05-2024-59</t>
  </si>
  <si>
    <t>Titan-16-11-2024-3843</t>
  </si>
  <si>
    <t>CIEL-12-12-2024-585</t>
  </si>
  <si>
    <t>CADTIPL-27-11-2024-214</t>
  </si>
  <si>
    <t>LTIM-17-12-2024-18299</t>
  </si>
  <si>
    <t>LTIM-17-12-2024-18207</t>
  </si>
  <si>
    <t>TMF-17-12-2024-433</t>
  </si>
  <si>
    <t>TMF-17-12-2024-484</t>
  </si>
  <si>
    <t>TMF-17-12-2024-450</t>
  </si>
  <si>
    <t>PWC-28-09-2024-4123</t>
  </si>
  <si>
    <t>INFINX-10-12-2024-5504</t>
  </si>
  <si>
    <t>CTSIL-02-12-2024-22347</t>
  </si>
  <si>
    <t>AMPCUS-10-12-2024-569</t>
  </si>
  <si>
    <t>TCSBPO-03-12-2024-11229</t>
  </si>
  <si>
    <t>TCS-29-11-2024-29411</t>
  </si>
  <si>
    <t>SUGS-02-08-2024-9495</t>
  </si>
  <si>
    <t>INFINX-17-12-2024-5690</t>
  </si>
  <si>
    <t>VDAIPL-17-12-2024-41</t>
  </si>
  <si>
    <t>KAAR-17-12-2024-465</t>
  </si>
  <si>
    <t>KAAR-17-12-2024-425</t>
  </si>
  <si>
    <t>KAAR-17-12-2024-444</t>
  </si>
  <si>
    <t>TCSBPO-06-11-2024-11097</t>
  </si>
  <si>
    <t>GSIPL-17-12-2024-429</t>
  </si>
  <si>
    <t>10FA-29-11-2024-1341</t>
  </si>
  <si>
    <t>SAI-17-12-2024-1657</t>
  </si>
  <si>
    <t>SBGV-16-12-2024-5477</t>
  </si>
  <si>
    <t>WIPRO-DOP-10-12-2024-7190</t>
  </si>
  <si>
    <t>CTSIL-17-12-2024-23100</t>
  </si>
  <si>
    <t>CTSIL-17-12-2024-23128</t>
  </si>
  <si>
    <t>CTSIL-17-12-2024-23101</t>
  </si>
  <si>
    <t>CTSIL-17-12-2024-23163</t>
  </si>
  <si>
    <t>FAPL-19-10-2023-7223</t>
  </si>
  <si>
    <t>TCS-17-12-2024-29975</t>
  </si>
  <si>
    <t>TCS-17-12-2024-29980</t>
  </si>
  <si>
    <t>TCS-17-12-2024-29986</t>
  </si>
  <si>
    <t>TCS-17-12-2024-29950</t>
  </si>
  <si>
    <t>TCS-17-12-2024-29940</t>
  </si>
  <si>
    <t>DATAMATICS-P-07-12-2024-338</t>
  </si>
  <si>
    <t>CDSIPL-05-12-2024-15553</t>
  </si>
  <si>
    <t>MUTHOOTF-05-12-2024-5856</t>
  </si>
  <si>
    <t>TCS-13-11-2024-29056</t>
  </si>
  <si>
    <t>FERRERO-11-12-2024-666</t>
  </si>
  <si>
    <t>KAAR-17-12-2024-432</t>
  </si>
  <si>
    <t>KAAR-17-12-2024-408</t>
  </si>
  <si>
    <t>CSECT-17-12-2024-89</t>
  </si>
  <si>
    <t>CAPCO-17-12-2024-05</t>
  </si>
  <si>
    <t>CMS-16-12-2024-1114</t>
  </si>
  <si>
    <t>CIDSPL-16-12-2024-514</t>
  </si>
  <si>
    <t>CPMSPL-16-12-2024-5746</t>
  </si>
  <si>
    <t>CPMSPL-16-12-2024-5797</t>
  </si>
  <si>
    <t>IKYA-13-12-2024-5780</t>
  </si>
  <si>
    <t>LTIM-06-12-2024-17828</t>
  </si>
  <si>
    <t>LTIM-06-12-2024-17882</t>
  </si>
  <si>
    <t>ICICI-09-08-2024-8171</t>
  </si>
  <si>
    <t>ICICI-07-08-2024-8027</t>
  </si>
  <si>
    <t>CAPCO-17-12-2024-51</t>
  </si>
  <si>
    <t>LTIM-17-12-2024-18268</t>
  </si>
  <si>
    <t>LTIM-17-12-2024-18265</t>
  </si>
  <si>
    <t>LTIM-17-12-2024-18248</t>
  </si>
  <si>
    <t>LTIM-17-12-2024-18292</t>
  </si>
  <si>
    <t>LTIM-17-12-2024-18218</t>
  </si>
  <si>
    <t>LTIM-17-12-2024-18247</t>
  </si>
  <si>
    <t>LTIM-17-12-2024-18201</t>
  </si>
  <si>
    <t>LTIM-17-12-2024-18267</t>
  </si>
  <si>
    <t>KANCOR-10-12-2024-169</t>
  </si>
  <si>
    <t>AllegisT-12-12-2024-4046</t>
  </si>
  <si>
    <t>MUTHOOTF-30-10-2024-5266</t>
  </si>
  <si>
    <t>TCS-16-12-2024-29853</t>
  </si>
  <si>
    <t>TakedaICC-13-09-2024-207</t>
  </si>
  <si>
    <t>AMBIT-04-12-2024-4805</t>
  </si>
  <si>
    <t>CADTIPL-03-12-2024-261</t>
  </si>
  <si>
    <t>AZIPL-22-03-2024-1767</t>
  </si>
  <si>
    <t>TCS-11-12-2024-29705</t>
  </si>
  <si>
    <t>Titan-12-12-2024-3966</t>
  </si>
  <si>
    <t>LTIM-11-12-2024-18032</t>
  </si>
  <si>
    <t>LTIM-12-12-2024-18038</t>
  </si>
  <si>
    <t>SS4-12-12-2024-424</t>
  </si>
  <si>
    <t>LTIM-16-08-2024-13199</t>
  </si>
  <si>
    <t>FMPL-12-09-2024-2005</t>
  </si>
  <si>
    <t>TIANISH-11-11-2024-86</t>
  </si>
  <si>
    <t>VEL-27-09-2024-112</t>
  </si>
  <si>
    <t>WSSH-16-11-2024-9110</t>
  </si>
  <si>
    <t>GENPACT-18-12-2024-15806</t>
  </si>
  <si>
    <t>ICICI-07-08-2024-8005</t>
  </si>
  <si>
    <t>QUINTE-17-12-2024-460</t>
  </si>
  <si>
    <t>QUINTE-17-12-2024-417</t>
  </si>
  <si>
    <t>QUINTE-17-12-2024-412</t>
  </si>
  <si>
    <t>QUINTE-17-12-2024-439</t>
  </si>
  <si>
    <t>QUINTE-17-12-2024-422</t>
  </si>
  <si>
    <t>IGT- P-18-11-2024-124</t>
  </si>
  <si>
    <t>CADTIPL-11-12-2024-253</t>
  </si>
  <si>
    <t>CADTIPL-11-12-2024-214</t>
  </si>
  <si>
    <t>CADTIPL-11-12-2024-281</t>
  </si>
  <si>
    <t>CADTIPL-12-12-2024-200</t>
  </si>
  <si>
    <t>GENPACT-16-12-2024-15835</t>
  </si>
  <si>
    <t>LTIM-19-09-2024-14777</t>
  </si>
  <si>
    <t>LTIM-18-10-2024-16010</t>
  </si>
  <si>
    <t>LTIM-30-10-2024-16414</t>
  </si>
  <si>
    <t>MUTHOOTF-13-12-2024-5953</t>
  </si>
  <si>
    <t>CTSIL-18-12-2024-23158</t>
  </si>
  <si>
    <t>CTSIL-18-12-2024-23182</t>
  </si>
  <si>
    <t>AllegisT-18-12-2024-4191</t>
  </si>
  <si>
    <t>WIPRO-18-12-2024-22117</t>
  </si>
  <si>
    <t>CPMSPL-22-10-2024-5658</t>
  </si>
  <si>
    <t>WIPRO-18-12-2024-22193</t>
  </si>
  <si>
    <t>SUREMINDS-24-10-2024-161</t>
  </si>
  <si>
    <t>TIANISH-17-12-2024-53</t>
  </si>
  <si>
    <t>BPTP-26-11-2024-766</t>
  </si>
  <si>
    <t>GSIPL-17-12-2024-457</t>
  </si>
  <si>
    <t>NOSPL-12-12-2024-4438</t>
  </si>
  <si>
    <t>MSIL--B-17-12-2024-33431</t>
  </si>
  <si>
    <t>DICVPL-18-12-2024-72</t>
  </si>
  <si>
    <t>DICVPL-18-12-2024-37</t>
  </si>
  <si>
    <t>10FA-11-12-2024-1414</t>
  </si>
  <si>
    <t>CREOSPAN-10-12-2024-233</t>
  </si>
  <si>
    <t>AMBIT-10-12-2024-4929</t>
  </si>
  <si>
    <t>AMBIT-10-12-2024-4928</t>
  </si>
  <si>
    <t>CYIENT-16-12-2024-13001</t>
  </si>
  <si>
    <t>LTIM-16-12-2024-18275</t>
  </si>
  <si>
    <t>TCS-06-09-2024-26610</t>
  </si>
  <si>
    <t>ETPL-21-11-2024-710</t>
  </si>
  <si>
    <t>BTL-19-11-2024-116</t>
  </si>
  <si>
    <t>CENTIFIC-13-12-2024-66</t>
  </si>
  <si>
    <t>LTIM-15-11-2024-16935</t>
  </si>
  <si>
    <t>CVENT-10-12-2024-2207</t>
  </si>
  <si>
    <t>LTIM-11-09-2024-14251</t>
  </si>
  <si>
    <t>AMBIT-17-08-2024-3633</t>
  </si>
  <si>
    <t>LTIM-05-09-2024-13959</t>
  </si>
  <si>
    <t>INFINITI-07-12-2024-2068</t>
  </si>
  <si>
    <t>SBGV-10-12-2024-5489</t>
  </si>
  <si>
    <t>LTIM-13-12-2024-18165</t>
  </si>
  <si>
    <t>IDEMIA-07-12-2024-1770</t>
  </si>
  <si>
    <t>Titan-12-12-2024-3924</t>
  </si>
  <si>
    <t>AllegisT-17-12-2024-4191</t>
  </si>
  <si>
    <t>AllegisT-16-12-2024-4157</t>
  </si>
  <si>
    <t>TAICPL-18-12-2024-2090</t>
  </si>
  <si>
    <t>TAICPL-18-12-2024-2068</t>
  </si>
  <si>
    <t>TAICPL-18-12-2024-2061</t>
  </si>
  <si>
    <t>CTSIL-02-12-2024-22381</t>
  </si>
  <si>
    <t>Walsons PCC-27-08-2024-2021</t>
  </si>
  <si>
    <t>Walsons PCC-22-10-2024-3687</t>
  </si>
  <si>
    <t>Walsons PCC-11-11-2024-3824</t>
  </si>
  <si>
    <t>Walsons PCC-25-11-2024-4031</t>
  </si>
  <si>
    <t>Walsons PCC-11-11-2024-3818</t>
  </si>
  <si>
    <t>Walsons PCC-22-11-2024-4023</t>
  </si>
  <si>
    <t>Walsons PCC-27-08-2024-1821</t>
  </si>
  <si>
    <t>Walsons PCC-30-08-2024-2615</t>
  </si>
  <si>
    <t>Walsons PCC-27-09-2024-3135</t>
  </si>
  <si>
    <t>Walsons PCC-28-08-2024-2372</t>
  </si>
  <si>
    <t>Walsons PCC-27-09-2024-3111</t>
  </si>
  <si>
    <t>Walsons PCC-27-08-2024-1805</t>
  </si>
  <si>
    <t>Walsons PCC-30-08-2024-2674</t>
  </si>
  <si>
    <t>Walsons PCC-30-08-2024-2699</t>
  </si>
  <si>
    <t>Walsons PCC-27-08-2024-2059</t>
  </si>
  <si>
    <t>Walsons PCC-18-11-2024-3900</t>
  </si>
  <si>
    <t>Walsons PCC-27-08-2024-1947</t>
  </si>
  <si>
    <t>Walsons PCC-28-08-2024-2304</t>
  </si>
  <si>
    <t>Walsons PCC-28-08-2024-2355</t>
  </si>
  <si>
    <t>Walsons PCC-30-08-2024-2564</t>
  </si>
  <si>
    <t>Walsons PCC-27-08-2024-1710</t>
  </si>
  <si>
    <t>Walsons PCC-27-11-2024-4148</t>
  </si>
  <si>
    <t>Walsons PCC-30-09-2024-3295</t>
  </si>
  <si>
    <t>Walsons PCC-27-08-2024-1891</t>
  </si>
  <si>
    <t>Walsons PCC-11-10-2024-3401</t>
  </si>
  <si>
    <t>Walsons PCC-19-10-2024-3588</t>
  </si>
  <si>
    <t>Walsons PCC-23-10-2024-3694</t>
  </si>
  <si>
    <t>Walsons PCC-29-08-2024-2592</t>
  </si>
  <si>
    <t>Walsons PCC-27-08-2024-1839</t>
  </si>
  <si>
    <t>Walsons PCC-19-11-2024-3955</t>
  </si>
  <si>
    <t>Walsons PCC-27-08-2024-1820</t>
  </si>
  <si>
    <t>Walsons PCC-14-09-2024-2907</t>
  </si>
  <si>
    <t>Walsons PCC-14-09-2024-2972</t>
  </si>
  <si>
    <t>Walsons PCC-28-08-2024-2461</t>
  </si>
  <si>
    <t>Walsons PCC-30-08-2024-2548</t>
  </si>
  <si>
    <t>Walsons PCC-30-09-2024-3256</t>
  </si>
  <si>
    <t>Walsons PCC-27-08-2024-1741</t>
  </si>
  <si>
    <t>Walsons PCC-10-09-2024-2854</t>
  </si>
  <si>
    <t>Walsons PCC-27-11-2024-4183</t>
  </si>
  <si>
    <t>Walsons PCC-28-08-2024-2421</t>
  </si>
  <si>
    <t>Walsons PCC-22-11-2024-4039</t>
  </si>
  <si>
    <t>Walsons PCC-27-08-2024-2150</t>
  </si>
  <si>
    <t>Walsons PCC-27-08-2024-2163</t>
  </si>
  <si>
    <t>Walsons PCC-30-08-2024-2641</t>
  </si>
  <si>
    <t>Walsons PCC-27-08-2024-1952</t>
  </si>
  <si>
    <t>Walsons PCC-29-08-2024-2594</t>
  </si>
  <si>
    <t>Walsons PCC-28-09-2024-3139</t>
  </si>
  <si>
    <t>Walsons PCC-14-11-2024-3913</t>
  </si>
  <si>
    <t>Walsons PCC-28-08-2024-2217</t>
  </si>
  <si>
    <t>Walsons PCC-05-09-2024-2700</t>
  </si>
  <si>
    <t>Walsons PCC-10-09-2024-2781</t>
  </si>
  <si>
    <t>Walsons PCC-13-11-2024-3824</t>
  </si>
  <si>
    <t>Walsons PCC-04-10-2024-3352</t>
  </si>
  <si>
    <t>Walsons PCC-16-10-2024-3513</t>
  </si>
  <si>
    <t>Walsons PCC-30-09-2024-3235</t>
  </si>
  <si>
    <t>Walsons PCC-27-08-2024-1999</t>
  </si>
  <si>
    <t>Walsons PCC-30-08-2024-2608</t>
  </si>
  <si>
    <t>Walsons PCC-04-11-2024-3770</t>
  </si>
  <si>
    <t>Walsons PCC-10-10-2024-3499</t>
  </si>
  <si>
    <t>Walsons PCC-27-08-2024-1769</t>
  </si>
  <si>
    <t>Walsons PCC-27-08-2024-2162</t>
  </si>
  <si>
    <t>Walsons PCC-28-08-2024-2521</t>
  </si>
  <si>
    <t>Walsons PCC-10-09-2024-2731</t>
  </si>
  <si>
    <t>Walsons PCC-27-11-2024-4178</t>
  </si>
  <si>
    <t>Walsons PCC-01-11-2024-3782</t>
  </si>
  <si>
    <t>Walsons PCC-25-11-2024-4075</t>
  </si>
  <si>
    <t>Walsons PCC-02-12-2024-4280</t>
  </si>
  <si>
    <t>Walsons PCC-27-08-2024-2064</t>
  </si>
  <si>
    <t>Walsons PCC-30-08-2024-2550</t>
  </si>
  <si>
    <t>Walsons PCC-04-09-2024-2617</t>
  </si>
  <si>
    <t>Walsons PCC-27-09-2024-3161</t>
  </si>
  <si>
    <t>Walsons PCC-27-08-2024-1861</t>
  </si>
  <si>
    <t>Walsons PCC-21-08-2024-1687</t>
  </si>
  <si>
    <t>Walsons PCC-27-08-2024-2247</t>
  </si>
  <si>
    <t>Walsons PCC-11-10-2024-3434</t>
  </si>
  <si>
    <t>Walsons PCC-28-08-2024-2485</t>
  </si>
  <si>
    <t>Walsons PCC-13-11-2024-3867</t>
  </si>
  <si>
    <t>Walsons PCC-27-08-2024-2170</t>
  </si>
  <si>
    <t>Walsons PCC-19-11-2024-3919</t>
  </si>
  <si>
    <t>Walsons PCC-30-08-2024-2628</t>
  </si>
  <si>
    <t>Walsons PCC-28-11-2024-4174</t>
  </si>
  <si>
    <t>Walsons PCC-27-08-2024-2275</t>
  </si>
  <si>
    <t>Walsons PCC-29-08-2024-2510</t>
  </si>
  <si>
    <t>Walsons PCC-29-08-2024-2523</t>
  </si>
  <si>
    <t>Walsons PCC-27-08-2024-2103</t>
  </si>
  <si>
    <t>Walsons PCC-28-08-2024-2332</t>
  </si>
  <si>
    <t>Walsons PCC-11-10-2024-3417</t>
  </si>
  <si>
    <t>Walsons PCC-04-09-2024-2716</t>
  </si>
  <si>
    <t>Walsons PCC-14-09-2024-2924</t>
  </si>
  <si>
    <t>Walsons PCC-25-09-2024-3039</t>
  </si>
  <si>
    <t>Walsons PCC-28-09-2024-3107</t>
  </si>
  <si>
    <t>Walsons PCC-27-08-2024-2034</t>
  </si>
  <si>
    <t>Walsons PCC-07-10-2024-3349</t>
  </si>
  <si>
    <t>Walsons PCC-27-08-2024-1956</t>
  </si>
  <si>
    <t>Walsons PCC-28-08-2024-2470</t>
  </si>
  <si>
    <t>Walsons PCC-29-08-2024-2562</t>
  </si>
  <si>
    <t>Walsons PCC-04-11-2024-3773</t>
  </si>
  <si>
    <t>Walsons PCC-27-08-2024-1807</t>
  </si>
  <si>
    <t>Walsons PCC-28-08-2024-2378</t>
  </si>
  <si>
    <t>Walsons PCC-01-11-2024-3718</t>
  </si>
  <si>
    <t>Walsons PCC-27-08-2024-2225</t>
  </si>
  <si>
    <t>Walsons PCC-30-08-2024-2688</t>
  </si>
  <si>
    <t>Walsons PCC-13-11-2024-3981</t>
  </si>
  <si>
    <t>Walsons PCC-29-08-2024-2554</t>
  </si>
  <si>
    <t>Walsons PCC-30-08-2024-2526</t>
  </si>
  <si>
    <t>Walsons PCC-02-12-2024-4261</t>
  </si>
  <si>
    <t>Walsons PCC-27-08-2024-2161</t>
  </si>
  <si>
    <t>Walsons PCC-04-10-2024-3275</t>
  </si>
  <si>
    <t>Walsons PCC-13-11-2024-3821</t>
  </si>
  <si>
    <t>Walsons PCC-16-08-2024-1511</t>
  </si>
  <si>
    <t>Walsons PCC-11-09-2024-2842</t>
  </si>
  <si>
    <t>Walsons PCC-28-08-2024-2513</t>
  </si>
  <si>
    <t>Walsons PCC-30-08-2024-2558</t>
  </si>
  <si>
    <t>Walsons PCC-27-08-2024-1987</t>
  </si>
  <si>
    <t>Walsons PCC-27-08-2024-2046</t>
  </si>
  <si>
    <t>Walsons PCC-14-09-2024-2879</t>
  </si>
  <si>
    <t>Walsons PCC-15-11-2024-3991</t>
  </si>
  <si>
    <t>Walsons PCC-22-11-2024-4083</t>
  </si>
  <si>
    <t>Walsons PCC-27-08-2024-2159</t>
  </si>
  <si>
    <t>Walsons PCC-28-08-2024-2448</t>
  </si>
  <si>
    <t>Walsons PCC-14-09-2024-2964</t>
  </si>
  <si>
    <t>Walsons PCC-25-09-2024-3147</t>
  </si>
  <si>
    <t>Walsons PCC-10-10-2024-3406</t>
  </si>
  <si>
    <t>Walsons PCC-30-08-2024-2683</t>
  </si>
  <si>
    <t>Walsons PCC-25-09-2024-3093</t>
  </si>
  <si>
    <t>Walsons PCC-28-08-2024-2492</t>
  </si>
  <si>
    <t>Walsons PCC-07-09-2024-2784</t>
  </si>
  <si>
    <t>Walsons PCC-04-11-2024-3703</t>
  </si>
  <si>
    <t>Walsons PCC-27-08-2024-2155</t>
  </si>
  <si>
    <t>Walsons PCC-25-09-2024-3007</t>
  </si>
  <si>
    <t>Walsons PCC-01-11-2024-3704</t>
  </si>
  <si>
    <t>Walsons PCC-27-08-2024-1848</t>
  </si>
  <si>
    <t>Walsons PCC-27-08-2024-2139</t>
  </si>
  <si>
    <t>Walsons PCC-27-08-2024-2002</t>
  </si>
  <si>
    <t>Walsons PCC-27-08-2024-1843</t>
  </si>
  <si>
    <t>Walsons PCC-30-08-2024-2527</t>
  </si>
  <si>
    <t>Walsons PCC-28-08-2024-2589</t>
  </si>
  <si>
    <t>Walsons PCC-27-08-2024-1940</t>
  </si>
  <si>
    <t>Walsons PCC-27-08-2024-1794</t>
  </si>
  <si>
    <t>Walsons PCC-27-08-2024-2154</t>
  </si>
  <si>
    <t>Walsons PCC-14-09-2024-2989</t>
  </si>
  <si>
    <t>Walsons PCC-11-11-2024-3813</t>
  </si>
  <si>
    <t>Walsons PCC-30-09-2024-3231</t>
  </si>
  <si>
    <t>Walsons PCC-20-11-2024-3948</t>
  </si>
  <si>
    <t>Walsons PCC-28-08-2024-2319</t>
  </si>
  <si>
    <t>Walsons PCC-29-08-2024-2543</t>
  </si>
  <si>
    <t>Walsons PCC-06-09-2024-2744</t>
  </si>
  <si>
    <t>Walsons PCC-27-08-2024-2098</t>
  </si>
  <si>
    <t>Walsons PCC-22-11-2024-4098</t>
  </si>
  <si>
    <t>Walsons PCC-14-09-2024-2947</t>
  </si>
  <si>
    <t>Walsons PCC-27-08-2024-1963</t>
  </si>
  <si>
    <t>Walsons PCC-25-09-2024-3179</t>
  </si>
  <si>
    <t>Walsons PCC-24-11-2024-4049</t>
  </si>
  <si>
    <t>Walsons PCC-29-08-2024-2596</t>
  </si>
  <si>
    <t>Walsons PCC-19-09-2024-2976</t>
  </si>
  <si>
    <t>Walsons PCC-28-09-2024-3110</t>
  </si>
  <si>
    <t>Walsons PCC-07-10-2024-3352</t>
  </si>
  <si>
    <t>Walsons PCC-17-10-2024-3531</t>
  </si>
  <si>
    <t>Walsons PCC-28-11-2024-4159</t>
  </si>
  <si>
    <t>Walsons PCC-25-09-2024-3065</t>
  </si>
  <si>
    <t>Walsons PCC-27-08-2024-2272</t>
  </si>
  <si>
    <t>Walsons PCC-11-09-2024-2869</t>
  </si>
  <si>
    <t>Walsons PCC-27-09-2024-3187</t>
  </si>
  <si>
    <t>Walsons PCC-30-09-2024-3278</t>
  </si>
  <si>
    <t>Walsons PCC-07-10-2024-3360</t>
  </si>
  <si>
    <t>Walsons PCC-27-08-2024-1995</t>
  </si>
  <si>
    <t>Walsons PCC-18-09-2024-2931</t>
  </si>
  <si>
    <t>Walsons PCC-27-08-2024-1901</t>
  </si>
  <si>
    <t>Walsons PCC-10-10-2024-3325</t>
  </si>
  <si>
    <t>Walsons PCC-10-10-2024-3328</t>
  </si>
  <si>
    <t>Walsons PCC-28-08-2024-2328</t>
  </si>
  <si>
    <t>Walsons PCC-30-09-2024-3286</t>
  </si>
  <si>
    <t>Walsons PCC-15-10-2024-3590</t>
  </si>
  <si>
    <t>Walsons PCC-28-11-2024-4123</t>
  </si>
  <si>
    <t>Walsons PCC-10-09-2024-2737</t>
  </si>
  <si>
    <t>Walsons PCC-18-11-2024-3901</t>
  </si>
  <si>
    <t>Walsons PCC-27-08-2024-1941</t>
  </si>
  <si>
    <t>Walsons PCC-27-08-2024-2129</t>
  </si>
  <si>
    <t>Walsons PCC-10-10-2024-3338</t>
  </si>
  <si>
    <t>Walsons PCC-11-10-2024-3403</t>
  </si>
  <si>
    <t>Walsons PCC-21-11-2024-4093</t>
  </si>
  <si>
    <t>Walsons PCC-22-11-2024-4008</t>
  </si>
  <si>
    <t>Walsons PCC-27-11-2024-4043</t>
  </si>
  <si>
    <t>Walsons PCC-30-08-2024-2694</t>
  </si>
  <si>
    <t>Walsons PCC-16-09-2024-2929</t>
  </si>
  <si>
    <t>Walsons PCC-16-09-2024-2933</t>
  </si>
  <si>
    <t>Walsons PCC-31-08-2024-2687</t>
  </si>
  <si>
    <t>Walsons PCC-31-08-2024-2600</t>
  </si>
  <si>
    <t>Walsons PCC-28-09-2024-3175</t>
  </si>
  <si>
    <t>Walsons PCC-18-11-2024-3972</t>
  </si>
  <si>
    <t>Walsons PCC-11-11-2024-3891</t>
  </si>
  <si>
    <t>Walsons PCC-29-08-2024-2528</t>
  </si>
  <si>
    <t>Walsons PCC-27-08-2024-2055</t>
  </si>
  <si>
    <t>Walsons PCC-28-09-2024-3288</t>
  </si>
  <si>
    <t>Walsons PCC-18-11-2024-3919</t>
  </si>
  <si>
    <t>Walsons PCC-04-09-2024-2684</t>
  </si>
  <si>
    <t>Walsons PCC-27-08-2024-2047</t>
  </si>
  <si>
    <t>Walsons PCC-18-11-2024-3971</t>
  </si>
  <si>
    <t>Walsons PCC-27-08-2024-1907</t>
  </si>
  <si>
    <t>Walsons PCC-27-08-2024-2293</t>
  </si>
  <si>
    <t>Walsons PCC-11-09-2024-2872</t>
  </si>
  <si>
    <t>Walsons PCC-27-08-2024-1972</t>
  </si>
  <si>
    <t>Walsons PCC-27-08-2024-2158</t>
  </si>
  <si>
    <t>Walsons PCC-11-10-2024-3413</t>
  </si>
  <si>
    <t>Walsons PCC-07-11-2024-3872</t>
  </si>
  <si>
    <t>Walsons PCC-27-08-2024-1831</t>
  </si>
  <si>
    <t>Walsons PCC-27-08-2024-2156</t>
  </si>
  <si>
    <t>Walsons PCC-30-08-2024-2530</t>
  </si>
  <si>
    <t>Walsons PCC-27-09-2024-3124</t>
  </si>
  <si>
    <t>Walsons PCC-27-08-2024-2107</t>
  </si>
  <si>
    <t>Walsons PCC-28-08-2024-2480</t>
  </si>
  <si>
    <t>Walsons PCC-28-08-2024-2413</t>
  </si>
  <si>
    <t>Walsons PCC-20-11-2024-3945</t>
  </si>
  <si>
    <t>Walsons PCC-27-08-2024-1806</t>
  </si>
  <si>
    <t>Walsons PCC-07-10-2024-3338</t>
  </si>
  <si>
    <t>Walsons PCC-07-09-2024-2700</t>
  </si>
  <si>
    <t>Walsons PCC-28-09-2024-3126</t>
  </si>
  <si>
    <t>Walsons PCC-28-08-2024-2290</t>
  </si>
  <si>
    <t>Walsons PCC-17-10-2024-3529</t>
  </si>
  <si>
    <t>Walsons PCC-27-08-2024-2048</t>
  </si>
  <si>
    <t>Walsons PCC-28-08-2024-2391</t>
  </si>
  <si>
    <t>Walsons PCC-28-08-2024-2407</t>
  </si>
  <si>
    <t>Walsons PCC-04-10-2024-3230</t>
  </si>
  <si>
    <t>Walsons PCC-28-08-2024-2438</t>
  </si>
  <si>
    <t>Walsons PCC-04-09-2024-2675</t>
  </si>
  <si>
    <t>Walsons PCC-25-09-2024-3148</t>
  </si>
  <si>
    <t>Walsons PCC-04-10-2024-3207</t>
  </si>
  <si>
    <t>Walsons PCC-18-11-2024-3953</t>
  </si>
  <si>
    <t>Walsons PCC-28-08-2024-2363</t>
  </si>
  <si>
    <t>Walsons PCC-28-08-2024-2370</t>
  </si>
  <si>
    <t>Walsons PCC-30-08-2024-2655</t>
  </si>
  <si>
    <t>Walsons PCC-29-08-2024-2545</t>
  </si>
  <si>
    <t>Walsons PCC-13-11-2024-3968</t>
  </si>
  <si>
    <t>Walsons PCC-27-11-2024-4118</t>
  </si>
  <si>
    <t>Walsons PCC-11-09-2024-2878</t>
  </si>
  <si>
    <t>Walsons PCC-03-10-2024-3265</t>
  </si>
  <si>
    <t>Walsons PCC-28-08-2024-2395</t>
  </si>
  <si>
    <t>Walsons PCC-10-09-2024-2793</t>
  </si>
  <si>
    <t>Walsons PCC-27-09-2024-3117</t>
  </si>
  <si>
    <t>Walsons PCC-18-10-2024-3539</t>
  </si>
  <si>
    <t>Walsons PCC-07-11-2024-3821</t>
  </si>
  <si>
    <t>Walsons PCC-28-11-2024-4171</t>
  </si>
  <si>
    <t>Walsons PCC-29-08-2024-2588</t>
  </si>
  <si>
    <t>Walsons PCC-22-11-2024-4009</t>
  </si>
  <si>
    <t>Walsons PCC-27-08-2024-1767</t>
  </si>
  <si>
    <t>Walsons PCC-25-09-2024-3011</t>
  </si>
  <si>
    <t>Walsons PCC-28-09-2024-3112</t>
  </si>
  <si>
    <t>Walsons PCC-27-08-2024-1875</t>
  </si>
  <si>
    <t>Walsons PCC-17-10-2024-3573</t>
  </si>
  <si>
    <t>Walsons PCC-01-11-2024-3730</t>
  </si>
  <si>
    <t>Walsons PCC-28-08-2024-2598</t>
  </si>
  <si>
    <t>Walsons PCC-18-11-2024-3925</t>
  </si>
  <si>
    <t>Walsons PCC-27-08-2024-2007</t>
  </si>
  <si>
    <t>Walsons PCC-30-08-2024-2666</t>
  </si>
  <si>
    <t>Walsons PCC-07-10-2024-3388</t>
  </si>
  <si>
    <t>Walsons PCC-27-08-2024-2182</t>
  </si>
  <si>
    <t>Walsons PCC-30-09-2024-3227</t>
  </si>
  <si>
    <t>Walsons PCC-28-08-2024-2431</t>
  </si>
  <si>
    <t>Walsons PCC-21-11-2024-4083</t>
  </si>
  <si>
    <t>Walsons PCC-27-08-2024-2074</t>
  </si>
  <si>
    <t>Walsons PCC-07-10-2024-3356</t>
  </si>
  <si>
    <t>Walsons PCC-27-08-2024-1873</t>
  </si>
  <si>
    <t>Walsons PCC-30-08-2024-2653</t>
  </si>
  <si>
    <t>Walsons PCC-02-12-2024-4299</t>
  </si>
  <si>
    <t>Walsons PCC-28-08-2024-2247</t>
  </si>
  <si>
    <t>Walsons PCC-27-08-2024-2069</t>
  </si>
  <si>
    <t>Walsons PCC-28-08-2024-2425</t>
  </si>
  <si>
    <t>Walsons PCC-28-08-2024-2347</t>
  </si>
  <si>
    <t>Walsons PCC-28-08-2024-2386</t>
  </si>
  <si>
    <t>Walsons PCC-30-08-2024-2574</t>
  </si>
  <si>
    <t>Walsons PCC-28-08-2024-2291</t>
  </si>
  <si>
    <t>AHAM-09-12-2024-214</t>
  </si>
  <si>
    <t>BGIPL-18-05-2024-51</t>
  </si>
  <si>
    <t>FAPL-24-11-2024-8530</t>
  </si>
  <si>
    <t>LTIM-09-12-2024-17910</t>
  </si>
  <si>
    <t>TAICPL-10-12-2024-1913</t>
  </si>
  <si>
    <t>BSH-21-10-2024-569</t>
  </si>
  <si>
    <t>CAPCO-17-12-2024-19</t>
  </si>
  <si>
    <t>CARE-17-12-2024-690</t>
  </si>
  <si>
    <t>INFINITI-17-12-2024-2081</t>
  </si>
  <si>
    <t>LTIM-25-10-2024-16366</t>
  </si>
  <si>
    <t>AMMANN-02-12-2024-384</t>
  </si>
  <si>
    <t>AMBIT-05-12-2024-4845</t>
  </si>
  <si>
    <t>GEBBS-28-10-2024-1478</t>
  </si>
  <si>
    <t>AMBIT-16-12-2024-5043</t>
  </si>
  <si>
    <t>INFINX-13-12-2024-5646</t>
  </si>
  <si>
    <t>DICVPL-22-11-2024-58</t>
  </si>
  <si>
    <t>TCS-23-07-2024-24099</t>
  </si>
  <si>
    <t>ASKA-18-12-2024-77</t>
  </si>
  <si>
    <t>TEL-07-10-2024-10169</t>
  </si>
  <si>
    <t>LTIM-28-11-2024-17413</t>
  </si>
  <si>
    <t>Titan-16-12-2024-4015</t>
  </si>
  <si>
    <t>QUINTE-16-12-2024-455</t>
  </si>
  <si>
    <t>CGS-NET-16-12-2024-145</t>
  </si>
  <si>
    <t>CGS-NET-16-12-2024-196</t>
  </si>
  <si>
    <t>INSPL-17-12-2024-2329</t>
  </si>
  <si>
    <t>TCS-28-11-2024-29411</t>
  </si>
  <si>
    <t>TCS-16-09-2024-27159</t>
  </si>
  <si>
    <t>WIPRO-18-12-2024-22100</t>
  </si>
  <si>
    <t>CREOSPAN-10-12-2024-253</t>
  </si>
  <si>
    <t>TCSV-IP-10-12-2024-362</t>
  </si>
  <si>
    <t>MUTHOOTF-16-10-2024-5119</t>
  </si>
  <si>
    <t>TechMCPL-12-12-2024-1439</t>
  </si>
  <si>
    <t>CloudEQ-10-12-2024-428</t>
  </si>
  <si>
    <t>GEBBS-10-12-2024-2004</t>
  </si>
  <si>
    <t>GEBBS-10-12-2024-2199</t>
  </si>
  <si>
    <t>CAPCO-18-12-2024-74</t>
  </si>
  <si>
    <t>CAPCO-18-12-2024-58</t>
  </si>
  <si>
    <t>ICICI-20-11-2024-8957</t>
  </si>
  <si>
    <t>RNTBCIPL-07-11-2024-5077</t>
  </si>
  <si>
    <t>PHOTON-04-12-2024-1208</t>
  </si>
  <si>
    <t>SAI-25-11-2024-1687</t>
  </si>
  <si>
    <t>HTDS-11-12-2024-1043</t>
  </si>
  <si>
    <t>DRBL-18-12-2024-86</t>
  </si>
  <si>
    <t>DRBL-18-12-2024-71</t>
  </si>
  <si>
    <t>TCS-02-12-2024-29423</t>
  </si>
  <si>
    <t>AMBIT-18-12-2024-5013</t>
  </si>
  <si>
    <t>AMBIT-18-12-2024-5001</t>
  </si>
  <si>
    <t>GPAIPL-18-12-2024-34</t>
  </si>
  <si>
    <t>LTIM-04-12-2024-17692</t>
  </si>
  <si>
    <t>SIFY-11-12-2024-931</t>
  </si>
  <si>
    <t>SIFY-11-12-2024-923</t>
  </si>
  <si>
    <t>IGT- P-11-12-2024-214</t>
  </si>
  <si>
    <t>TechM-02-12-2024-8605</t>
  </si>
  <si>
    <t>WIPRO-DOP-10-12-2024-7107</t>
  </si>
  <si>
    <t>BCITSPL-04-12-2024-1069</t>
  </si>
  <si>
    <t>CYIENT-18-12-2024-13030</t>
  </si>
  <si>
    <t>CYIENT-18-12-2024-13029</t>
  </si>
  <si>
    <t>TAICPL-18-12-2024-2046</t>
  </si>
  <si>
    <t>GENPACT-12-12-2024-15742</t>
  </si>
  <si>
    <t>CAPCO-18-12-2024-11</t>
  </si>
  <si>
    <t>CAPCO-18-12-2024-78</t>
  </si>
  <si>
    <t>GEBBS-12-12-2024-2179</t>
  </si>
  <si>
    <t>PRGX-18-12-2024-322</t>
  </si>
  <si>
    <t>MEIPL-11-11-2024-136</t>
  </si>
  <si>
    <t>INSPL-04-06-2024-1772</t>
  </si>
  <si>
    <t>CYIENT-10-12-2024-12933</t>
  </si>
  <si>
    <t>TRIARQ-18-12-2024-682</t>
  </si>
  <si>
    <t>Titan-03-12-2024-3982</t>
  </si>
  <si>
    <t>FMPL-10-12-2024-2215</t>
  </si>
  <si>
    <t>IKYA-11-09-2024-5272</t>
  </si>
  <si>
    <t>TCS-07-08-2024-24872</t>
  </si>
  <si>
    <t>FMPL-06-12-2024-2291</t>
  </si>
  <si>
    <t>IKYA-18-11-2024-5519</t>
  </si>
  <si>
    <t>NOSPL-23-02-2024-3182</t>
  </si>
  <si>
    <t>CTSIL-18-12-2024-23209</t>
  </si>
  <si>
    <t>CTSIL-18-12-2024-23288</t>
  </si>
  <si>
    <t>TCS-28-11-2024-29469</t>
  </si>
  <si>
    <t>TCSV-MB-03-12-2024-422</t>
  </si>
  <si>
    <t>LTIM-11-12-2024-18092</t>
  </si>
  <si>
    <t>GALLAGHER-24-10-2024-6752</t>
  </si>
  <si>
    <t>MISPL-13-12-2024-1868</t>
  </si>
  <si>
    <t>LTIM-17-12-2024-18249</t>
  </si>
  <si>
    <t>TEL-16-12-2024-10275</t>
  </si>
  <si>
    <t>FAPL-24-10-2023-7268</t>
  </si>
  <si>
    <t>FAPL-26-09-2023-7138</t>
  </si>
  <si>
    <t>GEBBS-21-11-2024-1743</t>
  </si>
  <si>
    <t>IKYA-09-12-2024-5626</t>
  </si>
  <si>
    <t>CTSIL-12-12-2024-22877</t>
  </si>
  <si>
    <t>ATPL-03-12-2024-323</t>
  </si>
  <si>
    <t>PHOTON-02-12-2024-1249</t>
  </si>
  <si>
    <t>LTIM-07-12-2024-17927</t>
  </si>
  <si>
    <t>LTIM-06-12-2024-17728</t>
  </si>
  <si>
    <t>CIDSPL-06-12-2024-556</t>
  </si>
  <si>
    <t>LTIM-13-12-2024-18111</t>
  </si>
  <si>
    <t>LTIM-13-12-2024-18192</t>
  </si>
  <si>
    <t>NOSPL-17-12-2024-4400</t>
  </si>
  <si>
    <t>TECIPL-18-12-2024-869</t>
  </si>
  <si>
    <t>SUGS-16-12-2024-11562</t>
  </si>
  <si>
    <t>WSSH-18-12-2024-9725</t>
  </si>
  <si>
    <t>LTIM-09-12-2024-18093</t>
  </si>
  <si>
    <t>TCS-11-12-2024-29797</t>
  </si>
  <si>
    <t>CTSIL-31-08-2024-20053</t>
  </si>
  <si>
    <t>SUGS-29-11-2024-11429</t>
  </si>
  <si>
    <t>GEBBS-28-11-2024-1927</t>
  </si>
  <si>
    <t>CLL-05-12-2024-25</t>
  </si>
  <si>
    <t>QCIL-05-12-2024-129</t>
  </si>
  <si>
    <t>CREOSPAN-10-12-2024-242</t>
  </si>
  <si>
    <t>AZIPL-05-12-2024-2447</t>
  </si>
  <si>
    <t>SUREMINDS-06-12-2024-137</t>
  </si>
  <si>
    <t>FMPL-05-12-2024-2262</t>
  </si>
  <si>
    <t>CENTIFIC-17-12-2024-52</t>
  </si>
  <si>
    <t>Titan-18-12-2024-4072</t>
  </si>
  <si>
    <t>Titan-18-12-2024-4086</t>
  </si>
  <si>
    <t>GEBBS-17-12-2024-2153</t>
  </si>
  <si>
    <t>LTIM-09-12-2024-17970</t>
  </si>
  <si>
    <t>LTIM-09-12-2024-17906</t>
  </si>
  <si>
    <t>LTIM-08-12-2024-17953</t>
  </si>
  <si>
    <t>RPOSPL-10-12-2024-1934</t>
  </si>
  <si>
    <t>CTSIL-22-11-2024-21840</t>
  </si>
  <si>
    <t>GIL-09-12-2024-2413</t>
  </si>
  <si>
    <t>LTIM-09-12-2024-17973</t>
  </si>
  <si>
    <t>EUREKA-12-12-2024-28582</t>
  </si>
  <si>
    <t>OMR-21-11-2024-87</t>
  </si>
  <si>
    <t>KSS-19-12-2024-153</t>
  </si>
  <si>
    <t>LTIM-09-12-2024-17947</t>
  </si>
  <si>
    <t>LTIM-18-12-2024-18268</t>
  </si>
  <si>
    <t>LTIM-18-12-2024-18286</t>
  </si>
  <si>
    <t>LTIM-18-12-2024-18283</t>
  </si>
  <si>
    <t>LTIM-18-12-2024-18200</t>
  </si>
  <si>
    <t>CPMSPL-13-12-2024-5774</t>
  </si>
  <si>
    <t>CPMSPL-13-12-2024-5786</t>
  </si>
  <si>
    <t>TCS-15-11-2024-29074</t>
  </si>
  <si>
    <t>TCS-17-12-2024-29955</t>
  </si>
  <si>
    <t>TCS-29-11-2024-29489</t>
  </si>
  <si>
    <t>RPOSPL-13-11-2024-1803</t>
  </si>
  <si>
    <t>RNTBCIPL-26-11-2024-5174</t>
  </si>
  <si>
    <t>SGSPL-29-11-2024-74</t>
  </si>
  <si>
    <t>GSIPL-24-11-2024-425</t>
  </si>
  <si>
    <t>TCS-20-11-2024-29135</t>
  </si>
  <si>
    <t>NTT-13-12-2024-1260</t>
  </si>
  <si>
    <t>ICICI-09-12-2024-9278</t>
  </si>
  <si>
    <t>TCS-17-12-2024-29883</t>
  </si>
  <si>
    <t>CTSIL-13-12-2024-22991</t>
  </si>
  <si>
    <t>Titan-16-12-2024-3979</t>
  </si>
  <si>
    <t>TechM-27-11-2024-8665</t>
  </si>
  <si>
    <t>TechM-13-11-2024-8524</t>
  </si>
  <si>
    <t>MISPL-02-12-2024-1815</t>
  </si>
  <si>
    <t>CVENT-10-12-2024-2248</t>
  </si>
  <si>
    <t>GALLAGHER-13-12-2024-7045</t>
  </si>
  <si>
    <t>SAFM-16-12-2024-231</t>
  </si>
  <si>
    <t>NAGARRO-16-12-2024-13363</t>
  </si>
  <si>
    <t>LRH-30-11-2024-2011</t>
  </si>
  <si>
    <t>CTSIL-19-12-2024-23234</t>
  </si>
  <si>
    <t>CENTIFIC-25-11-2024-02</t>
  </si>
  <si>
    <t>RNTBCIPL-12-12-2024-5197</t>
  </si>
  <si>
    <t>IPSL-C-28-12-2023-159</t>
  </si>
  <si>
    <t>CtrlS-12-12-2024-261</t>
  </si>
  <si>
    <t>IDP-26-11-2024-986</t>
  </si>
  <si>
    <t>WIPRO-DOP-19-12-2024-7131</t>
  </si>
  <si>
    <t>CTSIL-18-12-2024-23145</t>
  </si>
  <si>
    <t>AMBIT-11-11-2024-4325</t>
  </si>
  <si>
    <t>COMMSCOPE-26-11-2024-889</t>
  </si>
  <si>
    <t>TechMCPL-18-12-2024-1418</t>
  </si>
  <si>
    <t>PHOTON-13-12-2024-1288</t>
  </si>
  <si>
    <t>AllegisT-25-11-2022-911</t>
  </si>
  <si>
    <t>Titan-16-12-2024-4057</t>
  </si>
  <si>
    <t>CTSIL-17-12-2024-23124</t>
  </si>
  <si>
    <t>LTIM-25-09-2024-14961</t>
  </si>
  <si>
    <t>GALLAGHER-29-10-2024-6764</t>
  </si>
  <si>
    <t>TechM-18-12-2024-8850</t>
  </si>
  <si>
    <t>TCS-17-12-2024-29839</t>
  </si>
  <si>
    <t>MCSLTD-16-12-2024-208</t>
  </si>
  <si>
    <t>KMPL-16-12-2024-3765</t>
  </si>
  <si>
    <t>Titan-12-12-2024-3988</t>
  </si>
  <si>
    <t>SMPL-15-10-2024-878</t>
  </si>
  <si>
    <t>INFINX-27-11-2024-5487</t>
  </si>
  <si>
    <t>MUTHOOT-05-12-2024-10773</t>
  </si>
  <si>
    <t>CTSIL-11-12-2024-22884</t>
  </si>
  <si>
    <t>ICICI-22-11-2024-9019</t>
  </si>
  <si>
    <t>PIL-10-12-2024-688</t>
  </si>
  <si>
    <t>IDP-10-12-2024-937</t>
  </si>
  <si>
    <t>WIPRO-16-11-2024-21140</t>
  </si>
  <si>
    <t>DATAMATICS-B-11-12-2024-79</t>
  </si>
  <si>
    <t>NNPL-10-12-2024-32</t>
  </si>
  <si>
    <t>LTIM-30-10-2024-16443</t>
  </si>
  <si>
    <t>RBL-10-12-2024-1673</t>
  </si>
  <si>
    <t>BML-16-12-2024-6612</t>
  </si>
  <si>
    <t>BFL-19-12-2024-696</t>
  </si>
  <si>
    <t>BFL-19-12-2024-670</t>
  </si>
  <si>
    <t>BFL-19-12-2024-650</t>
  </si>
  <si>
    <t>BFL-19-12-2024-660</t>
  </si>
  <si>
    <t>TCS-19-12-2024-29994</t>
  </si>
  <si>
    <t>TCS-19-12-2024-29979</t>
  </si>
  <si>
    <t>TechM-28-11-2024-8653</t>
  </si>
  <si>
    <t>TRINITY-10-12-2024-51</t>
  </si>
  <si>
    <t>BFL-19-12-2024-624</t>
  </si>
  <si>
    <t>LTIM-08-08-2024-12703</t>
  </si>
  <si>
    <t>MORE-13-12-2024-693</t>
  </si>
  <si>
    <t>PLAN-17-12-2024-1064</t>
  </si>
  <si>
    <t>TechM-10-12-2024-8735</t>
  </si>
  <si>
    <t>SAI-04-07-2024-1310</t>
  </si>
  <si>
    <t>ICICI-04-12-2024-9138</t>
  </si>
  <si>
    <t>NCPMPL-13-12-2024-67</t>
  </si>
  <si>
    <t>COGNIZANT-L-11-09-2024-2269</t>
  </si>
  <si>
    <t>DATAMATICS-N-13-12-2024-980</t>
  </si>
  <si>
    <t>SAI-28-10-2024-1501</t>
  </si>
  <si>
    <t>PWC-02-11-2024-4465</t>
  </si>
  <si>
    <t>GALLAGHER-12-12-2024-7004</t>
  </si>
  <si>
    <t>NELITO-11-12-2024-03</t>
  </si>
  <si>
    <t>TAICPL-06-12-2024-1921</t>
  </si>
  <si>
    <t>AMBIT-18-12-2024-5096</t>
  </si>
  <si>
    <t>SAI-18-12-2024-1647</t>
  </si>
  <si>
    <t>NSTL-16-12-2024-1327</t>
  </si>
  <si>
    <t>TEAL-16-12-2024-1204</t>
  </si>
  <si>
    <t>Titan-09-12-2024-3918</t>
  </si>
  <si>
    <t>MSIL-W-12-12-2024-2096</t>
  </si>
  <si>
    <t>ETPL-21-11-2024-733</t>
  </si>
  <si>
    <t>ACUITYKS-19-12-2024-1301</t>
  </si>
  <si>
    <t>GENPACT-19-12-2024-15879</t>
  </si>
  <si>
    <t>GENPACT-19-12-2024-15863</t>
  </si>
  <si>
    <t>GENPACT-19-12-2024-15855</t>
  </si>
  <si>
    <t>GENPACT-19-12-2024-15800</t>
  </si>
  <si>
    <t>GENPACT-19-12-2024-15809</t>
  </si>
  <si>
    <t>MUTHOOT-05-12-2024-10734</t>
  </si>
  <si>
    <t>CTSIL-18-12-2024-23289</t>
  </si>
  <si>
    <t>JGS-08-10-2024-1861</t>
  </si>
  <si>
    <t>LTIM-28-11-2024-17432</t>
  </si>
  <si>
    <t>TechMCPL-19-12-2024-1463</t>
  </si>
  <si>
    <t>ETPL-02-12-2024-729</t>
  </si>
  <si>
    <t>WIPRO-DOP-19-12-2024-7160</t>
  </si>
  <si>
    <t>WIPRO-DOP-19-12-2024-7175</t>
  </si>
  <si>
    <t>RNTBCIPL-12-09-2024-4872</t>
  </si>
  <si>
    <t>CLASSICSPL-19-12-2024-61</t>
  </si>
  <si>
    <t>CLASSICSPL-19-12-2024-34</t>
  </si>
  <si>
    <t>CLASSICSPL-19-12-2024-44</t>
  </si>
  <si>
    <t>CLASSICSPL-19-12-2024-64</t>
  </si>
  <si>
    <t>CLASSICSPL-19-12-2024-94</t>
  </si>
  <si>
    <t>INFINX-19-12-2024-5676</t>
  </si>
  <si>
    <t>PLAN-16-12-2024-1027</t>
  </si>
  <si>
    <t>CVENT-19-12-2024-2333</t>
  </si>
  <si>
    <t>CYIENT-17-12-2024-13061</t>
  </si>
  <si>
    <t>ICIPL-11-10-2024-08</t>
  </si>
  <si>
    <t>OCS-19-12-2024-1011</t>
  </si>
  <si>
    <t>OCS-19-12-2024-1046</t>
  </si>
  <si>
    <t>OCS-19-12-2024-1045</t>
  </si>
  <si>
    <t>OCS-19-12-2024-1071</t>
  </si>
  <si>
    <t>OCS-19-12-2024-1021</t>
  </si>
  <si>
    <t>OCS-19-12-2024-1023</t>
  </si>
  <si>
    <t>OCS-19-12-2024-1034</t>
  </si>
  <si>
    <t>OCS-19-12-2024-1038</t>
  </si>
  <si>
    <t>OCS-19-12-2024-1030</t>
  </si>
  <si>
    <t>WIPRO-13-12-2024-21924</t>
  </si>
  <si>
    <t>WSSH-16-11-2024-9111</t>
  </si>
  <si>
    <t>AllegisT-21-10-2024-3750</t>
  </si>
  <si>
    <t>CPMSPL-05-11-2024-5645</t>
  </si>
  <si>
    <t>RRKL-25-07-2024-753</t>
  </si>
  <si>
    <t>TCSBPO-10-12-2024-11274</t>
  </si>
  <si>
    <t>STVNL-03-12-2024-992</t>
  </si>
  <si>
    <t>SGAPL-19-12-2024-1366</t>
  </si>
  <si>
    <t>VEL-19-12-2024-217</t>
  </si>
  <si>
    <t>VIRAJ-19-12-2024-251</t>
  </si>
  <si>
    <t>VIRAJ-19-12-2024-295</t>
  </si>
  <si>
    <t>WIPRO-02-12-2024-21483</t>
  </si>
  <si>
    <t>WIPRO-10-12-2024-21872</t>
  </si>
  <si>
    <t>GEBBS-11-12-2024-2123</t>
  </si>
  <si>
    <t>AMBIT-06-12-2024-4984</t>
  </si>
  <si>
    <t>CTSIL-18-12-2024-23216</t>
  </si>
  <si>
    <t>LTIM-13-11-2024-16880</t>
  </si>
  <si>
    <t>CDSIPL-18-12-2024-15675</t>
  </si>
  <si>
    <t>GPAIPL-17-12-2024-18</t>
  </si>
  <si>
    <t>MSIL-W-09-12-2024-2061</t>
  </si>
  <si>
    <t>TCS-05-12-2024-29535</t>
  </si>
  <si>
    <t>KMPL-14-08-2024-3388</t>
  </si>
  <si>
    <t>BSH-19-12-2024-536</t>
  </si>
  <si>
    <t>BSH-19-12-2024-541</t>
  </si>
  <si>
    <t>BSH-19-12-2024-547</t>
  </si>
  <si>
    <t>CMS-18-12-2024-1162</t>
  </si>
  <si>
    <t>CPMSPL-11-12-2024-5747</t>
  </si>
  <si>
    <t>CPMSPL-12-12-2024-5757</t>
  </si>
  <si>
    <t>CPMSPL-12-12-2024-5754</t>
  </si>
  <si>
    <t>CPMSPL-16-12-2024-5743</t>
  </si>
  <si>
    <t>CPMSPL-17-12-2024-5738</t>
  </si>
  <si>
    <t>CPMSPL-18-12-2024-5798</t>
  </si>
  <si>
    <t>LTIM-15-11-2024-16972</t>
  </si>
  <si>
    <t>AGEAS-09-12-2024-2133</t>
  </si>
  <si>
    <t>LTIM-12-12-2024-18058</t>
  </si>
  <si>
    <t>AMBIT-12-12-2024-4921</t>
  </si>
  <si>
    <t>LTIM-05-12-2024-17706</t>
  </si>
  <si>
    <t>BCITSPL-12-12-2024-1099</t>
  </si>
  <si>
    <t>LTIM-07-12-2024-17988</t>
  </si>
  <si>
    <t>TCS-10-12-2024-29648</t>
  </si>
  <si>
    <t>CTSIL-20-12-2024-23329</t>
  </si>
  <si>
    <t>IKYA-06-11-2023-4017</t>
  </si>
  <si>
    <t>CPMSPL-18-12-2024-5733</t>
  </si>
  <si>
    <t>LTIM-02-12-2024-17502</t>
  </si>
  <si>
    <t>SBGV-18-10-2024-4507</t>
  </si>
  <si>
    <t>TCS-18-12-2024-29999</t>
  </si>
  <si>
    <t>GENPACT-18-12-2024-15800</t>
  </si>
  <si>
    <t>GENPACT-18-12-2024-15815</t>
  </si>
  <si>
    <t>TCSBPO-10-12-2024-11221</t>
  </si>
  <si>
    <t>TCSBPO-11-12-2024-11256</t>
  </si>
  <si>
    <t>TCSBPO-11-12-2024-11295</t>
  </si>
  <si>
    <t>GALLAGHER-18-12-2024-7137</t>
  </si>
  <si>
    <t>EUREKA-12-12-2024-28554</t>
  </si>
  <si>
    <t>EUREKA-12-12-2024-28555</t>
  </si>
  <si>
    <t>DRBL-16-12-2024-21</t>
  </si>
  <si>
    <t>LTIM-08-12-2024-17994</t>
  </si>
  <si>
    <t>LTIM-15-12-2024-18167</t>
  </si>
  <si>
    <t>TCS-17-12-2024-29979</t>
  </si>
  <si>
    <t>SUGS-15-11-2024-11274</t>
  </si>
  <si>
    <t>NAGARRO-17-12-2024-13480</t>
  </si>
  <si>
    <t>LTIM-10-12-2024-18099</t>
  </si>
  <si>
    <t>RFL-12-12-2024-82</t>
  </si>
  <si>
    <t>GENPACT-17-12-2024-15855</t>
  </si>
  <si>
    <t>CTSIL-05-12-2024-22409</t>
  </si>
  <si>
    <t>TechM-28-11-2024-8682</t>
  </si>
  <si>
    <t>SVNSIPL-28-11-2024-166</t>
  </si>
  <si>
    <t>PWC-24-10-2024-4422</t>
  </si>
  <si>
    <t>FBL-28-10-2024-373</t>
  </si>
  <si>
    <t>CDSIPL-19-12-2024-15773</t>
  </si>
  <si>
    <t>SOBEK-09-12-2024-999</t>
  </si>
  <si>
    <t>STTGDC-14-11-2024-254</t>
  </si>
  <si>
    <t>CDSIPL-13-11-2024-15137</t>
  </si>
  <si>
    <t>ICICI-29-11-2024-9197</t>
  </si>
  <si>
    <t>ACUITYKS-12-12-2024-1332</t>
  </si>
  <si>
    <t>SIFY-17-12-2024-936</t>
  </si>
  <si>
    <t>JGS-12-12-2024-1908</t>
  </si>
  <si>
    <t>NAGARRO-02-12-2024-13347</t>
  </si>
  <si>
    <t>MIC-04-12-2024-2686</t>
  </si>
  <si>
    <t>TCS-10-12-2024-29731</t>
  </si>
  <si>
    <t>KIIPL-17-10-2023-29</t>
  </si>
  <si>
    <t>CIEL-09-12-2024-584</t>
  </si>
  <si>
    <t>AMBIT-19-12-2024-5078</t>
  </si>
  <si>
    <t>AMBIT-19-12-2024-5003</t>
  </si>
  <si>
    <t>RTNSPL-19-12-2024-946</t>
  </si>
  <si>
    <t>SERVOSYS-17-12-2024-612</t>
  </si>
  <si>
    <t>KMPL-16-12-2024-3851</t>
  </si>
  <si>
    <t>KMPL-16-12-2024-3869</t>
  </si>
  <si>
    <t>KMPL-17-12-2024-3846</t>
  </si>
  <si>
    <t>WIPRO-DOP-05-12-2024-7052</t>
  </si>
  <si>
    <t>TechMCPL-04-12-2024-1367</t>
  </si>
  <si>
    <t>WFSPL-S-19-12-2024-3271</t>
  </si>
  <si>
    <t>WFSPL-S-19-12-2024-3280</t>
  </si>
  <si>
    <t>CTSIL-19-12-2024-23328</t>
  </si>
  <si>
    <t>WSSH-19-12-2024-9720</t>
  </si>
  <si>
    <t>IKYA-19-12-2024-5747</t>
  </si>
  <si>
    <t>TAICPL-12-12-2024-1912</t>
  </si>
  <si>
    <t>AMBIT-10-12-2024-4983</t>
  </si>
  <si>
    <t>adidas-19-09-2024-1910</t>
  </si>
  <si>
    <t>WFSPL-S-25-11-2024-3142</t>
  </si>
  <si>
    <t>INSPL-20-12-2024-2370</t>
  </si>
  <si>
    <t>BFL-22-11-2024-589</t>
  </si>
  <si>
    <t>WFSPL-S-16-12-2024-3201</t>
  </si>
  <si>
    <t>WFSPL-S-16-12-2024-3296</t>
  </si>
  <si>
    <t>AllegisT-16-12-2024-4015</t>
  </si>
  <si>
    <t>NTPL-23-09-2022-508</t>
  </si>
  <si>
    <t>ETHOS-07-12-2024-788</t>
  </si>
  <si>
    <t>CVENT-17-12-2024-2347</t>
  </si>
  <si>
    <t>PWC-24-09-2024-4057</t>
  </si>
  <si>
    <t>KIPL-29-10-2024-550</t>
  </si>
  <si>
    <t>TEAL-08-11-2024-1267</t>
  </si>
  <si>
    <t>10FA-03-10-2024-1388</t>
  </si>
  <si>
    <t>o9S-02-05-2024-1453</t>
  </si>
  <si>
    <t>WIPRO-13-12-2024-22018</t>
  </si>
  <si>
    <t>PHOTON-18-12-2024-1224</t>
  </si>
  <si>
    <t>CDLML-19-12-2024-363</t>
  </si>
  <si>
    <t>DRBL-18-12-2024-89</t>
  </si>
  <si>
    <t>LTIM-22-11-2024-17200</t>
  </si>
  <si>
    <t>CTSIL-05-12-2024-22449</t>
  </si>
  <si>
    <t>TAICPL-28-11-2024-1858</t>
  </si>
  <si>
    <t>TechM-16-12-2024-8702</t>
  </si>
  <si>
    <t>TechM-16-12-2024-8712</t>
  </si>
  <si>
    <t>CLL-09-12-2024-71</t>
  </si>
  <si>
    <t>STVNL-10-12-2024-962</t>
  </si>
  <si>
    <t>TEL-16-11-2024-10298</t>
  </si>
  <si>
    <t>NDTV-10-12-2024-713</t>
  </si>
  <si>
    <t>RRKL-07-06-2024-674</t>
  </si>
  <si>
    <t>LTIM-17-12-2024-18206</t>
  </si>
  <si>
    <t>Titan-17-12-2024-4016</t>
  </si>
  <si>
    <t>HYUNDAI-12-12-2024-472</t>
  </si>
  <si>
    <t>ETHOS-18-12-2024-736</t>
  </si>
  <si>
    <t>TEAL-29-11-2024-1267</t>
  </si>
  <si>
    <t>IGT- P-13-12-2024-385</t>
  </si>
  <si>
    <t>MUTHOOTF-17-12-2024-5964</t>
  </si>
  <si>
    <t>CYIENT-18-12-2024-13093</t>
  </si>
  <si>
    <t>JMAN-18-12-2024-54</t>
  </si>
  <si>
    <t>SUGS-17-12-2024-11553</t>
  </si>
  <si>
    <t>AZIPL-15-12-2024-2407</t>
  </si>
  <si>
    <t>CAPCO-18-12-2024-87</t>
  </si>
  <si>
    <t>GIL-09-12-2024-2481</t>
  </si>
  <si>
    <t>ICICI-18-12-2024-9203</t>
  </si>
  <si>
    <t>PHOTON-16-10-2024-1031</t>
  </si>
  <si>
    <t>IGCPL-29-10-2024-21</t>
  </si>
  <si>
    <t>NOSPL-05-10-2024-4113</t>
  </si>
  <si>
    <t>LTIM-18-11-2024-17040</t>
  </si>
  <si>
    <t>AMPCUS-19-12-2024-644</t>
  </si>
  <si>
    <t>WIPRO-20-12-2024-22178</t>
  </si>
  <si>
    <t>WIPRO-20-12-2024-22106</t>
  </si>
  <si>
    <t>LTIM-11-11-2024-16786</t>
  </si>
  <si>
    <t>Titan-23-11-2024-3967</t>
  </si>
  <si>
    <t>QCIL-19-12-2024-193</t>
  </si>
  <si>
    <t>CTSIL-27-11-2024-22062</t>
  </si>
  <si>
    <t>CTSIL-13-12-2024-22910</t>
  </si>
  <si>
    <t>CTSIL-27-11-2024-22071</t>
  </si>
  <si>
    <t>NDTV-CL-20-12-2024-213</t>
  </si>
  <si>
    <t>VDAIPL-17-12-2024-25</t>
  </si>
  <si>
    <t>INFINX-20-12-2024-5662</t>
  </si>
  <si>
    <t>APL-20-12-2024-1796</t>
  </si>
  <si>
    <t>RNTBCIPL-19-08-2024-4611</t>
  </si>
  <si>
    <t>LTIM-14-11-2024-16924</t>
  </si>
  <si>
    <t>ETPL-09-12-2024-708</t>
  </si>
  <si>
    <t>TCS-10-12-2024-29737</t>
  </si>
  <si>
    <t>LTIM-26-11-2024-17318</t>
  </si>
  <si>
    <t>AZIPL-20-12-2024-2468</t>
  </si>
  <si>
    <t>INFOGAINSSPL-20-12-2024-467</t>
  </si>
  <si>
    <t>GEBBS-20-12-2024-2138</t>
  </si>
  <si>
    <t>DATAMATICS-N-20-12-2024-1030</t>
  </si>
  <si>
    <t>MUTHOOTF-20-12-2024-6046</t>
  </si>
  <si>
    <t>MUTHOOTF-20-12-2024-6089</t>
  </si>
  <si>
    <t>TechMCPL-12-12-2024-1475</t>
  </si>
  <si>
    <t>TCSBPO-03-12-2024-11288</t>
  </si>
  <si>
    <t>INFINX-20-12-2024-5630</t>
  </si>
  <si>
    <t>TEL-16-11-2024-10255</t>
  </si>
  <si>
    <t>AMBIT-26-11-2024-4691</t>
  </si>
  <si>
    <t>INFOGAIN-16-12-2024-1269</t>
  </si>
  <si>
    <t>WIPRO-17-12-2024-22151</t>
  </si>
  <si>
    <t>WIPRO-17-12-2024-22188</t>
  </si>
  <si>
    <t>MORE-08-11-2024-643</t>
  </si>
  <si>
    <t>WIPRO-19-12-2024-22171</t>
  </si>
  <si>
    <t>GSIPL-18-12-2024-413</t>
  </si>
  <si>
    <t>ITSPL-10-12-2024-15</t>
  </si>
  <si>
    <t>WIPRO-DOP-20-12-2024-7183</t>
  </si>
  <si>
    <t>CTSIL-09-12-2024-22613</t>
  </si>
  <si>
    <t>AZIPL-19-10-2024-2361</t>
  </si>
  <si>
    <t>TCS-19-12-2024-29996</t>
  </si>
  <si>
    <t>TechMCPL-19-12-2024-1483</t>
  </si>
  <si>
    <t>FMPL-22-11-2024-2173</t>
  </si>
  <si>
    <t>COMMSCOPE-16-12-2024-864</t>
  </si>
  <si>
    <t>ICICI-22-11-2024-9031</t>
  </si>
  <si>
    <t>NDTV-30-10-2024-710</t>
  </si>
  <si>
    <t>VPH-07-10-2024-181</t>
  </si>
  <si>
    <t>ETHOS-16-12-2024-707</t>
  </si>
  <si>
    <t>CADTIPL-20-12-2024-232</t>
  </si>
  <si>
    <t>AllegisT-02-12-2024-4003</t>
  </si>
  <si>
    <t>FAPL-11-10-2022-1551</t>
  </si>
  <si>
    <t>FAPL-18-12-2023-7493</t>
  </si>
  <si>
    <t>LTIM-05-12-2024-17669</t>
  </si>
  <si>
    <t>LTIM-16-12-2024-18138</t>
  </si>
  <si>
    <t>LTIM-16-12-2024-18121</t>
  </si>
  <si>
    <t>KSPL-12-12-2024-4819</t>
  </si>
  <si>
    <t>MIC-12-12-2024-2630</t>
  </si>
  <si>
    <t>CtrlS-10-10-2024-149</t>
  </si>
  <si>
    <t>LTIM-12-12-2024-18184</t>
  </si>
  <si>
    <t>NSTL-24-09-2024-1329</t>
  </si>
  <si>
    <t>WIPRO-17-12-2024-22175</t>
  </si>
  <si>
    <t>WIPRO-17-12-2024-22171</t>
  </si>
  <si>
    <t>iBus-10-10-2024-266</t>
  </si>
  <si>
    <t>TechM-17-12-2024-8731</t>
  </si>
  <si>
    <t>LTIM-17-12-2024-18279</t>
  </si>
  <si>
    <t>WSSH-12-12-2024-9698</t>
  </si>
  <si>
    <t>DATAMATICS-B-11-12-2024-09</t>
  </si>
  <si>
    <t>GEBBS-28-10-2024-1319</t>
  </si>
  <si>
    <t>ACUITYKC-13-12-2024-1783</t>
  </si>
  <si>
    <t>TEL-02-12-2024-10298</t>
  </si>
  <si>
    <t>AMBIT-28-11-2024-4617</t>
  </si>
  <si>
    <t>DATAMATICS-N-13-12-2024-929</t>
  </si>
  <si>
    <t>RNTBCIPL-26-11-2024-5189</t>
  </si>
  <si>
    <t>CPMSPL-18-12-2024-5785</t>
  </si>
  <si>
    <t>AMBIT-20-06-2024-3361</t>
  </si>
  <si>
    <t>LTIM-19-12-2024-18377</t>
  </si>
  <si>
    <t>LTIM-16-12-2024-18237</t>
  </si>
  <si>
    <t>SBGV-05-12-2024-5320</t>
  </si>
  <si>
    <t>CTSIL-14-12-2024-23018</t>
  </si>
  <si>
    <t>AllegisGTCA-16-12-2024-403</t>
  </si>
  <si>
    <t>WIPRO-09-12-2024-21882</t>
  </si>
  <si>
    <t>LTIM-20-12-2024-18441</t>
  </si>
  <si>
    <t>CTSIL-20-12-2024-23493</t>
  </si>
  <si>
    <t>CTSIL-12-11-2024-21386</t>
  </si>
  <si>
    <t>AllegisT-18-12-2024-4162</t>
  </si>
  <si>
    <t>TCSBPO-13-11-2024-11027</t>
  </si>
  <si>
    <t>TCS-11-10-2024-28061</t>
  </si>
  <si>
    <t>LTIM-07-12-2024-17963</t>
  </si>
  <si>
    <t>BML-10-12-2024-6560</t>
  </si>
  <si>
    <t>ICICI-21-12-2024-9399</t>
  </si>
  <si>
    <t>CTSIL-21-12-2024-23469</t>
  </si>
  <si>
    <t>WIPRO-20-12-2024-22168</t>
  </si>
  <si>
    <t>WIPRO-20-12-2024-22101</t>
  </si>
  <si>
    <t>WIPRO-20-12-2024-22160</t>
  </si>
  <si>
    <t>WIPRO-20-12-2024-22197</t>
  </si>
  <si>
    <t>LTIM-29-11-2024-17442</t>
  </si>
  <si>
    <t>EUREKA-25-11-2024-28221</t>
  </si>
  <si>
    <t>EUREKA-10-11-2024-28078</t>
  </si>
  <si>
    <t>LTIM-23-11-2024-17243</t>
  </si>
  <si>
    <t>AMBIT-25-10-2024-4038</t>
  </si>
  <si>
    <t>SOBEK-05-12-2024-915</t>
  </si>
  <si>
    <t>PEPSI-17-12-2024-235</t>
  </si>
  <si>
    <t>WFSPL-S-19-10-2024-3099</t>
  </si>
  <si>
    <t>TDPL-06-12-2024-1276</t>
  </si>
  <si>
    <t>COMMSCOPE-07-12-2024-810</t>
  </si>
  <si>
    <t>AHAM-09-12-2024-268</t>
  </si>
  <si>
    <t>ICICI-09-12-2024-9271</t>
  </si>
  <si>
    <t>BSH-03-12-2024-522</t>
  </si>
  <si>
    <t>NISG-07-12-2024-441</t>
  </si>
  <si>
    <t>INFOGAIN-B-06-12-2024-2147</t>
  </si>
  <si>
    <t>GSIPL-07-12-2024-425</t>
  </si>
  <si>
    <t>RPOSPL-10-12-2024-2035</t>
  </si>
  <si>
    <t>CYIENT-18-12-2024-13025</t>
  </si>
  <si>
    <t>GEBBS-17-12-2024-2174</t>
  </si>
  <si>
    <t>TIANISH-17-12-2024-02</t>
  </si>
  <si>
    <t>LTIM-09-10-2024-15671</t>
  </si>
  <si>
    <t>TEL-02-12-2024-10245</t>
  </si>
  <si>
    <t>FAPL-01-12-2022-5705</t>
  </si>
  <si>
    <t>LTIM-16-12-2024-18222</t>
  </si>
  <si>
    <t>CPMSPL-09-12-2024-5700</t>
  </si>
  <si>
    <t>GGKTPL-13-12-2024-2014</t>
  </si>
  <si>
    <t>RNTBCIPL-10-12-2024-5168</t>
  </si>
  <si>
    <t>TCS-10-12-2024-29767</t>
  </si>
  <si>
    <t>KRL-11-12-2024-279</t>
  </si>
  <si>
    <t>AZIPL-05-12-2024-2408</t>
  </si>
  <si>
    <t>PWC-20-08-2024-3753</t>
  </si>
  <si>
    <t>AMBIT-13-12-2024-4974</t>
  </si>
  <si>
    <t>EUREKA-22-12-2024-28669</t>
  </si>
  <si>
    <t>TCSBPO-17-12-2024-11367</t>
  </si>
  <si>
    <t>AllegisT-20-12-2024-4149</t>
  </si>
  <si>
    <t>WIPRO-13-12-2024-22035</t>
  </si>
  <si>
    <t>RRKL-23-08-2024-718</t>
  </si>
  <si>
    <t>CTSIL-22-12-2024-23478</t>
  </si>
  <si>
    <t>CTSIL-22-12-2024-23472</t>
  </si>
  <si>
    <t>TEL-20-01-2024-9226</t>
  </si>
  <si>
    <t>ICICI-09-12-2024-9289</t>
  </si>
  <si>
    <t>TCSBPO-13-12-2024-11267</t>
  </si>
  <si>
    <t>PEPSI-15-09-2024-169</t>
  </si>
  <si>
    <t>CYRIL-14-11-2024-397</t>
  </si>
  <si>
    <t>IDP-13-12-2024-934</t>
  </si>
  <si>
    <t>TechM-20-12-2024-8807</t>
  </si>
  <si>
    <t>NAGARRO-01-11-2024-13071</t>
  </si>
  <si>
    <t>TAICPL-18-12-2024-2074</t>
  </si>
  <si>
    <t>SIFY-27-11-2024-936</t>
  </si>
  <si>
    <t>WIPRO-04-12-2024-21858</t>
  </si>
  <si>
    <t>GALLAGHER-28-11-2024-6909</t>
  </si>
  <si>
    <t>RRKL-19-12-2023-564</t>
  </si>
  <si>
    <t>WIPRO-13-12-2024-21958</t>
  </si>
  <si>
    <t>EUREKA-14-12-2024-28519</t>
  </si>
  <si>
    <t>EUREKA-04-12-2024-28333</t>
  </si>
  <si>
    <t>WIPRO-12-12-2024-21911</t>
  </si>
  <si>
    <t>Titan-09-12-2024-3904</t>
  </si>
  <si>
    <t>AZUGA-11-12-2024-459</t>
  </si>
  <si>
    <t>WIPRO-21-12-2024-22168</t>
  </si>
  <si>
    <t>WIPRO-21-12-2024-22175</t>
  </si>
  <si>
    <t>TEL-16-11-2024-10279</t>
  </si>
  <si>
    <t>SUREMINDS-03-12-2024-103</t>
  </si>
  <si>
    <t>SUREMINDS-03-12-2024-125</t>
  </si>
  <si>
    <t>AMBIT-10-12-2024-4919</t>
  </si>
  <si>
    <t>AMBIT-04-12-2024-4898</t>
  </si>
  <si>
    <t>TCS-29-08-2024-26203</t>
  </si>
  <si>
    <t>BGIPL-18-12-2024-523</t>
  </si>
  <si>
    <t>AMBIT-12-12-2024-4908</t>
  </si>
  <si>
    <t>RRKL-23-02-2024-534</t>
  </si>
  <si>
    <t>TechM-13-12-2024-8729</t>
  </si>
  <si>
    <t>AMBIT-17-12-2024-5088</t>
  </si>
  <si>
    <t>TCSBPO-12-12-2024-11264</t>
  </si>
  <si>
    <t>SUGS-29-11-2024-11482</t>
  </si>
  <si>
    <t>CPMSPL-23-12-2024-5707</t>
  </si>
  <si>
    <t>AllegisGTCA-23-12-2024-406</t>
  </si>
  <si>
    <t>AllegisT-08-11-2024-3950</t>
  </si>
  <si>
    <t>AllegisGTCA-23-12-2024-446</t>
  </si>
  <si>
    <t>NSTL-07-10-2024-1300</t>
  </si>
  <si>
    <t>ACUITYKS-19-12-2024-1341</t>
  </si>
  <si>
    <t>ACUITYKS-19-12-2024-1351</t>
  </si>
  <si>
    <t>ACUITYKS-20-12-2024-1395</t>
  </si>
  <si>
    <t>LTIM-15-12-2024-18136</t>
  </si>
  <si>
    <t>LTIM-16-12-2024-18119</t>
  </si>
  <si>
    <t>LTIM-12-12-2024-18165</t>
  </si>
  <si>
    <t>NSTL-16-12-2024-1316</t>
  </si>
  <si>
    <t>RBLBANK-12-12-2024-1499</t>
  </si>
  <si>
    <t>TechMCPL-04-12-2024-1370</t>
  </si>
  <si>
    <t>AMBIT-12-12-2024-4942</t>
  </si>
  <si>
    <t>AMBIT-27-09-2024-3861</t>
  </si>
  <si>
    <t>NAGARRO-16-12-2024-13322</t>
  </si>
  <si>
    <t>LTIM-06-12-2024-17732</t>
  </si>
  <si>
    <t>ZTPL-19-12-2024-26</t>
  </si>
  <si>
    <t>TEAL-19-12-2024-1214</t>
  </si>
  <si>
    <t>HAPAG-14-12-2024-199</t>
  </si>
  <si>
    <t>Titan-19-12-2024-4031</t>
  </si>
  <si>
    <t>EUREKA-19-12-2024-28664</t>
  </si>
  <si>
    <t>QBSS-20-12-2024-330</t>
  </si>
  <si>
    <t>VDAIPL-17-12-2024-18</t>
  </si>
  <si>
    <t>TIANISH-17-12-2024-54</t>
  </si>
  <si>
    <t>INNOVAS-C-16-12-2024-89</t>
  </si>
  <si>
    <t>LTIM-29-11-2024-17426</t>
  </si>
  <si>
    <t>OMST-19-12-2024-341</t>
  </si>
  <si>
    <t>OMST-19-12-2024-343</t>
  </si>
  <si>
    <t>10FA-12-11-2024-1346</t>
  </si>
  <si>
    <t>ICICI-18-12-2024-9254</t>
  </si>
  <si>
    <t>CYRIL-04-12-2024-344</t>
  </si>
  <si>
    <t>CTSIL-14-12-2024-23080</t>
  </si>
  <si>
    <t>CTSIL-28-11-2024-22112</t>
  </si>
  <si>
    <t>CYIENT-13-12-2024-12902</t>
  </si>
  <si>
    <t>LTIM-08-11-2024-16643</t>
  </si>
  <si>
    <t>TCPL-20-12-2024-117</t>
  </si>
  <si>
    <t>ETHOS-20-12-2024-700</t>
  </si>
  <si>
    <t>KRBLL-09-12-2024-266</t>
  </si>
  <si>
    <t>ATGBSPL-14-11-2024-1472</t>
  </si>
  <si>
    <t>Titan-02-12-2024-3957</t>
  </si>
  <si>
    <t>MUTHOOTF-19-12-2024-6041</t>
  </si>
  <si>
    <t>BGIPL-16-12-2024-516</t>
  </si>
  <si>
    <t>BFL-22-11-2024-511</t>
  </si>
  <si>
    <t>SIFY-12-12-2024-916</t>
  </si>
  <si>
    <t>TCS-16-12-2024-29838</t>
  </si>
  <si>
    <t>LTIM-04-11-2024-16517</t>
  </si>
  <si>
    <t>IKYA-09-12-2024-5640</t>
  </si>
  <si>
    <t>LTIM-05-12-2024-17666</t>
  </si>
  <si>
    <t>WIPRO-20-12-2024-22196</t>
  </si>
  <si>
    <t>TAICPL-20-12-2024-2099</t>
  </si>
  <si>
    <t>MOBIVERSA-23-12-2024-83</t>
  </si>
  <si>
    <t>MOBIVERSA-23-12-2024-03</t>
  </si>
  <si>
    <t>MOBIVERSA-23-12-2024-46</t>
  </si>
  <si>
    <t>MOBIVERSA-23-12-2024-02</t>
  </si>
  <si>
    <t>MCSL-13-11-2024-568</t>
  </si>
  <si>
    <t>WIPRO-23-12-2024-22123</t>
  </si>
  <si>
    <t>WIPRO-23-12-2024-22169</t>
  </si>
  <si>
    <t>FAPL-13-04-2022-278</t>
  </si>
  <si>
    <t>FAPL-20-09-2022-1400</t>
  </si>
  <si>
    <t>SACHA-26-11-2024-496</t>
  </si>
  <si>
    <t>SUREMINDS-20-11-2024-120</t>
  </si>
  <si>
    <t>AZIPL-07-12-2024-2458</t>
  </si>
  <si>
    <t>AllegisGTCA-16-12-2024-402</t>
  </si>
  <si>
    <t>AMBIT-28-11-2024-4731</t>
  </si>
  <si>
    <t>TIANISH-17-12-2024-00</t>
  </si>
  <si>
    <t>CREMICA-21-11-2024-601</t>
  </si>
  <si>
    <t>BML-10-12-2024-6523</t>
  </si>
  <si>
    <t>CTSIL-18-12-2024-23291</t>
  </si>
  <si>
    <t>TELEMERGE-13-12-2024-56</t>
  </si>
  <si>
    <t>LTIM-05-12-2024-17694</t>
  </si>
  <si>
    <t>NAGARRO-17-12-2024-13491</t>
  </si>
  <si>
    <t>NAGARRO-17-12-2024-13436</t>
  </si>
  <si>
    <t>SIFY-10-12-2024-971</t>
  </si>
  <si>
    <t>TechM-23-12-2024-8813</t>
  </si>
  <si>
    <t>TechM-23-12-2024-8810</t>
  </si>
  <si>
    <t>TechM-23-12-2024-8840</t>
  </si>
  <si>
    <t>ATGBSPL-23-12-2024-1545</t>
  </si>
  <si>
    <t>ACEFONE-23-12-2024-124</t>
  </si>
  <si>
    <t>LTIM-20-12-2024-18431</t>
  </si>
  <si>
    <t>TCS-02-12-2024-29587</t>
  </si>
  <si>
    <t>LTIM-19-12-2024-18375</t>
  </si>
  <si>
    <t>LTIM-07-12-2024-17812</t>
  </si>
  <si>
    <t>10FA-10-12-2024-1331</t>
  </si>
  <si>
    <t>IKYA-23-07-2024-5075</t>
  </si>
  <si>
    <t>WSSG-16-12-2024-1190</t>
  </si>
  <si>
    <t>CTSIL-13-12-2024-22916</t>
  </si>
  <si>
    <t>ZTPL-19-12-2024-75</t>
  </si>
  <si>
    <t>TCS-23-12-2024-30096</t>
  </si>
  <si>
    <t>JGS-10-12-2024-1909</t>
  </si>
  <si>
    <t>TCS-23-12-2024-30026</t>
  </si>
  <si>
    <t>TCS-23-12-2024-30080</t>
  </si>
  <si>
    <t>CTSIL-23-12-2024-23527</t>
  </si>
  <si>
    <t>CTSIL-23-12-2024-23588</t>
  </si>
  <si>
    <t>RRKL-26-04-2024-617</t>
  </si>
  <si>
    <t>ATGBSPL-22-11-2024-1424</t>
  </si>
  <si>
    <t>ETHOS-16-11-2024-715</t>
  </si>
  <si>
    <t>LTIM-26-11-2024-17323</t>
  </si>
  <si>
    <t>TCS-23-12-2024-30095</t>
  </si>
  <si>
    <t>SIFY-12-12-2024-918</t>
  </si>
  <si>
    <t>WIPRO-03-12-2024-21713</t>
  </si>
  <si>
    <t>WIPRO-DOP-17-12-2024-7114</t>
  </si>
  <si>
    <t>TechMCPL-03-09-2024-1243</t>
  </si>
  <si>
    <t>NMS-08-11-2024-1360</t>
  </si>
  <si>
    <t>TechM-07-09-2024-8090</t>
  </si>
  <si>
    <t>DICVPL-17-12-2024-73</t>
  </si>
  <si>
    <t>DICVPL-16-12-2024-13</t>
  </si>
  <si>
    <t>JIL-02-12-2024-25</t>
  </si>
  <si>
    <t>NSIPL-23-12-2024-492</t>
  </si>
  <si>
    <t>AGCC-20-11-2024-158</t>
  </si>
  <si>
    <t>COSETTE-10-12-2024-99</t>
  </si>
  <si>
    <t>CTSIL-18-12-2024-23107</t>
  </si>
  <si>
    <t>CTSIL-17-12-2024-23148</t>
  </si>
  <si>
    <t>CTSIL-17-12-2024-23196</t>
  </si>
  <si>
    <t>TCS-23-08-2024-25943</t>
  </si>
  <si>
    <t>LTIM-19-12-2024-18351</t>
  </si>
  <si>
    <t>NOSPL-09-12-2024-4444</t>
  </si>
  <si>
    <t>CDSIPL-18-12-2024-15768</t>
  </si>
  <si>
    <t>TCSBPO-03-12-2024-11236</t>
  </si>
  <si>
    <t>HTDS-04-12-2024-1093</t>
  </si>
  <si>
    <t>TPL-23-12-2024-64</t>
  </si>
  <si>
    <t>MCPL-18-12-2024-123</t>
  </si>
  <si>
    <t>Titan-18-12-2024-4040</t>
  </si>
  <si>
    <t>Titan-18-12-2024-4028</t>
  </si>
  <si>
    <t>INVENGENE-17-12-2024-82</t>
  </si>
  <si>
    <t>PLAN-20-12-2024-1012</t>
  </si>
  <si>
    <t>SIFY-24-12-2024-940</t>
  </si>
  <si>
    <t>LTIM-16-11-2024-17065</t>
  </si>
  <si>
    <t>LTIM-12-11-2024-16851</t>
  </si>
  <si>
    <t>LTIM-25-09-2024-14909</t>
  </si>
  <si>
    <t>MCX-07-12-2024-27</t>
  </si>
  <si>
    <t>CTSIL-19-12-2024-23350</t>
  </si>
  <si>
    <t>CTSIL-21-11-2024-21793</t>
  </si>
  <si>
    <t>TCS-04-10-2024-27873</t>
  </si>
  <si>
    <t>CTSIL-24-12-2024-23529</t>
  </si>
  <si>
    <t>CTSIL-24-12-2024-23528</t>
  </si>
  <si>
    <t>NTPL-17-12-2024-1244</t>
  </si>
  <si>
    <t>TCS-16-12-2024-29896</t>
  </si>
  <si>
    <t>CTSIL-12-12-2024-22868</t>
  </si>
  <si>
    <t>AMBIT-23-08-2024-3793</t>
  </si>
  <si>
    <t>NAGARRO-28-11-2024-13267</t>
  </si>
  <si>
    <t>TCS-18-12-2024-29906</t>
  </si>
  <si>
    <t>DATAMATICS-N-13-12-2024-996</t>
  </si>
  <si>
    <t>GEBBS-20-12-2024-2188</t>
  </si>
  <si>
    <t>DFIL-12-12-2024-503</t>
  </si>
  <si>
    <t>NERPL-27-11-2024-1241</t>
  </si>
  <si>
    <t>WSSH-11-12-2024-9668</t>
  </si>
  <si>
    <t>SIGMA-13-12-2024-359</t>
  </si>
  <si>
    <t>TAICPL-24-12-2024-2073</t>
  </si>
  <si>
    <t>TAICPL-24-12-2024-2067</t>
  </si>
  <si>
    <t>TAICPL-24-12-2024-2090</t>
  </si>
  <si>
    <t>TAICPL-24-12-2024-2031</t>
  </si>
  <si>
    <t>TAICPL-24-12-2024-2013</t>
  </si>
  <si>
    <t>FAPL-12-03-2024-7864</t>
  </si>
  <si>
    <t>MIRAE-25-11-2024-65</t>
  </si>
  <si>
    <t>NAGARRO-23-12-2024-13493</t>
  </si>
  <si>
    <t>IFFCO-08-11-2024-1994</t>
  </si>
  <si>
    <t>ICICI-09-12-2024-9277</t>
  </si>
  <si>
    <t>LTIM-06-10-2024-15524</t>
  </si>
  <si>
    <t>RRKL-18-12-2024-899</t>
  </si>
  <si>
    <t>GEBBS-20-12-2024-2119</t>
  </si>
  <si>
    <t>SIFY-28-11-2024-973</t>
  </si>
  <si>
    <t>TCS-28-11-2024-29417</t>
  </si>
  <si>
    <t>PSTPL-23-12-2024-1661</t>
  </si>
  <si>
    <t>QCL-Hyd-21-11-2024-148</t>
  </si>
  <si>
    <t>MUTHOOTF-17-12-2024-6098</t>
  </si>
  <si>
    <t>CLASSICSPL-19-12-2024-37</t>
  </si>
  <si>
    <t>CLASSICSPL-19-12-2024-82</t>
  </si>
  <si>
    <t>MCX-20-12-2024-92</t>
  </si>
  <si>
    <t>DATAMATICS-P-20-12-2024-300</t>
  </si>
  <si>
    <t>PWC-06-12-2024-4477</t>
  </si>
  <si>
    <t>NOSPL-26-09-2024-4158</t>
  </si>
  <si>
    <t>TCS-17-12-2024-29834</t>
  </si>
  <si>
    <t>ACUITYKC-23-12-2024-1886</t>
  </si>
  <si>
    <t>DIVERSE-05-12-2024-1220</t>
  </si>
  <si>
    <t>CVENT-21-12-2024-2321</t>
  </si>
  <si>
    <t>FAPL-22-12-2024-9174</t>
  </si>
  <si>
    <t>TCS-17-12-2024-29939</t>
  </si>
  <si>
    <t>TCSBPO-16-12-2024-11366</t>
  </si>
  <si>
    <t>NISG-11-12-2024-494</t>
  </si>
  <si>
    <t>WIPRO-DOP-16-12-2024-7179</t>
  </si>
  <si>
    <t>GIL-09-12-2024-2494</t>
  </si>
  <si>
    <t>TechM-14-12-2024-8769</t>
  </si>
  <si>
    <t>GALLAGHER-20-12-2024-7156</t>
  </si>
  <si>
    <t>GALLAGHER-20-12-2024-7189</t>
  </si>
  <si>
    <t>GALLAGHER-20-12-2024-7110</t>
  </si>
  <si>
    <t>AMMANN-11-12-2024-333</t>
  </si>
  <si>
    <t>IDP-18-12-2024-912</t>
  </si>
  <si>
    <t>EUREKA-23-12-2024-28741</t>
  </si>
  <si>
    <t>WIPRO-12-12-2024-21928</t>
  </si>
  <si>
    <t>BIOVF-12-12-2024-133</t>
  </si>
  <si>
    <t>HYUNDAI-16-12-2024-464</t>
  </si>
  <si>
    <t>SUGS-05-11-2024-11198</t>
  </si>
  <si>
    <t>DECIPHER-10-12-2024-61</t>
  </si>
  <si>
    <t>WINTECH-24-12-2024-56</t>
  </si>
  <si>
    <t>DeFacto-24-12-2024-196</t>
  </si>
  <si>
    <t>LTIM-20-12-2024-18448</t>
  </si>
  <si>
    <t>STTGDC-20-12-2024-288</t>
  </si>
  <si>
    <t>BIOVF-24-12-2024-292</t>
  </si>
  <si>
    <t>GALLAGHER-05-12-2024-6911</t>
  </si>
  <si>
    <t>GALLAGHER-06-12-2024-6961</t>
  </si>
  <si>
    <t>NTT-24-12-2024-1273</t>
  </si>
  <si>
    <t>GIL-16-12-2024-2406</t>
  </si>
  <si>
    <t>CADTIPL-24-12-2024-233</t>
  </si>
  <si>
    <t>WGSPL-18-11-2024-84</t>
  </si>
  <si>
    <t>CTSIL-17-12-2024-23170</t>
  </si>
  <si>
    <t>SIFY-11-12-2024-967</t>
  </si>
  <si>
    <t>NTT-24-12-2024-1240</t>
  </si>
  <si>
    <t>WIPRO-24-12-2024-22138</t>
  </si>
  <si>
    <t>WIPRO-DOP-24-12-2024-7185</t>
  </si>
  <si>
    <t>ICICI-24-12-2024-9479</t>
  </si>
  <si>
    <t>NTT-10-12-2024-1252</t>
  </si>
  <si>
    <t>VEL-17-12-2024-230</t>
  </si>
  <si>
    <t>TechM-17-12-2024-8780</t>
  </si>
  <si>
    <t>o9S-02-05-2024-1477</t>
  </si>
  <si>
    <t>VEL-17-12-2024-200</t>
  </si>
  <si>
    <t>BCITSPL-04-12-2024-1036</t>
  </si>
  <si>
    <t>VEL-17-12-2024-225</t>
  </si>
  <si>
    <t>SUREMINDS-18-12-2024-130</t>
  </si>
  <si>
    <t>WIPRO-DOP-24-12-2024-7132</t>
  </si>
  <si>
    <t>CTSIL-24-12-2024-23531</t>
  </si>
  <si>
    <t>LTIM-20-12-2024-18450</t>
  </si>
  <si>
    <t>IGT- P-24-12-2024-308</t>
  </si>
  <si>
    <t>IGT- P-24-12-2024-310</t>
  </si>
  <si>
    <t>FAPL-15-03-2023-6364</t>
  </si>
  <si>
    <t>FAPL-16-03-2023-6365</t>
  </si>
  <si>
    <t>FAPL-17-01-2024-7594</t>
  </si>
  <si>
    <t>GENPACT-23-12-2024-16040</t>
  </si>
  <si>
    <t>SAI-17-12-2024-1605</t>
  </si>
  <si>
    <t>EUREKA-16-12-2024-28542</t>
  </si>
  <si>
    <t>LTIM-18-12-2024-18231</t>
  </si>
  <si>
    <t>CMSIT-20-12-2024-349</t>
  </si>
  <si>
    <t>AMBIT-18-12-2024-5099</t>
  </si>
  <si>
    <t>ERLLP-16-11-2024-06</t>
  </si>
  <si>
    <t>NAGARRO-11-12-2024-13301</t>
  </si>
  <si>
    <t>NAGARRO-17-12-2024-13444</t>
  </si>
  <si>
    <t>TRAIL-C-17-12-2024-85</t>
  </si>
  <si>
    <t>TechM-18-12-2024-8852</t>
  </si>
  <si>
    <t>MUTHOOTF-14-12-2024-5919</t>
  </si>
  <si>
    <t>RPOSPL-20-12-2024-2066</t>
  </si>
  <si>
    <t>ACUITYKS-19-12-2024-1373</t>
  </si>
  <si>
    <t>TRIARQ-18-12-2024-642</t>
  </si>
  <si>
    <t>TCSBPO-16-12-2024-11340</t>
  </si>
  <si>
    <t>COGNIZANT-L-17-10-2024-2398</t>
  </si>
  <si>
    <t>LTIM-06-12-2024-17766</t>
  </si>
  <si>
    <t>TCS-16-12-2024-29837</t>
  </si>
  <si>
    <t>PHYGITAL-22-10-2024-86</t>
  </si>
  <si>
    <t>TechM-18-12-2024-8859</t>
  </si>
  <si>
    <t>SBGV-17-12-2024-5404</t>
  </si>
  <si>
    <t>FMPL-18-10-2024-2154</t>
  </si>
  <si>
    <t>BCITSPL-05-11-2024-1075</t>
  </si>
  <si>
    <t>CtrlS-07-12-2024-231</t>
  </si>
  <si>
    <t>INFOGAIN-B-19-12-2024-2113</t>
  </si>
  <si>
    <t>SOBEK-24-12-2024-910</t>
  </si>
  <si>
    <t>TechM-07-12-2024-8671</t>
  </si>
  <si>
    <t>GGKTPL-13-12-2024-2048</t>
  </si>
  <si>
    <t>CTSIL-17-12-2024-23165</t>
  </si>
  <si>
    <t>CTSIL-19-12-2024-23367</t>
  </si>
  <si>
    <t>CTSIL-17-12-2024-23125</t>
  </si>
  <si>
    <t>CTSIL-19-12-2024-23307</t>
  </si>
  <si>
    <t>FAPL-22-02-2024-7729</t>
  </si>
  <si>
    <t>NTT-18-11-2024-1113</t>
  </si>
  <si>
    <t>NAGARRO-18-12-2024-13476</t>
  </si>
  <si>
    <t>TIANISH-17-12-2024-65</t>
  </si>
  <si>
    <t>APL-17-12-2024-1788</t>
  </si>
  <si>
    <t>NOSPL-15-10-2024-4107</t>
  </si>
  <si>
    <t>SOBEK-19-12-2024-982</t>
  </si>
  <si>
    <t>TAICPL-18-12-2024-2044</t>
  </si>
  <si>
    <t>GIL-02-12-2024-2416</t>
  </si>
  <si>
    <t>GENPACT-13-12-2024-15880</t>
  </si>
  <si>
    <t>LTIM-09-12-2024-17959</t>
  </si>
  <si>
    <t>VEL-23-09-2024-162</t>
  </si>
  <si>
    <t>EUREKA-24-12-2024-28771</t>
  </si>
  <si>
    <t>EUREKA-24-12-2024-28705</t>
  </si>
  <si>
    <t>AllegisGTCA-19-12-2024-441</t>
  </si>
  <si>
    <t>CTSIL-24-12-2024-23646</t>
  </si>
  <si>
    <t>RPOSPL-25-12-2024-2047</t>
  </si>
  <si>
    <t>RPOSPL-25-12-2024-2001</t>
  </si>
  <si>
    <t>WSPLG-BS-17-12-2024-320</t>
  </si>
  <si>
    <t>IKYA-23-12-2024-5737</t>
  </si>
  <si>
    <t>FMPL-23-12-2024-2271</t>
  </si>
  <si>
    <t>TRITON-23-12-2024-66</t>
  </si>
  <si>
    <t>GEMSL-22-10-2024-463</t>
  </si>
  <si>
    <t>NEXWAVE-24-12-2024-25</t>
  </si>
  <si>
    <t>adidas-24-12-2024-2053</t>
  </si>
  <si>
    <t>RRKL-05-12-2024-847</t>
  </si>
  <si>
    <t>CTSIL-26-12-2024-23654</t>
  </si>
  <si>
    <t>CDSIPL-18-12-2024-15653</t>
  </si>
  <si>
    <t>TCS-17-06-2024-22461</t>
  </si>
  <si>
    <t>TCS-25-07-2024-24185</t>
  </si>
  <si>
    <t>TCS-28-08-2024-26162</t>
  </si>
  <si>
    <t>IDP-18-12-2024-952</t>
  </si>
  <si>
    <t>STTGDC-17-12-2024-237</t>
  </si>
  <si>
    <t>STTGDC-17-12-2024-295</t>
  </si>
  <si>
    <t>TCS-19-12-2024-29992</t>
  </si>
  <si>
    <t>ACLML-19-12-2024-379</t>
  </si>
  <si>
    <t>AMBIT-07-11-2024-4356</t>
  </si>
  <si>
    <t>CTSIL-19-12-2024-23310</t>
  </si>
  <si>
    <t>CMS-04-12-2024-1102</t>
  </si>
  <si>
    <t>TCS-13-12-2024-29821</t>
  </si>
  <si>
    <t>EUREKA-24-12-2024-28706</t>
  </si>
  <si>
    <t>CTSIL-20-12-2024-23414</t>
  </si>
  <si>
    <t>PLAN-12-12-2024-1008</t>
  </si>
  <si>
    <t>HYUNDAI-24-12-2024-463</t>
  </si>
  <si>
    <t>CtrlS-18-12-2024-251</t>
  </si>
  <si>
    <t>FAPL-13-01-2024-7574</t>
  </si>
  <si>
    <t>TechM-22-08-2024-7986</t>
  </si>
  <si>
    <t>EMBEE-20-12-2024-550</t>
  </si>
  <si>
    <t>OCS-06-12-2024-1022</t>
  </si>
  <si>
    <t>JGS-07-12-2024-1916</t>
  </si>
  <si>
    <t>SOBEK-18-12-2024-982</t>
  </si>
  <si>
    <t>LTIM-19-12-2024-18313</t>
  </si>
  <si>
    <t>CYRIL-18-12-2024-375</t>
  </si>
  <si>
    <t>MSIL--B-08-10-2024-30821</t>
  </si>
  <si>
    <t>ETHOS-20-12-2024-733</t>
  </si>
  <si>
    <t>ETHOS-20-12-2024-749</t>
  </si>
  <si>
    <t>GIL-21-12-2024-2554</t>
  </si>
  <si>
    <t>NSIPL-23-12-2024-472</t>
  </si>
  <si>
    <t>GEMINI-14-12-2024-34</t>
  </si>
  <si>
    <t>PWC-11-10-2024-4200</t>
  </si>
  <si>
    <t>LTIM-19-12-2024-18469</t>
  </si>
  <si>
    <t>NSH-14-11-2024-102</t>
  </si>
  <si>
    <t>TechM-13-09-2024-8198</t>
  </si>
  <si>
    <t>IHL-11-09-2024-579</t>
  </si>
  <si>
    <t>LTIM-12-08-2024-12895</t>
  </si>
  <si>
    <t>Titan-19-11-2024-3867</t>
  </si>
  <si>
    <t>CPMSPL-26-12-2024-5736</t>
  </si>
  <si>
    <t>WIPRO-26-12-2024-22125</t>
  </si>
  <si>
    <t>IKYA-18-06-2024-4947</t>
  </si>
  <si>
    <t>IKYA-02-08-2024-5015</t>
  </si>
  <si>
    <t>NOSPL-20-12-2024-4470</t>
  </si>
  <si>
    <t>INSPL-24-12-2024-2305</t>
  </si>
  <si>
    <t>APL-20-12-2024-1703</t>
  </si>
  <si>
    <t>AMBIT-21-12-2024-5012</t>
  </si>
  <si>
    <t>ACUITYKS-23-12-2024-1330</t>
  </si>
  <si>
    <t>SBGV-25-10-2024-4664</t>
  </si>
  <si>
    <t>TBS-05-08-2024-475</t>
  </si>
  <si>
    <t>TBS-09-09-2024-498</t>
  </si>
  <si>
    <t>TBS-13-09-2024-477</t>
  </si>
  <si>
    <t>TBS-16-09-2024-478</t>
  </si>
  <si>
    <t>TBS-16-09-2024-461</t>
  </si>
  <si>
    <t>TBS-19-09-2024-404</t>
  </si>
  <si>
    <t>ETHOS-20-09-2024-630</t>
  </si>
  <si>
    <t>Walsons PCC-28-08-2024-2228</t>
  </si>
  <si>
    <t>Walsons PCC-28-08-2024-2201</t>
  </si>
  <si>
    <t>Walsons PCC-28-08-2024-2336</t>
  </si>
  <si>
    <t>Walsons PCC-28-08-2024-2453</t>
  </si>
  <si>
    <t>Walsons PCC-21-11-2024-4067</t>
  </si>
  <si>
    <t>Walsons PCC-22-11-2024-4091</t>
  </si>
  <si>
    <t>Walsons PCC-27-11-2024-4191</t>
  </si>
  <si>
    <t>Walsons PCC-02-12-2024-4156</t>
  </si>
  <si>
    <t>Walsons PCC-13-11-2024-3800</t>
  </si>
  <si>
    <t>Walsons PCC-13-11-2024-3855</t>
  </si>
  <si>
    <t>Walsons PCC-15-11-2024-3918</t>
  </si>
  <si>
    <t>Walsons PCC-18-11-2024-3918</t>
  </si>
  <si>
    <t>Walsons PCC-18-11-2024-3933</t>
  </si>
  <si>
    <t>Walsons PCC-23-10-2024-3690</t>
  </si>
  <si>
    <t>Walsons PCC-28-10-2024-3738</t>
  </si>
  <si>
    <t>Walsons PCC-04-11-2024-3759</t>
  </si>
  <si>
    <t>Walsons PCC-04-11-2024-3835</t>
  </si>
  <si>
    <t>Walsons PCC-11-11-2024-3816</t>
  </si>
  <si>
    <t>Walsons PCC-11-11-2024-3833</t>
  </si>
  <si>
    <t>Walsons PCC-25-09-2024-3152</t>
  </si>
  <si>
    <t>Walsons PCC-27-09-2024-3112</t>
  </si>
  <si>
    <t>Walsons PCC-09-10-2024-3310</t>
  </si>
  <si>
    <t>Walsons PCC-09-10-2024-3343</t>
  </si>
  <si>
    <t>Walsons PCC-19-10-2024-3525</t>
  </si>
  <si>
    <t>Walsons PCC-23-10-2024-3684</t>
  </si>
  <si>
    <t>Walsons PCC-28-08-2024-2439</t>
  </si>
  <si>
    <t>Walsons PCC-04-09-2024-2764</t>
  </si>
  <si>
    <t>Walsons PCC-14-09-2024-2955</t>
  </si>
  <si>
    <t>Walsons PCC-14-09-2024-2931</t>
  </si>
  <si>
    <t>IGT- P-04-10-2024-19</t>
  </si>
  <si>
    <t>IGT- P-04-10-2024-07</t>
  </si>
  <si>
    <t>IGT- P-15-10-2024-89</t>
  </si>
  <si>
    <t>CYIENT-22-12-2024-13189</t>
  </si>
  <si>
    <t>AGEAS-12-12-2024-2191</t>
  </si>
  <si>
    <t>ACUITYKC-24-12-2024-1808</t>
  </si>
  <si>
    <t>SUGS-23-12-2024-11584</t>
  </si>
  <si>
    <t>VIRAJ-24-12-2024-211</t>
  </si>
  <si>
    <t>LTIM-08-11-2024-16608</t>
  </si>
  <si>
    <t>NAGARRO-20-12-2024-13484</t>
  </si>
  <si>
    <t>INFOGAIN-20-12-2024-1398</t>
  </si>
  <si>
    <t>AHAM-18-12-2024-281</t>
  </si>
  <si>
    <t>CTSIL-19-12-2024-23326</t>
  </si>
  <si>
    <t>CTSIL-19-12-2024-23240</t>
  </si>
  <si>
    <t>TCSBPO-19-11-2024-11195</t>
  </si>
  <si>
    <t>STERLING-24-12-2024-339</t>
  </si>
  <si>
    <t>MBPL-21-12-2024-511</t>
  </si>
  <si>
    <t>SIFY-17-12-2024-925</t>
  </si>
  <si>
    <t>ICICI-24-12-2024-9425</t>
  </si>
  <si>
    <t>COOPER-03-12-2024-150</t>
  </si>
  <si>
    <t>NOSPL-30-10-2024-4287</t>
  </si>
  <si>
    <t>ACUITYKS-16-12-2024-1311</t>
  </si>
  <si>
    <t>WIPRO-19-12-2024-22101</t>
  </si>
  <si>
    <t>TAICPL-20-12-2024-2097</t>
  </si>
  <si>
    <t>LRH-20-12-2024-2069</t>
  </si>
  <si>
    <t>SOBEK-24-12-2024-967</t>
  </si>
  <si>
    <t>IKYA-03-09-2024-5197</t>
  </si>
  <si>
    <t>RPOSPL-17-12-2024-2086</t>
  </si>
  <si>
    <t>GALLAGHER-18-12-2024-7027</t>
  </si>
  <si>
    <t>AZIPL-15-09-2024-2223</t>
  </si>
  <si>
    <t>LTIM-11-12-2024-18051</t>
  </si>
  <si>
    <t>TCSBPO-05-12-2024-11253</t>
  </si>
  <si>
    <t>GENPACT-26-12-2024-16122</t>
  </si>
  <si>
    <t>AGEAS-12-12-2024-2150</t>
  </si>
  <si>
    <t>AllegisT-13-12-2024-4000</t>
  </si>
  <si>
    <t>FAPL-22-01-2024-7516</t>
  </si>
  <si>
    <t>IDEMIA-05-12-2024-1772</t>
  </si>
  <si>
    <t>COMMSCOPE-19-12-2024-853</t>
  </si>
  <si>
    <t>CYIENT-18-11-2024-12778</t>
  </si>
  <si>
    <t>NOSPL-05-11-2024-4212</t>
  </si>
  <si>
    <t>TechM-20-12-2024-8891</t>
  </si>
  <si>
    <t>TCSBPO-17-12-2024-11339</t>
  </si>
  <si>
    <t>PWC-08-10-2024-4225</t>
  </si>
  <si>
    <t>LTIM-24-12-2024-18508</t>
  </si>
  <si>
    <t>ATGBSPL-17-12-2024-1567</t>
  </si>
  <si>
    <t>KAAR-17-12-2024-419</t>
  </si>
  <si>
    <t>TEL-26-07-2024-10069</t>
  </si>
  <si>
    <t>LTIM-22-11-2024-17269</t>
  </si>
  <si>
    <t>PHOTON-13-12-2024-1228</t>
  </si>
  <si>
    <t>IPSL-C-26-12-2024-112</t>
  </si>
  <si>
    <t>INFOGAIN-B-26-12-2024-2261</t>
  </si>
  <si>
    <t>INFOGAIN-B-26-12-2024-2245</t>
  </si>
  <si>
    <t>INFOGAIN-B-26-12-2024-2299</t>
  </si>
  <si>
    <t>LRH-26-12-2024-2081</t>
  </si>
  <si>
    <t>MUTHOOTF-26-12-2024-6112</t>
  </si>
  <si>
    <t>MUTHOOTF-26-12-2024-6183</t>
  </si>
  <si>
    <t>MUTHOOTF-26-12-2024-6138</t>
  </si>
  <si>
    <t>INFINX-26-12-2024-5792</t>
  </si>
  <si>
    <t>TCSBPO-26-12-2024-11355</t>
  </si>
  <si>
    <t>CTSIL-26-12-2024-23608</t>
  </si>
  <si>
    <t>SPACETL-18-12-2024-32</t>
  </si>
  <si>
    <t>WSPLG-BS-17-12-2024-338</t>
  </si>
  <si>
    <t>PWC-08-10-2024-4208</t>
  </si>
  <si>
    <t>CREMICA-17-12-2024-746</t>
  </si>
  <si>
    <t>TCSBPO-13-09-2024-10461</t>
  </si>
  <si>
    <t>CVENT-21-10-2024-2261</t>
  </si>
  <si>
    <t>LTIM-11-12-2024-18016</t>
  </si>
  <si>
    <t>NOSPL-18-12-2024-4493</t>
  </si>
  <si>
    <t>CTSIL-02-12-2024-22395</t>
  </si>
  <si>
    <t>TCS-17-12-2024-29900</t>
  </si>
  <si>
    <t>TCS-18-12-2024-29911</t>
  </si>
  <si>
    <t>TCS-09-09-2024-26781</t>
  </si>
  <si>
    <t>TAICPL-18-12-2024-2080</t>
  </si>
  <si>
    <t>FAPL-26-10-2023-7291</t>
  </si>
  <si>
    <t>FAPL-16-12-2023-7491</t>
  </si>
  <si>
    <t>ELBLIPL-09-12-2024-32</t>
  </si>
  <si>
    <t>CTSIL-21-12-2024-23406</t>
  </si>
  <si>
    <t>INFINX-26-12-2024-5711</t>
  </si>
  <si>
    <t>CYIENT-26-12-2024-13122</t>
  </si>
  <si>
    <t>LTIM-19-12-2024-18350</t>
  </si>
  <si>
    <t>AMPCUS-12-12-2024-665</t>
  </si>
  <si>
    <t>SMPL-19-11-2024-910</t>
  </si>
  <si>
    <t>INFOGAIN-P-17-12-2024-1042</t>
  </si>
  <si>
    <t>ICICI-18-12-2024-9218</t>
  </si>
  <si>
    <t>RNTBCIPL-24-12-2024-5289</t>
  </si>
  <si>
    <t>RBL-04-12-2024-1672</t>
  </si>
  <si>
    <t>AGIPL-14-12-2024-53</t>
  </si>
  <si>
    <t>LTIM-19-12-2024-18360</t>
  </si>
  <si>
    <t>LTIM-19-12-2024-18347</t>
  </si>
  <si>
    <t>CDSIPL-18-12-2024-15651</t>
  </si>
  <si>
    <t>CDSIPL-19-12-2024-15722</t>
  </si>
  <si>
    <t>TCSBPO-18-12-2024-11319</t>
  </si>
  <si>
    <t>TEL-07-10-2024-10192</t>
  </si>
  <si>
    <t>Titan-17-12-2024-4041</t>
  </si>
  <si>
    <t>CTSIL-05-12-2024-22435</t>
  </si>
  <si>
    <t>DMSPL-18-12-2024-186</t>
  </si>
  <si>
    <t>TCS-17-10-2024-28343</t>
  </si>
  <si>
    <t>INFOGAIN-B-13-12-2024-2153</t>
  </si>
  <si>
    <t>CTSIL-20-12-2024-23433</t>
  </si>
  <si>
    <t>TechM-17-12-2024-8739</t>
  </si>
  <si>
    <t>UNISON-29-08-2024-164</t>
  </si>
  <si>
    <t>Walsons PCC-29-11-2024-4105</t>
  </si>
  <si>
    <t>Walsons PCC-02-12-2024-4137</t>
  </si>
  <si>
    <t>Walsons PCC-02-12-2024-4112</t>
  </si>
  <si>
    <t>Walsons PCC-02-12-2024-4282</t>
  </si>
  <si>
    <t>Walsons PCC-02-12-2024-4219</t>
  </si>
  <si>
    <t>Walsons PCC-03-12-2024-4206</t>
  </si>
  <si>
    <t>Walsons PCC-10-12-2024-4309</t>
  </si>
  <si>
    <t>Walsons PCC-10-12-2024-4348</t>
  </si>
  <si>
    <t>Walsons PCC-10-12-2024-4244</t>
  </si>
  <si>
    <t>Walsons PCC-10-12-2024-4246</t>
  </si>
  <si>
    <t>Walsons PCC-10-12-2024-4323</t>
  </si>
  <si>
    <t>Walsons PCC-10-12-2024-4384</t>
  </si>
  <si>
    <t>Walsons PCC-06-12-2024-4235</t>
  </si>
  <si>
    <t>Walsons PCC-06-12-2024-4233</t>
  </si>
  <si>
    <t>Walsons PCC-06-12-2024-4292</t>
  </si>
  <si>
    <t>Walsons PCC-10-12-2024-4254</t>
  </si>
  <si>
    <t>Walsons PCC-10-12-2024-4236</t>
  </si>
  <si>
    <t>Walsons PCC-03-12-2024-4263</t>
  </si>
  <si>
    <t>Walsons PCC-06-12-2024-4291</t>
  </si>
  <si>
    <t>Walsons PCC-06-12-2024-4277</t>
  </si>
  <si>
    <t>Walsons PCC-06-12-2024-4211</t>
  </si>
  <si>
    <t>Walsons PCC-06-12-2024-4203</t>
  </si>
  <si>
    <t>AMBIT-02-12-2024-4703</t>
  </si>
  <si>
    <t>TCS-15-10-2024-28219</t>
  </si>
  <si>
    <t>SLPL-11-12-2024-1934</t>
  </si>
  <si>
    <t>IDEMIA-23-12-2024-1730</t>
  </si>
  <si>
    <t>EUREKA-14-12-2024-28508</t>
  </si>
  <si>
    <t>o9S-17-04-2024-1351</t>
  </si>
  <si>
    <t>RBL-18-12-2024-1606</t>
  </si>
  <si>
    <t>AMPCUS-20-12-2024-681</t>
  </si>
  <si>
    <t>ETHOS-29-11-2024-772</t>
  </si>
  <si>
    <t>LTIM-05-12-2024-17606</t>
  </si>
  <si>
    <t>INFINX-20-12-2024-5665</t>
  </si>
  <si>
    <t>Titan-11-12-2024-3914</t>
  </si>
  <si>
    <t>ICICI-09-12-2024-9248</t>
  </si>
  <si>
    <t>SLPL-11-12-2024-1909</t>
  </si>
  <si>
    <t>TMF-06-12-2024-342</t>
  </si>
  <si>
    <t>BVP-23-12-2024-110</t>
  </si>
  <si>
    <t>ETHOS-26-12-2024-703</t>
  </si>
  <si>
    <t>ETHOS-18-12-2024-740</t>
  </si>
  <si>
    <t>RBL-10-12-2024-1620</t>
  </si>
  <si>
    <t>CVENT-21-12-2024-2345</t>
  </si>
  <si>
    <t>FML-24-09-2024-1270</t>
  </si>
  <si>
    <t>FML-23-12-2024-1375</t>
  </si>
  <si>
    <t>INSPL-26-03-2024-1409</t>
  </si>
  <si>
    <t>AZIPL-26-12-2024-2543</t>
  </si>
  <si>
    <t>INSPL-26-03-2024-1454</t>
  </si>
  <si>
    <t>GENPACT-27-12-2024-16120</t>
  </si>
  <si>
    <t>DATAMATICS-N-27-12-2024-1088</t>
  </si>
  <si>
    <t>IDEMIA-26-12-2024-1789</t>
  </si>
  <si>
    <t>NIHON-11-12-2024-81</t>
  </si>
  <si>
    <t>MUTHOOTF-23-12-2024-6022</t>
  </si>
  <si>
    <t>ACUITYKC-29-10-2024-1734</t>
  </si>
  <si>
    <t>Titan-18-12-2024-4023</t>
  </si>
  <si>
    <t>SAI-10-09-2024-1471</t>
  </si>
  <si>
    <t>RRKL-12-08-2024-770</t>
  </si>
  <si>
    <t>COSETTE-18-12-2024-92</t>
  </si>
  <si>
    <t>ICICI-09-12-2024-9187</t>
  </si>
  <si>
    <t>LRH-23-12-2024-2037</t>
  </si>
  <si>
    <t>PHOTON-23-12-2024-1275</t>
  </si>
  <si>
    <t>MPO-27-11-2024-176</t>
  </si>
  <si>
    <t>CYRIL-01-11-2024-311</t>
  </si>
  <si>
    <t>CTSIL-20-12-2024-23491</t>
  </si>
  <si>
    <t>Titan-22-11-2024-3927</t>
  </si>
  <si>
    <t>CTSIL-13-12-2024-22943</t>
  </si>
  <si>
    <t>LTIM-13-12-2024-18197</t>
  </si>
  <si>
    <t>NOSPL-12-12-2024-4450</t>
  </si>
  <si>
    <t>CICSPL-27-08-2024-15513</t>
  </si>
  <si>
    <t>FSNE-27-11-2024-493</t>
  </si>
  <si>
    <t>TCS-05-12-2024-29577</t>
  </si>
  <si>
    <t>TCS-05-12-2024-29678</t>
  </si>
  <si>
    <t>FMPL-13-09-2024-2098</t>
  </si>
  <si>
    <t>CTSIL-06-12-2024-22594</t>
  </si>
  <si>
    <t>INFINX-14-12-2024-5648</t>
  </si>
  <si>
    <t>ACUITYKC-13-12-2024-1747</t>
  </si>
  <si>
    <t>ACUITYKC-13-12-2024-1751</t>
  </si>
  <si>
    <t>TCS-05-12-2024-29645</t>
  </si>
  <si>
    <t>SUGS-04-11-2024-11189</t>
  </si>
  <si>
    <t>FMPL-21-10-2024-2163</t>
  </si>
  <si>
    <t>TCSBPO-10-12-2024-11285</t>
  </si>
  <si>
    <t>AZIPL-11-12-2024-2409</t>
  </si>
  <si>
    <t>APL-06-12-2024-1665</t>
  </si>
  <si>
    <t>CTSIL-03-07-2024-17508</t>
  </si>
  <si>
    <t>AZIPL-31-03-2024-1771</t>
  </si>
  <si>
    <t>MUTHOOTF-23-11-2024-5612</t>
  </si>
  <si>
    <t>AllegisT-16-12-2024-4020</t>
  </si>
  <si>
    <t>LTIM-15-12-2024-18158</t>
  </si>
  <si>
    <t>MIIPL-11-11-2024-81</t>
  </si>
  <si>
    <t>ACLML-02-12-2024-345</t>
  </si>
  <si>
    <t>Titan-28-11-2024-3919</t>
  </si>
  <si>
    <t>EUREKA-07-12-2024-28497</t>
  </si>
  <si>
    <t>GGKTPL-13-12-2024-2001</t>
  </si>
  <si>
    <t>SUGS-13-12-2024-11411</t>
  </si>
  <si>
    <t>TECIPL-11-12-2024-825</t>
  </si>
  <si>
    <t>TECIPL-12-12-2024-812</t>
  </si>
  <si>
    <t>COGNIZANT - C-11-12-2024-4530</t>
  </si>
  <si>
    <t>TCSBPO-12-12-2024-11279</t>
  </si>
  <si>
    <t>AllegisT-01-11-2024-3866</t>
  </si>
  <si>
    <t>AllegisT-11-09-2024-3563</t>
  </si>
  <si>
    <t>TCSBPO-11-12-2024-11240</t>
  </si>
  <si>
    <t>WSSH-12-12-2024-9618</t>
  </si>
  <si>
    <t>CtrlS-09-12-2024-234</t>
  </si>
  <si>
    <t>CDSIPL-05-12-2024-15697</t>
  </si>
  <si>
    <t>LTIM-26-09-2024-15017</t>
  </si>
  <si>
    <t>MSIL--B-13-12-2024-33219</t>
  </si>
  <si>
    <t>TCS-10-12-2024-29675</t>
  </si>
  <si>
    <t>LTIM-07-12-2024-17914</t>
  </si>
  <si>
    <t>SSSSPL-13-12-2024-356</t>
  </si>
  <si>
    <t>AccSPL-07-10-2024-24255</t>
  </si>
  <si>
    <t>SBGV-21-11-2024-5338</t>
  </si>
  <si>
    <t>SBGV-21-11-2024-5315</t>
  </si>
  <si>
    <t>SBGV-10-12-2024-5490</t>
  </si>
  <si>
    <t>CTSIL-14-12-2024-23058</t>
  </si>
  <si>
    <t>CTSIL-14-12-2024-23082</t>
  </si>
  <si>
    <t>CTSIL-14-12-2024-23017</t>
  </si>
  <si>
    <t>CTSIL-14-12-2024-22960</t>
  </si>
  <si>
    <t>CTSIL-14-12-2024-22981</t>
  </si>
  <si>
    <t>WIPRO-13-12-2024-22066</t>
  </si>
  <si>
    <t>WIPRO-13-12-2024-22099</t>
  </si>
  <si>
    <t>WFSPL-S-13-12-2024-3275</t>
  </si>
  <si>
    <t>WFSPL-S-14-12-2024-3222</t>
  </si>
  <si>
    <t>AZIPL-02-03-2024-1679</t>
  </si>
  <si>
    <t>AZIPL-06-03-2024-1650</t>
  </si>
  <si>
    <t>Titan-15-11-2024-3895</t>
  </si>
  <si>
    <t>AccSPL-13-12-2024-26564</t>
  </si>
  <si>
    <t>AccSPL-13-12-2024-26549</t>
  </si>
  <si>
    <t>AccSPL-13-12-2024-26638</t>
  </si>
  <si>
    <t>AccSPL-13-12-2024-26575</t>
  </si>
  <si>
    <t>AccSPL-13-12-2024-26667</t>
  </si>
  <si>
    <t>AccSPL-13-12-2024-26696</t>
  </si>
  <si>
    <t>AccSPL-13-12-2024-26529</t>
  </si>
  <si>
    <t>AccSPL-13-12-2024-26697</t>
  </si>
  <si>
    <t>AccSPL-13-12-2024-26699</t>
  </si>
  <si>
    <t>AccSPL-13-12-2024-26669</t>
  </si>
  <si>
    <t>AccSPL-13-12-2024-26535</t>
  </si>
  <si>
    <t>AccSPL-13-12-2024-26540</t>
  </si>
  <si>
    <t>AccSPL-13-12-2024-26636</t>
  </si>
  <si>
    <t>AccSPL-13-12-2024-26645</t>
  </si>
  <si>
    <t>AccSPL-13-12-2024-26684</t>
  </si>
  <si>
    <t>AccSPL-13-12-2024-26655</t>
  </si>
  <si>
    <t>AccSPL-13-12-2024-26651</t>
  </si>
  <si>
    <t>AccSPL-13-12-2024-26658</t>
  </si>
  <si>
    <t>AWIGN-27-11-2024-9630</t>
  </si>
  <si>
    <t>MSIL--B-13-12-2024-33228</t>
  </si>
  <si>
    <t>MSIL--B-13-12-2024-33375</t>
  </si>
  <si>
    <t>TCS-12-12-2024-29881</t>
  </si>
  <si>
    <t>AKRIPL-02-12-2024-175</t>
  </si>
  <si>
    <t>EUREKA-10-12-2024-28402</t>
  </si>
  <si>
    <t>TCS-05-12-2024-29563</t>
  </si>
  <si>
    <t>EUREKA-12-12-2024-28565</t>
  </si>
  <si>
    <t>CTSIL-07-12-2024-22567</t>
  </si>
  <si>
    <t>CTSIL-07-12-2024-22530</t>
  </si>
  <si>
    <t>CTSIL-07-12-2024-22531</t>
  </si>
  <si>
    <t>TAICPL-26-11-2024-1811</t>
  </si>
  <si>
    <t>IIB-12-12-2024-99</t>
  </si>
  <si>
    <t>CTSIL-07-12-2024-22561</t>
  </si>
  <si>
    <t>CTSIL-07-12-2024-22509</t>
  </si>
  <si>
    <t>AllegisT-09-12-2024-4051</t>
  </si>
  <si>
    <t>AllegisT-30-09-2024-3695</t>
  </si>
  <si>
    <t>ACCPL-13-12-2024-09</t>
  </si>
  <si>
    <t>AMMANN-09-12-2024-394</t>
  </si>
  <si>
    <t>CTSIL-07-12-2024-22553</t>
  </si>
  <si>
    <t>OIPL-11-12-2024-361</t>
  </si>
  <si>
    <t>BML-16-12-2024-6618</t>
  </si>
  <si>
    <t>BML-16-12-2024-6661</t>
  </si>
  <si>
    <t>BML-16-12-2024-6696</t>
  </si>
  <si>
    <t>LTIM-06-12-2024-17701</t>
  </si>
  <si>
    <t>PWC-22-09-2024-4012</t>
  </si>
  <si>
    <t>ICICI-09-08-2024-8187</t>
  </si>
  <si>
    <t>ICICI-29-07-2024-7886</t>
  </si>
  <si>
    <t>IFFCO-13-08-2024-1759</t>
  </si>
  <si>
    <t>CTSIL-03-08-2024-19431</t>
  </si>
  <si>
    <t>LTIM-30-11-2024-17533</t>
  </si>
  <si>
    <t>RSA-02-12-2024-225</t>
  </si>
  <si>
    <t>WIPRO-04-12-2024-21808</t>
  </si>
  <si>
    <t>AHAM-03-12-2024-255</t>
  </si>
  <si>
    <t>TCS-12-12-2024-29859</t>
  </si>
  <si>
    <t>TCS-11-12-2024-29718</t>
  </si>
  <si>
    <t>TCS-12-12-2024-29832</t>
  </si>
  <si>
    <t>TCS-12-12-2024-29843</t>
  </si>
  <si>
    <t>TCS-11-12-2024-29722</t>
  </si>
  <si>
    <t>TCS-12-12-2024-29841</t>
  </si>
  <si>
    <t>TCS-12-12-2024-29899</t>
  </si>
  <si>
    <t>TCS-11-12-2024-29736</t>
  </si>
  <si>
    <t>BSH-04-12-2024-515</t>
  </si>
  <si>
    <t>RNTBCIPL-12-11-2024-5088</t>
  </si>
  <si>
    <t>AKRIPL-02-12-2024-119</t>
  </si>
  <si>
    <t>FAPL-16-12-2022-5904</t>
  </si>
  <si>
    <t>LTIM-09-12-2024-17922</t>
  </si>
  <si>
    <t>GIL-09-12-2024-2408</t>
  </si>
  <si>
    <t>CtrlS-12-11-2024-106</t>
  </si>
  <si>
    <t>SLPL-11-12-2024-1935</t>
  </si>
  <si>
    <t>TCS-04-12-2024-29516</t>
  </si>
  <si>
    <t>TGSPL-16-12-2024-625</t>
  </si>
  <si>
    <t>TCS-13-08-2024-25397</t>
  </si>
  <si>
    <t>LTIM-06-12-2024-17849</t>
  </si>
  <si>
    <t>LTIM-06-12-2024-17896</t>
  </si>
  <si>
    <t>WIPRO-16-12-2024-22072</t>
  </si>
  <si>
    <t>TCS-11-12-2024-29700</t>
  </si>
  <si>
    <t>TCS-11-12-2024-29752</t>
  </si>
  <si>
    <t>TCS-11-12-2024-29706</t>
  </si>
  <si>
    <t>TCS-11-12-2024-29795</t>
  </si>
  <si>
    <t>COGNIZANT-L-28-10-2024-2311</t>
  </si>
  <si>
    <t>TCS-11-12-2024-29713</t>
  </si>
  <si>
    <t>TCS-11-12-2024-29741</t>
  </si>
  <si>
    <t>TCS-11-12-2024-29732</t>
  </si>
  <si>
    <t>TCS-03-12-2024-29546</t>
  </si>
  <si>
    <t>TCS-01-10-2024-27786</t>
  </si>
  <si>
    <t>TEAL-11-12-2024-1254</t>
  </si>
  <si>
    <t>SLPL-11-12-2024-1939</t>
  </si>
  <si>
    <t>BML-16-12-2024-6677</t>
  </si>
  <si>
    <t>BML-16-12-2024-6672</t>
  </si>
  <si>
    <t>PSTPL-12-12-2024-1685</t>
  </si>
  <si>
    <t>SUGS-25-11-2024-11339</t>
  </si>
  <si>
    <t>GALLAGHER-05-12-2024-6913</t>
  </si>
  <si>
    <t>AllegisE-10-12-2024-1152</t>
  </si>
  <si>
    <t>TCS-11-12-2024-29721</t>
  </si>
  <si>
    <t>TCS-12-12-2024-29766</t>
  </si>
  <si>
    <t>TCS-12-12-2024-29880</t>
  </si>
  <si>
    <t>TCS-12-12-2024-29866</t>
  </si>
  <si>
    <t>TCS-12-12-2024-29769</t>
  </si>
  <si>
    <t>TCS-12-12-2024-29847</t>
  </si>
  <si>
    <t>TCS-12-12-2024-29871</t>
  </si>
  <si>
    <t>TCS-12-12-2024-29896</t>
  </si>
  <si>
    <t>TCS-12-12-2024-29870</t>
  </si>
  <si>
    <t>TCS-12-12-2024-29875</t>
  </si>
  <si>
    <t>TCS-12-12-2024-29895</t>
  </si>
  <si>
    <t>TCS-12-12-2024-29855</t>
  </si>
  <si>
    <t>TCS-12-12-2024-29754</t>
  </si>
  <si>
    <t>TCS-12-12-2024-29868</t>
  </si>
  <si>
    <t>TCS-12-12-2024-29838</t>
  </si>
  <si>
    <t>TCS-12-12-2024-29867</t>
  </si>
  <si>
    <t>BGIPL-19-08-2024-487</t>
  </si>
  <si>
    <t>TCSBPO-10-12-2024-11270</t>
  </si>
  <si>
    <t>TCSBPO-12-12-2024-11271</t>
  </si>
  <si>
    <t>TCSBPO-12-12-2024-11262</t>
  </si>
  <si>
    <t>TCSBPO-11-12-2024-11232</t>
  </si>
  <si>
    <t>TCSBPO-11-12-2024-11286</t>
  </si>
  <si>
    <t>TCSBPO-10-12-2024-11219</t>
  </si>
  <si>
    <t>TCSBPO-12-12-2024-11243</t>
  </si>
  <si>
    <t>TCSBPO-11-12-2024-11297</t>
  </si>
  <si>
    <t>TCSBPO-12-12-2024-11221</t>
  </si>
  <si>
    <t>TCSBPO-11-12-2024-11250</t>
  </si>
  <si>
    <t>TCSBPO-12-12-2024-11263</t>
  </si>
  <si>
    <t>TCSBPO-12-12-2024-11228</t>
  </si>
  <si>
    <t>TCSBPO-12-12-2024-11254</t>
  </si>
  <si>
    <t>CVENT-25-11-2024-2250</t>
  </si>
  <si>
    <t>SIFY-04-12-2024-970</t>
  </si>
  <si>
    <t>SIFY-04-12-2024-977</t>
  </si>
  <si>
    <t>TAICPL-09-12-2024-1963</t>
  </si>
  <si>
    <t>TAICPL-09-12-2024-1972</t>
  </si>
  <si>
    <t>GENPACT-16-12-2024-15842</t>
  </si>
  <si>
    <t>ICICI-22-11-2024-9091</t>
  </si>
  <si>
    <t>GALLAGHER-05-12-2024-6957</t>
  </si>
  <si>
    <t>TCSBPO-10-12-2024-11209</t>
  </si>
  <si>
    <t>TCS-11-10-2024-28083</t>
  </si>
  <si>
    <t>LTIM-26-11-2024-17398</t>
  </si>
  <si>
    <t>CTSIL-11-12-2024-22847</t>
  </si>
  <si>
    <t>LTIM-13-12-2024-18146</t>
  </si>
  <si>
    <t>JGS-26-11-2024-1912</t>
  </si>
  <si>
    <t>COOPER-07-12-2024-235</t>
  </si>
  <si>
    <t>WIPRO-13-12-2024-21916</t>
  </si>
  <si>
    <t>WIPRO-11-12-2024-21991</t>
  </si>
  <si>
    <t>CAPCO-06-12-2024-41</t>
  </si>
  <si>
    <t>CIDSPL-05-12-2024-521</t>
  </si>
  <si>
    <t>WIPRO-DOP-10-12-2024-7152</t>
  </si>
  <si>
    <t>TCSBPO-07-08-2024-9928</t>
  </si>
  <si>
    <t>INFINITI-04-12-2024-2089</t>
  </si>
  <si>
    <t>ODESSA-10-12-2024-765</t>
  </si>
  <si>
    <t>JGS-26-11-2024-1969</t>
  </si>
  <si>
    <t>BFL-12-12-2024-543</t>
  </si>
  <si>
    <t>BFL-12-12-2024-530</t>
  </si>
  <si>
    <t>RNTBCIPL-26-07-2024-4599</t>
  </si>
  <si>
    <t>SUGS-29-11-2024-11452</t>
  </si>
  <si>
    <t>BML-10-12-2024-6509</t>
  </si>
  <si>
    <t>WIPRO-16-12-2024-22063</t>
  </si>
  <si>
    <t>FREIGHT-10-09-2024-16</t>
  </si>
  <si>
    <t>LTIM-05-09-2024-13909</t>
  </si>
  <si>
    <t>INSPL-28-10-2024-2331</t>
  </si>
  <si>
    <t>SIFY-04-12-2024-987</t>
  </si>
  <si>
    <t>MCSL-05-12-2024-567</t>
  </si>
  <si>
    <t>BFL-06-12-2024-534</t>
  </si>
  <si>
    <t>PLAN-16-12-2024-1004</t>
  </si>
  <si>
    <t>DATAMATICS-M-28-11-2024-351</t>
  </si>
  <si>
    <t>TRINITY-09-12-2024-90</t>
  </si>
  <si>
    <t>CIDSPL-15-10-2024-541</t>
  </si>
  <si>
    <t>TCS-29-11-2024-29493</t>
  </si>
  <si>
    <t>SAI-29-11-2024-1623</t>
  </si>
  <si>
    <t>WFSPL-S-04-12-2024-3120</t>
  </si>
  <si>
    <t>GALLAGHER-13-12-2024-7071</t>
  </si>
  <si>
    <t>TCS-05-12-2024-29637</t>
  </si>
  <si>
    <t>WSSH-05-12-2024-9560</t>
  </si>
  <si>
    <t>TCSBPO-10-12-2024-11273</t>
  </si>
  <si>
    <t>Titan-18-11-2024-3843</t>
  </si>
  <si>
    <t>CIEL-11-12-2024-535</t>
  </si>
  <si>
    <t>WIPRO-12-12-2024-21972</t>
  </si>
  <si>
    <t>TMF-09-12-2024-333</t>
  </si>
  <si>
    <t>TMF-16-12-2024-431</t>
  </si>
  <si>
    <t>TCS-16-12-2024-29821</t>
  </si>
  <si>
    <t>TechM-21-10-2024-8368</t>
  </si>
  <si>
    <t>AMBIT-10-12-2024-4986</t>
  </si>
  <si>
    <t>AMBIT-04-12-2024-4821</t>
  </si>
  <si>
    <t>CTSIL-16-12-2024-23098</t>
  </si>
  <si>
    <t>CTSIL-09-12-2024-22681</t>
  </si>
  <si>
    <t>PIERAG-11-12-2024-156</t>
  </si>
  <si>
    <t>FERRERO-11-12-2024-680</t>
  </si>
  <si>
    <t>AZIPL-22-03-2024-1737</t>
  </si>
  <si>
    <t>TechMCPL-12-12-2024-1470</t>
  </si>
  <si>
    <t>CTSIL-12-12-2024-22867</t>
  </si>
  <si>
    <t>LTIM-09-12-2024-17938</t>
  </si>
  <si>
    <t>LTIM-08-12-2024-17902</t>
  </si>
  <si>
    <t>NELITO-11-12-2024-60</t>
  </si>
  <si>
    <t>RRKL-25-07-2024-732</t>
  </si>
  <si>
    <t>STVNL-10-12-2024-990</t>
  </si>
  <si>
    <t>TEL-16-11-2024-10243</t>
  </si>
  <si>
    <t>ACUITYKC-13-12-2024-1710</t>
  </si>
  <si>
    <t>RNTBCIPL-10-12-2024-5118</t>
  </si>
  <si>
    <t>TCS-10-12-2024-29772</t>
  </si>
  <si>
    <t>TCSBPO-12-12-2024-11252</t>
  </si>
  <si>
    <t>SIFY-10-12-2024-969</t>
  </si>
  <si>
    <t>STTGDC-13-12-2024-260</t>
  </si>
  <si>
    <t>PLAN-12-12-2024-1070</t>
  </si>
  <si>
    <t>INFOGAINSSPL-20-12-2024-432</t>
  </si>
  <si>
    <t>INFOGAINSSPL-20-12-2024-427</t>
  </si>
  <si>
    <t>GEBBS-20-12-2024-2100</t>
  </si>
  <si>
    <t>DATAMATICS-N-20-12-2024-1003</t>
  </si>
  <si>
    <t>MUTHOOTF-20-12-2024-6025</t>
  </si>
  <si>
    <t>MUTHOOTF-20-12-2024-6032</t>
  </si>
  <si>
    <t>LTIM-21-11-2024-17228</t>
  </si>
  <si>
    <t>TechMCPL-12-12-2024-1429</t>
  </si>
  <si>
    <t>TCSBPO-03-12-2024-11259</t>
  </si>
  <si>
    <t>INFINX-20-12-2024-5638</t>
  </si>
  <si>
    <t>TEL-16-11-2024-10217</t>
  </si>
  <si>
    <t>AMBIT-26-11-2024-4624</t>
  </si>
  <si>
    <t>TAICPL-18-12-2024-2037</t>
  </si>
  <si>
    <t>RNTBCIPL-26-11-2024-5184</t>
  </si>
  <si>
    <t>CPMSPL-18-12-2024-5775</t>
  </si>
  <si>
    <t>CPMSPL-19-12-2024-5764</t>
  </si>
  <si>
    <t>AMBIT-20-06-2024-3379</t>
  </si>
  <si>
    <t>LTIM-19-12-2024-18329</t>
  </si>
  <si>
    <t>LTIM-16-12-2024-18242</t>
  </si>
  <si>
    <t>SBGV-05-12-2024-5326</t>
  </si>
  <si>
    <t>CTSIL-14-12-2024-23083</t>
  </si>
  <si>
    <t>AllegisGTCA-16-12-2024-454</t>
  </si>
  <si>
    <t>WIPRO-09-12-2024-21817</t>
  </si>
  <si>
    <t>CTSIL-20-12-2024-23460</t>
  </si>
  <si>
    <t>CTSIL-12-11-2024-21366</t>
  </si>
  <si>
    <t>TCSBPO-13-11-2024-11039</t>
  </si>
  <si>
    <t>TCS-11-10-2024-28071</t>
  </si>
  <si>
    <t>TCS-29-10-2024-28685</t>
  </si>
  <si>
    <t>ICICI-21-12-2024-9384</t>
  </si>
  <si>
    <t>CTSIL-21-12-2024-23445</t>
  </si>
  <si>
    <t>WIPRO-20-12-2024-22113</t>
  </si>
  <si>
    <t>WIPRO-20-12-2024-22124</t>
  </si>
  <si>
    <t>WIPRO-20-12-2024-22137</t>
  </si>
  <si>
    <t>WIPRO-20-12-2024-22195</t>
  </si>
  <si>
    <t>LTIM-29-11-2024-17439</t>
  </si>
  <si>
    <t>EUREKA-25-11-2024-28282</t>
  </si>
  <si>
    <t>EUREKA-10-11-2024-28095</t>
  </si>
  <si>
    <t>AMBIT-25-10-2024-4007</t>
  </si>
  <si>
    <t>SOBEK-05-12-2024-932</t>
  </si>
  <si>
    <t>PEPSI-17-12-2024-297</t>
  </si>
  <si>
    <t>WFSPL-S-19-10-2024-3012</t>
  </si>
  <si>
    <t>TDPL-06-12-2024-1277</t>
  </si>
  <si>
    <t>TDPL-06-12-2024-1247</t>
  </si>
  <si>
    <t>AHAM-09-12-2024-213</t>
  </si>
  <si>
    <t>ICICI-09-12-2024-9270</t>
  </si>
  <si>
    <t>RNTBCIPL-07-12-2024-5192</t>
  </si>
  <si>
    <t>BSH-03-12-2024-555</t>
  </si>
  <si>
    <t>NISG-07-12-2024-469</t>
  </si>
  <si>
    <t>INFOGAIN-B-06-12-2024-2143</t>
  </si>
  <si>
    <t>NAF-10-12-2024-230</t>
  </si>
  <si>
    <t>GSIPL-07-12-2024-488</t>
  </si>
  <si>
    <t>CYIENT-18-12-2024-13089</t>
  </si>
  <si>
    <t>GEBBS-17-12-2024-2156</t>
  </si>
  <si>
    <t>TIANISH-17-12-2024-01</t>
  </si>
  <si>
    <t>LTIM-09-10-2024-15604</t>
  </si>
  <si>
    <t>FAPL-01-12-2022-5742</t>
  </si>
  <si>
    <t>SIFY-27-11-2024-961</t>
  </si>
  <si>
    <t>WIPRO-04-12-2024-21857</t>
  </si>
  <si>
    <t>GALLAGHER-28-11-2024-6979</t>
  </si>
  <si>
    <t>RRKL-19-12-2023-587</t>
  </si>
  <si>
    <t>WIPRO-13-12-2024-21909</t>
  </si>
  <si>
    <t>EUREKA-14-12-2024-28572</t>
  </si>
  <si>
    <t>EUREKA-04-12-2024-28386</t>
  </si>
  <si>
    <t>WIPRO-12-12-2024-21956</t>
  </si>
  <si>
    <t>Titan-09-12-2024-3936</t>
  </si>
  <si>
    <t>AZUGA-11-12-2024-439</t>
  </si>
  <si>
    <t>WIPRO-21-12-2024-22111</t>
  </si>
  <si>
    <t>SUREMINDS-03-12-2024-108</t>
  </si>
  <si>
    <t>AMBIT-10-12-2024-4906</t>
  </si>
  <si>
    <t>WSSH-21-12-2024-9805</t>
  </si>
  <si>
    <t>AMBIT-04-12-2024-4826</t>
  </si>
  <si>
    <t>TCS-29-08-2024-26232</t>
  </si>
  <si>
    <t>BGIPL-18-12-2024-583</t>
  </si>
  <si>
    <t>AMBIT-12-12-2024-4912</t>
  </si>
  <si>
    <t>RRKL-23-02-2024-589</t>
  </si>
  <si>
    <t>TechM-13-12-2024-8782</t>
  </si>
  <si>
    <t>IKYA-09-12-2024-5666</t>
  </si>
  <si>
    <t>LTIM-15-11-2024-16978</t>
  </si>
</sst>
</file>

<file path=xl/styles.xml><?xml version="1.0" encoding="utf-8"?>
<styleSheet xmlns="http://schemas.openxmlformats.org/spreadsheetml/2006/main" xmlns:mc="http://schemas.openxmlformats.org/markup-compatibility/2006" xmlns:x14ac="http://schemas.microsoft.com/office/spreadsheetml/2009/9/ac" mc:Ignorable="x14ac">
  <fonts count="5">
    <font>
      <sz val="11"/>
      <color theme="1"/>
      <name val="Amasis MT Pro"/>
      <family val="2"/>
    </font>
    <font>
      <b/>
      <sz val="11"/>
      <color theme="0"/>
      <name val="Amasis MT Pro"/>
      <family val="2"/>
    </font>
    <font>
      <sz val="11"/>
      <color theme="1"/>
      <name val="Calibri"/>
      <family val="2"/>
    </font>
    <font>
      <sz val="8"/>
      <color theme="1"/>
      <name val="Aptos Narrow"/>
      <family val="2"/>
      <scheme val="minor"/>
    </font>
    <font>
      <b/>
      <sz val="11"/>
      <color theme="1"/>
      <name val="Amasis MT Pro"/>
      <family val="1"/>
    </font>
  </fonts>
  <fills count="8">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theme="2"/>
        <bgColor indexed="64"/>
      </patternFill>
    </fill>
    <fill>
      <patternFill patternType="solid">
        <fgColor theme="4"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2">
    <xf numFmtId="0" fontId="0" fillId="0" borderId="0" xfId="0"/>
    <xf numFmtId="0" fontId="0" fillId="2" borderId="1" xfId="0" applyFill="1" applyBorder="1" applyAlignment="1">
      <alignment horizontal="left"/>
    </xf>
    <xf numFmtId="0" fontId="2" fillId="0" borderId="1" xfId="0" applyFont="1" applyBorder="1"/>
    <xf numFmtId="0" fontId="0" fillId="0" borderId="1" xfId="0" applyBorder="1"/>
    <xf numFmtId="0" fontId="3" fillId="0" borderId="1" xfId="0" applyFont="1" applyBorder="1" applyAlignment="1">
      <alignment horizontal="center" vertical="center"/>
    </xf>
    <xf numFmtId="0" fontId="0" fillId="3" borderId="1" xfId="0" applyFill="1" applyBorder="1"/>
    <xf numFmtId="0" fontId="0" fillId="4" borderId="1" xfId="0" applyFill="1" applyBorder="1"/>
    <xf numFmtId="15" fontId="0" fillId="0" borderId="0" xfId="0" applyNumberFormat="1"/>
    <xf numFmtId="0" fontId="0" fillId="0" borderId="1" xfId="0" pivotButton="1" applyBorder="1"/>
    <xf numFmtId="0" fontId="0" fillId="0" borderId="1" xfId="0" applyBorder="1" applyAlignment="1">
      <alignment horizontal="left"/>
    </xf>
    <xf numFmtId="0" fontId="0" fillId="6" borderId="0" xfId="0" applyFill="1"/>
    <xf numFmtId="10" fontId="0" fillId="0" borderId="1" xfId="0" applyNumberFormat="1" applyBorder="1"/>
    <xf numFmtId="0" fontId="4" fillId="7" borderId="1" xfId="0" applyFont="1" applyFill="1" applyBorder="1"/>
    <xf numFmtId="9" fontId="0" fillId="0" borderId="1" xfId="0" applyNumberFormat="1" applyBorder="1"/>
    <xf numFmtId="9" fontId="4" fillId="7" borderId="1" xfId="0" applyNumberFormat="1" applyFont="1" applyFill="1" applyBorder="1"/>
    <xf numFmtId="0" fontId="4" fillId="0" borderId="1" xfId="0" applyFont="1" applyBorder="1"/>
    <xf numFmtId="0" fontId="0" fillId="4" borderId="0" xfId="0" applyFill="1"/>
    <xf numFmtId="0" fontId="1" fillId="5" borderId="0" xfId="0" applyFont="1" applyFill="1"/>
    <xf numFmtId="15" fontId="1" fillId="5" borderId="0" xfId="0" applyNumberFormat="1" applyFont="1" applyFill="1"/>
    <xf numFmtId="15" fontId="0" fillId="4" borderId="0" xfId="0" applyNumberFormat="1" applyFill="1"/>
    <xf numFmtId="9" fontId="0" fillId="0" borderId="0" xfId="0" applyNumberFormat="1"/>
    <xf numFmtId="0" fontId="0" fillId="0" borderId="1" xfId="0" applyNumberFormat="1" applyBorder="1"/>
  </cellXfs>
  <cellStyles count="1">
    <cellStyle name="Normal" xfId="0" builtinId="0"/>
  </cellStyles>
  <dxfs count="47">
    <dxf>
      <numFmt numFmtId="0" formatCode="General"/>
    </dxf>
    <dxf>
      <numFmt numFmtId="20" formatCode="dd/mmm/yy"/>
    </dxf>
    <dxf>
      <font>
        <color rgb="FF9C0006"/>
      </font>
      <fill>
        <patternFill>
          <bgColor rgb="FFFFC7CE"/>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sz val="11"/>
        <color theme="1"/>
      </font>
    </dxf>
    <dxf>
      <fill>
        <patternFill patternType="solid">
          <fgColor theme="0"/>
          <bgColor theme="2" tint="-9.9948118533890809E-2"/>
        </patternFill>
      </fill>
      <border>
        <left style="thin">
          <color theme="1" tint="-0.499984740745262"/>
        </left>
        <right style="thin">
          <color theme="1" tint="-0.499984740745262"/>
        </right>
        <top style="thin">
          <color theme="1" tint="-0.499984740745262"/>
        </top>
        <bottom style="thin">
          <color theme="1" tint="-0.499984740745262"/>
        </bottom>
      </border>
    </dxf>
    <dxf>
      <border>
        <left style="thin">
          <color auto="1"/>
        </left>
        <right style="thin">
          <color auto="1"/>
        </right>
        <top style="thin">
          <color auto="1"/>
        </top>
        <bottom style="thin">
          <color auto="1"/>
        </bottom>
        <vertical style="thin">
          <color auto="1"/>
        </vertical>
        <horizontal style="thin">
          <color auto="1"/>
        </horizontal>
      </border>
    </dxf>
    <dxf>
      <font>
        <b/>
        <i val="0"/>
        <color auto="1"/>
      </font>
      <fill>
        <patternFill>
          <bgColor theme="2" tint="-0.499984740745262"/>
        </patternFill>
      </fill>
    </dxf>
    <dxf>
      <fill>
        <patternFill>
          <bgColor theme="2" tint="-9.9948118533890809E-2"/>
        </patternFill>
      </fill>
      <border>
        <left style="thin">
          <color auto="1"/>
        </left>
        <right style="thin">
          <color auto="1"/>
        </right>
        <top style="thin">
          <color auto="1"/>
        </top>
        <bottom style="thin">
          <color auto="1"/>
        </bottom>
      </border>
    </dxf>
  </dxfs>
  <tableStyles count="3" defaultTableStyle="TableStyleMedium2" defaultPivotStyle="PivotStyleLight16">
    <tableStyle name="Slicer Style 1" pivot="0" table="0" count="3">
      <tableStyleElement type="wholeTable" dxfId="46"/>
      <tableStyleElement type="headerRow" dxfId="45"/>
    </tableStyle>
    <tableStyle name="Table Style 1" pivot="0" count="1">
      <tableStyleElement type="wholeTable" dxfId="44"/>
    </tableStyle>
    <tableStyle name="Timeline Style 1" pivot="0" table="0" count="8">
      <tableStyleElement type="wholeTable" dxfId="43"/>
      <tableStyleElement type="headerRow" dxfId="42"/>
    </tableStyle>
  </tableStyles>
  <colors>
    <mruColors>
      <color rgb="FFFB4B4B"/>
      <color rgb="FFEE3F22"/>
    </mruColors>
  </colors>
  <extLst>
    <ext xmlns:x14="http://schemas.microsoft.com/office/spreadsheetml/2009/9/main" uri="{46F421CA-312F-682f-3DD2-61675219B42D}">
      <x14:dxfs count="1">
        <dxf>
          <font>
            <color theme="1"/>
          </font>
          <fill>
            <patternFill>
              <fgColor theme="5" tint="-0.499984740745262"/>
              <bgColor theme="2" tint="-0.499984740745262"/>
            </patternFill>
          </fill>
          <border>
            <left style="thin">
              <color auto="1"/>
            </left>
            <right style="thin">
              <color auto="1"/>
            </right>
            <top style="thin">
              <color auto="1"/>
            </top>
            <bottom style="thin">
              <color auto="1"/>
            </bottom>
          </border>
        </dxf>
      </x14:dxfs>
    </ext>
    <ext xmlns:x14="http://schemas.microsoft.com/office/spreadsheetml/2009/9/main" uri="{EB79DEF2-80B8-43e5-95BD-54CBDDF9020C}">
      <x14:slicerStyles defaultSlicerStyle="SlicerStyleLight1">
        <x14:slicerStyle name="Slicer Style 1">
          <x14:slicerStyleElements>
            <x14:slicerStyleElement type="selectedItemWithData" dxfId="0"/>
          </x14:slicerStyleElements>
        </x14:slicerStyle>
      </x14:slicerStyles>
    </ext>
    <ext xmlns:x15="http://schemas.microsoft.com/office/spreadsheetml/2010/11/main" uri="{A0A4C193-F2C1-4fcb-8827-314CF55A85BB}">
      <x15:dxfs count="6">
        <dxf>
          <fill>
            <patternFill patternType="solid">
              <fgColor theme="0" tint="-0.14999847407452621"/>
              <bgColor theme="0" tint="-0.14999847407452621"/>
            </patternFill>
          </fill>
        </dxf>
        <dxf>
          <fill>
            <patternFill patternType="solid">
              <fgColor theme="0"/>
              <bgColor rgb="FFFF0000"/>
            </patternFill>
          </fill>
        </dxf>
        <dxf>
          <font>
            <sz val="9"/>
            <color theme="1"/>
            <name val="Aptos Narrow"/>
            <scheme val="minor"/>
          </font>
        </dxf>
        <dxf>
          <font>
            <sz val="9"/>
            <color theme="1"/>
            <name val="Aptos Narrow"/>
            <scheme val="minor"/>
          </font>
        </dxf>
        <dxf>
          <font>
            <sz val="9"/>
            <color theme="1"/>
            <name val="Aptos Narrow"/>
            <scheme val="minor"/>
          </font>
        </dxf>
        <dxf>
          <font>
            <sz val="10"/>
            <color theme="1"/>
            <name val="Aptos Narrow"/>
            <scheme val="minor"/>
          </font>
        </dxf>
      </x15:dxfs>
    </ext>
    <ext xmlns:x15="http://schemas.microsoft.com/office/spreadsheetml/2010/11/main" uri="{9260A510-F301-46a8-8635-F512D64BE5F5}">
      <x15:timelineStyles defaultTimelineStyle="TimeSlicerStyleLight1">
        <x15:timelineStyle name="Timeline Style 1">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3.xml"/><Relationship Id="rId13" Type="http://schemas.openxmlformats.org/officeDocument/2006/relationships/pivotCacheDefinition" Target="pivotCache/pivotCacheDefinition8.xml"/><Relationship Id="rId18" Type="http://schemas.microsoft.com/office/2011/relationships/timelineCache" Target="timelineCaches/timelineCache1.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pivotCacheDefinition" Target="pivotCache/pivotCacheDefinition2.xml"/><Relationship Id="rId12" Type="http://schemas.openxmlformats.org/officeDocument/2006/relationships/pivotCacheDefinition" Target="pivotCache/pivotCacheDefinition7.xml"/><Relationship Id="rId17" Type="http://schemas.openxmlformats.org/officeDocument/2006/relationships/pivotCacheDefinition" Target="pivotCache/pivotCacheDefinition10.xml"/><Relationship Id="rId25" Type="http://schemas.openxmlformats.org/officeDocument/2006/relationships/customXml" Target="../customXml/item1.xml"/><Relationship Id="rId2" Type="http://schemas.openxmlformats.org/officeDocument/2006/relationships/worksheet" Target="worksheets/sheet2.xml"/><Relationship Id="rId16" Type="http://schemas.microsoft.com/office/2007/relationships/slicerCache" Target="slicerCaches/slicerCache2.xml"/><Relationship Id="rId20" Type="http://schemas.openxmlformats.org/officeDocument/2006/relationships/connections" Target="connections.xml"/><Relationship Id="rId29"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pivotCacheDefinition" Target="pivotCache/pivotCacheDefinition6.xml"/><Relationship Id="rId24" Type="http://schemas.openxmlformats.org/officeDocument/2006/relationships/calcChain" Target="calcChain.xml"/><Relationship Id="rId5" Type="http://schemas.openxmlformats.org/officeDocument/2006/relationships/worksheet" Target="worksheets/sheet5.xml"/><Relationship Id="rId15" Type="http://schemas.microsoft.com/office/2007/relationships/slicerCache" Target="slicerCaches/slicerCache1.xml"/><Relationship Id="rId23" Type="http://schemas.openxmlformats.org/officeDocument/2006/relationships/powerPivotData" Target="model/item.data"/><Relationship Id="rId28" Type="http://schemas.openxmlformats.org/officeDocument/2006/relationships/customXml" Target="../customXml/item4.xml"/><Relationship Id="rId10" Type="http://schemas.openxmlformats.org/officeDocument/2006/relationships/pivotCacheDefinition" Target="pivotCache/pivotCacheDefinition5.xml"/><Relationship Id="rId19" Type="http://schemas.openxmlformats.org/officeDocument/2006/relationships/theme" Target="theme/theme1.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4" Type="http://schemas.openxmlformats.org/officeDocument/2006/relationships/pivotCacheDefinition" Target="pivotCache/pivotCacheDefinition9.xml"/><Relationship Id="rId22" Type="http://schemas.openxmlformats.org/officeDocument/2006/relationships/sharedStrings" Target="sharedStrings.xml"/><Relationship Id="rId27" Type="http://schemas.openxmlformats.org/officeDocument/2006/relationships/customXml" Target="../customXml/item3.xml"/><Relationship Id="rId30" Type="http://schemas.openxmlformats.org/officeDocument/2006/relationships/customXml" Target="../customXml/item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6.xml"/><Relationship Id="rId1" Type="http://schemas.microsoft.com/office/2011/relationships/chartStyle" Target="style6.xml"/></Relationships>
</file>

<file path=xl/charts/_rels/chart9.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[MTD Rejection.xlsm]Pivot!Weekday Rejection</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s>
    <c:plotArea>
      <c:layout/>
      <c:barChart>
        <c:barDir val="bar"/>
        <c:grouping val="clustered"/>
        <c:varyColors val="0"/>
        <c:ser>
          <c:idx val="0"/>
          <c:order val="0"/>
          <c:tx>
            <c:strRef>
              <c:f>Pivot!$Z$8</c:f>
              <c:strCache>
                <c:ptCount val="1"/>
                <c:pt idx="0">
                  <c:v>MTD Rejection</c:v>
                </c:pt>
              </c:strCache>
            </c:strRef>
          </c:tx>
          <c:spPr>
            <a:solidFill>
              <a:schemeClr val="accent1"/>
            </a:solidFill>
            <a:ln>
              <a:noFill/>
            </a:ln>
            <a:effectLst/>
          </c:spPr>
          <c:invertIfNegative val="0"/>
          <c:cat>
            <c:strRef>
              <c:f>Pivot!$Y$9:$Y$16</c:f>
              <c:strCache>
                <c:ptCount val="7"/>
                <c:pt idx="0">
                  <c:v>Thursday</c:v>
                </c:pt>
                <c:pt idx="1">
                  <c:v>Friday</c:v>
                </c:pt>
                <c:pt idx="2">
                  <c:v>Monday</c:v>
                </c:pt>
                <c:pt idx="3">
                  <c:v>Saturday</c:v>
                </c:pt>
                <c:pt idx="4">
                  <c:v>Sunday</c:v>
                </c:pt>
                <c:pt idx="5">
                  <c:v>Tuesday</c:v>
                </c:pt>
                <c:pt idx="6">
                  <c:v>Wednesday</c:v>
                </c:pt>
              </c:strCache>
            </c:strRef>
          </c:cat>
          <c:val>
            <c:numRef>
              <c:f>Pivot!$Z$9:$Z$16</c:f>
              <c:numCache>
                <c:formatCode>General</c:formatCode>
                <c:ptCount val="7"/>
                <c:pt idx="0">
                  <c:v>718</c:v>
                </c:pt>
                <c:pt idx="1">
                  <c:v>662</c:v>
                </c:pt>
                <c:pt idx="2">
                  <c:v>1109</c:v>
                </c:pt>
                <c:pt idx="3">
                  <c:v>258</c:v>
                </c:pt>
                <c:pt idx="4">
                  <c:v>35</c:v>
                </c:pt>
                <c:pt idx="5">
                  <c:v>907</c:v>
                </c:pt>
                <c:pt idx="6">
                  <c:v>961</c:v>
                </c:pt>
              </c:numCache>
            </c:numRef>
          </c:val>
          <c:extLst xmlns:c16r2="http://schemas.microsoft.com/office/drawing/2015/06/chart">
            <c:ext xmlns:c16="http://schemas.microsoft.com/office/drawing/2014/chart" uri="{C3380CC4-5D6E-409C-BE32-E72D297353CC}">
              <c16:uniqueId val="{00000000-EF7A-4668-9910-DD261B3DE098}"/>
            </c:ext>
          </c:extLst>
        </c:ser>
        <c:ser>
          <c:idx val="1"/>
          <c:order val="1"/>
          <c:tx>
            <c:strRef>
              <c:f>Pivot!$AA$8</c:f>
              <c:strCache>
                <c:ptCount val="1"/>
                <c:pt idx="0">
                  <c:v>Pending Rejection</c:v>
                </c:pt>
              </c:strCache>
            </c:strRef>
          </c:tx>
          <c:spPr>
            <a:solidFill>
              <a:schemeClr val="accent2"/>
            </a:solidFill>
            <a:ln>
              <a:noFill/>
            </a:ln>
            <a:effectLst/>
          </c:spPr>
          <c:invertIfNegative val="0"/>
          <c:cat>
            <c:strRef>
              <c:f>Pivot!$Y$9:$Y$16</c:f>
              <c:strCache>
                <c:ptCount val="7"/>
                <c:pt idx="0">
                  <c:v>Thursday</c:v>
                </c:pt>
                <c:pt idx="1">
                  <c:v>Friday</c:v>
                </c:pt>
                <c:pt idx="2">
                  <c:v>Monday</c:v>
                </c:pt>
                <c:pt idx="3">
                  <c:v>Saturday</c:v>
                </c:pt>
                <c:pt idx="4">
                  <c:v>Sunday</c:v>
                </c:pt>
                <c:pt idx="5">
                  <c:v>Tuesday</c:v>
                </c:pt>
                <c:pt idx="6">
                  <c:v>Wednesday</c:v>
                </c:pt>
              </c:strCache>
            </c:strRef>
          </c:cat>
          <c:val>
            <c:numRef>
              <c:f>Pivot!$AA$9:$AA$16</c:f>
              <c:numCache>
                <c:formatCode>General</c:formatCode>
                <c:ptCount val="7"/>
                <c:pt idx="0">
                  <c:v>14</c:v>
                </c:pt>
                <c:pt idx="1">
                  <c:v>21</c:v>
                </c:pt>
                <c:pt idx="2">
                  <c:v>65</c:v>
                </c:pt>
                <c:pt idx="3">
                  <c:v>14</c:v>
                </c:pt>
                <c:pt idx="4">
                  <c:v>12</c:v>
                </c:pt>
                <c:pt idx="5">
                  <c:v>57</c:v>
                </c:pt>
                <c:pt idx="6">
                  <c:v>10</c:v>
                </c:pt>
              </c:numCache>
            </c:numRef>
          </c:val>
          <c:extLst xmlns:c16r2="http://schemas.microsoft.com/office/drawing/2015/06/chart">
            <c:ext xmlns:c16="http://schemas.microsoft.com/office/drawing/2014/chart" uri="{C3380CC4-5D6E-409C-BE32-E72D297353CC}">
              <c16:uniqueId val="{00000001-EF7A-4668-9910-DD261B3DE098}"/>
            </c:ext>
          </c:extLst>
        </c:ser>
        <c:dLbls>
          <c:showLegendKey val="0"/>
          <c:showVal val="0"/>
          <c:showCatName val="0"/>
          <c:showSerName val="0"/>
          <c:showPercent val="0"/>
          <c:showBubbleSize val="0"/>
        </c:dLbls>
        <c:gapWidth val="182"/>
        <c:axId val="196497192"/>
        <c:axId val="196496800"/>
      </c:barChart>
      <c:catAx>
        <c:axId val="196497192"/>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496800"/>
        <c:crosses val="autoZero"/>
        <c:auto val="1"/>
        <c:lblAlgn val="ctr"/>
        <c:lblOffset val="100"/>
        <c:noMultiLvlLbl val="0"/>
      </c:catAx>
      <c:valAx>
        <c:axId val="196496800"/>
        <c:scaling>
          <c:orientation val="minMax"/>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en-US"/>
          </a:p>
        </c:txPr>
        <c:crossAx val="19649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[MTD Rejection.xlsm]Pivot!DayWise Rejection</c:name>
    <c:fmtId val="4"/>
  </c:pivotSource>
  <c:chart>
    <c:autoTitleDeleted val="0"/>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
        <c:spPr>
          <a:ln w="28575" cap="rnd">
            <a:solidFill>
              <a:schemeClr val="accent2">
                <a:lumMod val="50000"/>
              </a:schemeClr>
            </a:solidFill>
            <a:round/>
          </a:ln>
          <a:effectLst/>
        </c:spPr>
        <c:marker>
          <c:symbol val="circle"/>
          <c:size val="5"/>
          <c:spPr>
            <a:solidFill>
              <a:srgbClr val="FF0000"/>
            </a:solidFill>
            <a:ln w="9525">
              <a:solidFill>
                <a:schemeClr val="accent2">
                  <a:lumMod val="50000"/>
                </a:schemeClr>
              </a:solidFill>
            </a:ln>
            <a:effectLst/>
          </c:spPr>
        </c:marker>
      </c:pivotFmt>
      <c:pivotFmt>
        <c:idx val="5"/>
        <c:spPr>
          <a:ln w="28575" cap="rnd">
            <a:solidFill>
              <a:schemeClr val="accent1"/>
            </a:solidFill>
            <a:round/>
          </a:ln>
          <a:effectLst/>
        </c:spPr>
        <c:marker>
          <c:symbol val="circle"/>
          <c:size val="5"/>
          <c:spPr>
            <a:solidFill>
              <a:schemeClr val="accent2">
                <a:lumMod val="50000"/>
              </a:schemeClr>
            </a:solidFill>
            <a:ln w="9525">
              <a:solidFill>
                <a:schemeClr val="accent2"/>
              </a:solidFill>
            </a:ln>
            <a:effectLst/>
          </c:spPr>
        </c:marker>
      </c:pivotFmt>
      <c:pivotFmt>
        <c:idx val="6"/>
        <c:spPr>
          <a:ln w="28575" cap="rnd">
            <a:solidFill>
              <a:schemeClr val="accent1"/>
            </a:solidFill>
            <a:round/>
          </a:ln>
          <a:effectLst/>
        </c:spPr>
        <c:marker>
          <c:symbol val="circle"/>
          <c:size val="5"/>
          <c:spPr>
            <a:solidFill>
              <a:schemeClr val="accent2">
                <a:lumMod val="50000"/>
              </a:schemeClr>
            </a:solidFill>
            <a:ln w="9525">
              <a:solidFill>
                <a:schemeClr val="accent2"/>
              </a:solidFill>
            </a:ln>
            <a:effectLst/>
          </c:spPr>
        </c:marker>
      </c:pivotFmt>
      <c:pivotFmt>
        <c:idx val="7"/>
        <c:spPr>
          <a:ln w="28575" cap="rnd">
            <a:solidFill>
              <a:schemeClr val="accent2">
                <a:lumMod val="50000"/>
              </a:schemeClr>
            </a:solidFill>
            <a:round/>
          </a:ln>
          <a:effectLst/>
        </c:spPr>
        <c:marker>
          <c:symbol val="circle"/>
          <c:size val="5"/>
          <c:spPr>
            <a:solidFill>
              <a:srgbClr val="FF0000"/>
            </a:solidFill>
            <a:ln w="9525">
              <a:solidFill>
                <a:schemeClr val="accent2">
                  <a:lumMod val="50000"/>
                </a:schemeClr>
              </a:solidFill>
            </a:ln>
            <a:effectLst/>
          </c:spPr>
        </c:marker>
      </c:pivotFmt>
      <c:pivotFmt>
        <c:idx val="8"/>
        <c:spPr>
          <a:ln w="28575" cap="rnd">
            <a:solidFill>
              <a:schemeClr val="accent1"/>
            </a:solidFill>
            <a:round/>
          </a:ln>
          <a:effectLst/>
        </c:spPr>
        <c:marker>
          <c:symbol val="circle"/>
          <c:size val="5"/>
          <c:spPr>
            <a:solidFill>
              <a:schemeClr val="accent2">
                <a:lumMod val="50000"/>
              </a:schemeClr>
            </a:solidFill>
            <a:ln w="9525">
              <a:solidFill>
                <a:schemeClr val="accent2"/>
              </a:solidFill>
            </a:ln>
            <a:effectLst/>
          </c:spPr>
        </c:marker>
      </c:pivotFmt>
      <c:pivotFmt>
        <c:idx val="9"/>
        <c:spPr>
          <a:ln w="28575" cap="rnd">
            <a:solidFill>
              <a:schemeClr val="accent2">
                <a:lumMod val="50000"/>
              </a:schemeClr>
            </a:solidFill>
            <a:round/>
          </a:ln>
          <a:effectLst/>
        </c:spPr>
        <c:marker>
          <c:symbol val="circle"/>
          <c:size val="5"/>
          <c:spPr>
            <a:solidFill>
              <a:srgbClr val="FF0000"/>
            </a:solidFill>
            <a:ln w="9525">
              <a:solidFill>
                <a:schemeClr val="accent2">
                  <a:lumMod val="50000"/>
                </a:schemeClr>
              </a:solidFill>
            </a:ln>
            <a:effectLst/>
          </c:spPr>
        </c:marker>
      </c:pivotFmt>
      <c:pivotFmt>
        <c:idx val="10"/>
        <c:spPr>
          <a:ln w="28575" cap="rnd">
            <a:solidFill>
              <a:schemeClr val="accent1"/>
            </a:solidFill>
            <a:round/>
          </a:ln>
          <a:effectLst/>
        </c:spPr>
        <c:marker>
          <c:symbol val="circle"/>
          <c:size val="5"/>
          <c:spPr>
            <a:solidFill>
              <a:schemeClr val="accent2">
                <a:lumMod val="50000"/>
              </a:schemeClr>
            </a:solidFill>
            <a:ln w="9525">
              <a:solidFill>
                <a:schemeClr val="accent2"/>
              </a:solidFill>
            </a:ln>
            <a:effectLst/>
          </c:spPr>
        </c:marker>
      </c:pivotFmt>
      <c:pivotFmt>
        <c:idx val="11"/>
        <c:spPr>
          <a:ln w="28575" cap="rnd">
            <a:solidFill>
              <a:schemeClr val="accent1"/>
            </a:solidFill>
            <a:round/>
          </a:ln>
          <a:effectLst/>
        </c:spPr>
        <c:marker>
          <c:symbol val="circle"/>
          <c:size val="5"/>
          <c:spPr>
            <a:solidFill>
              <a:schemeClr val="accent2">
                <a:lumMod val="50000"/>
              </a:schemeClr>
            </a:solidFill>
            <a:ln w="9525">
              <a:solidFill>
                <a:schemeClr val="accent2"/>
              </a:solidFill>
            </a:ln>
            <a:effectLst/>
          </c:spPr>
        </c:marker>
      </c:pivotFmt>
      <c:pivotFmt>
        <c:idx val="12"/>
        <c:spPr>
          <a:ln w="28575" cap="rnd">
            <a:solidFill>
              <a:schemeClr val="accent1"/>
            </a:solidFill>
            <a:round/>
          </a:ln>
          <a:effectLst/>
        </c:spPr>
        <c:marker>
          <c:symbol val="circle"/>
          <c:size val="5"/>
          <c:spPr>
            <a:solidFill>
              <a:schemeClr val="accent2">
                <a:lumMod val="50000"/>
              </a:schemeClr>
            </a:solidFill>
            <a:ln w="9525">
              <a:solidFill>
                <a:schemeClr val="accent2"/>
              </a:solidFill>
            </a:ln>
            <a:effectLst/>
          </c:spPr>
        </c:marker>
      </c:pivotFmt>
      <c:pivotFmt>
        <c:idx val="13"/>
        <c:spPr>
          <a:ln w="28575" cap="rnd">
            <a:solidFill>
              <a:schemeClr val="accent2">
                <a:lumMod val="50000"/>
              </a:schemeClr>
            </a:solidFill>
            <a:round/>
          </a:ln>
          <a:effectLst/>
        </c:spPr>
        <c:marker>
          <c:symbol val="circle"/>
          <c:size val="5"/>
          <c:spPr>
            <a:solidFill>
              <a:srgbClr val="FF0000"/>
            </a:solidFill>
            <a:ln w="9525">
              <a:solidFill>
                <a:schemeClr val="accent2">
                  <a:lumMod val="50000"/>
                </a:schemeClr>
              </a:solidFill>
            </a:ln>
            <a:effectLst/>
          </c:spPr>
        </c:marker>
      </c:pivotFmt>
      <c:pivotFmt>
        <c:idx val="14"/>
        <c:spPr>
          <a:ln w="28575" cap="rnd">
            <a:solidFill>
              <a:schemeClr val="accent1"/>
            </a:solidFill>
            <a:round/>
          </a:ln>
          <a:effectLst/>
        </c:spPr>
        <c:marker>
          <c:symbol val="circle"/>
          <c:size val="5"/>
          <c:spPr>
            <a:solidFill>
              <a:schemeClr val="accent2">
                <a:lumMod val="50000"/>
              </a:schemeClr>
            </a:solidFill>
            <a:ln w="9525">
              <a:solidFill>
                <a:schemeClr val="accent2"/>
              </a:solidFill>
            </a:ln>
            <a:effectLst/>
          </c:spPr>
        </c:marker>
      </c:pivotFmt>
      <c:pivotFmt>
        <c:idx val="15"/>
        <c:spPr>
          <a:ln w="28575" cap="rnd">
            <a:solidFill>
              <a:schemeClr val="accent1"/>
            </a:solidFill>
            <a:round/>
          </a:ln>
          <a:effectLst/>
        </c:spPr>
        <c:marker>
          <c:symbol val="circle"/>
          <c:size val="5"/>
          <c:spPr>
            <a:solidFill>
              <a:schemeClr val="accent2">
                <a:lumMod val="50000"/>
              </a:schemeClr>
            </a:solidFill>
            <a:ln w="9525">
              <a:solidFill>
                <a:schemeClr val="accent2"/>
              </a:solidFill>
            </a:ln>
            <a:effectLst/>
          </c:spPr>
        </c:marker>
      </c:pivotFmt>
      <c:pivotFmt>
        <c:idx val="16"/>
        <c:spPr>
          <a:ln w="28575" cap="rnd">
            <a:solidFill>
              <a:schemeClr val="accent1"/>
            </a:solidFill>
            <a:round/>
          </a:ln>
          <a:effectLst/>
        </c:spPr>
        <c:marker>
          <c:symbol val="circle"/>
          <c:size val="5"/>
          <c:spPr>
            <a:solidFill>
              <a:schemeClr val="accent2">
                <a:lumMod val="50000"/>
              </a:schemeClr>
            </a:solidFill>
            <a:ln w="9525">
              <a:solidFill>
                <a:schemeClr val="accent2"/>
              </a:solidFill>
            </a:ln>
            <a:effectLst/>
          </c:spPr>
        </c:marker>
      </c:pivotFmt>
      <c:pivotFmt>
        <c:idx val="17"/>
        <c:spPr>
          <a:ln w="28575" cap="rnd">
            <a:solidFill>
              <a:schemeClr val="accent2">
                <a:lumMod val="50000"/>
              </a:schemeClr>
            </a:solidFill>
            <a:round/>
          </a:ln>
          <a:effectLst/>
        </c:spPr>
        <c:marker>
          <c:symbol val="circle"/>
          <c:size val="5"/>
          <c:spPr>
            <a:solidFill>
              <a:srgbClr val="FF0000"/>
            </a:solidFill>
            <a:ln w="9525">
              <a:solidFill>
                <a:schemeClr val="accent2">
                  <a:lumMod val="50000"/>
                </a:schemeClr>
              </a:solidFill>
            </a:ln>
            <a:effectLst/>
          </c:spPr>
        </c:marker>
      </c:pivotFmt>
      <c:pivotFmt>
        <c:idx val="18"/>
        <c:spPr>
          <a:ln w="28575" cap="rnd">
            <a:solidFill>
              <a:schemeClr val="accent2">
                <a:lumMod val="50000"/>
              </a:schemeClr>
            </a:solidFill>
            <a:round/>
          </a:ln>
          <a:effectLst/>
        </c:spPr>
        <c:marker>
          <c:symbol val="circle"/>
          <c:size val="5"/>
          <c:spPr>
            <a:solidFill>
              <a:srgbClr val="FF0000"/>
            </a:solidFill>
            <a:ln w="9525">
              <a:solidFill>
                <a:schemeClr val="accent2">
                  <a:lumMod val="50000"/>
                </a:schemeClr>
              </a:solidFill>
            </a:ln>
            <a:effectLst/>
          </c:spPr>
        </c:marker>
      </c:pivotFmt>
      <c:pivotFmt>
        <c:idx val="19"/>
        <c:spPr>
          <a:ln w="28575" cap="rnd">
            <a:solidFill>
              <a:schemeClr val="accent1"/>
            </a:solidFill>
            <a:round/>
          </a:ln>
          <a:effectLst/>
        </c:spPr>
        <c:marker>
          <c:symbol val="circle"/>
          <c:size val="5"/>
          <c:spPr>
            <a:solidFill>
              <a:schemeClr val="accent2">
                <a:lumMod val="50000"/>
              </a:schemeClr>
            </a:solidFill>
            <a:ln w="9525">
              <a:solidFill>
                <a:schemeClr val="accent2"/>
              </a:solidFill>
            </a:ln>
            <a:effectLst/>
          </c:spPr>
        </c:marker>
      </c:pivotFmt>
      <c:pivotFmt>
        <c:idx val="20"/>
        <c:spPr>
          <a:ln w="28575" cap="rnd">
            <a:solidFill>
              <a:schemeClr val="accent2">
                <a:lumMod val="50000"/>
              </a:schemeClr>
            </a:solidFill>
            <a:round/>
          </a:ln>
          <a:effectLst/>
        </c:spPr>
        <c:marker>
          <c:symbol val="circle"/>
          <c:size val="5"/>
          <c:spPr>
            <a:solidFill>
              <a:srgbClr val="FF0000"/>
            </a:solidFill>
            <a:ln w="9525">
              <a:solidFill>
                <a:schemeClr val="accent2">
                  <a:lumMod val="50000"/>
                </a:schemeClr>
              </a:solidFill>
            </a:ln>
            <a:effectLst/>
          </c:spPr>
        </c:marker>
      </c:pivotFmt>
      <c:pivotFmt>
        <c:idx val="21"/>
        <c:spPr>
          <a:ln w="28575" cap="rnd">
            <a:solidFill>
              <a:schemeClr val="accent1"/>
            </a:solidFill>
            <a:round/>
          </a:ln>
          <a:effectLst/>
        </c:spPr>
        <c:marker>
          <c:symbol val="circle"/>
          <c:size val="5"/>
          <c:spPr>
            <a:solidFill>
              <a:schemeClr val="accent2">
                <a:lumMod val="50000"/>
              </a:schemeClr>
            </a:solidFill>
            <a:ln w="9525">
              <a:solidFill>
                <a:schemeClr val="accent2"/>
              </a:solidFill>
            </a:ln>
            <a:effectLst/>
          </c:spPr>
        </c:marker>
      </c:pivotFmt>
      <c:pivotFmt>
        <c:idx val="22"/>
        <c:spPr>
          <a:ln w="28575" cap="rnd">
            <a:solidFill>
              <a:schemeClr val="accent2">
                <a:lumMod val="50000"/>
              </a:schemeClr>
            </a:solidFill>
            <a:round/>
          </a:ln>
          <a:effectLst/>
        </c:spPr>
        <c:marker>
          <c:symbol val="circle"/>
          <c:size val="5"/>
          <c:spPr>
            <a:solidFill>
              <a:srgbClr val="FF0000"/>
            </a:solidFill>
            <a:ln w="9525">
              <a:solidFill>
                <a:schemeClr val="accent2">
                  <a:lumMod val="50000"/>
                </a:schemeClr>
              </a:solidFill>
            </a:ln>
            <a:effectLst/>
          </c:spPr>
        </c:marker>
      </c:pivotFmt>
      <c:pivotFmt>
        <c:idx val="23"/>
        <c:spPr>
          <a:ln w="28575" cap="rnd">
            <a:solidFill>
              <a:schemeClr val="accent1"/>
            </a:solidFill>
            <a:round/>
          </a:ln>
          <a:effectLst/>
        </c:spPr>
        <c:marker>
          <c:symbol val="circle"/>
          <c:size val="5"/>
          <c:spPr>
            <a:solidFill>
              <a:schemeClr val="accent2">
                <a:lumMod val="50000"/>
              </a:schemeClr>
            </a:solidFill>
            <a:ln w="9525">
              <a:solidFill>
                <a:schemeClr val="accent2"/>
              </a:solidFill>
            </a:ln>
            <a:effectLst/>
          </c:spPr>
        </c:marker>
      </c:pivotFmt>
      <c:pivotFmt>
        <c:idx val="24"/>
        <c:spPr>
          <a:ln w="28575" cap="rnd">
            <a:solidFill>
              <a:schemeClr val="accent2">
                <a:lumMod val="50000"/>
              </a:schemeClr>
            </a:solidFill>
            <a:round/>
          </a:ln>
          <a:effectLst/>
        </c:spPr>
        <c:marker>
          <c:symbol val="circle"/>
          <c:size val="5"/>
          <c:spPr>
            <a:solidFill>
              <a:srgbClr val="FF0000"/>
            </a:solidFill>
            <a:ln w="9525">
              <a:solidFill>
                <a:schemeClr val="accent2">
                  <a:lumMod val="50000"/>
                </a:schemeClr>
              </a:solidFill>
            </a:ln>
            <a:effectLst/>
          </c:spPr>
        </c:marker>
      </c:pivotFmt>
      <c:pivotFmt>
        <c:idx val="25"/>
        <c:spPr>
          <a:ln w="28575" cap="rnd">
            <a:solidFill>
              <a:schemeClr val="accent1"/>
            </a:solidFill>
            <a:round/>
          </a:ln>
          <a:effectLst/>
        </c:spPr>
        <c:marker>
          <c:symbol val="circle"/>
          <c:size val="5"/>
          <c:spPr>
            <a:solidFill>
              <a:schemeClr val="accent2">
                <a:lumMod val="50000"/>
              </a:schemeClr>
            </a:solidFill>
            <a:ln w="9525">
              <a:solidFill>
                <a:schemeClr val="accent2"/>
              </a:solidFill>
            </a:ln>
            <a:effectLst/>
          </c:spPr>
        </c:marker>
      </c:pivotFmt>
      <c:pivotFmt>
        <c:idx val="26"/>
        <c:spPr>
          <a:ln w="28575" cap="rnd">
            <a:solidFill>
              <a:schemeClr val="accent2">
                <a:lumMod val="50000"/>
              </a:schemeClr>
            </a:solidFill>
            <a:round/>
          </a:ln>
          <a:effectLst/>
        </c:spPr>
        <c:marker>
          <c:symbol val="circle"/>
          <c:size val="5"/>
          <c:spPr>
            <a:solidFill>
              <a:srgbClr val="FF0000"/>
            </a:solidFill>
            <a:ln w="9525">
              <a:solidFill>
                <a:schemeClr val="accent2">
                  <a:lumMod val="50000"/>
                </a:schemeClr>
              </a:solidFill>
            </a:ln>
            <a:effectLst/>
          </c:spPr>
        </c:marker>
      </c:pivotFmt>
      <c:pivotFmt>
        <c:idx val="27"/>
        <c:spPr>
          <a:ln w="28575" cap="rnd">
            <a:solidFill>
              <a:schemeClr val="accent1"/>
            </a:solidFill>
            <a:round/>
          </a:ln>
          <a:effectLst/>
        </c:spPr>
        <c:marker>
          <c:symbol val="circle"/>
          <c:size val="5"/>
          <c:spPr>
            <a:solidFill>
              <a:schemeClr val="accent2">
                <a:lumMod val="50000"/>
              </a:schemeClr>
            </a:solidFill>
            <a:ln w="9525">
              <a:solidFill>
                <a:schemeClr val="accent2"/>
              </a:solidFill>
            </a:ln>
            <a:effectLst/>
          </c:spPr>
        </c:marker>
      </c:pivotFmt>
      <c:pivotFmt>
        <c:idx val="28"/>
        <c:spPr>
          <a:ln w="28575" cap="rnd">
            <a:solidFill>
              <a:schemeClr val="accent2">
                <a:lumMod val="50000"/>
              </a:schemeClr>
            </a:solidFill>
            <a:round/>
          </a:ln>
          <a:effectLst/>
        </c:spPr>
        <c:marker>
          <c:symbol val="circle"/>
          <c:size val="5"/>
          <c:spPr>
            <a:solidFill>
              <a:srgbClr val="FF0000"/>
            </a:solidFill>
            <a:ln w="9525">
              <a:solidFill>
                <a:schemeClr val="accent2">
                  <a:lumMod val="50000"/>
                </a:schemeClr>
              </a:solidFill>
            </a:ln>
            <a:effectLst/>
          </c:spPr>
        </c:marker>
      </c:pivotFmt>
      <c:pivotFmt>
        <c:idx val="29"/>
        <c:spPr>
          <a:ln w="28575" cap="rnd">
            <a:solidFill>
              <a:schemeClr val="accent1"/>
            </a:solidFill>
            <a:round/>
          </a:ln>
          <a:effectLst/>
        </c:spPr>
        <c:marker>
          <c:symbol val="circle"/>
          <c:size val="5"/>
          <c:spPr>
            <a:solidFill>
              <a:schemeClr val="accent2">
                <a:lumMod val="50000"/>
              </a:schemeClr>
            </a:solidFill>
            <a:ln w="9525">
              <a:solidFill>
                <a:schemeClr val="accent2"/>
              </a:solidFill>
            </a:ln>
            <a:effectLst/>
          </c:spPr>
        </c:marker>
      </c:pivotFmt>
      <c:pivotFmt>
        <c:idx val="30"/>
        <c:spPr>
          <a:ln w="28575" cap="rnd">
            <a:solidFill>
              <a:schemeClr val="accent1"/>
            </a:solidFill>
            <a:round/>
          </a:ln>
          <a:effectLst/>
        </c:spPr>
        <c:marker>
          <c:symbol val="circle"/>
          <c:size val="5"/>
          <c:spPr>
            <a:solidFill>
              <a:schemeClr val="accent2">
                <a:lumMod val="50000"/>
              </a:schemeClr>
            </a:solidFill>
            <a:ln w="9525">
              <a:solidFill>
                <a:schemeClr val="accent2"/>
              </a:solidFill>
            </a:ln>
            <a:effectLst/>
          </c:spPr>
        </c:marker>
      </c:pivotFmt>
      <c:pivotFmt>
        <c:idx val="31"/>
        <c:spPr>
          <a:ln w="28575" cap="rnd">
            <a:solidFill>
              <a:schemeClr val="accent1"/>
            </a:solidFill>
            <a:round/>
          </a:ln>
          <a:effectLst/>
        </c:spPr>
        <c:marker>
          <c:symbol val="circle"/>
          <c:size val="5"/>
          <c:spPr>
            <a:solidFill>
              <a:schemeClr val="accent2">
                <a:lumMod val="50000"/>
              </a:schemeClr>
            </a:solidFill>
            <a:ln w="9525">
              <a:solidFill>
                <a:schemeClr val="accent2"/>
              </a:solidFill>
            </a:ln>
            <a:effectLst/>
          </c:spPr>
        </c:marker>
      </c:pivotFmt>
      <c:pivotFmt>
        <c:idx val="32"/>
        <c:spPr>
          <a:ln w="28575" cap="rnd">
            <a:solidFill>
              <a:schemeClr val="accent2">
                <a:lumMod val="50000"/>
              </a:schemeClr>
            </a:solidFill>
            <a:round/>
          </a:ln>
          <a:effectLst/>
        </c:spPr>
        <c:marker>
          <c:symbol val="circle"/>
          <c:size val="5"/>
          <c:spPr>
            <a:solidFill>
              <a:srgbClr val="FF0000"/>
            </a:solidFill>
            <a:ln w="9525">
              <a:solidFill>
                <a:schemeClr val="accent2">
                  <a:lumMod val="50000"/>
                </a:schemeClr>
              </a:solidFill>
            </a:ln>
            <a:effectLst/>
          </c:spPr>
        </c:marker>
      </c:pivotFmt>
    </c:pivotFmts>
    <c:plotArea>
      <c:layout>
        <c:manualLayout>
          <c:layoutTarget val="inner"/>
          <c:xMode val="edge"/>
          <c:yMode val="edge"/>
          <c:x val="1.3791501868718026E-2"/>
          <c:y val="0.16224777342162774"/>
          <c:w val="0.96777531840777953"/>
          <c:h val="0.6753072183968637"/>
        </c:manualLayout>
      </c:layout>
      <c:lineChart>
        <c:grouping val="standard"/>
        <c:varyColors val="0"/>
        <c:ser>
          <c:idx val="0"/>
          <c:order val="0"/>
          <c:tx>
            <c:strRef>
              <c:f>Pivot!$B$12</c:f>
              <c:strCache>
                <c:ptCount val="1"/>
                <c:pt idx="0">
                  <c:v>MTD Rejection</c:v>
                </c:pt>
              </c:strCache>
            </c:strRef>
          </c:tx>
          <c:spPr>
            <a:ln w="28575" cap="rnd">
              <a:solidFill>
                <a:schemeClr val="accent2">
                  <a:lumMod val="50000"/>
                </a:schemeClr>
              </a:solidFill>
              <a:round/>
            </a:ln>
            <a:effectLst/>
          </c:spPr>
          <c:marker>
            <c:symbol val="circle"/>
            <c:size val="5"/>
            <c:spPr>
              <a:solidFill>
                <a:srgbClr val="FF0000"/>
              </a:solidFill>
              <a:ln w="9525">
                <a:solidFill>
                  <a:schemeClr val="accent2">
                    <a:lumMod val="50000"/>
                  </a:schemeClr>
                </a:solidFill>
              </a:ln>
              <a:effectLst/>
            </c:spPr>
          </c:marker>
          <c:dPt>
            <c:idx val="9"/>
            <c:marker>
              <c:symbol val="circle"/>
              <c:size val="5"/>
              <c:spPr>
                <a:solidFill>
                  <a:srgbClr val="FF0000"/>
                </a:solidFill>
                <a:ln w="9525">
                  <a:solidFill>
                    <a:schemeClr val="accent2">
                      <a:lumMod val="50000"/>
                    </a:schemeClr>
                  </a:solidFill>
                </a:ln>
                <a:effectLst/>
              </c:spPr>
            </c:marker>
            <c:bubble3D val="0"/>
            <c:extLst xmlns:c16r2="http://schemas.microsoft.com/office/drawing/2015/06/chart">
              <c:ext xmlns:c16="http://schemas.microsoft.com/office/drawing/2014/chart" uri="{C3380CC4-5D6E-409C-BE32-E72D297353CC}">
                <c16:uniqueId val="{00000002-E49A-4B15-BC7D-06FBED266367}"/>
              </c:ext>
            </c:extLst>
          </c:dPt>
          <c:dPt>
            <c:idx val="11"/>
            <c:marker>
              <c:symbol val="circle"/>
              <c:size val="5"/>
              <c:spPr>
                <a:solidFill>
                  <a:srgbClr val="FF0000"/>
                </a:solidFill>
                <a:ln w="9525">
                  <a:solidFill>
                    <a:schemeClr val="accent2">
                      <a:lumMod val="50000"/>
                    </a:schemeClr>
                  </a:solidFill>
                </a:ln>
                <a:effectLst/>
              </c:spPr>
            </c:marker>
            <c:bubble3D val="0"/>
            <c:extLst xmlns:c16r2="http://schemas.microsoft.com/office/drawing/2015/06/chart">
              <c:ext xmlns:c16="http://schemas.microsoft.com/office/drawing/2014/chart" uri="{C3380CC4-5D6E-409C-BE32-E72D297353CC}">
                <c16:uniqueId val="{00000006-B77F-49E1-8458-A6B6BC765E7A}"/>
              </c:ext>
            </c:extLst>
          </c:dPt>
          <c:dPt>
            <c:idx val="12"/>
            <c:marker>
              <c:symbol val="circle"/>
              <c:size val="5"/>
              <c:spPr>
                <a:solidFill>
                  <a:srgbClr val="FF0000"/>
                </a:solidFill>
                <a:ln w="9525">
                  <a:solidFill>
                    <a:schemeClr val="accent2">
                      <a:lumMod val="50000"/>
                    </a:schemeClr>
                  </a:solidFill>
                </a:ln>
                <a:effectLst/>
              </c:spPr>
            </c:marker>
            <c:bubble3D val="0"/>
            <c:extLst xmlns:c16r2="http://schemas.microsoft.com/office/drawing/2015/06/chart">
              <c:ext xmlns:c16="http://schemas.microsoft.com/office/drawing/2014/chart" uri="{C3380CC4-5D6E-409C-BE32-E72D297353CC}">
                <c16:uniqueId val="{0000000A-32AB-4D1D-89BA-662E38F1B0FD}"/>
              </c:ext>
            </c:extLst>
          </c:dPt>
          <c:dPt>
            <c:idx val="13"/>
            <c:marker>
              <c:symbol val="circle"/>
              <c:size val="5"/>
              <c:spPr>
                <a:solidFill>
                  <a:srgbClr val="FF0000"/>
                </a:solidFill>
                <a:ln w="9525">
                  <a:solidFill>
                    <a:schemeClr val="accent2">
                      <a:lumMod val="50000"/>
                    </a:schemeClr>
                  </a:solidFill>
                </a:ln>
                <a:effectLst/>
              </c:spPr>
            </c:marker>
            <c:bubble3D val="0"/>
            <c:extLst xmlns:c16r2="http://schemas.microsoft.com/office/drawing/2015/06/chart">
              <c:ext xmlns:c16="http://schemas.microsoft.com/office/drawing/2014/chart" uri="{C3380CC4-5D6E-409C-BE32-E72D297353CC}">
                <c16:uniqueId val="{00000009-6959-4A08-BC66-B873AEC6E4F4}"/>
              </c:ext>
            </c:extLst>
          </c:dPt>
          <c:dPt>
            <c:idx val="15"/>
            <c:marker>
              <c:symbol val="circle"/>
              <c:size val="5"/>
              <c:spPr>
                <a:solidFill>
                  <a:srgbClr val="FF0000"/>
                </a:solidFill>
                <a:ln w="9525">
                  <a:solidFill>
                    <a:schemeClr val="accent2">
                      <a:lumMod val="50000"/>
                    </a:schemeClr>
                  </a:solidFill>
                </a:ln>
                <a:effectLst/>
              </c:spPr>
            </c:marker>
            <c:bubble3D val="0"/>
            <c:extLst xmlns:c16r2="http://schemas.microsoft.com/office/drawing/2015/06/chart">
              <c:ext xmlns:c16="http://schemas.microsoft.com/office/drawing/2014/chart" uri="{C3380CC4-5D6E-409C-BE32-E72D297353CC}">
                <c16:uniqueId val="{00000007-6959-4A08-BC66-B873AEC6E4F4}"/>
              </c:ext>
            </c:extLst>
          </c:dPt>
          <c:dPt>
            <c:idx val="16"/>
            <c:marker>
              <c:symbol val="circle"/>
              <c:size val="5"/>
              <c:spPr>
                <a:solidFill>
                  <a:srgbClr val="FF0000"/>
                </a:solidFill>
                <a:ln w="9525">
                  <a:solidFill>
                    <a:schemeClr val="accent2">
                      <a:lumMod val="50000"/>
                    </a:schemeClr>
                  </a:solidFill>
                </a:ln>
                <a:effectLst/>
              </c:spPr>
            </c:marker>
            <c:bubble3D val="0"/>
            <c:extLst xmlns:c16r2="http://schemas.microsoft.com/office/drawing/2015/06/chart">
              <c:ext xmlns:c16="http://schemas.microsoft.com/office/drawing/2014/chart" uri="{C3380CC4-5D6E-409C-BE32-E72D297353CC}">
                <c16:uniqueId val="{0000000F-C7B4-433B-BCF3-0CD55DFD4905}"/>
              </c:ext>
            </c:extLst>
          </c:dPt>
          <c:dPt>
            <c:idx val="17"/>
            <c:marker>
              <c:symbol val="circle"/>
              <c:size val="5"/>
              <c:spPr>
                <a:solidFill>
                  <a:srgbClr val="FF0000"/>
                </a:solidFill>
                <a:ln w="9525">
                  <a:solidFill>
                    <a:schemeClr val="accent2">
                      <a:lumMod val="50000"/>
                    </a:schemeClr>
                  </a:solidFill>
                </a:ln>
                <a:effectLst/>
              </c:spPr>
            </c:marker>
            <c:bubble3D val="0"/>
            <c:extLst xmlns:c16r2="http://schemas.microsoft.com/office/drawing/2015/06/chart">
              <c:ext xmlns:c16="http://schemas.microsoft.com/office/drawing/2014/chart" uri="{C3380CC4-5D6E-409C-BE32-E72D297353CC}">
                <c16:uniqueId val="{00000011-AC89-4384-9E06-02D979889386}"/>
              </c:ext>
            </c:extLst>
          </c:dPt>
          <c:dPt>
            <c:idx val="18"/>
            <c:marker>
              <c:symbol val="circle"/>
              <c:size val="5"/>
              <c:spPr>
                <a:solidFill>
                  <a:srgbClr val="FF0000"/>
                </a:solidFill>
                <a:ln w="9525">
                  <a:solidFill>
                    <a:schemeClr val="accent2">
                      <a:lumMod val="50000"/>
                    </a:schemeClr>
                  </a:solidFill>
                </a:ln>
                <a:effectLst/>
              </c:spPr>
            </c:marker>
            <c:bubble3D val="0"/>
            <c:extLst xmlns:c16r2="http://schemas.microsoft.com/office/drawing/2015/06/chart">
              <c:ext xmlns:c16="http://schemas.microsoft.com/office/drawing/2014/chart" uri="{C3380CC4-5D6E-409C-BE32-E72D297353CC}">
                <c16:uniqueId val="{00000013-826D-49EA-BF0D-EC2E3A90780B}"/>
              </c:ext>
            </c:extLst>
          </c:dPt>
          <c:dPt>
            <c:idx val="19"/>
            <c:marker>
              <c:symbol val="circle"/>
              <c:size val="5"/>
              <c:spPr>
                <a:solidFill>
                  <a:srgbClr val="FF0000"/>
                </a:solidFill>
                <a:ln w="9525">
                  <a:solidFill>
                    <a:schemeClr val="accent2">
                      <a:lumMod val="50000"/>
                    </a:schemeClr>
                  </a:solidFill>
                </a:ln>
                <a:effectLst/>
              </c:spPr>
            </c:marker>
            <c:bubble3D val="0"/>
            <c:extLst xmlns:c16r2="http://schemas.microsoft.com/office/drawing/2015/06/chart">
              <c:ext xmlns:c16="http://schemas.microsoft.com/office/drawing/2014/chart" uri="{C3380CC4-5D6E-409C-BE32-E72D297353CC}">
                <c16:uniqueId val="{00000014-047C-408C-B089-2BF5AC1E4C6A}"/>
              </c:ext>
            </c:extLst>
          </c:dPt>
          <c:dPt>
            <c:idx val="22"/>
            <c:marker>
              <c:symbol val="circle"/>
              <c:size val="5"/>
              <c:spPr>
                <a:solidFill>
                  <a:srgbClr val="FF0000"/>
                </a:solidFill>
                <a:ln w="9525">
                  <a:solidFill>
                    <a:schemeClr val="accent2">
                      <a:lumMod val="50000"/>
                    </a:schemeClr>
                  </a:solidFill>
                </a:ln>
                <a:effectLst/>
              </c:spPr>
            </c:marker>
            <c:bubble3D val="0"/>
            <c:extLst xmlns:c16r2="http://schemas.microsoft.com/office/drawing/2015/06/chart">
              <c:ext xmlns:c16="http://schemas.microsoft.com/office/drawing/2014/chart" uri="{C3380CC4-5D6E-409C-BE32-E72D297353CC}">
                <c16:uniqueId val="{00000019-F3A6-448E-BA6E-EDD132C4AA4F}"/>
              </c:ext>
            </c:extLst>
          </c:dPt>
          <c:cat>
            <c:strRef>
              <c:f>Pivot!$A$13:$A$41</c:f>
              <c:strCache>
                <c:ptCount val="28"/>
                <c:pt idx="0">
                  <c:v>2</c:v>
                </c:pt>
                <c:pt idx="1">
                  <c:v>3</c:v>
                </c:pt>
                <c:pt idx="2">
                  <c:v>4</c:v>
                </c:pt>
                <c:pt idx="3">
                  <c:v>5</c:v>
                </c:pt>
                <c:pt idx="4">
                  <c:v>6</c:v>
                </c:pt>
                <c:pt idx="5">
                  <c:v>7</c:v>
                </c:pt>
                <c:pt idx="6">
                  <c:v>8</c:v>
                </c:pt>
                <c:pt idx="7">
                  <c:v>9</c:v>
                </c:pt>
                <c:pt idx="8">
                  <c:v>10</c:v>
                </c:pt>
                <c:pt idx="9">
                  <c:v>11</c:v>
                </c:pt>
                <c:pt idx="10">
                  <c:v>12</c:v>
                </c:pt>
                <c:pt idx="11">
                  <c:v>13</c:v>
                </c:pt>
                <c:pt idx="12">
                  <c:v>14</c:v>
                </c:pt>
                <c:pt idx="13">
                  <c:v>15</c:v>
                </c:pt>
                <c:pt idx="14">
                  <c:v>16</c:v>
                </c:pt>
                <c:pt idx="15">
                  <c:v>17</c:v>
                </c:pt>
                <c:pt idx="16">
                  <c:v>18</c:v>
                </c:pt>
                <c:pt idx="17">
                  <c:v>19</c:v>
                </c:pt>
                <c:pt idx="18">
                  <c:v>20</c:v>
                </c:pt>
                <c:pt idx="19">
                  <c:v>21</c:v>
                </c:pt>
                <c:pt idx="20">
                  <c:v>22</c:v>
                </c:pt>
                <c:pt idx="21">
                  <c:v>23</c:v>
                </c:pt>
                <c:pt idx="22">
                  <c:v>24</c:v>
                </c:pt>
                <c:pt idx="23">
                  <c:v>25</c:v>
                </c:pt>
                <c:pt idx="24">
                  <c:v>26</c:v>
                </c:pt>
                <c:pt idx="25">
                  <c:v>27</c:v>
                </c:pt>
                <c:pt idx="26">
                  <c:v>30</c:v>
                </c:pt>
                <c:pt idx="27">
                  <c:v>31</c:v>
                </c:pt>
              </c:strCache>
            </c:strRef>
          </c:cat>
          <c:val>
            <c:numRef>
              <c:f>Pivot!$B$13:$B$41</c:f>
              <c:numCache>
                <c:formatCode>General</c:formatCode>
                <c:ptCount val="28"/>
                <c:pt idx="0">
                  <c:v>145</c:v>
                </c:pt>
                <c:pt idx="1">
                  <c:v>191</c:v>
                </c:pt>
                <c:pt idx="2">
                  <c:v>159</c:v>
                </c:pt>
                <c:pt idx="3">
                  <c:v>118</c:v>
                </c:pt>
                <c:pt idx="4">
                  <c:v>157</c:v>
                </c:pt>
                <c:pt idx="5">
                  <c:v>146</c:v>
                </c:pt>
                <c:pt idx="6">
                  <c:v>2</c:v>
                </c:pt>
                <c:pt idx="7">
                  <c:v>145</c:v>
                </c:pt>
                <c:pt idx="8">
                  <c:v>219</c:v>
                </c:pt>
                <c:pt idx="9">
                  <c:v>175</c:v>
                </c:pt>
                <c:pt idx="10">
                  <c:v>208</c:v>
                </c:pt>
                <c:pt idx="11">
                  <c:v>211</c:v>
                </c:pt>
                <c:pt idx="12">
                  <c:v>19</c:v>
                </c:pt>
                <c:pt idx="13">
                  <c:v>31</c:v>
                </c:pt>
                <c:pt idx="14">
                  <c:v>332</c:v>
                </c:pt>
                <c:pt idx="15">
                  <c:v>250</c:v>
                </c:pt>
                <c:pt idx="16">
                  <c:v>614</c:v>
                </c:pt>
                <c:pt idx="17">
                  <c:v>212</c:v>
                </c:pt>
                <c:pt idx="18">
                  <c:v>200</c:v>
                </c:pt>
                <c:pt idx="19">
                  <c:v>93</c:v>
                </c:pt>
                <c:pt idx="20">
                  <c:v>2</c:v>
                </c:pt>
                <c:pt idx="21">
                  <c:v>155</c:v>
                </c:pt>
                <c:pt idx="22">
                  <c:v>154</c:v>
                </c:pt>
                <c:pt idx="23">
                  <c:v>13</c:v>
                </c:pt>
                <c:pt idx="24">
                  <c:v>180</c:v>
                </c:pt>
                <c:pt idx="25">
                  <c:v>94</c:v>
                </c:pt>
                <c:pt idx="26">
                  <c:v>332</c:v>
                </c:pt>
                <c:pt idx="27">
                  <c:v>93</c:v>
                </c:pt>
              </c:numCache>
            </c:numRef>
          </c:val>
          <c:smooth val="0"/>
          <c:extLst xmlns:c16r2="http://schemas.microsoft.com/office/drawing/2015/06/chart">
            <c:ext xmlns:c16="http://schemas.microsoft.com/office/drawing/2014/chart" uri="{C3380CC4-5D6E-409C-BE32-E72D297353CC}">
              <c16:uniqueId val="{00000000-95C3-44C2-87BC-CBBE14EDDBFC}"/>
            </c:ext>
          </c:extLst>
        </c:ser>
        <c:ser>
          <c:idx val="1"/>
          <c:order val="1"/>
          <c:tx>
            <c:strRef>
              <c:f>Pivot!$C$12</c:f>
              <c:strCache>
                <c:ptCount val="1"/>
                <c:pt idx="0">
                  <c:v>Pending Rejection</c:v>
                </c:pt>
              </c:strCache>
            </c:strRef>
          </c:tx>
          <c:spPr>
            <a:ln w="28575" cap="rnd">
              <a:solidFill>
                <a:schemeClr val="accent2"/>
              </a:solidFill>
              <a:round/>
            </a:ln>
            <a:effectLst/>
          </c:spPr>
          <c:marker>
            <c:symbol val="circle"/>
            <c:size val="5"/>
            <c:spPr>
              <a:solidFill>
                <a:schemeClr val="accent2">
                  <a:lumMod val="50000"/>
                </a:schemeClr>
              </a:solidFill>
              <a:ln w="9525">
                <a:solidFill>
                  <a:schemeClr val="accent2"/>
                </a:solidFill>
              </a:ln>
              <a:effectLst/>
            </c:spPr>
          </c:marker>
          <c:dPt>
            <c:idx val="5"/>
            <c:marker>
              <c:symbol val="circle"/>
              <c:size val="5"/>
              <c:spPr>
                <a:solidFill>
                  <a:schemeClr val="accent2">
                    <a:lumMod val="50000"/>
                  </a:schemeClr>
                </a:solidFill>
                <a:ln w="9525">
                  <a:solidFill>
                    <a:schemeClr val="accent2"/>
                  </a:solidFill>
                </a:ln>
                <a:effectLst/>
              </c:spPr>
            </c:marker>
            <c:bubble3D val="0"/>
            <c:extLst xmlns:c16r2="http://schemas.microsoft.com/office/drawing/2015/06/chart">
              <c:ext xmlns:c16="http://schemas.microsoft.com/office/drawing/2014/chart" uri="{C3380CC4-5D6E-409C-BE32-E72D297353CC}">
                <c16:uniqueId val="{00000003-95C3-44C2-87BC-CBBE14EDDBFC}"/>
              </c:ext>
            </c:extLst>
          </c:dPt>
          <c:dPt>
            <c:idx val="7"/>
            <c:marker>
              <c:symbol val="circle"/>
              <c:size val="5"/>
              <c:spPr>
                <a:solidFill>
                  <a:schemeClr val="accent2">
                    <a:lumMod val="50000"/>
                  </a:schemeClr>
                </a:solidFill>
                <a:ln w="9525">
                  <a:solidFill>
                    <a:schemeClr val="accent2"/>
                  </a:solidFill>
                </a:ln>
                <a:effectLst/>
              </c:spPr>
            </c:marker>
            <c:bubble3D val="0"/>
            <c:extLst xmlns:c16r2="http://schemas.microsoft.com/office/drawing/2015/06/chart">
              <c:ext xmlns:c16="http://schemas.microsoft.com/office/drawing/2014/chart" uri="{C3380CC4-5D6E-409C-BE32-E72D297353CC}">
                <c16:uniqueId val="{00000001-09F7-4AC0-85A1-632488D68766}"/>
              </c:ext>
            </c:extLst>
          </c:dPt>
          <c:dPt>
            <c:idx val="9"/>
            <c:marker>
              <c:symbol val="circle"/>
              <c:size val="5"/>
              <c:spPr>
                <a:solidFill>
                  <a:schemeClr val="accent2">
                    <a:lumMod val="50000"/>
                  </a:schemeClr>
                </a:solidFill>
                <a:ln w="9525">
                  <a:solidFill>
                    <a:schemeClr val="accent2"/>
                  </a:solidFill>
                </a:ln>
                <a:effectLst/>
              </c:spPr>
            </c:marker>
            <c:bubble3D val="0"/>
            <c:extLst xmlns:c16r2="http://schemas.microsoft.com/office/drawing/2015/06/chart">
              <c:ext xmlns:c16="http://schemas.microsoft.com/office/drawing/2014/chart" uri="{C3380CC4-5D6E-409C-BE32-E72D297353CC}">
                <c16:uniqueId val="{00000003-E49A-4B15-BC7D-06FBED266367}"/>
              </c:ext>
            </c:extLst>
          </c:dPt>
          <c:dPt>
            <c:idx val="10"/>
            <c:marker>
              <c:symbol val="circle"/>
              <c:size val="5"/>
              <c:spPr>
                <a:solidFill>
                  <a:schemeClr val="accent2">
                    <a:lumMod val="50000"/>
                  </a:schemeClr>
                </a:solidFill>
                <a:ln w="9525">
                  <a:solidFill>
                    <a:schemeClr val="accent2"/>
                  </a:solidFill>
                </a:ln>
                <a:effectLst/>
              </c:spPr>
            </c:marker>
            <c:bubble3D val="0"/>
            <c:extLst xmlns:c16r2="http://schemas.microsoft.com/office/drawing/2015/06/chart">
              <c:ext xmlns:c16="http://schemas.microsoft.com/office/drawing/2014/chart" uri="{C3380CC4-5D6E-409C-BE32-E72D297353CC}">
                <c16:uniqueId val="{00000004-C108-46F9-8408-807EA6D8DC9C}"/>
              </c:ext>
            </c:extLst>
          </c:dPt>
          <c:dPt>
            <c:idx val="11"/>
            <c:marker>
              <c:symbol val="circle"/>
              <c:size val="5"/>
              <c:spPr>
                <a:solidFill>
                  <a:schemeClr val="accent2">
                    <a:lumMod val="50000"/>
                  </a:schemeClr>
                </a:solidFill>
                <a:ln w="9525">
                  <a:solidFill>
                    <a:schemeClr val="accent2"/>
                  </a:solidFill>
                </a:ln>
                <a:effectLst/>
              </c:spPr>
            </c:marker>
            <c:bubble3D val="0"/>
            <c:extLst xmlns:c16r2="http://schemas.microsoft.com/office/drawing/2015/06/chart">
              <c:ext xmlns:c16="http://schemas.microsoft.com/office/drawing/2014/chart" uri="{C3380CC4-5D6E-409C-BE32-E72D297353CC}">
                <c16:uniqueId val="{00000005-B77F-49E1-8458-A6B6BC765E7A}"/>
              </c:ext>
            </c:extLst>
          </c:dPt>
          <c:dPt>
            <c:idx val="12"/>
            <c:marker>
              <c:symbol val="circle"/>
              <c:size val="5"/>
              <c:spPr>
                <a:solidFill>
                  <a:schemeClr val="accent2">
                    <a:lumMod val="50000"/>
                  </a:schemeClr>
                </a:solidFill>
                <a:ln w="9525">
                  <a:solidFill>
                    <a:schemeClr val="accent2"/>
                  </a:solidFill>
                </a:ln>
                <a:effectLst/>
              </c:spPr>
            </c:marker>
            <c:bubble3D val="0"/>
            <c:extLst xmlns:c16r2="http://schemas.microsoft.com/office/drawing/2015/06/chart">
              <c:ext xmlns:c16="http://schemas.microsoft.com/office/drawing/2014/chart" uri="{C3380CC4-5D6E-409C-BE32-E72D297353CC}">
                <c16:uniqueId val="{00000009-32AB-4D1D-89BA-662E38F1B0FD}"/>
              </c:ext>
            </c:extLst>
          </c:dPt>
          <c:dPt>
            <c:idx val="13"/>
            <c:marker>
              <c:symbol val="circle"/>
              <c:size val="5"/>
              <c:spPr>
                <a:solidFill>
                  <a:schemeClr val="accent2">
                    <a:lumMod val="50000"/>
                  </a:schemeClr>
                </a:solidFill>
                <a:ln w="9525">
                  <a:solidFill>
                    <a:schemeClr val="accent2"/>
                  </a:solidFill>
                </a:ln>
                <a:effectLst/>
              </c:spPr>
            </c:marker>
            <c:bubble3D val="0"/>
            <c:extLst xmlns:c16r2="http://schemas.microsoft.com/office/drawing/2015/06/chart">
              <c:ext xmlns:c16="http://schemas.microsoft.com/office/drawing/2014/chart" uri="{C3380CC4-5D6E-409C-BE32-E72D297353CC}">
                <c16:uniqueId val="{00000008-32AB-4D1D-89BA-662E38F1B0FD}"/>
              </c:ext>
            </c:extLst>
          </c:dPt>
          <c:dPt>
            <c:idx val="14"/>
            <c:marker>
              <c:symbol val="circle"/>
              <c:size val="5"/>
              <c:spPr>
                <a:solidFill>
                  <a:schemeClr val="accent2">
                    <a:lumMod val="50000"/>
                  </a:schemeClr>
                </a:solidFill>
                <a:ln w="9525">
                  <a:solidFill>
                    <a:schemeClr val="accent2"/>
                  </a:solidFill>
                </a:ln>
                <a:effectLst/>
              </c:spPr>
            </c:marker>
            <c:bubble3D val="0"/>
            <c:extLst xmlns:c16r2="http://schemas.microsoft.com/office/drawing/2015/06/chart">
              <c:ext xmlns:c16="http://schemas.microsoft.com/office/drawing/2014/chart" uri="{C3380CC4-5D6E-409C-BE32-E72D297353CC}">
                <c16:uniqueId val="{00000007-32AB-4D1D-89BA-662E38F1B0FD}"/>
              </c:ext>
            </c:extLst>
          </c:dPt>
          <c:dPt>
            <c:idx val="15"/>
            <c:marker>
              <c:symbol val="circle"/>
              <c:size val="5"/>
              <c:spPr>
                <a:solidFill>
                  <a:schemeClr val="accent2">
                    <a:lumMod val="50000"/>
                  </a:schemeClr>
                </a:solidFill>
                <a:ln w="9525">
                  <a:solidFill>
                    <a:schemeClr val="accent2"/>
                  </a:solidFill>
                </a:ln>
                <a:effectLst/>
              </c:spPr>
            </c:marker>
            <c:bubble3D val="0"/>
            <c:extLst xmlns:c16r2="http://schemas.microsoft.com/office/drawing/2015/06/chart">
              <c:ext xmlns:c16="http://schemas.microsoft.com/office/drawing/2014/chart" uri="{C3380CC4-5D6E-409C-BE32-E72D297353CC}">
                <c16:uniqueId val="{00000008-6959-4A08-BC66-B873AEC6E4F4}"/>
              </c:ext>
            </c:extLst>
          </c:dPt>
          <c:dPt>
            <c:idx val="16"/>
            <c:marker>
              <c:symbol val="circle"/>
              <c:size val="5"/>
              <c:spPr>
                <a:solidFill>
                  <a:schemeClr val="accent2">
                    <a:lumMod val="50000"/>
                  </a:schemeClr>
                </a:solidFill>
                <a:ln w="9525">
                  <a:solidFill>
                    <a:schemeClr val="accent2"/>
                  </a:solidFill>
                </a:ln>
                <a:effectLst/>
              </c:spPr>
            </c:marker>
            <c:bubble3D val="0"/>
            <c:extLst xmlns:c16r2="http://schemas.microsoft.com/office/drawing/2015/06/chart">
              <c:ext xmlns:c16="http://schemas.microsoft.com/office/drawing/2014/chart" uri="{C3380CC4-5D6E-409C-BE32-E72D297353CC}">
                <c16:uniqueId val="{0000000E-C7B4-433B-BCF3-0CD55DFD4905}"/>
              </c:ext>
            </c:extLst>
          </c:dPt>
          <c:dPt>
            <c:idx val="17"/>
            <c:marker>
              <c:symbol val="circle"/>
              <c:size val="5"/>
              <c:spPr>
                <a:solidFill>
                  <a:schemeClr val="accent2">
                    <a:lumMod val="50000"/>
                  </a:schemeClr>
                </a:solidFill>
                <a:ln w="9525">
                  <a:solidFill>
                    <a:schemeClr val="accent2"/>
                  </a:solidFill>
                </a:ln>
                <a:effectLst/>
              </c:spPr>
            </c:marker>
            <c:bubble3D val="0"/>
            <c:extLst xmlns:c16r2="http://schemas.microsoft.com/office/drawing/2015/06/chart">
              <c:ext xmlns:c16="http://schemas.microsoft.com/office/drawing/2014/chart" uri="{C3380CC4-5D6E-409C-BE32-E72D297353CC}">
                <c16:uniqueId val="{00000010-AC89-4384-9E06-02D979889386}"/>
              </c:ext>
            </c:extLst>
          </c:dPt>
          <c:dPt>
            <c:idx val="18"/>
            <c:marker>
              <c:symbol val="circle"/>
              <c:size val="5"/>
              <c:spPr>
                <a:solidFill>
                  <a:schemeClr val="accent2">
                    <a:lumMod val="50000"/>
                  </a:schemeClr>
                </a:solidFill>
                <a:ln w="9525">
                  <a:solidFill>
                    <a:schemeClr val="accent2"/>
                  </a:solidFill>
                </a:ln>
                <a:effectLst/>
              </c:spPr>
            </c:marker>
            <c:bubble3D val="0"/>
            <c:extLst xmlns:c16r2="http://schemas.microsoft.com/office/drawing/2015/06/chart">
              <c:ext xmlns:c16="http://schemas.microsoft.com/office/drawing/2014/chart" uri="{C3380CC4-5D6E-409C-BE32-E72D297353CC}">
                <c16:uniqueId val="{00000012-7FF3-4C0C-BD14-407F364ADD77}"/>
              </c:ext>
            </c:extLst>
          </c:dPt>
          <c:dPt>
            <c:idx val="19"/>
            <c:marker>
              <c:symbol val="circle"/>
              <c:size val="5"/>
              <c:spPr>
                <a:solidFill>
                  <a:schemeClr val="accent2">
                    <a:lumMod val="50000"/>
                  </a:schemeClr>
                </a:solidFill>
                <a:ln w="9525">
                  <a:solidFill>
                    <a:schemeClr val="accent2"/>
                  </a:solidFill>
                </a:ln>
                <a:effectLst/>
              </c:spPr>
            </c:marker>
            <c:bubble3D val="0"/>
            <c:extLst xmlns:c16r2="http://schemas.microsoft.com/office/drawing/2015/06/chart">
              <c:ext xmlns:c16="http://schemas.microsoft.com/office/drawing/2014/chart" uri="{C3380CC4-5D6E-409C-BE32-E72D297353CC}">
                <c16:uniqueId val="{00000013-047C-408C-B089-2BF5AC1E4C6A}"/>
              </c:ext>
            </c:extLst>
          </c:dPt>
          <c:dPt>
            <c:idx val="20"/>
            <c:marker>
              <c:symbol val="circle"/>
              <c:size val="5"/>
              <c:spPr>
                <a:solidFill>
                  <a:schemeClr val="accent2">
                    <a:lumMod val="50000"/>
                  </a:schemeClr>
                </a:solidFill>
                <a:ln w="9525">
                  <a:solidFill>
                    <a:schemeClr val="accent2"/>
                  </a:solidFill>
                </a:ln>
                <a:effectLst/>
              </c:spPr>
            </c:marker>
            <c:bubble3D val="0"/>
            <c:extLst xmlns:c16r2="http://schemas.microsoft.com/office/drawing/2015/06/chart">
              <c:ext xmlns:c16="http://schemas.microsoft.com/office/drawing/2014/chart" uri="{C3380CC4-5D6E-409C-BE32-E72D297353CC}">
                <c16:uniqueId val="{00000016-F3A6-448E-BA6E-EDD132C4AA4F}"/>
              </c:ext>
            </c:extLst>
          </c:dPt>
          <c:dPt>
            <c:idx val="21"/>
            <c:marker>
              <c:symbol val="circle"/>
              <c:size val="5"/>
              <c:spPr>
                <a:solidFill>
                  <a:schemeClr val="accent2">
                    <a:lumMod val="50000"/>
                  </a:schemeClr>
                </a:solidFill>
                <a:ln w="9525">
                  <a:solidFill>
                    <a:schemeClr val="accent2"/>
                  </a:solidFill>
                </a:ln>
                <a:effectLst/>
              </c:spPr>
            </c:marker>
            <c:bubble3D val="0"/>
            <c:extLst xmlns:c16r2="http://schemas.microsoft.com/office/drawing/2015/06/chart">
              <c:ext xmlns:c16="http://schemas.microsoft.com/office/drawing/2014/chart" uri="{C3380CC4-5D6E-409C-BE32-E72D297353CC}">
                <c16:uniqueId val="{00000017-F3A6-448E-BA6E-EDD132C4AA4F}"/>
              </c:ext>
            </c:extLst>
          </c:dPt>
          <c:dPt>
            <c:idx val="22"/>
            <c:marker>
              <c:symbol val="circle"/>
              <c:size val="5"/>
              <c:spPr>
                <a:solidFill>
                  <a:schemeClr val="accent2">
                    <a:lumMod val="50000"/>
                  </a:schemeClr>
                </a:solidFill>
                <a:ln w="9525">
                  <a:solidFill>
                    <a:schemeClr val="accent2"/>
                  </a:solidFill>
                </a:ln>
                <a:effectLst/>
              </c:spPr>
            </c:marker>
            <c:bubble3D val="0"/>
            <c:extLst xmlns:c16r2="http://schemas.microsoft.com/office/drawing/2015/06/chart">
              <c:ext xmlns:c16="http://schemas.microsoft.com/office/drawing/2014/chart" uri="{C3380CC4-5D6E-409C-BE32-E72D297353CC}">
                <c16:uniqueId val="{00000018-F3A6-448E-BA6E-EDD132C4AA4F}"/>
              </c:ext>
            </c:extLst>
          </c:dPt>
          <c:cat>
            <c:strRef>
              <c:f>Pivot!$A$13:$A$41</c:f>
              <c:strCache>
                <c:ptCount val="28"/>
                <c:pt idx="0">
                  <c:v>2</c:v>
                </c:pt>
                <c:pt idx="1">
                  <c:v>3</c:v>
                </c:pt>
                <c:pt idx="2">
                  <c:v>4</c:v>
                </c:pt>
                <c:pt idx="3">
                  <c:v>5</c:v>
                </c:pt>
                <c:pt idx="4">
                  <c:v>6</c:v>
                </c:pt>
                <c:pt idx="5">
                  <c:v>7</c:v>
                </c:pt>
                <c:pt idx="6">
                  <c:v>8</c:v>
                </c:pt>
                <c:pt idx="7">
                  <c:v>9</c:v>
                </c:pt>
                <c:pt idx="8">
                  <c:v>10</c:v>
                </c:pt>
                <c:pt idx="9">
                  <c:v>11</c:v>
                </c:pt>
                <c:pt idx="10">
                  <c:v>12</c:v>
                </c:pt>
                <c:pt idx="11">
                  <c:v>13</c:v>
                </c:pt>
                <c:pt idx="12">
                  <c:v>14</c:v>
                </c:pt>
                <c:pt idx="13">
                  <c:v>15</c:v>
                </c:pt>
                <c:pt idx="14">
                  <c:v>16</c:v>
                </c:pt>
                <c:pt idx="15">
                  <c:v>17</c:v>
                </c:pt>
                <c:pt idx="16">
                  <c:v>18</c:v>
                </c:pt>
                <c:pt idx="17">
                  <c:v>19</c:v>
                </c:pt>
                <c:pt idx="18">
                  <c:v>20</c:v>
                </c:pt>
                <c:pt idx="19">
                  <c:v>21</c:v>
                </c:pt>
                <c:pt idx="20">
                  <c:v>22</c:v>
                </c:pt>
                <c:pt idx="21">
                  <c:v>23</c:v>
                </c:pt>
                <c:pt idx="22">
                  <c:v>24</c:v>
                </c:pt>
                <c:pt idx="23">
                  <c:v>25</c:v>
                </c:pt>
                <c:pt idx="24">
                  <c:v>26</c:v>
                </c:pt>
                <c:pt idx="25">
                  <c:v>27</c:v>
                </c:pt>
                <c:pt idx="26">
                  <c:v>30</c:v>
                </c:pt>
                <c:pt idx="27">
                  <c:v>31</c:v>
                </c:pt>
              </c:strCache>
            </c:strRef>
          </c:cat>
          <c:val>
            <c:numRef>
              <c:f>Pivot!$C$13:$C$41</c:f>
              <c:numCache>
                <c:formatCode>General</c:formatCode>
                <c:ptCount val="28"/>
                <c:pt idx="0">
                  <c:v>2</c:v>
                </c:pt>
                <c:pt idx="1">
                  <c:v>0</c:v>
                </c:pt>
                <c:pt idx="2">
                  <c:v>2</c:v>
                </c:pt>
                <c:pt idx="3">
                  <c:v>2</c:v>
                </c:pt>
                <c:pt idx="4">
                  <c:v>1</c:v>
                </c:pt>
                <c:pt idx="5">
                  <c:v>2</c:v>
                </c:pt>
                <c:pt idx="6">
                  <c:v>1</c:v>
                </c:pt>
                <c:pt idx="7">
                  <c:v>2</c:v>
                </c:pt>
                <c:pt idx="8">
                  <c:v>1</c:v>
                </c:pt>
                <c:pt idx="9">
                  <c:v>1</c:v>
                </c:pt>
                <c:pt idx="10">
                  <c:v>2</c:v>
                </c:pt>
                <c:pt idx="11">
                  <c:v>5</c:v>
                </c:pt>
                <c:pt idx="12">
                  <c:v>0</c:v>
                </c:pt>
                <c:pt idx="13">
                  <c:v>11</c:v>
                </c:pt>
                <c:pt idx="14">
                  <c:v>7</c:v>
                </c:pt>
                <c:pt idx="15">
                  <c:v>10</c:v>
                </c:pt>
                <c:pt idx="16">
                  <c:v>7</c:v>
                </c:pt>
                <c:pt idx="17">
                  <c:v>10</c:v>
                </c:pt>
                <c:pt idx="18">
                  <c:v>15</c:v>
                </c:pt>
                <c:pt idx="19">
                  <c:v>12</c:v>
                </c:pt>
                <c:pt idx="20">
                  <c:v>0</c:v>
                </c:pt>
                <c:pt idx="21">
                  <c:v>47</c:v>
                </c:pt>
                <c:pt idx="22">
                  <c:v>34</c:v>
                </c:pt>
                <c:pt idx="23">
                  <c:v>0</c:v>
                </c:pt>
                <c:pt idx="24">
                  <c:v>0</c:v>
                </c:pt>
                <c:pt idx="25">
                  <c:v>0</c:v>
                </c:pt>
                <c:pt idx="26">
                  <c:v>7</c:v>
                </c:pt>
                <c:pt idx="27">
                  <c:v>12</c:v>
                </c:pt>
              </c:numCache>
            </c:numRef>
          </c:val>
          <c:smooth val="0"/>
          <c:extLst xmlns:c16r2="http://schemas.microsoft.com/office/drawing/2015/06/chart">
            <c:ext xmlns:c16="http://schemas.microsoft.com/office/drawing/2014/chart" uri="{C3380CC4-5D6E-409C-BE32-E72D297353CC}">
              <c16:uniqueId val="{00000001-95C3-44C2-87BC-CBBE14EDDBFC}"/>
            </c:ext>
          </c:extLst>
        </c:ser>
        <c:dLbls>
          <c:showLegendKey val="0"/>
          <c:showVal val="0"/>
          <c:showCatName val="0"/>
          <c:showSerName val="0"/>
          <c:showPercent val="0"/>
          <c:showBubbleSize val="0"/>
        </c:dLbls>
        <c:marker val="1"/>
        <c:smooth val="0"/>
        <c:axId val="263206736"/>
        <c:axId val="263207128"/>
      </c:lineChart>
      <c:catAx>
        <c:axId val="263206736"/>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n-IN" b="1">
                    <a:solidFill>
                      <a:schemeClr val="tx1"/>
                    </a:solidFill>
                  </a:rPr>
                  <a:t>Dec</a:t>
                </a:r>
                <a:r>
                  <a:rPr lang="en-IN" b="1" baseline="0">
                    <a:solidFill>
                      <a:schemeClr val="tx1"/>
                    </a:solidFill>
                  </a:rPr>
                  <a:t> 2024 Date Wise Rejection</a:t>
                </a:r>
                <a:endParaRPr lang="en-IN" b="1">
                  <a:solidFill>
                    <a:schemeClr val="tx1"/>
                  </a:solidFill>
                </a:endParaRPr>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63207128"/>
        <c:crosses val="autoZero"/>
        <c:auto val="1"/>
        <c:lblAlgn val="ctr"/>
        <c:lblOffset val="100"/>
        <c:noMultiLvlLbl val="0"/>
      </c:catAx>
      <c:valAx>
        <c:axId val="263207128"/>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3206736"/>
        <c:crosses val="autoZero"/>
        <c:crossBetween val="between"/>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2">
        <a:lumMod val="90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[MTD Rejection.xlsm]Pivot!Rejection Type</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
        <c:spPr>
          <a:solidFill>
            <a:schemeClr val="accent2">
              <a:lumMod val="50000"/>
            </a:schemeClr>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Lst>
        </c:dLbl>
      </c:pivotFmt>
      <c:pivotFmt>
        <c:idx val="5"/>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Lst>
        </c:dLbl>
      </c:pivotFmt>
    </c:pivotFmts>
    <c:plotArea>
      <c:layout/>
      <c:barChart>
        <c:barDir val="col"/>
        <c:grouping val="clustered"/>
        <c:varyColors val="0"/>
        <c:ser>
          <c:idx val="0"/>
          <c:order val="0"/>
          <c:tx>
            <c:strRef>
              <c:f>Pivot!$G$8</c:f>
              <c:strCache>
                <c:ptCount val="1"/>
                <c:pt idx="0">
                  <c:v>MTD Rejection</c:v>
                </c:pt>
              </c:strCache>
            </c:strRef>
          </c:tx>
          <c:spPr>
            <a:solidFill>
              <a:schemeClr val="accent2">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Pivot!$F$9:$F$14</c:f>
              <c:strCache>
                <c:ptCount val="5"/>
                <c:pt idx="0">
                  <c:v>Partner Rejected</c:v>
                </c:pt>
                <c:pt idx="1">
                  <c:v>Rejected to DE TM</c:v>
                </c:pt>
                <c:pt idx="2">
                  <c:v>Rejected to OP QC</c:v>
                </c:pt>
                <c:pt idx="3">
                  <c:v>Rejected to OP TM</c:v>
                </c:pt>
                <c:pt idx="4">
                  <c:v>Rejected to Scan</c:v>
                </c:pt>
              </c:strCache>
            </c:strRef>
          </c:cat>
          <c:val>
            <c:numRef>
              <c:f>Pivot!$G$9:$G$14</c:f>
              <c:numCache>
                <c:formatCode>General</c:formatCode>
                <c:ptCount val="5"/>
                <c:pt idx="0">
                  <c:v>511</c:v>
                </c:pt>
                <c:pt idx="1">
                  <c:v>836</c:v>
                </c:pt>
                <c:pt idx="2">
                  <c:v>294</c:v>
                </c:pt>
                <c:pt idx="3">
                  <c:v>2788</c:v>
                </c:pt>
                <c:pt idx="4">
                  <c:v>221</c:v>
                </c:pt>
              </c:numCache>
            </c:numRef>
          </c:val>
          <c:extLst xmlns:c16r2="http://schemas.microsoft.com/office/drawing/2015/06/chart">
            <c:ext xmlns:c16="http://schemas.microsoft.com/office/drawing/2014/chart" uri="{C3380CC4-5D6E-409C-BE32-E72D297353CC}">
              <c16:uniqueId val="{00000000-AD4A-4689-AC68-16643D9E5744}"/>
            </c:ext>
          </c:extLst>
        </c:ser>
        <c:ser>
          <c:idx val="1"/>
          <c:order val="1"/>
          <c:tx>
            <c:strRef>
              <c:f>Pivot!$H$8</c:f>
              <c:strCache>
                <c:ptCount val="1"/>
                <c:pt idx="0">
                  <c:v>Pending Rejection</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Pivot!$F$9:$F$14</c:f>
              <c:strCache>
                <c:ptCount val="5"/>
                <c:pt idx="0">
                  <c:v>Partner Rejected</c:v>
                </c:pt>
                <c:pt idx="1">
                  <c:v>Rejected to DE TM</c:v>
                </c:pt>
                <c:pt idx="2">
                  <c:v>Rejected to OP QC</c:v>
                </c:pt>
                <c:pt idx="3">
                  <c:v>Rejected to OP TM</c:v>
                </c:pt>
                <c:pt idx="4">
                  <c:v>Rejected to Scan</c:v>
                </c:pt>
              </c:strCache>
            </c:strRef>
          </c:cat>
          <c:val>
            <c:numRef>
              <c:f>Pivot!$H$9:$H$14</c:f>
              <c:numCache>
                <c:formatCode>General</c:formatCode>
                <c:ptCount val="5"/>
                <c:pt idx="0">
                  <c:v>59</c:v>
                </c:pt>
                <c:pt idx="1">
                  <c:v>9</c:v>
                </c:pt>
                <c:pt idx="2">
                  <c:v>18</c:v>
                </c:pt>
                <c:pt idx="3">
                  <c:v>106</c:v>
                </c:pt>
                <c:pt idx="4">
                  <c:v>1</c:v>
                </c:pt>
              </c:numCache>
            </c:numRef>
          </c:val>
          <c:extLst xmlns:c16r2="http://schemas.microsoft.com/office/drawing/2015/06/chart">
            <c:ext xmlns:c16="http://schemas.microsoft.com/office/drawing/2014/chart" uri="{C3380CC4-5D6E-409C-BE32-E72D297353CC}">
              <c16:uniqueId val="{00000001-AD4A-4689-AC68-16643D9E5744}"/>
            </c:ext>
          </c:extLst>
        </c:ser>
        <c:dLbls>
          <c:showLegendKey val="0"/>
          <c:showVal val="0"/>
          <c:showCatName val="0"/>
          <c:showSerName val="0"/>
          <c:showPercent val="0"/>
          <c:showBubbleSize val="0"/>
        </c:dLbls>
        <c:gapWidth val="219"/>
        <c:overlap val="-27"/>
        <c:axId val="263207912"/>
        <c:axId val="263208304"/>
      </c:barChart>
      <c:catAx>
        <c:axId val="2632079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63208304"/>
        <c:crosses val="autoZero"/>
        <c:auto val="1"/>
        <c:lblAlgn val="ctr"/>
        <c:lblOffset val="100"/>
        <c:noMultiLvlLbl val="0"/>
      </c:catAx>
      <c:valAx>
        <c:axId val="26320830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63207912"/>
        <c:crosses val="autoZero"/>
        <c:crossBetween val="between"/>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2">
        <a:lumMod val="90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[MTD Rejection.xlsm]Pivot!CheckWise Rejection</c:name>
    <c:fmtId val="7"/>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
        <c:spPr>
          <a:solidFill>
            <a:schemeClr val="accent2">
              <a:lumMod val="50000"/>
            </a:schemeClr>
          </a:solidFill>
          <a:ln>
            <a:noFill/>
          </a:ln>
          <a:effectLst/>
        </c:spPr>
        <c:marker>
          <c:symbol val="none"/>
        </c:marker>
      </c:pivotFmt>
      <c:pivotFmt>
        <c:idx val="5"/>
        <c:spPr>
          <a:solidFill>
            <a:schemeClr val="accent2"/>
          </a:solidFill>
          <a:ln>
            <a:noFill/>
          </a:ln>
          <a:effectLst/>
        </c:spPr>
        <c:marker>
          <c:symbol val="none"/>
        </c:marker>
      </c:pivotFmt>
    </c:pivotFmts>
    <c:plotArea>
      <c:layout/>
      <c:barChart>
        <c:barDir val="bar"/>
        <c:grouping val="clustered"/>
        <c:varyColors val="0"/>
        <c:ser>
          <c:idx val="0"/>
          <c:order val="0"/>
          <c:tx>
            <c:strRef>
              <c:f>Pivot!$K$8</c:f>
              <c:strCache>
                <c:ptCount val="1"/>
                <c:pt idx="0">
                  <c:v>Pending Rejection</c:v>
                </c:pt>
              </c:strCache>
            </c:strRef>
          </c:tx>
          <c:spPr>
            <a:solidFill>
              <a:schemeClr val="accent2"/>
            </a:solidFill>
            <a:ln>
              <a:noFill/>
            </a:ln>
            <a:effectLst/>
          </c:spPr>
          <c:invertIfNegative val="0"/>
          <c:cat>
            <c:strRef>
              <c:f>Pivot!$J$9:$J$17</c:f>
              <c:strCache>
                <c:ptCount val="8"/>
                <c:pt idx="0">
                  <c:v>Drug</c:v>
                </c:pt>
                <c:pt idx="1">
                  <c:v>Investigation</c:v>
                </c:pt>
                <c:pt idx="2">
                  <c:v>Ref</c:v>
                </c:pt>
                <c:pt idx="3">
                  <c:v>Special Check</c:v>
                </c:pt>
                <c:pt idx="4">
                  <c:v>Add</c:v>
                </c:pt>
                <c:pt idx="5">
                  <c:v>Edu</c:v>
                </c:pt>
                <c:pt idx="6">
                  <c:v>CRC</c:v>
                </c:pt>
                <c:pt idx="7">
                  <c:v>Emp</c:v>
                </c:pt>
              </c:strCache>
            </c:strRef>
          </c:cat>
          <c:val>
            <c:numRef>
              <c:f>Pivot!$K$9:$K$17</c:f>
              <c:numCache>
                <c:formatCode>General</c:formatCode>
                <c:ptCount val="8"/>
                <c:pt idx="0">
                  <c:v>0</c:v>
                </c:pt>
                <c:pt idx="1">
                  <c:v>0</c:v>
                </c:pt>
                <c:pt idx="2">
                  <c:v>5</c:v>
                </c:pt>
                <c:pt idx="3">
                  <c:v>30</c:v>
                </c:pt>
                <c:pt idx="4">
                  <c:v>69</c:v>
                </c:pt>
                <c:pt idx="5">
                  <c:v>24</c:v>
                </c:pt>
                <c:pt idx="6">
                  <c:v>1</c:v>
                </c:pt>
                <c:pt idx="7">
                  <c:v>64</c:v>
                </c:pt>
              </c:numCache>
            </c:numRef>
          </c:val>
          <c:extLst xmlns:c16r2="http://schemas.microsoft.com/office/drawing/2015/06/chart">
            <c:ext xmlns:c16="http://schemas.microsoft.com/office/drawing/2014/chart" uri="{C3380CC4-5D6E-409C-BE32-E72D297353CC}">
              <c16:uniqueId val="{00000000-C52A-457E-B2AF-533CB2C730AB}"/>
            </c:ext>
          </c:extLst>
        </c:ser>
        <c:ser>
          <c:idx val="1"/>
          <c:order val="1"/>
          <c:tx>
            <c:strRef>
              <c:f>Pivot!$L$8</c:f>
              <c:strCache>
                <c:ptCount val="1"/>
                <c:pt idx="0">
                  <c:v>MTD Rejection</c:v>
                </c:pt>
              </c:strCache>
            </c:strRef>
          </c:tx>
          <c:spPr>
            <a:solidFill>
              <a:schemeClr val="accent2">
                <a:lumMod val="50000"/>
              </a:schemeClr>
            </a:solidFill>
            <a:ln>
              <a:noFill/>
            </a:ln>
            <a:effectLst/>
          </c:spPr>
          <c:invertIfNegative val="0"/>
          <c:cat>
            <c:strRef>
              <c:f>Pivot!$J$9:$J$17</c:f>
              <c:strCache>
                <c:ptCount val="8"/>
                <c:pt idx="0">
                  <c:v>Drug</c:v>
                </c:pt>
                <c:pt idx="1">
                  <c:v>Investigation</c:v>
                </c:pt>
                <c:pt idx="2">
                  <c:v>Ref</c:v>
                </c:pt>
                <c:pt idx="3">
                  <c:v>Special Check</c:v>
                </c:pt>
                <c:pt idx="4">
                  <c:v>Add</c:v>
                </c:pt>
                <c:pt idx="5">
                  <c:v>Edu</c:v>
                </c:pt>
                <c:pt idx="6">
                  <c:v>CRC</c:v>
                </c:pt>
                <c:pt idx="7">
                  <c:v>Emp</c:v>
                </c:pt>
              </c:strCache>
            </c:strRef>
          </c:cat>
          <c:val>
            <c:numRef>
              <c:f>Pivot!$L$9:$L$17</c:f>
              <c:numCache>
                <c:formatCode>General</c:formatCode>
                <c:ptCount val="8"/>
                <c:pt idx="0">
                  <c:v>1</c:v>
                </c:pt>
                <c:pt idx="1">
                  <c:v>15</c:v>
                </c:pt>
                <c:pt idx="2">
                  <c:v>92</c:v>
                </c:pt>
                <c:pt idx="3">
                  <c:v>363</c:v>
                </c:pt>
                <c:pt idx="4">
                  <c:v>794</c:v>
                </c:pt>
                <c:pt idx="5">
                  <c:v>795</c:v>
                </c:pt>
                <c:pt idx="6">
                  <c:v>936</c:v>
                </c:pt>
                <c:pt idx="7">
                  <c:v>1654</c:v>
                </c:pt>
              </c:numCache>
            </c:numRef>
          </c:val>
          <c:extLst xmlns:c16r2="http://schemas.microsoft.com/office/drawing/2015/06/chart">
            <c:ext xmlns:c16="http://schemas.microsoft.com/office/drawing/2014/chart" uri="{C3380CC4-5D6E-409C-BE32-E72D297353CC}">
              <c16:uniqueId val="{00000001-C52A-457E-B2AF-533CB2C730AB}"/>
            </c:ext>
          </c:extLst>
        </c:ser>
        <c:dLbls>
          <c:showLegendKey val="0"/>
          <c:showVal val="0"/>
          <c:showCatName val="0"/>
          <c:showSerName val="0"/>
          <c:showPercent val="0"/>
          <c:showBubbleSize val="0"/>
        </c:dLbls>
        <c:gapWidth val="11"/>
        <c:axId val="264585728"/>
        <c:axId val="264586120"/>
      </c:barChart>
      <c:catAx>
        <c:axId val="2645857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64586120"/>
        <c:crosses val="autoZero"/>
        <c:auto val="1"/>
        <c:lblAlgn val="ctr"/>
        <c:lblOffset val="100"/>
        <c:noMultiLvlLbl val="0"/>
      </c:catAx>
      <c:valAx>
        <c:axId val="264586120"/>
        <c:scaling>
          <c:orientation val="minMax"/>
        </c:scaling>
        <c:delete val="0"/>
        <c:axPos val="b"/>
        <c:majorGridlines>
          <c:spPr>
            <a:ln w="9525" cap="flat" cmpd="sng" algn="ctr">
              <a:solidFill>
                <a:schemeClr val="accent2">
                  <a:lumMod val="60000"/>
                  <a:lumOff val="4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64585728"/>
        <c:crosses val="autoZero"/>
        <c:crossBetween val="between"/>
      </c:valAx>
      <c:spPr>
        <a:noFill/>
        <a:ln>
          <a:noFill/>
        </a:ln>
        <a:effectLst/>
      </c:spPr>
    </c:plotArea>
    <c:legend>
      <c:legendPos val="t"/>
      <c:layout>
        <c:manualLayout>
          <c:xMode val="edge"/>
          <c:yMode val="edge"/>
          <c:x val="0.24842811315252261"/>
          <c:y val="3.3333333333333333E-2"/>
          <c:w val="0.57664476571444645"/>
          <c:h val="0.1004606299212598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2">
        <a:lumMod val="90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[MTD Rejection.xlsm]Pivot!ClientWise Rejection</c:name>
    <c:fmtId val="2"/>
  </c:pivotSource>
  <c:chart>
    <c:autoTitleDeleted val="1"/>
    <c:pivotFmts>
      <c:pivotFmt>
        <c:idx val="0"/>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
        <c:spPr>
          <a:solidFill>
            <a:schemeClr val="accent2"/>
          </a:solidFill>
          <a:ln>
            <a:noFill/>
          </a:ln>
          <a:effectLst/>
        </c:spPr>
        <c:marker>
          <c:symbol val="none"/>
        </c:marker>
      </c:pivotFmt>
      <c:pivotFmt>
        <c:idx val="5"/>
        <c:spPr>
          <a:solidFill>
            <a:schemeClr val="accent2">
              <a:lumMod val="50000"/>
            </a:schemeClr>
          </a:solidFill>
          <a:ln>
            <a:noFill/>
          </a:ln>
          <a:effectLst/>
        </c:spPr>
        <c:marker>
          <c:symbol val="none"/>
        </c:marker>
      </c:pivotFmt>
    </c:pivotFmts>
    <c:plotArea>
      <c:layout/>
      <c:barChart>
        <c:barDir val="bar"/>
        <c:grouping val="clustered"/>
        <c:varyColors val="0"/>
        <c:ser>
          <c:idx val="0"/>
          <c:order val="0"/>
          <c:tx>
            <c:strRef>
              <c:f>Pivot!$O$8</c:f>
              <c:strCache>
                <c:ptCount val="1"/>
                <c:pt idx="0">
                  <c:v>Pending Rejection</c:v>
                </c:pt>
              </c:strCache>
            </c:strRef>
          </c:tx>
          <c:spPr>
            <a:solidFill>
              <a:schemeClr val="accent2"/>
            </a:solidFill>
            <a:ln>
              <a:noFill/>
            </a:ln>
            <a:effectLst/>
          </c:spPr>
          <c:invertIfNegative val="0"/>
          <c:cat>
            <c:strRef>
              <c:f>Pivot!$N$9:$N$19</c:f>
              <c:strCache>
                <c:ptCount val="10"/>
                <c:pt idx="0">
                  <c:v>Tech Mahindra Limited</c:v>
                </c:pt>
                <c:pt idx="1">
                  <c:v>Eureka Forbes Limited</c:v>
                </c:pt>
                <c:pt idx="2">
                  <c:v>Titan Company Limited</c:v>
                </c:pt>
                <c:pt idx="3">
                  <c:v>Tata Consultancy Services BPO Limited</c:v>
                </c:pt>
                <c:pt idx="4">
                  <c:v>Ambit Private Limited</c:v>
                </c:pt>
                <c:pt idx="5">
                  <c:v>Wipro Limited</c:v>
                </c:pt>
                <c:pt idx="6">
                  <c:v>Capgemini Technology Services India Ltd.</c:v>
                </c:pt>
                <c:pt idx="7">
                  <c:v>LTIMindtree Limited</c:v>
                </c:pt>
                <c:pt idx="8">
                  <c:v>Tata Consultancy Services</c:v>
                </c:pt>
                <c:pt idx="9">
                  <c:v>Walsons PCC</c:v>
                </c:pt>
              </c:strCache>
            </c:strRef>
          </c:cat>
          <c:val>
            <c:numRef>
              <c:f>Pivot!$O$9:$O$19</c:f>
              <c:numCache>
                <c:formatCode>General</c:formatCode>
                <c:ptCount val="10"/>
                <c:pt idx="0">
                  <c:v>1</c:v>
                </c:pt>
                <c:pt idx="1">
                  <c:v>6</c:v>
                </c:pt>
                <c:pt idx="2">
                  <c:v>9</c:v>
                </c:pt>
                <c:pt idx="3">
                  <c:v>6</c:v>
                </c:pt>
                <c:pt idx="4">
                  <c:v>9</c:v>
                </c:pt>
                <c:pt idx="5">
                  <c:v>2</c:v>
                </c:pt>
                <c:pt idx="6">
                  <c:v>3</c:v>
                </c:pt>
                <c:pt idx="7">
                  <c:v>19</c:v>
                </c:pt>
                <c:pt idx="8">
                  <c:v>14</c:v>
                </c:pt>
                <c:pt idx="9">
                  <c:v>0</c:v>
                </c:pt>
              </c:numCache>
            </c:numRef>
          </c:val>
          <c:extLst xmlns:c16r2="http://schemas.microsoft.com/office/drawing/2015/06/chart">
            <c:ext xmlns:c16="http://schemas.microsoft.com/office/drawing/2014/chart" uri="{C3380CC4-5D6E-409C-BE32-E72D297353CC}">
              <c16:uniqueId val="{00000000-EAF1-4041-9ABB-7069EF10F037}"/>
            </c:ext>
          </c:extLst>
        </c:ser>
        <c:ser>
          <c:idx val="1"/>
          <c:order val="1"/>
          <c:tx>
            <c:strRef>
              <c:f>Pivot!$P$8</c:f>
              <c:strCache>
                <c:ptCount val="1"/>
                <c:pt idx="0">
                  <c:v>MTD Rejection</c:v>
                </c:pt>
              </c:strCache>
            </c:strRef>
          </c:tx>
          <c:spPr>
            <a:solidFill>
              <a:schemeClr val="accent2">
                <a:lumMod val="50000"/>
              </a:schemeClr>
            </a:solidFill>
            <a:ln>
              <a:noFill/>
            </a:ln>
            <a:effectLst/>
          </c:spPr>
          <c:invertIfNegative val="0"/>
          <c:cat>
            <c:strRef>
              <c:f>Pivot!$N$9:$N$19</c:f>
              <c:strCache>
                <c:ptCount val="10"/>
                <c:pt idx="0">
                  <c:v>Tech Mahindra Limited</c:v>
                </c:pt>
                <c:pt idx="1">
                  <c:v>Eureka Forbes Limited</c:v>
                </c:pt>
                <c:pt idx="2">
                  <c:v>Titan Company Limited</c:v>
                </c:pt>
                <c:pt idx="3">
                  <c:v>Tata Consultancy Services BPO Limited</c:v>
                </c:pt>
                <c:pt idx="4">
                  <c:v>Ambit Private Limited</c:v>
                </c:pt>
                <c:pt idx="5">
                  <c:v>Wipro Limited</c:v>
                </c:pt>
                <c:pt idx="6">
                  <c:v>Capgemini Technology Services India Ltd.</c:v>
                </c:pt>
                <c:pt idx="7">
                  <c:v>LTIMindtree Limited</c:v>
                </c:pt>
                <c:pt idx="8">
                  <c:v>Tata Consultancy Services</c:v>
                </c:pt>
                <c:pt idx="9">
                  <c:v>Walsons PCC</c:v>
                </c:pt>
              </c:strCache>
            </c:strRef>
          </c:cat>
          <c:val>
            <c:numRef>
              <c:f>Pivot!$P$9:$P$19</c:f>
              <c:numCache>
                <c:formatCode>General</c:formatCode>
                <c:ptCount val="10"/>
                <c:pt idx="0">
                  <c:v>72</c:v>
                </c:pt>
                <c:pt idx="1">
                  <c:v>79</c:v>
                </c:pt>
                <c:pt idx="2">
                  <c:v>80</c:v>
                </c:pt>
                <c:pt idx="3">
                  <c:v>101</c:v>
                </c:pt>
                <c:pt idx="4">
                  <c:v>108</c:v>
                </c:pt>
                <c:pt idx="5">
                  <c:v>153</c:v>
                </c:pt>
                <c:pt idx="6">
                  <c:v>236</c:v>
                </c:pt>
                <c:pt idx="7">
                  <c:v>329</c:v>
                </c:pt>
                <c:pt idx="8">
                  <c:v>352</c:v>
                </c:pt>
                <c:pt idx="9">
                  <c:v>477</c:v>
                </c:pt>
              </c:numCache>
            </c:numRef>
          </c:val>
          <c:extLst xmlns:c16r2="http://schemas.microsoft.com/office/drawing/2015/06/chart">
            <c:ext xmlns:c16="http://schemas.microsoft.com/office/drawing/2014/chart" uri="{C3380CC4-5D6E-409C-BE32-E72D297353CC}">
              <c16:uniqueId val="{00000001-EAF1-4041-9ABB-7069EF10F037}"/>
            </c:ext>
          </c:extLst>
        </c:ser>
        <c:dLbls>
          <c:showLegendKey val="0"/>
          <c:showVal val="0"/>
          <c:showCatName val="0"/>
          <c:showSerName val="0"/>
          <c:showPercent val="0"/>
          <c:showBubbleSize val="0"/>
        </c:dLbls>
        <c:gapWidth val="15"/>
        <c:axId val="264587296"/>
        <c:axId val="264587688"/>
      </c:barChart>
      <c:catAx>
        <c:axId val="2645872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64587688"/>
        <c:crosses val="autoZero"/>
        <c:auto val="1"/>
        <c:lblAlgn val="ctr"/>
        <c:lblOffset val="100"/>
        <c:noMultiLvlLbl val="0"/>
      </c:catAx>
      <c:valAx>
        <c:axId val="264587688"/>
        <c:scaling>
          <c:orientation val="minMax"/>
        </c:scaling>
        <c:delete val="0"/>
        <c:axPos val="b"/>
        <c:majorGridlines>
          <c:spPr>
            <a:ln w="9525" cap="flat" cmpd="sng" algn="ctr">
              <a:solidFill>
                <a:schemeClr val="accent2">
                  <a:lumMod val="60000"/>
                  <a:lumOff val="4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t" anchorCtr="0"/>
          <a:lstStyle/>
          <a:p>
            <a:pPr>
              <a:defRPr sz="900" b="0" i="0" u="none" strike="noStrike" kern="1200" baseline="0">
                <a:solidFill>
                  <a:schemeClr val="tx1"/>
                </a:solidFill>
                <a:latin typeface="+mn-lt"/>
                <a:ea typeface="+mn-ea"/>
                <a:cs typeface="+mn-cs"/>
              </a:defRPr>
            </a:pPr>
            <a:endParaRPr lang="en-US"/>
          </a:p>
        </c:txPr>
        <c:crossAx val="264587296"/>
        <c:crosses val="autoZero"/>
        <c:crossBetween val="between"/>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2">
        <a:lumMod val="90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[MTD Rejection.xlsm]Pivot!Checkwise Rejection Percentage</c:name>
    <c:fmtId val="16"/>
  </c:pivotSource>
  <c:chart>
    <c:title>
      <c:tx>
        <c:rich>
          <a:bodyPr rot="0" spcFirstLastPara="1" vertOverflow="ellipsis" vert="horz" wrap="square" anchor="b" anchorCtr="0"/>
          <a:lstStyle/>
          <a:p>
            <a:pPr>
              <a:defRPr sz="1400" b="1" i="0" u="none" strike="noStrike" kern="1200" spc="0" baseline="0">
                <a:solidFill>
                  <a:schemeClr val="tx1"/>
                </a:solidFill>
                <a:latin typeface="+mn-lt"/>
                <a:ea typeface="+mn-ea"/>
                <a:cs typeface="+mn-cs"/>
              </a:defRPr>
            </a:pPr>
            <a:r>
              <a:rPr lang="en-US" b="1">
                <a:solidFill>
                  <a:schemeClr val="tx1"/>
                </a:solidFill>
              </a:rPr>
              <a:t>Check</a:t>
            </a:r>
            <a:r>
              <a:rPr lang="en-US" b="1" baseline="0">
                <a:solidFill>
                  <a:schemeClr val="tx1"/>
                </a:solidFill>
              </a:rPr>
              <a:t> Wise Rejection %</a:t>
            </a:r>
            <a:endParaRPr lang="en-US" b="1">
              <a:solidFill>
                <a:schemeClr val="tx1"/>
              </a:solidFill>
            </a:endParaRPr>
          </a:p>
        </c:rich>
      </c:tx>
      <c:layout/>
      <c:overlay val="0"/>
      <c:spPr>
        <a:noFill/>
        <a:ln>
          <a:noFill/>
        </a:ln>
        <a:effectLst/>
      </c:sp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extLst xmlns:c16r2="http://schemas.microsoft.com/office/drawing/2015/06/char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7.2222222222222215E-2"/>
              <c:y val="-9.2592592592593021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xmlns:c16r2="http://schemas.microsoft.com/office/drawing/2015/06/chart">
            <c:ext xmlns:c15="http://schemas.microsoft.com/office/drawing/2012/chart" uri="{CE6537A1-D6FC-4f65-9D91-7224C49458BB}"/>
          </c:extLst>
        </c:dLbl>
      </c:pivotFmt>
      <c:pivotFmt>
        <c:idx val="2"/>
        <c:spPr>
          <a:solidFill>
            <a:schemeClr val="accent2"/>
          </a:solidFill>
          <a:ln w="19050">
            <a:solidFill>
              <a:schemeClr val="lt1"/>
            </a:solidFill>
          </a:ln>
          <a:effectLst/>
        </c:spPr>
        <c:dLbl>
          <c:idx val="0"/>
          <c:layout>
            <c:manualLayout>
              <c:x val="4.1666666666666664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xmlns:c16r2="http://schemas.microsoft.com/office/drawing/2015/06/chart">
            <c:ext xmlns:c15="http://schemas.microsoft.com/office/drawing/2012/chart" uri="{CE6537A1-D6FC-4f65-9D91-7224C49458BB}"/>
          </c:extLst>
        </c:dLbl>
      </c:pivotFmt>
      <c:pivotFmt>
        <c:idx val="3"/>
        <c:spPr>
          <a:solidFill>
            <a:schemeClr val="accent3"/>
          </a:solidFill>
          <a:ln w="19050">
            <a:solidFill>
              <a:schemeClr val="lt1"/>
            </a:solidFill>
          </a:ln>
          <a:effectLst/>
        </c:spPr>
        <c:dLbl>
          <c:idx val="0"/>
          <c:layout>
            <c:manualLayout>
              <c:x val="6.9444444444444448E-2"/>
              <c:y val="-5.092592592592592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xmlns:c16r2="http://schemas.microsoft.com/office/drawing/2015/06/chart">
            <c:ext xmlns:c15="http://schemas.microsoft.com/office/drawing/2012/chart" uri="{CE6537A1-D6FC-4f65-9D91-7224C49458BB}"/>
          </c:extLst>
        </c:dLbl>
      </c:pivotFmt>
      <c:pivotFmt>
        <c:idx val="4"/>
        <c:spPr>
          <a:solidFill>
            <a:schemeClr val="accent4"/>
          </a:solidFill>
          <a:ln w="19050">
            <a:solidFill>
              <a:schemeClr val="lt1"/>
            </a:solidFill>
          </a:ln>
          <a:effectLst/>
        </c:spPr>
        <c:dLbl>
          <c:idx val="0"/>
          <c:layout>
            <c:manualLayout>
              <c:x val="-6.6666666666666666E-2"/>
              <c:y val="-2.314814814814823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xmlns:c16r2="http://schemas.microsoft.com/office/drawing/2015/06/chart">
            <c:ext xmlns:c15="http://schemas.microsoft.com/office/drawing/2012/chart" uri="{CE6537A1-D6FC-4f65-9D91-7224C49458BB}"/>
          </c:extLst>
        </c:dLbl>
      </c:pivotFmt>
      <c:pivotFmt>
        <c:idx val="5"/>
        <c:spPr>
          <a:solidFill>
            <a:schemeClr val="accent6"/>
          </a:solidFill>
          <a:ln w="19050">
            <a:solidFill>
              <a:schemeClr val="lt1"/>
            </a:solidFill>
          </a:ln>
          <a:effectLst/>
        </c:spPr>
        <c:dLbl>
          <c:idx val="0"/>
          <c:layout>
            <c:manualLayout>
              <c:x val="-6.1111111111111109E-2"/>
              <c:y val="2.777777777777777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xmlns:c16r2="http://schemas.microsoft.com/office/drawing/2015/06/chart">
            <c:ext xmlns:c15="http://schemas.microsoft.com/office/drawing/2012/chart" uri="{CE6537A1-D6FC-4f65-9D91-7224C49458BB}"/>
          </c:extLst>
        </c:dLbl>
      </c:pivotFmt>
      <c:pivotFmt>
        <c:idx val="6"/>
        <c:spPr>
          <a:solidFill>
            <a:schemeClr val="accent5"/>
          </a:solidFill>
          <a:ln w="19050">
            <a:solidFill>
              <a:schemeClr val="lt1"/>
            </a:solidFill>
          </a:ln>
          <a:effectLst/>
        </c:spPr>
        <c:dLbl>
          <c:idx val="0"/>
          <c:layout>
            <c:manualLayout>
              <c:x val="-8.7500000000000008E-2"/>
              <c:y val="0.1481481481481481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xmlns:c16r2="http://schemas.microsoft.com/office/drawing/2015/06/chart">
            <c:ext xmlns:c15="http://schemas.microsoft.com/office/drawing/2012/chart" uri="{CE6537A1-D6FC-4f65-9D91-7224C49458BB}">
              <c15:layout>
                <c:manualLayout>
                  <c:w val="0.16962489063867017"/>
                  <c:h val="0.11560185185185186"/>
                </c:manualLayout>
              </c15:layout>
            </c:ext>
          </c:extLst>
        </c:dLbl>
      </c:pivotFmt>
      <c:pivotFmt>
        <c:idx val="7"/>
        <c:spPr>
          <a:solidFill>
            <a:schemeClr val="accent1">
              <a:lumMod val="60000"/>
            </a:schemeClr>
          </a:solidFill>
          <a:ln w="19050">
            <a:solidFill>
              <a:schemeClr val="lt1"/>
            </a:solidFill>
          </a:ln>
          <a:effectLst/>
        </c:spPr>
        <c:dLbl>
          <c:idx val="0"/>
          <c:layout>
            <c:manualLayout>
              <c:x val="-0.1388888888888889"/>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xmlns:c16r2="http://schemas.microsoft.com/office/drawing/2015/06/chart">
            <c:ext xmlns:c15="http://schemas.microsoft.com/office/drawing/2012/chart" uri="{CE6537A1-D6FC-4f65-9D91-7224C49458BB}"/>
          </c:extLst>
        </c:dLbl>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extLst xmlns:c16r2="http://schemas.microsoft.com/office/drawing/2015/06/char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7.2222222222222215E-2"/>
              <c:y val="-9.2592592592593021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xmlns:c16r2="http://schemas.microsoft.com/office/drawing/2015/06/chart">
            <c:ext xmlns:c15="http://schemas.microsoft.com/office/drawing/2012/chart" uri="{CE6537A1-D6FC-4f65-9D91-7224C49458BB}"/>
          </c:extLst>
        </c:dLbl>
      </c:pivotFmt>
      <c:pivotFmt>
        <c:idx val="10"/>
        <c:spPr>
          <a:solidFill>
            <a:schemeClr val="accent1"/>
          </a:solidFill>
          <a:ln w="19050">
            <a:solidFill>
              <a:schemeClr val="lt1"/>
            </a:solidFill>
          </a:ln>
          <a:effectLst/>
        </c:spPr>
        <c:dLbl>
          <c:idx val="0"/>
          <c:layout>
            <c:manualLayout>
              <c:x val="4.1666666666666664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xmlns:c16r2="http://schemas.microsoft.com/office/drawing/2015/06/char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6.9444444444444448E-2"/>
              <c:y val="-5.092592592592592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xmlns:c16r2="http://schemas.microsoft.com/office/drawing/2015/06/chart">
            <c:ext xmlns:c15="http://schemas.microsoft.com/office/drawing/2012/chart" uri="{CE6537A1-D6FC-4f65-9D91-7224C49458BB}"/>
          </c:extLst>
        </c:dLbl>
      </c:pivotFmt>
      <c:pivotFmt>
        <c:idx val="12"/>
        <c:spPr>
          <a:solidFill>
            <a:schemeClr val="accent1"/>
          </a:solidFill>
          <a:ln w="19050">
            <a:solidFill>
              <a:schemeClr val="lt1"/>
            </a:solidFill>
          </a:ln>
          <a:effectLst/>
        </c:spPr>
        <c:dLbl>
          <c:idx val="0"/>
          <c:layout>
            <c:manualLayout>
              <c:x val="-6.6666666666666666E-2"/>
              <c:y val="-2.314814814814823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xmlns:c16r2="http://schemas.microsoft.com/office/drawing/2015/06/chart">
            <c:ext xmlns:c15="http://schemas.microsoft.com/office/drawing/2012/chart" uri="{CE6537A1-D6FC-4f65-9D91-7224C49458BB}"/>
          </c:extLst>
        </c:dLbl>
      </c:pivotFmt>
      <c:pivotFmt>
        <c:idx val="13"/>
        <c:spPr>
          <a:solidFill>
            <a:schemeClr val="accent1"/>
          </a:solidFill>
          <a:ln w="19050">
            <a:solidFill>
              <a:schemeClr val="lt1"/>
            </a:solidFill>
          </a:ln>
          <a:effectLst/>
        </c:spPr>
        <c:dLbl>
          <c:idx val="0"/>
          <c:layout>
            <c:manualLayout>
              <c:x val="-8.7500000000000008E-2"/>
              <c:y val="0.1481481481481481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xmlns:c16r2="http://schemas.microsoft.com/office/drawing/2015/06/chart">
            <c:ext xmlns:c15="http://schemas.microsoft.com/office/drawing/2012/chart" uri="{CE6537A1-D6FC-4f65-9D91-7224C49458BB}">
              <c15:layout>
                <c:manualLayout>
                  <c:w val="0.16962489063867017"/>
                  <c:h val="0.11560185185185186"/>
                </c:manualLayout>
              </c15:layout>
            </c:ext>
          </c:extLst>
        </c:dLbl>
      </c:pivotFmt>
      <c:pivotFmt>
        <c:idx val="14"/>
        <c:spPr>
          <a:solidFill>
            <a:schemeClr val="accent1"/>
          </a:solidFill>
          <a:ln w="19050">
            <a:solidFill>
              <a:schemeClr val="lt1"/>
            </a:solidFill>
          </a:ln>
          <a:effectLst/>
        </c:spPr>
        <c:dLbl>
          <c:idx val="0"/>
          <c:layout>
            <c:manualLayout>
              <c:x val="-6.1111111111111109E-2"/>
              <c:y val="2.777777777777777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xmlns:c16r2="http://schemas.microsoft.com/office/drawing/2015/06/chart">
            <c:ext xmlns:c15="http://schemas.microsoft.com/office/drawing/2012/chart" uri="{CE6537A1-D6FC-4f65-9D91-7224C49458BB}"/>
          </c:extLst>
        </c:dLbl>
      </c:pivotFmt>
      <c:pivotFmt>
        <c:idx val="15"/>
        <c:spPr>
          <a:solidFill>
            <a:schemeClr val="accent1"/>
          </a:solidFill>
          <a:ln w="19050">
            <a:solidFill>
              <a:schemeClr val="lt1"/>
            </a:solidFill>
          </a:ln>
          <a:effectLst/>
        </c:spPr>
        <c:dLbl>
          <c:idx val="0"/>
          <c:layout>
            <c:manualLayout>
              <c:x val="-0.1388888888888889"/>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xmlns:c16r2="http://schemas.microsoft.com/office/drawing/2015/06/chart">
            <c:ext xmlns:c15="http://schemas.microsoft.com/office/drawing/2012/chart" uri="{CE6537A1-D6FC-4f65-9D91-7224C49458BB}"/>
          </c:extLst>
        </c:dLbl>
      </c:pivotFmt>
      <c:pivotFmt>
        <c:idx val="16"/>
        <c:spPr>
          <a:ln>
            <a:noFill/>
          </a:ln>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1"/>
          <c:showSerName val="0"/>
          <c:showPercent val="0"/>
          <c:showBubbleSize val="0"/>
          <c:separator>
</c:separator>
          <c:extLst xmlns:c16r2="http://schemas.microsoft.com/office/drawing/2015/06/chart">
            <c:ext xmlns:c15="http://schemas.microsoft.com/office/drawing/2012/chart" uri="{CE6537A1-D6FC-4f65-9D91-7224C49458BB}">
              <c15:layout/>
            </c:ext>
          </c:extLst>
        </c:dLbl>
      </c:pivotFmt>
      <c:pivotFmt>
        <c:idx val="17"/>
        <c:spPr>
          <a:solidFill>
            <a:schemeClr val="accent1"/>
          </a:solidFill>
          <a:ln w="19050">
            <a:noFill/>
          </a:ln>
          <a:effectLst/>
        </c:spPr>
      </c:pivotFmt>
      <c:pivotFmt>
        <c:idx val="18"/>
        <c:spPr>
          <a:solidFill>
            <a:schemeClr val="accent1"/>
          </a:solidFill>
          <a:ln w="19050">
            <a:noFill/>
          </a:ln>
          <a:effectLst/>
        </c:spPr>
        <c:dLbl>
          <c:idx val="0"/>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1"/>
          <c:showSerName val="0"/>
          <c:showPercent val="0"/>
          <c:showBubbleSize val="0"/>
          <c:separator>
</c:separator>
          <c:extLst xmlns:c16r2="http://schemas.microsoft.com/office/drawing/2015/06/chart">
            <c:ext xmlns:c15="http://schemas.microsoft.com/office/drawing/2012/chart" uri="{CE6537A1-D6FC-4f65-9D91-7224C49458BB}">
              <c15:spPr xmlns:c15="http://schemas.microsoft.com/office/drawing/2012/chart">
                <a:prstGeom prst="rect">
                  <a:avLst/>
                </a:prstGeom>
              </c15:spPr>
              <c15:layout/>
            </c:ext>
          </c:extLst>
        </c:dLbl>
      </c:pivotFmt>
      <c:pivotFmt>
        <c:idx val="19"/>
        <c:spPr>
          <a:solidFill>
            <a:schemeClr val="accent1"/>
          </a:solidFill>
          <a:ln w="19050">
            <a:noFill/>
          </a:ln>
          <a:effectLst/>
        </c:spPr>
      </c:pivotFmt>
      <c:pivotFmt>
        <c:idx val="20"/>
        <c:spPr>
          <a:solidFill>
            <a:schemeClr val="accent1"/>
          </a:solidFill>
          <a:ln w="19050">
            <a:noFill/>
          </a:ln>
          <a:effectLst/>
        </c:spPr>
      </c:pivotFmt>
      <c:pivotFmt>
        <c:idx val="21"/>
        <c:spPr>
          <a:solidFill>
            <a:schemeClr val="accent2"/>
          </a:solidFill>
          <a:ln w="19050">
            <a:noFill/>
          </a:ln>
          <a:effectLst/>
        </c:spPr>
        <c:dLbl>
          <c:idx val="0"/>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1"/>
          <c:showSerName val="0"/>
          <c:showPercent val="0"/>
          <c:showBubbleSize val="0"/>
          <c:separator>
</c:separator>
          <c:extLst xmlns:c16r2="http://schemas.microsoft.com/office/drawing/2015/06/chart">
            <c:ext xmlns:c15="http://schemas.microsoft.com/office/drawing/2012/chart" uri="{CE6537A1-D6FC-4f65-9D91-7224C49458BB}">
              <c15:spPr xmlns:c15="http://schemas.microsoft.com/office/drawing/2012/chart">
                <a:prstGeom prst="rect">
                  <a:avLst/>
                </a:prstGeom>
              </c15:spPr>
              <c15:layout/>
            </c:ext>
          </c:extLst>
        </c:dLbl>
      </c:pivotFmt>
      <c:pivotFmt>
        <c:idx val="22"/>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bestFit"/>
          <c:showLegendKey val="0"/>
          <c:showVal val="1"/>
          <c:showCatName val="1"/>
          <c:showSerName val="0"/>
          <c:showPercent val="0"/>
          <c:showBubbleSize val="0"/>
          <c:separator>
</c:separator>
          <c:extLst xmlns:c16r2="http://schemas.microsoft.com/office/drawing/2015/06/chart">
            <c:ext xmlns:c15="http://schemas.microsoft.com/office/drawing/2012/chart" uri="{CE6537A1-D6FC-4f65-9D91-7224C49458BB}"/>
          </c:extLst>
        </c:dLbl>
      </c:pivotFmt>
      <c:pivotFmt>
        <c:idx val="23"/>
        <c:spPr>
          <a:solidFill>
            <a:schemeClr val="accent3"/>
          </a:solidFill>
          <a:ln w="19050">
            <a:noFill/>
          </a:ln>
          <a:effectLst/>
        </c:spPr>
        <c:dLbl>
          <c:idx val="0"/>
          <c:layout>
            <c:manualLayout>
              <c:x val="5.5555555555555552E-2"/>
              <c:y val="8.77192982456140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bestFit"/>
          <c:showLegendKey val="0"/>
          <c:showVal val="1"/>
          <c:showCatName val="1"/>
          <c:showSerName val="0"/>
          <c:showPercent val="0"/>
          <c:showBubbleSize val="0"/>
          <c:separator>
</c:separator>
          <c:extLst>
            <c:ext xmlns:c15="http://schemas.microsoft.com/office/drawing/2012/chart" uri="{CE6537A1-D6FC-4f65-9D91-7224C49458BB}">
              <c15:layout/>
            </c:ext>
          </c:extLst>
        </c:dLbl>
      </c:pivotFmt>
      <c:pivotFmt>
        <c:idx val="24"/>
        <c:spPr>
          <a:solidFill>
            <a:schemeClr val="accent1"/>
          </a:solidFill>
          <a:ln w="19050">
            <a:noFill/>
          </a:ln>
          <a:effectLst/>
        </c:spPr>
      </c:pivotFmt>
      <c:pivotFmt>
        <c:idx val="25"/>
        <c:spPr>
          <a:solidFill>
            <a:schemeClr val="accent1"/>
          </a:solidFill>
          <a:ln w="19050">
            <a:noFill/>
          </a:ln>
          <a:effectLst/>
        </c:spPr>
      </c:pivotFmt>
      <c:pivotFmt>
        <c:idx val="26"/>
        <c:spPr>
          <a:solidFill>
            <a:schemeClr val="accent5">
              <a:lumMod val="60000"/>
              <a:lumOff val="40000"/>
            </a:schemeClr>
          </a:solidFill>
          <a:ln w="19050">
            <a:noFill/>
          </a:ln>
          <a:effectLst/>
        </c:spPr>
      </c:pivotFmt>
      <c:pivotFmt>
        <c:idx val="27"/>
        <c:spPr>
          <a:solidFill>
            <a:schemeClr val="accent4"/>
          </a:solidFill>
          <a:ln w="19050">
            <a:noFill/>
          </a:ln>
          <a:effectLst/>
        </c:spPr>
      </c:pivotFmt>
      <c:pivotFmt>
        <c:idx val="28"/>
        <c:spPr>
          <a:solidFill>
            <a:schemeClr val="accent5"/>
          </a:solidFill>
          <a:ln w="19050">
            <a:noFill/>
          </a:ln>
          <a:effectLst/>
        </c:spPr>
      </c:pivotFmt>
      <c:pivotFmt>
        <c:idx val="29"/>
        <c:spPr>
          <a:solidFill>
            <a:schemeClr val="accent6"/>
          </a:solidFill>
          <a:ln w="19050">
            <a:noFill/>
          </a:ln>
          <a:effectLst/>
        </c:spPr>
      </c:pivotFmt>
      <c:pivotFmt>
        <c:idx val="30"/>
        <c:spPr>
          <a:solidFill>
            <a:schemeClr val="accent2">
              <a:lumMod val="60000"/>
            </a:schemeClr>
          </a:solidFill>
          <a:ln w="19050">
            <a:noFill/>
          </a:ln>
          <a:effectLst/>
        </c:spPr>
      </c:pivotFmt>
    </c:pivotFmts>
    <c:plotArea>
      <c:layout/>
      <c:pieChart>
        <c:varyColors val="1"/>
        <c:ser>
          <c:idx val="0"/>
          <c:order val="0"/>
          <c:tx>
            <c:strRef>
              <c:f>Pivot!$K$23</c:f>
              <c:strCache>
                <c:ptCount val="1"/>
                <c:pt idx="0">
                  <c:v>Total</c:v>
                </c:pt>
              </c:strCache>
            </c:strRef>
          </c:tx>
          <c:spPr>
            <a:ln>
              <a:noFill/>
            </a:ln>
          </c:spPr>
          <c:dPt>
            <c:idx val="0"/>
            <c:bubble3D val="0"/>
            <c:spPr>
              <a:solidFill>
                <a:schemeClr val="accent1"/>
              </a:solidFill>
              <a:ln w="19050">
                <a:noFill/>
              </a:ln>
              <a:effectLst/>
            </c:spPr>
            <c:extLst xmlns:c16r2="http://schemas.microsoft.com/office/drawing/2015/06/chart">
              <c:ext xmlns:c16="http://schemas.microsoft.com/office/drawing/2014/chart" uri="{C3380CC4-5D6E-409C-BE32-E72D297353CC}">
                <c16:uniqueId val="{00000001-A920-47DD-93BF-DE8A31E83378}"/>
              </c:ext>
            </c:extLst>
          </c:dPt>
          <c:dPt>
            <c:idx val="1"/>
            <c:bubble3D val="0"/>
            <c:spPr>
              <a:solidFill>
                <a:schemeClr val="accent2"/>
              </a:solidFill>
              <a:ln w="19050">
                <a:noFill/>
              </a:ln>
              <a:effectLst/>
            </c:spPr>
            <c:extLst xmlns:c16r2="http://schemas.microsoft.com/office/drawing/2015/06/chart">
              <c:ext xmlns:c16="http://schemas.microsoft.com/office/drawing/2014/chart" uri="{C3380CC4-5D6E-409C-BE32-E72D297353CC}">
                <c16:uniqueId val="{00000003-A920-47DD-93BF-DE8A31E83378}"/>
              </c:ext>
            </c:extLst>
          </c:dPt>
          <c:dPt>
            <c:idx val="2"/>
            <c:bubble3D val="0"/>
            <c:spPr>
              <a:solidFill>
                <a:schemeClr val="accent3"/>
              </a:solidFill>
              <a:ln w="19050">
                <a:noFill/>
              </a:ln>
              <a:effectLst/>
            </c:spPr>
            <c:extLst xmlns:c16r2="http://schemas.microsoft.com/office/drawing/2015/06/chart">
              <c:ext xmlns:c16="http://schemas.microsoft.com/office/drawing/2014/chart" uri="{C3380CC4-5D6E-409C-BE32-E72D297353CC}">
                <c16:uniqueId val="{00000005-A920-47DD-93BF-DE8A31E83378}"/>
              </c:ext>
            </c:extLst>
          </c:dPt>
          <c:dPt>
            <c:idx val="3"/>
            <c:bubble3D val="0"/>
            <c:spPr>
              <a:solidFill>
                <a:schemeClr val="accent4"/>
              </a:solidFill>
              <a:ln w="19050">
                <a:noFill/>
              </a:ln>
              <a:effectLst/>
            </c:spPr>
            <c:extLst xmlns:c16r2="http://schemas.microsoft.com/office/drawing/2015/06/chart">
              <c:ext xmlns:c16="http://schemas.microsoft.com/office/drawing/2014/chart" uri="{C3380CC4-5D6E-409C-BE32-E72D297353CC}">
                <c16:uniqueId val="{00000007-A920-47DD-93BF-DE8A31E83378}"/>
              </c:ext>
            </c:extLst>
          </c:dPt>
          <c:dPt>
            <c:idx val="4"/>
            <c:bubble3D val="0"/>
            <c:spPr>
              <a:solidFill>
                <a:schemeClr val="accent5"/>
              </a:solidFill>
              <a:ln w="19050">
                <a:noFill/>
              </a:ln>
              <a:effectLst/>
            </c:spPr>
            <c:extLst xmlns:c16r2="http://schemas.microsoft.com/office/drawing/2015/06/chart">
              <c:ext xmlns:c16="http://schemas.microsoft.com/office/drawing/2014/chart" uri="{C3380CC4-5D6E-409C-BE32-E72D297353CC}">
                <c16:uniqueId val="{00000009-A920-47DD-93BF-DE8A31E83378}"/>
              </c:ext>
            </c:extLst>
          </c:dPt>
          <c:dPt>
            <c:idx val="5"/>
            <c:bubble3D val="0"/>
            <c:spPr>
              <a:solidFill>
                <a:schemeClr val="accent6"/>
              </a:solidFill>
              <a:ln w="19050">
                <a:noFill/>
              </a:ln>
              <a:effectLst/>
            </c:spPr>
            <c:extLst xmlns:c16r2="http://schemas.microsoft.com/office/drawing/2015/06/chart">
              <c:ext xmlns:c16="http://schemas.microsoft.com/office/drawing/2014/chart" uri="{C3380CC4-5D6E-409C-BE32-E72D297353CC}">
                <c16:uniqueId val="{0000000B-A920-47DD-93BF-DE8A31E83378}"/>
              </c:ext>
            </c:extLst>
          </c:dPt>
          <c:dPt>
            <c:idx val="6"/>
            <c:bubble3D val="0"/>
            <c:spPr>
              <a:solidFill>
                <a:schemeClr val="accent5">
                  <a:lumMod val="60000"/>
                  <a:lumOff val="40000"/>
                </a:schemeClr>
              </a:solidFill>
              <a:ln w="19050">
                <a:noFill/>
              </a:ln>
              <a:effectLst/>
            </c:spPr>
            <c:extLst xmlns:c16r2="http://schemas.microsoft.com/office/drawing/2015/06/chart">
              <c:ext xmlns:c16="http://schemas.microsoft.com/office/drawing/2014/chart" uri="{C3380CC4-5D6E-409C-BE32-E72D297353CC}">
                <c16:uniqueId val="{0000000D-A920-47DD-93BF-DE8A31E83378}"/>
              </c:ext>
            </c:extLst>
          </c:dPt>
          <c:dPt>
            <c:idx val="7"/>
            <c:bubble3D val="0"/>
            <c:spPr>
              <a:solidFill>
                <a:schemeClr val="accent2">
                  <a:lumMod val="60000"/>
                </a:schemeClr>
              </a:solidFill>
              <a:ln w="19050">
                <a:noFill/>
              </a:ln>
              <a:effectLst/>
            </c:spPr>
            <c:extLst xmlns:c16r2="http://schemas.microsoft.com/office/drawing/2015/06/chart">
              <c:ext xmlns:c16="http://schemas.microsoft.com/office/drawing/2014/chart" uri="{C3380CC4-5D6E-409C-BE32-E72D297353CC}">
                <c16:uniqueId val="{0000000F-CCEC-4D62-AF4F-89649133BB37}"/>
              </c:ext>
            </c:extLst>
          </c:dPt>
          <c:dLbls>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1"/>
              <c:showSerName val="0"/>
              <c:showPercent val="0"/>
              <c:showBubbleSize val="0"/>
              <c:extLst xmlns:c16r2="http://schemas.microsoft.com/office/drawing/2015/06/chart">
                <c:ext xmlns:c15="http://schemas.microsoft.com/office/drawing/2012/chart" uri="{CE6537A1-D6FC-4f65-9D91-7224C49458BB}">
                  <c15:spPr xmlns:c15="http://schemas.microsoft.com/office/drawing/2012/chart">
                    <a:prstGeom prst="rect">
                      <a:avLst/>
                    </a:prstGeom>
                  </c15:spPr>
                </c:ext>
              </c:extLst>
            </c:dLbl>
            <c:dLbl>
              <c:idx val="1"/>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1"/>
              <c:showSerName val="0"/>
              <c:showPercent val="0"/>
              <c:showBubbleSize val="0"/>
              <c:extLst xmlns:c16r2="http://schemas.microsoft.com/office/drawing/2015/06/chart">
                <c:ext xmlns:c15="http://schemas.microsoft.com/office/drawing/2012/chart" uri="{CE6537A1-D6FC-4f65-9D91-7224C49458BB}">
                  <c15:spPr xmlns:c15="http://schemas.microsoft.com/office/drawing/2012/chart">
                    <a:prstGeom prst="rect">
                      <a:avLst/>
                    </a:prstGeom>
                  </c15:spPr>
                </c:ext>
              </c:extLst>
            </c:dLbl>
            <c:dLbl>
              <c:idx val="2"/>
              <c:layout>
                <c:manualLayout>
                  <c:x val="5.5555555555555552E-2"/>
                  <c:y val="8.771929824561403E-2"/>
                </c:manualLayout>
              </c:layout>
              <c:dLblPos val="bestFit"/>
              <c:showLegendKey val="0"/>
              <c:showVal val="1"/>
              <c:showCatName val="1"/>
              <c:showSerName val="0"/>
              <c:showPercent val="0"/>
              <c:showBubbleSize val="0"/>
              <c:separator>
</c:separator>
              <c:extLs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Pivot!$J$24:$J$32</c:f>
              <c:strCache>
                <c:ptCount val="8"/>
                <c:pt idx="0">
                  <c:v>CRC</c:v>
                </c:pt>
                <c:pt idx="1">
                  <c:v>Investigation</c:v>
                </c:pt>
                <c:pt idx="2">
                  <c:v>Special Check</c:v>
                </c:pt>
                <c:pt idx="3">
                  <c:v>Add</c:v>
                </c:pt>
                <c:pt idx="4">
                  <c:v>Drug</c:v>
                </c:pt>
                <c:pt idx="5">
                  <c:v>Edu</c:v>
                </c:pt>
                <c:pt idx="6">
                  <c:v>Emp</c:v>
                </c:pt>
                <c:pt idx="7">
                  <c:v>Ref</c:v>
                </c:pt>
              </c:strCache>
            </c:strRef>
          </c:cat>
          <c:val>
            <c:numRef>
              <c:f>Pivot!$K$24:$K$32</c:f>
              <c:numCache>
                <c:formatCode>0.00%</c:formatCode>
                <c:ptCount val="8"/>
                <c:pt idx="0">
                  <c:v>0.20129032258064516</c:v>
                </c:pt>
                <c:pt idx="1">
                  <c:v>3.2258064516129032E-3</c:v>
                </c:pt>
                <c:pt idx="2">
                  <c:v>7.8064516129032258E-2</c:v>
                </c:pt>
                <c:pt idx="3">
                  <c:v>0.170752688172043</c:v>
                </c:pt>
                <c:pt idx="4">
                  <c:v>2.1505376344086021E-4</c:v>
                </c:pt>
                <c:pt idx="5">
                  <c:v>0.17096774193548386</c:v>
                </c:pt>
                <c:pt idx="6">
                  <c:v>0.35569892473118281</c:v>
                </c:pt>
                <c:pt idx="7">
                  <c:v>1.9784946236559142E-2</c:v>
                </c:pt>
              </c:numCache>
            </c:numRef>
          </c:val>
          <c:extLst xmlns:c16r2="http://schemas.microsoft.com/office/drawing/2015/06/chart">
            <c:ext xmlns:c16="http://schemas.microsoft.com/office/drawing/2014/chart" uri="{C3380CC4-5D6E-409C-BE32-E72D297353CC}">
              <c16:uniqueId val="{0000000E-1802-4362-836E-2F510B0C272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2">
        <a:lumMod val="90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Data val="1"/>
        <c14:dropZoneSeries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[MTD Rejection.xlsm]Pivot!Rejection Type Percentage</c:name>
    <c:fmtId val="11"/>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b="1">
                <a:solidFill>
                  <a:schemeClr val="tx1"/>
                </a:solidFill>
              </a:rPr>
              <a:t>Rejection</a:t>
            </a:r>
            <a:r>
              <a:rPr lang="en-US" b="1" baseline="0">
                <a:solidFill>
                  <a:schemeClr val="tx1"/>
                </a:solidFill>
              </a:rPr>
              <a:t> Type %</a:t>
            </a:r>
            <a:endParaRPr lang="en-US" b="1">
              <a:solidFill>
                <a:schemeClr val="tx1"/>
              </a:solidFill>
            </a:endParaRPr>
          </a:p>
        </c:rich>
      </c:tx>
      <c:layout/>
      <c:overlay val="0"/>
      <c:spPr>
        <a:noFill/>
        <a:ln>
          <a:noFill/>
        </a:ln>
        <a:effectLst/>
      </c:sp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1"/>
          <c:showSerName val="0"/>
          <c:showPercent val="0"/>
          <c:showBubbleSize val="0"/>
          <c:extLst xmlns:c16r2="http://schemas.microsoft.com/office/drawing/2015/06/chart">
            <c:ext xmlns:c15="http://schemas.microsoft.com/office/drawing/2012/chart" uri="{CE6537A1-D6FC-4f65-9D91-7224C49458BB}"/>
          </c:extLst>
        </c:dLbl>
      </c:pivotFmt>
      <c:pivotFmt>
        <c:idx val="1"/>
        <c:spPr>
          <a:solidFill>
            <a:schemeClr val="accent5"/>
          </a:solidFill>
          <a:ln w="19050">
            <a:solidFill>
              <a:schemeClr val="lt1"/>
            </a:solidFill>
          </a:ln>
          <a:effectLst/>
        </c:spPr>
        <c:dLbl>
          <c:idx val="0"/>
          <c:layout>
            <c:manualLayout>
              <c:x val="-0.15833333333333333"/>
              <c:y val="3.703703703703701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bestFit"/>
          <c:showLegendKey val="0"/>
          <c:showVal val="1"/>
          <c:showCatName val="1"/>
          <c:showSerName val="0"/>
          <c:showPercent val="0"/>
          <c:showBubbleSize val="0"/>
          <c:extLst xmlns:c16r2="http://schemas.microsoft.com/office/drawing/2015/06/chart">
            <c:ext xmlns:c15="http://schemas.microsoft.com/office/drawing/2012/chart" uri="{CE6537A1-D6FC-4f65-9D91-7224C49458BB}"/>
          </c:extLst>
        </c:dLbl>
      </c:pivotFmt>
      <c:pivotFmt>
        <c:idx val="2"/>
        <c:spPr>
          <a:solidFill>
            <a:schemeClr val="accent2"/>
          </a:solidFill>
          <a:ln w="19050">
            <a:solidFill>
              <a:schemeClr val="lt1"/>
            </a:solidFill>
          </a:ln>
          <a:effectLst/>
        </c:spPr>
        <c:dLbl>
          <c:idx val="0"/>
          <c:layout>
            <c:manualLayout>
              <c:x val="4.1471784776902887E-2"/>
              <c:y val="-2.777777777777777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bestFit"/>
          <c:showLegendKey val="0"/>
          <c:showVal val="1"/>
          <c:showCatName val="1"/>
          <c:showSerName val="0"/>
          <c:showPercent val="0"/>
          <c:showBubbleSize val="0"/>
          <c:extLst xmlns:c16r2="http://schemas.microsoft.com/office/drawing/2015/06/chart">
            <c:ext xmlns:c15="http://schemas.microsoft.com/office/drawing/2012/chart" uri="{CE6537A1-D6FC-4f65-9D91-7224C49458BB}">
              <c15:layout>
                <c:manualLayout>
                  <c:w val="0.22096522309711286"/>
                  <c:h val="0.11560185185185186"/>
                </c:manualLayout>
              </c15:layout>
            </c:ext>
          </c:extLst>
        </c:dLbl>
      </c:pivotFmt>
      <c:pivotFmt>
        <c:idx val="3"/>
        <c:spPr>
          <a:solidFill>
            <a:schemeClr val="accent3"/>
          </a:solidFill>
          <a:ln w="19050">
            <a:solidFill>
              <a:schemeClr val="lt1"/>
            </a:solidFill>
          </a:ln>
          <a:effectLst/>
        </c:spPr>
        <c:dLbl>
          <c:idx val="0"/>
          <c:layout>
            <c:manualLayout>
              <c:x val="9.722222222222221E-2"/>
              <c:y val="-6.018518518518518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bestFit"/>
          <c:showLegendKey val="0"/>
          <c:showVal val="1"/>
          <c:showCatName val="1"/>
          <c:showSerName val="0"/>
          <c:showPercent val="0"/>
          <c:showBubbleSize val="0"/>
          <c:extLst xmlns:c16r2="http://schemas.microsoft.com/office/drawing/2015/06/chart">
            <c:ext xmlns:c15="http://schemas.microsoft.com/office/drawing/2012/chart" uri="{CE6537A1-D6FC-4f65-9D91-7224C49458BB}">
              <c15:layout>
                <c:manualLayout>
                  <c:w val="0.21408333333333332"/>
                  <c:h val="0.11560185185185186"/>
                </c:manualLayout>
              </c15:layout>
            </c:ext>
          </c:extLst>
        </c:dLbl>
      </c:pivotFmt>
      <c:pivotFmt>
        <c:idx val="4"/>
        <c:spPr>
          <a:solidFill>
            <a:schemeClr val="accent4"/>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1"/>
          <c:showSerName val="0"/>
          <c:showPercent val="0"/>
          <c:showBubbleSize val="0"/>
          <c:extLst xmlns:c16r2="http://schemas.microsoft.com/office/drawing/2015/06/char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4.1666666666666664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bestFit"/>
          <c:showLegendKey val="0"/>
          <c:showVal val="1"/>
          <c:showCatName val="1"/>
          <c:showSerName val="0"/>
          <c:showPercent val="0"/>
          <c:showBubbleSize val="0"/>
          <c:extLst xmlns:c16r2="http://schemas.microsoft.com/office/drawing/2015/06/chart">
            <c:ext xmlns:c15="http://schemas.microsoft.com/office/drawing/2012/chart" uri="{CE6537A1-D6FC-4f65-9D91-7224C49458BB}"/>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1"/>
          <c:showSerName val="0"/>
          <c:showPercent val="0"/>
          <c:showBubbleSize val="0"/>
          <c:extLst xmlns:c16r2="http://schemas.microsoft.com/office/drawing/2015/06/char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4.1666666666666664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bestFit"/>
          <c:showLegendKey val="0"/>
          <c:showVal val="1"/>
          <c:showCatName val="1"/>
          <c:showSerName val="0"/>
          <c:showPercent val="0"/>
          <c:showBubbleSize val="0"/>
          <c:extLst xmlns:c16r2="http://schemas.microsoft.com/office/drawing/2015/06/char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layout>
            <c:manualLayout>
              <c:x val="4.1471784776902887E-2"/>
              <c:y val="-2.777777777777777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bestFit"/>
          <c:showLegendKey val="0"/>
          <c:showVal val="1"/>
          <c:showCatName val="1"/>
          <c:showSerName val="0"/>
          <c:showPercent val="0"/>
          <c:showBubbleSize val="0"/>
          <c:extLst xmlns:c16r2="http://schemas.microsoft.com/office/drawing/2015/06/chart">
            <c:ext xmlns:c15="http://schemas.microsoft.com/office/drawing/2012/chart" uri="{CE6537A1-D6FC-4f65-9D91-7224C49458BB}">
              <c15:layout>
                <c:manualLayout>
                  <c:w val="0.22096522309711286"/>
                  <c:h val="0.11560185185185186"/>
                </c:manualLayout>
              </c15:layout>
            </c:ext>
          </c:extLst>
        </c:dLbl>
      </c:pivotFmt>
      <c:pivotFmt>
        <c:idx val="9"/>
        <c:spPr>
          <a:solidFill>
            <a:schemeClr val="accent1"/>
          </a:solidFill>
          <a:ln w="19050">
            <a:solidFill>
              <a:schemeClr val="lt1"/>
            </a:solidFill>
          </a:ln>
          <a:effectLst/>
        </c:spPr>
        <c:dLbl>
          <c:idx val="0"/>
          <c:layout>
            <c:manualLayout>
              <c:x val="9.722222222222221E-2"/>
              <c:y val="-6.018518518518518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bestFit"/>
          <c:showLegendKey val="0"/>
          <c:showVal val="1"/>
          <c:showCatName val="1"/>
          <c:showSerName val="0"/>
          <c:showPercent val="0"/>
          <c:showBubbleSize val="0"/>
          <c:extLst xmlns:c16r2="http://schemas.microsoft.com/office/drawing/2015/06/chart">
            <c:ext xmlns:c15="http://schemas.microsoft.com/office/drawing/2012/chart" uri="{CE6537A1-D6FC-4f65-9D91-7224C49458BB}">
              <c15:layout>
                <c:manualLayout>
                  <c:w val="0.21408333333333332"/>
                  <c:h val="0.11560185185185186"/>
                </c:manualLayout>
              </c15:layout>
            </c:ext>
          </c:extLst>
        </c:dLbl>
      </c:pivotFmt>
      <c:pivotFmt>
        <c:idx val="10"/>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1"/>
          <c:showSerName val="0"/>
          <c:showPercent val="0"/>
          <c:showBubbleSize val="0"/>
          <c:extLst xmlns:c16r2="http://schemas.microsoft.com/office/drawing/2015/06/char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0.15833333333333333"/>
              <c:y val="3.703703703703701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bestFit"/>
          <c:showLegendKey val="0"/>
          <c:showVal val="1"/>
          <c:showCatName val="1"/>
          <c:showSerName val="0"/>
          <c:showPercent val="0"/>
          <c:showBubbleSize val="0"/>
          <c:extLst xmlns:c16r2="http://schemas.microsoft.com/office/drawing/2015/06/chart">
            <c:ext xmlns:c15="http://schemas.microsoft.com/office/drawing/2012/chart" uri="{CE6537A1-D6FC-4f65-9D91-7224C49458BB}"/>
          </c:extLst>
        </c:dLbl>
      </c:pivotFmt>
      <c:pivotFmt>
        <c:idx val="12"/>
        <c:spPr>
          <a:ln>
            <a:noFill/>
          </a:ln>
        </c:spPr>
        <c:marker>
          <c:symbol val="none"/>
        </c:marker>
        <c:dLbl>
          <c:idx val="0"/>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solidFill>
                  <a:latin typeface="+mn-lt"/>
                  <a:ea typeface="+mn-ea"/>
                  <a:cs typeface="+mn-cs"/>
                </a:defRPr>
              </a:pPr>
              <a:endParaRPr lang="en-US"/>
            </a:p>
          </c:txPr>
          <c:dLblPos val="bestFit"/>
          <c:showLegendKey val="0"/>
          <c:showVal val="1"/>
          <c:showCatName val="1"/>
          <c:showSerName val="0"/>
          <c:showPercent val="0"/>
          <c:showBubbleSize val="0"/>
          <c:separator>
</c:separator>
          <c:extLst xmlns:c16r2="http://schemas.microsoft.com/office/drawing/2015/06/chart">
            <c:ext xmlns:c15="http://schemas.microsoft.com/office/drawing/2012/chart" uri="{CE6537A1-D6FC-4f65-9D91-7224C49458BB}">
              <c15:spPr xmlns:c15="http://schemas.microsoft.com/office/drawing/2012/chart">
                <a:prstGeom prst="rect">
                  <a:avLst/>
                </a:prstGeom>
              </c15:spPr>
              <c15:layout/>
            </c:ext>
          </c:extLst>
        </c:dLbl>
      </c:pivotFmt>
      <c:pivotFmt>
        <c:idx val="13"/>
        <c:spPr>
          <a:solidFill>
            <a:schemeClr val="accent1"/>
          </a:solidFill>
          <a:ln w="19050">
            <a:noFill/>
          </a:ln>
          <a:effectLst/>
        </c:spPr>
      </c:pivotFmt>
      <c:pivotFmt>
        <c:idx val="14"/>
        <c:spPr>
          <a:solidFill>
            <a:schemeClr val="accent2"/>
          </a:solidFill>
          <a:ln w="19050">
            <a:noFill/>
          </a:ln>
          <a:effectLst/>
        </c:spPr>
      </c:pivotFmt>
      <c:pivotFmt>
        <c:idx val="15"/>
        <c:spPr>
          <a:solidFill>
            <a:schemeClr val="accent3"/>
          </a:solidFill>
          <a:ln w="19050">
            <a:noFill/>
          </a:ln>
          <a:effectLst/>
        </c:spPr>
      </c:pivotFmt>
      <c:pivotFmt>
        <c:idx val="16"/>
        <c:spPr>
          <a:solidFill>
            <a:schemeClr val="accent4"/>
          </a:solidFill>
          <a:ln w="19050">
            <a:noFill/>
          </a:ln>
          <a:effectLst/>
        </c:spPr>
      </c:pivotFmt>
      <c:pivotFmt>
        <c:idx val="17"/>
        <c:spPr>
          <a:solidFill>
            <a:schemeClr val="accent5"/>
          </a:solidFill>
          <a:ln w="19050">
            <a:noFill/>
          </a:ln>
          <a:effectLst/>
        </c:spPr>
      </c:pivotFmt>
    </c:pivotFmts>
    <c:plotArea>
      <c:layout/>
      <c:pieChart>
        <c:varyColors val="1"/>
        <c:ser>
          <c:idx val="0"/>
          <c:order val="0"/>
          <c:tx>
            <c:strRef>
              <c:f>Pivot!$G$23</c:f>
              <c:strCache>
                <c:ptCount val="1"/>
                <c:pt idx="0">
                  <c:v>Total</c:v>
                </c:pt>
              </c:strCache>
            </c:strRef>
          </c:tx>
          <c:spPr>
            <a:ln>
              <a:noFill/>
            </a:ln>
          </c:spPr>
          <c:dPt>
            <c:idx val="0"/>
            <c:bubble3D val="0"/>
            <c:spPr>
              <a:solidFill>
                <a:schemeClr val="accent1"/>
              </a:solidFill>
              <a:ln w="19050">
                <a:noFill/>
              </a:ln>
              <a:effectLst/>
            </c:spPr>
            <c:extLst xmlns:c16r2="http://schemas.microsoft.com/office/drawing/2015/06/chart">
              <c:ext xmlns:c16="http://schemas.microsoft.com/office/drawing/2014/chart" uri="{C3380CC4-5D6E-409C-BE32-E72D297353CC}">
                <c16:uniqueId val="{00000001-A569-4589-8BDC-0411CA02A053}"/>
              </c:ext>
            </c:extLst>
          </c:dPt>
          <c:dPt>
            <c:idx val="1"/>
            <c:bubble3D val="0"/>
            <c:spPr>
              <a:solidFill>
                <a:schemeClr val="accent2"/>
              </a:solidFill>
              <a:ln w="19050">
                <a:noFill/>
              </a:ln>
              <a:effectLst/>
            </c:spPr>
            <c:extLst xmlns:c16r2="http://schemas.microsoft.com/office/drawing/2015/06/chart">
              <c:ext xmlns:c16="http://schemas.microsoft.com/office/drawing/2014/chart" uri="{C3380CC4-5D6E-409C-BE32-E72D297353CC}">
                <c16:uniqueId val="{00000003-A569-4589-8BDC-0411CA02A053}"/>
              </c:ext>
            </c:extLst>
          </c:dPt>
          <c:dPt>
            <c:idx val="2"/>
            <c:bubble3D val="0"/>
            <c:spPr>
              <a:solidFill>
                <a:schemeClr val="accent3"/>
              </a:solidFill>
              <a:ln w="19050">
                <a:noFill/>
              </a:ln>
              <a:effectLst/>
            </c:spPr>
            <c:extLst xmlns:c16r2="http://schemas.microsoft.com/office/drawing/2015/06/chart">
              <c:ext xmlns:c16="http://schemas.microsoft.com/office/drawing/2014/chart" uri="{C3380CC4-5D6E-409C-BE32-E72D297353CC}">
                <c16:uniqueId val="{00000005-A569-4589-8BDC-0411CA02A053}"/>
              </c:ext>
            </c:extLst>
          </c:dPt>
          <c:dPt>
            <c:idx val="3"/>
            <c:bubble3D val="0"/>
            <c:spPr>
              <a:solidFill>
                <a:schemeClr val="accent4"/>
              </a:solidFill>
              <a:ln w="19050">
                <a:noFill/>
              </a:ln>
              <a:effectLst/>
            </c:spPr>
            <c:extLst xmlns:c16r2="http://schemas.microsoft.com/office/drawing/2015/06/chart">
              <c:ext xmlns:c16="http://schemas.microsoft.com/office/drawing/2014/chart" uri="{C3380CC4-5D6E-409C-BE32-E72D297353CC}">
                <c16:uniqueId val="{00000007-A569-4589-8BDC-0411CA02A053}"/>
              </c:ext>
            </c:extLst>
          </c:dPt>
          <c:dPt>
            <c:idx val="4"/>
            <c:bubble3D val="0"/>
            <c:spPr>
              <a:solidFill>
                <a:schemeClr val="accent5"/>
              </a:solidFill>
              <a:ln w="19050">
                <a:noFill/>
              </a:ln>
              <a:effectLst/>
            </c:spPr>
            <c:extLst xmlns:c16r2="http://schemas.microsoft.com/office/drawing/2015/06/chart">
              <c:ext xmlns:c16="http://schemas.microsoft.com/office/drawing/2014/chart" uri="{C3380CC4-5D6E-409C-BE32-E72D297353CC}">
                <c16:uniqueId val="{00000009-A569-4589-8BDC-0411CA02A053}"/>
              </c:ext>
            </c:extLst>
          </c:dPt>
          <c:dLbls>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solidFill>
                    <a:latin typeface="+mn-lt"/>
                    <a:ea typeface="+mn-ea"/>
                    <a:cs typeface="+mn-cs"/>
                  </a:defRPr>
                </a:pPr>
                <a:endParaRPr lang="en-US"/>
              </a:p>
            </c:txPr>
            <c:dLblPos val="bestFit"/>
            <c:showLegendKey val="0"/>
            <c:showVal val="1"/>
            <c:showCatName val="1"/>
            <c:showSerName val="0"/>
            <c:showPercent val="0"/>
            <c:showBubbleSize val="0"/>
            <c:separator>
</c:separator>
            <c:showLeaderLines val="1"/>
            <c:extLst>
              <c:ext xmlns:c15="http://schemas.microsoft.com/office/drawing/2012/chart" uri="{CE6537A1-D6FC-4f65-9D91-7224C49458BB}">
                <c15:spPr xmlns:c15="http://schemas.microsoft.com/office/drawing/2012/chart">
                  <a:prstGeom prst="rect">
                    <a:avLst/>
                  </a:prstGeom>
                </c15:spPr>
                <c15:layout/>
              </c:ext>
            </c:extLst>
          </c:dLbls>
          <c:cat>
            <c:strRef>
              <c:f>Pivot!$F$24:$F$29</c:f>
              <c:strCache>
                <c:ptCount val="5"/>
                <c:pt idx="0">
                  <c:v>Partner Rejected</c:v>
                </c:pt>
                <c:pt idx="1">
                  <c:v>Rejected to DE TM</c:v>
                </c:pt>
                <c:pt idx="2">
                  <c:v>Rejected to OP QC</c:v>
                </c:pt>
                <c:pt idx="3">
                  <c:v>Rejected to OP TM</c:v>
                </c:pt>
                <c:pt idx="4">
                  <c:v>Rejected to Scan</c:v>
                </c:pt>
              </c:strCache>
            </c:strRef>
          </c:cat>
          <c:val>
            <c:numRef>
              <c:f>Pivot!$G$24:$G$29</c:f>
              <c:numCache>
                <c:formatCode>0.00%</c:formatCode>
                <c:ptCount val="5"/>
                <c:pt idx="0">
                  <c:v>0.10989247311827957</c:v>
                </c:pt>
                <c:pt idx="1">
                  <c:v>0.17978494623655913</c:v>
                </c:pt>
                <c:pt idx="2">
                  <c:v>6.3225806451612909E-2</c:v>
                </c:pt>
                <c:pt idx="3">
                  <c:v>0.59956989247311832</c:v>
                </c:pt>
                <c:pt idx="4">
                  <c:v>4.7526881720430104E-2</c:v>
                </c:pt>
              </c:numCache>
            </c:numRef>
          </c:val>
          <c:extLst xmlns:c16r2="http://schemas.microsoft.com/office/drawing/2015/06/chart">
            <c:ext xmlns:c16="http://schemas.microsoft.com/office/drawing/2014/chart" uri="{C3380CC4-5D6E-409C-BE32-E72D297353CC}">
              <c16:uniqueId val="{0000000A-9EC1-4528-863D-0848EDF176A6}"/>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2">
        <a:lumMod val="90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Data val="1"/>
        <c14:dropZoneSeries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b="1">
                <a:solidFill>
                  <a:schemeClr val="tx1"/>
                </a:solidFill>
              </a:rPr>
              <a:t>Client</a:t>
            </a:r>
            <a:r>
              <a:rPr lang="en-US" b="1" baseline="0">
                <a:solidFill>
                  <a:schemeClr val="tx1"/>
                </a:solidFill>
              </a:rPr>
              <a:t> Wise Rejection % of Total (Top 10)</a:t>
            </a:r>
            <a:endParaRPr lang="en-US" b="1">
              <a:solidFill>
                <a:schemeClr val="tx1"/>
              </a:solidFill>
            </a:endParaRPr>
          </a:p>
        </c:rich>
      </c:tx>
      <c:layout>
        <c:manualLayout>
          <c:xMode val="edge"/>
          <c:yMode val="edge"/>
          <c:x val="2.2140107775211706E-2"/>
          <c:y val="2.2222222222222223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barChart>
        <c:barDir val="bar"/>
        <c:grouping val="clustered"/>
        <c:varyColors val="0"/>
        <c:ser>
          <c:idx val="0"/>
          <c:order val="0"/>
          <c:tx>
            <c:strRef>
              <c:f>Pivot!$S$8</c:f>
              <c:strCache>
                <c:ptCount val="1"/>
                <c:pt idx="0">
                  <c:v>MTD Rejection</c:v>
                </c:pt>
              </c:strCache>
            </c:strRef>
          </c:tx>
          <c:spPr>
            <a:solidFill>
              <a:schemeClr val="accent2">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Pivot!$R$9:$R$19</c15:sqref>
                  </c15:fullRef>
                </c:ext>
              </c:extLst>
              <c:f>Pivot!$R$9:$R$18</c:f>
              <c:strCache>
                <c:ptCount val="10"/>
                <c:pt idx="0">
                  <c:v>Tech Mahindra Limited</c:v>
                </c:pt>
                <c:pt idx="1">
                  <c:v>Eureka Forbes Limited</c:v>
                </c:pt>
                <c:pt idx="2">
                  <c:v>Titan Company Limited</c:v>
                </c:pt>
                <c:pt idx="3">
                  <c:v>Tata Consultancy Services BPO Limited</c:v>
                </c:pt>
                <c:pt idx="4">
                  <c:v>Ambit Private Limited</c:v>
                </c:pt>
                <c:pt idx="5">
                  <c:v>Wipro Limited</c:v>
                </c:pt>
                <c:pt idx="6">
                  <c:v>Capgemini Technology Services India Ltd.</c:v>
                </c:pt>
                <c:pt idx="7">
                  <c:v>LTIMindtree Limited</c:v>
                </c:pt>
                <c:pt idx="8">
                  <c:v>Tata Consultancy Services</c:v>
                </c:pt>
                <c:pt idx="9">
                  <c:v>Walsons PCC</c:v>
                </c:pt>
              </c:strCache>
            </c:strRef>
          </c:cat>
          <c:val>
            <c:numRef>
              <c:extLst>
                <c:ext xmlns:c15="http://schemas.microsoft.com/office/drawing/2012/chart" uri="{02D57815-91ED-43cb-92C2-25804820EDAC}">
                  <c15:fullRef>
                    <c15:sqref>Pivot!$S$9:$S$19</c15:sqref>
                  </c15:fullRef>
                </c:ext>
              </c:extLst>
              <c:f>Pivot!$S$9:$S$18</c:f>
              <c:numCache>
                <c:formatCode>0%</c:formatCode>
                <c:ptCount val="10"/>
                <c:pt idx="0">
                  <c:v>1.5483870967741935E-2</c:v>
                </c:pt>
                <c:pt idx="1">
                  <c:v>1.6989247311827958E-2</c:v>
                </c:pt>
                <c:pt idx="2">
                  <c:v>1.7204301075268817E-2</c:v>
                </c:pt>
                <c:pt idx="3">
                  <c:v>2.1720430107526882E-2</c:v>
                </c:pt>
                <c:pt idx="4">
                  <c:v>2.3225806451612905E-2</c:v>
                </c:pt>
                <c:pt idx="5">
                  <c:v>3.2903225806451615E-2</c:v>
                </c:pt>
                <c:pt idx="6">
                  <c:v>5.0752688172043009E-2</c:v>
                </c:pt>
                <c:pt idx="7">
                  <c:v>7.0752688172043013E-2</c:v>
                </c:pt>
                <c:pt idx="8">
                  <c:v>7.5698924731182796E-2</c:v>
                </c:pt>
                <c:pt idx="9">
                  <c:v>0.10258064516129033</c:v>
                </c:pt>
              </c:numCache>
            </c:numRef>
          </c:val>
          <c:extLst xmlns:c16r2="http://schemas.microsoft.com/office/drawing/2015/06/chart">
            <c:ext xmlns:c16="http://schemas.microsoft.com/office/drawing/2014/chart" uri="{C3380CC4-5D6E-409C-BE32-E72D297353CC}">
              <c16:uniqueId val="{00000000-6AE6-475F-B42E-713BD59632A5}"/>
            </c:ext>
          </c:extLst>
        </c:ser>
        <c:dLbls>
          <c:showLegendKey val="0"/>
          <c:showVal val="0"/>
          <c:showCatName val="0"/>
          <c:showSerName val="0"/>
          <c:showPercent val="0"/>
          <c:showBubbleSize val="0"/>
        </c:dLbls>
        <c:gapWidth val="182"/>
        <c:axId val="264588864"/>
        <c:axId val="262508800"/>
      </c:barChart>
      <c:catAx>
        <c:axId val="264588864"/>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62508800"/>
        <c:crosses val="autoZero"/>
        <c:auto val="1"/>
        <c:lblAlgn val="ctr"/>
        <c:lblOffset val="100"/>
        <c:noMultiLvlLbl val="0"/>
      </c:catAx>
      <c:valAx>
        <c:axId val="262508800"/>
        <c:scaling>
          <c:orientation val="minMax"/>
        </c:scaling>
        <c:delete val="1"/>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crossAx val="264588864"/>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2">
        <a:lumMod val="90000"/>
      </a:schemeClr>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userShapes r:id="rId3"/>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2">
                <a:lumMod val="50000"/>
              </a:schemeClr>
            </a:solidFill>
            <a:ln>
              <a:noFill/>
            </a:ln>
            <a:effectLst/>
          </c:spPr>
          <c:invertIfNegative val="0"/>
          <c:dPt>
            <c:idx val="1"/>
            <c:invertIfNegative val="0"/>
            <c:bubble3D val="0"/>
            <c:spPr>
              <a:solidFill>
                <a:schemeClr val="accent2"/>
              </a:solidFill>
              <a:ln>
                <a:noFill/>
              </a:ln>
              <a:effectLst/>
            </c:spPr>
            <c:extLst xmlns:c16r2="http://schemas.microsoft.com/office/drawing/2015/06/chart">
              <c:ext xmlns:c16="http://schemas.microsoft.com/office/drawing/2014/chart" uri="{C3380CC4-5D6E-409C-BE32-E72D297353CC}">
                <c16:uniqueId val="{00000001-10C1-44DE-8385-B6111DE164B2}"/>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Pivot!$A$4:$B$4</c:f>
              <c:strCache>
                <c:ptCount val="2"/>
                <c:pt idx="0">
                  <c:v>Total Rejection</c:v>
                </c:pt>
                <c:pt idx="1">
                  <c:v>Pending Rejection</c:v>
                </c:pt>
              </c:strCache>
            </c:strRef>
          </c:cat>
          <c:val>
            <c:numRef>
              <c:f>Pivot!$A$5:$B$5</c:f>
              <c:numCache>
                <c:formatCode>General</c:formatCode>
                <c:ptCount val="2"/>
                <c:pt idx="0">
                  <c:v>4650</c:v>
                </c:pt>
                <c:pt idx="1">
                  <c:v>193</c:v>
                </c:pt>
              </c:numCache>
            </c:numRef>
          </c:val>
          <c:extLst xmlns:c16r2="http://schemas.microsoft.com/office/drawing/2015/06/chart">
            <c:ext xmlns:c16="http://schemas.microsoft.com/office/drawing/2014/chart" uri="{C3380CC4-5D6E-409C-BE32-E72D297353CC}">
              <c16:uniqueId val="{00000000-10C1-44DE-8385-B6111DE164B2}"/>
            </c:ext>
          </c:extLst>
        </c:ser>
        <c:dLbls>
          <c:showLegendKey val="0"/>
          <c:showVal val="0"/>
          <c:showCatName val="0"/>
          <c:showSerName val="0"/>
          <c:showPercent val="0"/>
          <c:showBubbleSize val="0"/>
        </c:dLbls>
        <c:gapWidth val="219"/>
        <c:overlap val="-27"/>
        <c:axId val="264588472"/>
        <c:axId val="262509584"/>
      </c:barChart>
      <c:catAx>
        <c:axId val="264588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crossAx val="262509584"/>
        <c:crosses val="autoZero"/>
        <c:auto val="1"/>
        <c:lblAlgn val="ctr"/>
        <c:lblOffset val="100"/>
        <c:noMultiLvlLbl val="0"/>
      </c:catAx>
      <c:valAx>
        <c:axId val="262509584"/>
        <c:scaling>
          <c:orientation val="minMax"/>
        </c:scaling>
        <c:delete val="1"/>
        <c:axPos val="l"/>
        <c:numFmt formatCode="General" sourceLinked="1"/>
        <c:majorTickMark val="out"/>
        <c:minorTickMark val="none"/>
        <c:tickLblPos val="nextTo"/>
        <c:crossAx val="264588472"/>
        <c:crosses val="autoZero"/>
        <c:crossBetween val="between"/>
      </c:valAx>
      <c:spPr>
        <a:noFill/>
        <a:ln>
          <a:noFill/>
        </a:ln>
        <a:effectLst/>
      </c:spPr>
    </c:plotArea>
    <c:plotVisOnly val="1"/>
    <c:dispBlanksAs val="gap"/>
    <c:showDLblsOverMax val="0"/>
  </c:chart>
  <c:spPr>
    <a:solidFill>
      <a:schemeClr val="bg2">
        <a:lumMod val="90000"/>
      </a:schemeClr>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image" Target="../media/image2.svg"/><Relationship Id="rId3" Type="http://schemas.openxmlformats.org/officeDocument/2006/relationships/chart" Target="../charts/chart4.xml"/><Relationship Id="rId7" Type="http://schemas.openxmlformats.org/officeDocument/2006/relationships/image" Target="../media/image1.png"/><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10" Type="http://schemas.openxmlformats.org/officeDocument/2006/relationships/chart" Target="../charts/chart9.xml"/><Relationship Id="rId4" Type="http://schemas.openxmlformats.org/officeDocument/2006/relationships/chart" Target="../charts/chart5.xml"/><Relationship Id="rId9"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25</xdr:col>
      <xdr:colOff>0</xdr:colOff>
      <xdr:row>17</xdr:row>
      <xdr:rowOff>0</xdr:rowOff>
    </xdr:from>
    <xdr:to>
      <xdr:col>29</xdr:col>
      <xdr:colOff>109538</xdr:colOff>
      <xdr:row>28</xdr:row>
      <xdr:rowOff>80963</xdr:rowOff>
    </xdr:to>
    <xdr:graphicFrame macro="">
      <xdr:nvGraphicFramePr>
        <xdr:cNvPr id="2" name="Chart 1">
          <a:extLst>
            <a:ext uri="{FF2B5EF4-FFF2-40B4-BE49-F238E27FC236}">
              <a16:creationId xmlns="" xmlns:a16="http://schemas.microsoft.com/office/drawing/2014/main" id="{B5626837-09CA-6A31-B458-DEAF2C72CB1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152400</xdr:colOff>
      <xdr:row>33</xdr:row>
      <xdr:rowOff>0</xdr:rowOff>
    </xdr:from>
    <xdr:to>
      <xdr:col>8</xdr:col>
      <xdr:colOff>0</xdr:colOff>
      <xdr:row>44</xdr:row>
      <xdr:rowOff>180975</xdr:rowOff>
    </xdr:to>
    <xdr:graphicFrame macro="">
      <xdr:nvGraphicFramePr>
        <xdr:cNvPr id="2" name="Chart 1">
          <a:extLst>
            <a:ext uri="{FF2B5EF4-FFF2-40B4-BE49-F238E27FC236}">
              <a16:creationId xmlns="" xmlns:a16="http://schemas.microsoft.com/office/drawing/2014/main" id="{182517CB-168C-46B5-BD65-F661EF79DD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7</xdr:row>
      <xdr:rowOff>0</xdr:rowOff>
    </xdr:from>
    <xdr:to>
      <xdr:col>15</xdr:col>
      <xdr:colOff>0</xdr:colOff>
      <xdr:row>19</xdr:row>
      <xdr:rowOff>0</xdr:rowOff>
    </xdr:to>
    <xdr:graphicFrame macro="">
      <xdr:nvGraphicFramePr>
        <xdr:cNvPr id="3" name="Chart 2">
          <a:extLst>
            <a:ext uri="{FF2B5EF4-FFF2-40B4-BE49-F238E27FC236}">
              <a16:creationId xmlns="" xmlns:a16="http://schemas.microsoft.com/office/drawing/2014/main" id="{085D53C5-C130-49DD-9EB4-B3D966A8FC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7</xdr:col>
      <xdr:colOff>0</xdr:colOff>
      <xdr:row>0</xdr:row>
      <xdr:rowOff>38100</xdr:rowOff>
    </xdr:from>
    <xdr:to>
      <xdr:col>21</xdr:col>
      <xdr:colOff>663575</xdr:colOff>
      <xdr:row>6</xdr:row>
      <xdr:rowOff>171450</xdr:rowOff>
    </xdr:to>
    <mc:AlternateContent xmlns:mc="http://schemas.openxmlformats.org/markup-compatibility/2006" xmlns:tsle="http://schemas.microsoft.com/office/drawing/2012/timeslicer">
      <mc:Choice Requires="tsle">
        <xdr:graphicFrame macro="">
          <xdr:nvGraphicFramePr>
            <xdr:cNvPr id="4" name="RejectionDate">
              <a:extLst>
                <a:ext uri="{FF2B5EF4-FFF2-40B4-BE49-F238E27FC236}">
                  <a16:creationId xmlns="" xmlns:a16="http://schemas.microsoft.com/office/drawing/2014/main" id="{A1AB7B48-1AFA-4214-B192-3651C8EAEA62}"/>
                </a:ext>
              </a:extLst>
            </xdr:cNvPr>
            <xdr:cNvGraphicFramePr/>
          </xdr:nvGraphicFramePr>
          <xdr:xfrm>
            <a:off x="0" y="0"/>
            <a:ext cx="0" cy="0"/>
          </xdr:xfrm>
          <a:graphic>
            <a:graphicData uri="http://schemas.microsoft.com/office/drawing/2012/timeslicer">
              <tsle:timeslicer name="RejectionDate"/>
            </a:graphicData>
          </a:graphic>
        </xdr:graphicFrame>
      </mc:Choice>
      <mc:Fallback xmlns="">
        <xdr:sp macro="" textlink="">
          <xdr:nvSpPr>
            <xdr:cNvPr id="0" name=""/>
            <xdr:cNvSpPr>
              <a:spLocks noTextEdit="1"/>
            </xdr:cNvSpPr>
          </xdr:nvSpPr>
          <xdr:spPr>
            <a:xfrm>
              <a:off x="3429000" y="38100"/>
              <a:ext cx="9140825" cy="127635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xdr:from>
      <xdr:col>9</xdr:col>
      <xdr:colOff>0</xdr:colOff>
      <xdr:row>20</xdr:row>
      <xdr:rowOff>0</xdr:rowOff>
    </xdr:from>
    <xdr:to>
      <xdr:col>15</xdr:col>
      <xdr:colOff>9526</xdr:colOff>
      <xdr:row>32</xdr:row>
      <xdr:rowOff>0</xdr:rowOff>
    </xdr:to>
    <xdr:graphicFrame macro="">
      <xdr:nvGraphicFramePr>
        <xdr:cNvPr id="5" name="Chart 4">
          <a:extLst>
            <a:ext uri="{FF2B5EF4-FFF2-40B4-BE49-F238E27FC236}">
              <a16:creationId xmlns="" xmlns:a16="http://schemas.microsoft.com/office/drawing/2014/main" id="{47AB49A8-6754-44C5-B5A9-20E245D3E12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0</xdr:colOff>
      <xdr:row>33</xdr:row>
      <xdr:rowOff>0</xdr:rowOff>
    </xdr:from>
    <xdr:to>
      <xdr:col>15</xdr:col>
      <xdr:colOff>23283</xdr:colOff>
      <xdr:row>45</xdr:row>
      <xdr:rowOff>0</xdr:rowOff>
    </xdr:to>
    <xdr:graphicFrame macro="">
      <xdr:nvGraphicFramePr>
        <xdr:cNvPr id="6" name="Chart 5">
          <a:extLst>
            <a:ext uri="{FF2B5EF4-FFF2-40B4-BE49-F238E27FC236}">
              <a16:creationId xmlns="" xmlns:a16="http://schemas.microsoft.com/office/drawing/2014/main" id="{BE144759-F070-402B-A447-9414027421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174626</xdr:colOff>
      <xdr:row>0</xdr:row>
      <xdr:rowOff>47625</xdr:rowOff>
    </xdr:from>
    <xdr:to>
      <xdr:col>4</xdr:col>
      <xdr:colOff>9525</xdr:colOff>
      <xdr:row>6</xdr:row>
      <xdr:rowOff>123824</xdr:rowOff>
    </xdr:to>
    <xdr:sp macro="" textlink="Pivot!A9">
      <xdr:nvSpPr>
        <xdr:cNvPr id="7" name="Rectangle 6">
          <a:extLst>
            <a:ext uri="{FF2B5EF4-FFF2-40B4-BE49-F238E27FC236}">
              <a16:creationId xmlns="" xmlns:a16="http://schemas.microsoft.com/office/drawing/2014/main" id="{606D0194-0044-04B2-3D77-18A89C5F6187}"/>
            </a:ext>
          </a:extLst>
        </xdr:cNvPr>
        <xdr:cNvSpPr/>
      </xdr:nvSpPr>
      <xdr:spPr>
        <a:xfrm>
          <a:off x="174626" y="47625"/>
          <a:ext cx="1206499" cy="1219199"/>
        </a:xfrm>
        <a:prstGeom prst="rect">
          <a:avLst/>
        </a:prstGeom>
        <a:solidFill>
          <a:srgbClr val="FF0000"/>
        </a:solidFill>
        <a:ln>
          <a:noFill/>
        </a:ln>
        <a:effectLst>
          <a:outerShdw blurRad="107950" dist="12700" dir="5400000" algn="ctr">
            <a:srgbClr val="000000"/>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7E141589-5591-46D5-9350-99C15BE1D25E}" type="TxLink">
            <a:rPr lang="en-US" sz="3200" b="1" i="0" u="none" strike="noStrike" kern="1200">
              <a:solidFill>
                <a:schemeClr val="bg1"/>
              </a:solidFill>
              <a:latin typeface="Amasis MT Pro"/>
            </a:rPr>
            <a:pPr algn="ctr"/>
            <a:t>4650</a:t>
          </a:fld>
          <a:endParaRPr lang="en-IN" sz="3200" b="1" kern="1200">
            <a:solidFill>
              <a:schemeClr val="bg1"/>
            </a:solidFill>
          </a:endParaRPr>
        </a:p>
      </xdr:txBody>
    </xdr:sp>
    <xdr:clientData/>
  </xdr:twoCellAnchor>
  <xdr:twoCellAnchor>
    <xdr:from>
      <xdr:col>2</xdr:col>
      <xdr:colOff>192617</xdr:colOff>
      <xdr:row>0</xdr:row>
      <xdr:rowOff>85725</xdr:rowOff>
    </xdr:from>
    <xdr:to>
      <xdr:col>3</xdr:col>
      <xdr:colOff>677333</xdr:colOff>
      <xdr:row>3</xdr:row>
      <xdr:rowOff>46567</xdr:rowOff>
    </xdr:to>
    <xdr:sp macro="" textlink="">
      <xdr:nvSpPr>
        <xdr:cNvPr id="8" name="TextBox 7">
          <a:extLst>
            <a:ext uri="{FF2B5EF4-FFF2-40B4-BE49-F238E27FC236}">
              <a16:creationId xmlns="" xmlns:a16="http://schemas.microsoft.com/office/drawing/2014/main" id="{8E288661-C015-22CC-2ACF-640DD8F821C1}"/>
            </a:ext>
          </a:extLst>
        </xdr:cNvPr>
        <xdr:cNvSpPr txBox="1"/>
      </xdr:nvSpPr>
      <xdr:spPr>
        <a:xfrm>
          <a:off x="192617" y="85725"/>
          <a:ext cx="1170516" cy="5323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1" kern="1200">
              <a:solidFill>
                <a:schemeClr val="bg1"/>
              </a:solidFill>
            </a:rPr>
            <a:t>Total</a:t>
          </a:r>
        </a:p>
        <a:p>
          <a:pPr algn="ctr"/>
          <a:r>
            <a:rPr lang="en-IN" sz="1400" b="1" kern="1200">
              <a:solidFill>
                <a:schemeClr val="bg1"/>
              </a:solidFill>
            </a:rPr>
            <a:t>Rejection</a:t>
          </a:r>
        </a:p>
      </xdr:txBody>
    </xdr:sp>
    <xdr:clientData/>
  </xdr:twoCellAnchor>
  <xdr:twoCellAnchor>
    <xdr:from>
      <xdr:col>5</xdr:col>
      <xdr:colOff>81492</xdr:colOff>
      <xdr:row>0</xdr:row>
      <xdr:rowOff>47625</xdr:rowOff>
    </xdr:from>
    <xdr:to>
      <xdr:col>6</xdr:col>
      <xdr:colOff>619125</xdr:colOff>
      <xdr:row>6</xdr:row>
      <xdr:rowOff>133350</xdr:rowOff>
    </xdr:to>
    <xdr:sp macro="" textlink="Pivot!B9">
      <xdr:nvSpPr>
        <xdr:cNvPr id="9" name="Rectangle 8">
          <a:extLst>
            <a:ext uri="{FF2B5EF4-FFF2-40B4-BE49-F238E27FC236}">
              <a16:creationId xmlns="" xmlns:a16="http://schemas.microsoft.com/office/drawing/2014/main" id="{8E83AC88-CEC5-0319-753C-E34071D9E9AE}"/>
            </a:ext>
          </a:extLst>
        </xdr:cNvPr>
        <xdr:cNvSpPr/>
      </xdr:nvSpPr>
      <xdr:spPr>
        <a:xfrm>
          <a:off x="2138892" y="47625"/>
          <a:ext cx="1223433" cy="1228725"/>
        </a:xfrm>
        <a:prstGeom prst="rect">
          <a:avLst/>
        </a:prstGeom>
        <a:solidFill>
          <a:schemeClr val="accent2"/>
        </a:solidFill>
        <a:ln>
          <a:noFill/>
        </a:ln>
        <a:effectLst>
          <a:outerShdw blurRad="107950" dist="12700" dir="5400000" algn="ctr">
            <a:srgbClr val="000000"/>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8299FFA4-2C49-455F-8160-E0719FACD80B}" type="TxLink">
            <a:rPr lang="en-US" sz="3200" b="1" i="0" u="none" strike="noStrike" kern="1200">
              <a:solidFill>
                <a:schemeClr val="bg1"/>
              </a:solidFill>
              <a:latin typeface="Amasis MT Pro"/>
            </a:rPr>
            <a:pPr algn="ctr"/>
            <a:t>193</a:t>
          </a:fld>
          <a:endParaRPr lang="en-IN" sz="3200" b="1" kern="1200">
            <a:solidFill>
              <a:schemeClr val="bg1"/>
            </a:solidFill>
          </a:endParaRPr>
        </a:p>
      </xdr:txBody>
    </xdr:sp>
    <xdr:clientData/>
  </xdr:twoCellAnchor>
  <xdr:twoCellAnchor>
    <xdr:from>
      <xdr:col>5</xdr:col>
      <xdr:colOff>79374</xdr:colOff>
      <xdr:row>0</xdr:row>
      <xdr:rowOff>112185</xdr:rowOff>
    </xdr:from>
    <xdr:to>
      <xdr:col>6</xdr:col>
      <xdr:colOff>604308</xdr:colOff>
      <xdr:row>3</xdr:row>
      <xdr:rowOff>165101</xdr:rowOff>
    </xdr:to>
    <xdr:sp macro="" textlink="">
      <xdr:nvSpPr>
        <xdr:cNvPr id="10" name="TextBox 9">
          <a:extLst>
            <a:ext uri="{FF2B5EF4-FFF2-40B4-BE49-F238E27FC236}">
              <a16:creationId xmlns="" xmlns:a16="http://schemas.microsoft.com/office/drawing/2014/main" id="{EAE6AA5A-38EC-217D-1838-03E71BE7F451}"/>
            </a:ext>
          </a:extLst>
        </xdr:cNvPr>
        <xdr:cNvSpPr txBox="1"/>
      </xdr:nvSpPr>
      <xdr:spPr>
        <a:xfrm>
          <a:off x="2136774" y="112185"/>
          <a:ext cx="1210734" cy="6244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1" kern="1200">
              <a:solidFill>
                <a:schemeClr val="bg1"/>
              </a:solidFill>
            </a:rPr>
            <a:t>Pending</a:t>
          </a:r>
        </a:p>
        <a:p>
          <a:pPr algn="ctr"/>
          <a:r>
            <a:rPr lang="en-IN" sz="1400" b="1" kern="1200">
              <a:solidFill>
                <a:schemeClr val="bg1"/>
              </a:solidFill>
            </a:rPr>
            <a:t>Rejection</a:t>
          </a:r>
        </a:p>
      </xdr:txBody>
    </xdr:sp>
    <xdr:clientData/>
  </xdr:twoCellAnchor>
  <xdr:twoCellAnchor>
    <xdr:from>
      <xdr:col>16</xdr:col>
      <xdr:colOff>0</xdr:colOff>
      <xdr:row>20</xdr:row>
      <xdr:rowOff>0</xdr:rowOff>
    </xdr:from>
    <xdr:to>
      <xdr:col>22</xdr:col>
      <xdr:colOff>0</xdr:colOff>
      <xdr:row>32</xdr:row>
      <xdr:rowOff>0</xdr:rowOff>
    </xdr:to>
    <xdr:graphicFrame macro="">
      <xdr:nvGraphicFramePr>
        <xdr:cNvPr id="11" name="Chart 10">
          <a:extLst>
            <a:ext uri="{FF2B5EF4-FFF2-40B4-BE49-F238E27FC236}">
              <a16:creationId xmlns="" xmlns:a16="http://schemas.microsoft.com/office/drawing/2014/main" id="{ADF16C14-B9F8-429F-84AF-F528D1C0D8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0</xdr:colOff>
      <xdr:row>7</xdr:row>
      <xdr:rowOff>0</xdr:rowOff>
    </xdr:from>
    <xdr:to>
      <xdr:col>22</xdr:col>
      <xdr:colOff>0</xdr:colOff>
      <xdr:row>19</xdr:row>
      <xdr:rowOff>0</xdr:rowOff>
    </xdr:to>
    <xdr:graphicFrame macro="">
      <xdr:nvGraphicFramePr>
        <xdr:cNvPr id="13" name="Chart 12">
          <a:extLst>
            <a:ext uri="{FF2B5EF4-FFF2-40B4-BE49-F238E27FC236}">
              <a16:creationId xmlns="" xmlns:a16="http://schemas.microsoft.com/office/drawing/2014/main" id="{E0852046-F223-4F93-882D-04C38CDCE6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4</xdr:col>
      <xdr:colOff>28576</xdr:colOff>
      <xdr:row>1</xdr:row>
      <xdr:rowOff>161925</xdr:rowOff>
    </xdr:from>
    <xdr:to>
      <xdr:col>5</xdr:col>
      <xdr:colOff>28576</xdr:colOff>
      <xdr:row>5</xdr:row>
      <xdr:rowOff>85725</xdr:rowOff>
    </xdr:to>
    <xdr:pic>
      <xdr:nvPicPr>
        <xdr:cNvPr id="15" name="Graphic 14" descr="Chevron arrows with solid fill">
          <a:extLst>
            <a:ext uri="{FF2B5EF4-FFF2-40B4-BE49-F238E27FC236}">
              <a16:creationId xmlns="" xmlns:a16="http://schemas.microsoft.com/office/drawing/2014/main" id="{608486C1-278D-CF4A-90F3-84C11F91B08D}"/>
            </a:ext>
          </a:extLst>
        </xdr:cNvPr>
        <xdr:cNvPicPr>
          <a:picLocks noChangeAspect="1"/>
        </xdr:cNvPicPr>
      </xdr:nvPicPr>
      <xdr:blipFill>
        <a:blip xmlns:r="http://schemas.openxmlformats.org/officeDocument/2006/relationships" r:embed="rId7">
          <a:extLst>
            <a:ext uri="{96DAC541-7B7A-43D3-8B79-37D633B846F1}">
              <asvg:svgBlip xmlns="" xmlns:asvg="http://schemas.microsoft.com/office/drawing/2016/SVG/main" r:embed="rId8"/>
            </a:ext>
          </a:extLst>
        </a:blip>
        <a:stretch>
          <a:fillRect/>
        </a:stretch>
      </xdr:blipFill>
      <xdr:spPr>
        <a:xfrm>
          <a:off x="1400176" y="352425"/>
          <a:ext cx="685800" cy="685800"/>
        </a:xfrm>
        <a:prstGeom prst="rect">
          <a:avLst/>
        </a:prstGeom>
      </xdr:spPr>
    </xdr:pic>
    <xdr:clientData/>
  </xdr:twoCellAnchor>
  <xdr:twoCellAnchor>
    <xdr:from>
      <xdr:col>16</xdr:col>
      <xdr:colOff>0</xdr:colOff>
      <xdr:row>33</xdr:row>
      <xdr:rowOff>9525</xdr:rowOff>
    </xdr:from>
    <xdr:to>
      <xdr:col>22</xdr:col>
      <xdr:colOff>9525</xdr:colOff>
      <xdr:row>45</xdr:row>
      <xdr:rowOff>9525</xdr:rowOff>
    </xdr:to>
    <xdr:graphicFrame macro="">
      <xdr:nvGraphicFramePr>
        <xdr:cNvPr id="12" name="Chart 11">
          <a:extLst>
            <a:ext uri="{FF2B5EF4-FFF2-40B4-BE49-F238E27FC236}">
              <a16:creationId xmlns="" xmlns:a16="http://schemas.microsoft.com/office/drawing/2014/main" id="{C5B40EB1-67A2-4DAC-BFEE-4C7733F0A3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152400</xdr:colOff>
      <xdr:row>20</xdr:row>
      <xdr:rowOff>0</xdr:rowOff>
    </xdr:from>
    <xdr:to>
      <xdr:col>8</xdr:col>
      <xdr:colOff>0</xdr:colOff>
      <xdr:row>32</xdr:row>
      <xdr:rowOff>0</xdr:rowOff>
    </xdr:to>
    <xdr:graphicFrame macro="">
      <xdr:nvGraphicFramePr>
        <xdr:cNvPr id="14" name="Chart 13">
          <a:extLst>
            <a:ext uri="{FF2B5EF4-FFF2-40B4-BE49-F238E27FC236}">
              <a16:creationId xmlns="" xmlns:a16="http://schemas.microsoft.com/office/drawing/2014/main" id="{CCBB5718-72B3-4CDA-8FD1-218B19433E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absolute">
    <xdr:from>
      <xdr:col>2</xdr:col>
      <xdr:colOff>161924</xdr:colOff>
      <xdr:row>6</xdr:row>
      <xdr:rowOff>180975</xdr:rowOff>
    </xdr:from>
    <xdr:to>
      <xdr:col>5</xdr:col>
      <xdr:colOff>171449</xdr:colOff>
      <xdr:row>18</xdr:row>
      <xdr:rowOff>171450</xdr:rowOff>
    </xdr:to>
    <mc:AlternateContent xmlns:mc="http://schemas.openxmlformats.org/markup-compatibility/2006" xmlns:a14="http://schemas.microsoft.com/office/drawing/2010/main">
      <mc:Choice Requires="a14">
        <xdr:graphicFrame macro="">
          <xdr:nvGraphicFramePr>
            <xdr:cNvPr id="16" name="Checks">
              <a:extLst>
                <a:ext uri="{FF2B5EF4-FFF2-40B4-BE49-F238E27FC236}">
                  <a16:creationId xmlns="" xmlns:a16="http://schemas.microsoft.com/office/drawing/2014/main" id="{98F2FB91-C8BC-4496-88D7-70230EB1ED89}"/>
                </a:ext>
              </a:extLst>
            </xdr:cNvPr>
            <xdr:cNvGraphicFramePr>
              <a:graphicFrameLocks noChangeAspect="1" noMove="1" noResize="1"/>
            </xdr:cNvGraphicFramePr>
          </xdr:nvGraphicFramePr>
          <xdr:xfrm>
            <a:off x="0" y="0"/>
            <a:ext cx="0" cy="0"/>
          </xdr:xfrm>
          <a:graphic>
            <a:graphicData uri="http://schemas.microsoft.com/office/drawing/2010/slicer">
              <sle:slicer xmlns:sle="http://schemas.microsoft.com/office/drawing/2010/slicer" name="Checks"/>
            </a:graphicData>
          </a:graphic>
        </xdr:graphicFrame>
      </mc:Choice>
      <mc:Fallback xmlns="">
        <xdr:sp macro="" textlink="">
          <xdr:nvSpPr>
            <xdr:cNvPr id="0" name=""/>
            <xdr:cNvSpPr>
              <a:spLocks noTextEdit="1"/>
            </xdr:cNvSpPr>
          </xdr:nvSpPr>
          <xdr:spPr>
            <a:xfrm>
              <a:off x="161924" y="1323975"/>
              <a:ext cx="2066925" cy="22764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180975</xdr:colOff>
      <xdr:row>6</xdr:row>
      <xdr:rowOff>180975</xdr:rowOff>
    </xdr:from>
    <xdr:to>
      <xdr:col>8</xdr:col>
      <xdr:colOff>0</xdr:colOff>
      <xdr:row>18</xdr:row>
      <xdr:rowOff>171450</xdr:rowOff>
    </xdr:to>
    <mc:AlternateContent xmlns:mc="http://schemas.openxmlformats.org/markup-compatibility/2006" xmlns:a14="http://schemas.microsoft.com/office/drawing/2010/main">
      <mc:Choice Requires="a14">
        <xdr:graphicFrame macro="">
          <xdr:nvGraphicFramePr>
            <xdr:cNvPr id="17" name="CheckStatus">
              <a:extLst>
                <a:ext uri="{FF2B5EF4-FFF2-40B4-BE49-F238E27FC236}">
                  <a16:creationId xmlns="" xmlns:a16="http://schemas.microsoft.com/office/drawing/2014/main" id="{E57DDDD6-6566-4BB3-A82A-94D322434883}"/>
                </a:ext>
              </a:extLst>
            </xdr:cNvPr>
            <xdr:cNvGraphicFramePr>
              <a:graphicFrameLocks noChangeAspect="1" noMove="1" noResize="1"/>
            </xdr:cNvGraphicFramePr>
          </xdr:nvGraphicFramePr>
          <xdr:xfrm>
            <a:off x="0" y="0"/>
            <a:ext cx="0" cy="0"/>
          </xdr:xfrm>
          <a:graphic>
            <a:graphicData uri="http://schemas.microsoft.com/office/drawing/2010/slicer">
              <sle:slicer xmlns:sle="http://schemas.microsoft.com/office/drawing/2010/slicer" name="CheckStatus"/>
            </a:graphicData>
          </a:graphic>
        </xdr:graphicFrame>
      </mc:Choice>
      <mc:Fallback xmlns="">
        <xdr:sp macro="" textlink="">
          <xdr:nvSpPr>
            <xdr:cNvPr id="0" name=""/>
            <xdr:cNvSpPr>
              <a:spLocks noTextEdit="1"/>
            </xdr:cNvSpPr>
          </xdr:nvSpPr>
          <xdr:spPr>
            <a:xfrm>
              <a:off x="2238375" y="1323975"/>
              <a:ext cx="2047875" cy="22764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c:userShapes xmlns:c="http://schemas.openxmlformats.org/drawingml/2006/chart">
  <cdr:relSizeAnchor xmlns:cdr="http://schemas.openxmlformats.org/drawingml/2006/chartDrawing">
    <cdr:from>
      <cdr:x>0.78522</cdr:x>
      <cdr:y>0.02083</cdr:y>
    </cdr:from>
    <cdr:to>
      <cdr:x>0.9746</cdr:x>
      <cdr:y>0.12917</cdr:y>
    </cdr:to>
    <cdr:sp macro="" textlink="">
      <cdr:nvSpPr>
        <cdr:cNvPr id="2" name="TextBox 1">
          <a:extLst xmlns:a="http://schemas.openxmlformats.org/drawingml/2006/main">
            <a:ext uri="{FF2B5EF4-FFF2-40B4-BE49-F238E27FC236}">
              <a16:creationId xmlns="" xmlns:a16="http://schemas.microsoft.com/office/drawing/2014/main" id="{9F17314A-FC1F-1856-9D00-03E7C17C350B}"/>
            </a:ext>
          </a:extLst>
        </cdr:cNvPr>
        <cdr:cNvSpPr txBox="1"/>
      </cdr:nvSpPr>
      <cdr:spPr>
        <a:xfrm xmlns:a="http://schemas.openxmlformats.org/drawingml/2006/main">
          <a:off x="3238500" y="47625"/>
          <a:ext cx="781050" cy="2476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kern="1200"/>
        </a:p>
      </cdr:txBody>
    </cdr:sp>
  </cdr:relSizeAnchor>
  <cdr:relSizeAnchor xmlns:cdr="http://schemas.openxmlformats.org/drawingml/2006/chartDrawing">
    <cdr:from>
      <cdr:x>0.77829</cdr:x>
      <cdr:y>0.02083</cdr:y>
    </cdr:from>
    <cdr:to>
      <cdr:x>0.99307</cdr:x>
      <cdr:y>0.12917</cdr:y>
    </cdr:to>
    <cdr:sp macro="" textlink="">
      <cdr:nvSpPr>
        <cdr:cNvPr id="3" name="TextBox 2">
          <a:extLst xmlns:a="http://schemas.openxmlformats.org/drawingml/2006/main">
            <a:ext uri="{FF2B5EF4-FFF2-40B4-BE49-F238E27FC236}">
              <a16:creationId xmlns="" xmlns:a16="http://schemas.microsoft.com/office/drawing/2014/main" id="{9F544B02-D1EC-5BB3-A3B9-018AA017244A}"/>
            </a:ext>
          </a:extLst>
        </cdr:cNvPr>
        <cdr:cNvSpPr txBox="1"/>
      </cdr:nvSpPr>
      <cdr:spPr>
        <a:xfrm xmlns:a="http://schemas.openxmlformats.org/drawingml/2006/main">
          <a:off x="3209925" y="47625"/>
          <a:ext cx="885825" cy="2476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kern="1200"/>
        </a:p>
      </cdr:txBody>
    </cdr:sp>
  </cdr:relSizeAnchor>
  <cdr:relSizeAnchor xmlns:cdr="http://schemas.openxmlformats.org/drawingml/2006/chartDrawing">
    <cdr:from>
      <cdr:x>0.81755</cdr:x>
      <cdr:y>0.01667</cdr:y>
    </cdr:from>
    <cdr:to>
      <cdr:x>0.99769</cdr:x>
      <cdr:y>0.12917</cdr:y>
    </cdr:to>
    <cdr:sp macro="" textlink="">
      <cdr:nvSpPr>
        <cdr:cNvPr id="4" name="TextBox 3">
          <a:extLst xmlns:a="http://schemas.openxmlformats.org/drawingml/2006/main">
            <a:ext uri="{FF2B5EF4-FFF2-40B4-BE49-F238E27FC236}">
              <a16:creationId xmlns="" xmlns:a16="http://schemas.microsoft.com/office/drawing/2014/main" id="{CDEED21A-0E7C-BD45-C2B8-E115657573CE}"/>
            </a:ext>
          </a:extLst>
        </cdr:cNvPr>
        <cdr:cNvSpPr txBox="1"/>
      </cdr:nvSpPr>
      <cdr:spPr>
        <a:xfrm xmlns:a="http://schemas.openxmlformats.org/drawingml/2006/main">
          <a:off x="3371849" y="38100"/>
          <a:ext cx="742951" cy="257175"/>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l"/>
          <a:r>
            <a:rPr lang="en-IN" sz="1600" b="1" kern="1200"/>
            <a:t>/</a:t>
          </a:r>
          <a:r>
            <a:rPr lang="en-IN" sz="1400" b="1" kern="1200"/>
            <a:t>100%</a:t>
          </a:r>
        </a:p>
      </cdr:txBody>
    </cdr:sp>
  </cdr:relSizeAnchor>
  <cdr:relSizeAnchor xmlns:cdr="http://schemas.openxmlformats.org/drawingml/2006/chartDrawing">
    <cdr:from>
      <cdr:x>0.71594</cdr:x>
      <cdr:y>0.02083</cdr:y>
    </cdr:from>
    <cdr:to>
      <cdr:x>0.85912</cdr:x>
      <cdr:y>0.13333</cdr:y>
    </cdr:to>
    <cdr:sp macro="" textlink="Pivot!$S$19">
      <cdr:nvSpPr>
        <cdr:cNvPr id="5" name="TextBox 4">
          <a:extLst xmlns:a="http://schemas.openxmlformats.org/drawingml/2006/main">
            <a:ext uri="{FF2B5EF4-FFF2-40B4-BE49-F238E27FC236}">
              <a16:creationId xmlns="" xmlns:a16="http://schemas.microsoft.com/office/drawing/2014/main" id="{4BE84F54-73CD-06B0-896F-A2668F38740E}"/>
            </a:ext>
          </a:extLst>
        </cdr:cNvPr>
        <cdr:cNvSpPr txBox="1"/>
      </cdr:nvSpPr>
      <cdr:spPr>
        <a:xfrm xmlns:a="http://schemas.openxmlformats.org/drawingml/2006/main">
          <a:off x="2952750" y="47625"/>
          <a:ext cx="590550" cy="257175"/>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fld id="{52D1D6E3-CBD6-48E9-9DE5-E3DD9E9F7E81}" type="TxLink">
            <a:rPr lang="en-US" sz="1400" b="1" i="0" u="none" strike="noStrike" kern="1200">
              <a:solidFill>
                <a:srgbClr val="000000"/>
              </a:solidFill>
              <a:latin typeface="Amasis MT Pro"/>
            </a:rPr>
            <a:pPr algn="ctr"/>
            <a:t>43%</a:t>
          </a:fld>
          <a:endParaRPr lang="en-IN" sz="1400" kern="1200"/>
        </a:p>
      </cdr:txBody>
    </cdr:sp>
  </cdr:relSizeAnchor>
</c:userShapes>
</file>

<file path=xl/pivotCache/pivotCacheDefinition1.xml><?xml version="1.0" encoding="utf-8"?>
<pivotCacheDefinition xmlns="http://schemas.openxmlformats.org/spreadsheetml/2006/main" xmlns:r="http://schemas.openxmlformats.org/officeDocument/2006/relationships" saveData="0" refreshedBy="Ramesh Singh" refreshedDate="45700.631033912039" backgroundQuery="1" createdVersion="8" refreshedVersion="8" minRefreshableVersion="3" recordCount="0" supportSubquery="1" supportAdvancedDrill="1">
  <cacheSource type="external" connectionId="1"/>
  <cacheFields count="5">
    <cacheField name="[Measures].[Count of Checks]" caption="Count of Checks" numFmtId="0" hierarchy="17" level="32767"/>
    <cacheField name="[MTDRejection].[ClientName].[ClientName]" caption="ClientName" numFmtId="0" level="1">
      <sharedItems count="10">
        <s v="Ambit Private Limited"/>
        <s v="Capgemini Technology Services India Ltd."/>
        <s v="Eureka Forbes Limited"/>
        <s v="LTIMindtree Limited"/>
        <s v="Tata Consultancy Services"/>
        <s v="Tata Consultancy Services BPO Limited"/>
        <s v="Tech Mahindra Limited"/>
        <s v="Titan Company Limited"/>
        <s v="Walsons PCC"/>
        <s v="Wipro Limited"/>
      </sharedItems>
    </cacheField>
    <cacheField name="[Measures].[Sum of Pending Rejection]" caption="Sum of Pending Rejection" numFmtId="0" hierarchy="19" level="32767"/>
    <cacheField name="[MTDRejection].[Checks].[Checks]" caption="Checks" numFmtId="0" hierarchy="10" level="1">
      <sharedItems containsSemiMixedTypes="0" containsNonDate="0" containsString="0"/>
    </cacheField>
    <cacheField name="[MTDRejection].[CheckStatus].[CheckStatus]" caption="CheckStatus" numFmtId="0" hierarchy="3" level="1">
      <sharedItems containsSemiMixedTypes="0" containsNonDate="0" containsString="0"/>
    </cacheField>
  </cacheFields>
  <cacheHierarchies count="20">
    <cacheHierarchy uniqueName="[MTDRejection].[ClientName]" caption="ClientName" attribute="1" defaultMemberUniqueName="[MTDRejection].[ClientName].[All]" allUniqueName="[MTDRejection].[ClientName].[All]" dimensionUniqueName="[MTDRejection]" displayFolder="" count="2" memberValueDatatype="130" unbalanced="0">
      <fieldsUsage count="2">
        <fieldUsage x="-1"/>
        <fieldUsage x="1"/>
      </fieldsUsage>
    </cacheHierarchy>
    <cacheHierarchy uniqueName="[MTDRejection].[Refno]" caption="Refno" attribute="1" defaultMemberUniqueName="[MTDRejection].[Refno].[All]" allUniqueName="[MTDRejection].[Refno].[All]" dimensionUniqueName="[MTDRejection]" displayFolder="" count="0" memberValueDatatype="130" unbalanced="0"/>
    <cacheHierarchy uniqueName="[MTDRejection].[SubCheckName]" caption="SubCheckName" attribute="1" defaultMemberUniqueName="[MTDRejection].[SubCheckName].[All]" allUniqueName="[MTDRejection].[SubCheckName].[All]" dimensionUniqueName="[MTDRejection]" displayFolder="" count="0" memberValueDatatype="130" unbalanced="0"/>
    <cacheHierarchy uniqueName="[MTDRejection].[CheckStatus]" caption="CheckStatus" attribute="1" defaultMemberUniqueName="[MTDRejection].[CheckStatus].[All]" allUniqueName="[MTDRejection].[CheckStatus].[All]" dimensionUniqueName="[MTDRejection]" displayFolder="" count="2" memberValueDatatype="130" unbalanced="0">
      <fieldsUsage count="2">
        <fieldUsage x="-1"/>
        <fieldUsage x="4"/>
      </fieldsUsage>
    </cacheHierarchy>
    <cacheHierarchy uniqueName="[MTDRejection].[RejectionDate]" caption="RejectionDate" attribute="1" time="1" defaultMemberUniqueName="[MTDRejection].[RejectionDate].[All]" allUniqueName="[MTDRejection].[RejectionDate].[All]" dimensionUniqueName="[MTDRejection]" displayFolder="" count="2" memberValueDatatype="7" unbalanced="0"/>
    <cacheHierarchy uniqueName="[MTDRejection].[userName]" caption="userName" attribute="1" defaultMemberUniqueName="[MTDRejection].[userName].[All]" allUniqueName="[MTDRejection].[userName].[All]" dimensionUniqueName="[MTDRejection]" displayFolder="" count="0" memberValueDatatype="130" unbalanced="0"/>
    <cacheHierarchy uniqueName="[MTDRejection].[aging]" caption="aging" attribute="1" defaultMemberUniqueName="[MTDRejection].[aging].[All]" allUniqueName="[MTDRejection].[aging].[All]" dimensionUniqueName="[MTDRejection]" displayFolder="" count="0" memberValueDatatype="20" unbalanced="0"/>
    <cacheHierarchy uniqueName="[MTDRejection].[CaseStatus]" caption="CaseStatus" attribute="1" defaultMemberUniqueName="[MTDRejection].[CaseStatus].[All]" allUniqueName="[MTDRejection].[CaseStatus].[All]" dimensionUniqueName="[MTDRejection]" displayFolder="" count="0" memberValueDatatype="130" unbalanced="0"/>
    <cacheHierarchy uniqueName="[MTDRejection].[CheckActiveStatus]" caption="CheckActiveStatus" attribute="1" defaultMemberUniqueName="[MTDRejection].[CheckActiveStatus].[All]" allUniqueName="[MTDRejection].[CheckActiveStatus].[All]" dimensionUniqueName="[MTDRejection]" displayFolder="" count="0" memberValueDatatype="130" unbalanced="0"/>
    <cacheHierarchy uniqueName="[MTDRejection].[CaseActiveStatus]" caption="CaseActiveStatus" attribute="1" defaultMemberUniqueName="[MTDRejection].[CaseActiveStatus].[All]" allUniqueName="[MTDRejection].[CaseActiveStatus].[All]" dimensionUniqueName="[MTDRejection]" displayFolder="" count="0" memberValueDatatype="130" unbalanced="0"/>
    <cacheHierarchy uniqueName="[MTDRejection].[Checks]" caption="Checks" attribute="1" defaultMemberUniqueName="[MTDRejection].[Checks].[All]" allUniqueName="[MTDRejection].[Checks].[All]" dimensionUniqueName="[MTDRejection]" displayFolder="" count="2" memberValueDatatype="130" unbalanced="0">
      <fieldsUsage count="2">
        <fieldUsage x="-1"/>
        <fieldUsage x="3"/>
      </fieldsUsage>
    </cacheHierarchy>
    <cacheHierarchy uniqueName="[MTDRejection].[Pending Rejection]" caption="Pending Rejection" attribute="1" defaultMemberUniqueName="[MTDRejection].[Pending Rejection].[All]" allUniqueName="[MTDRejection].[Pending Rejection].[All]" dimensionUniqueName="[MTDRejection]" displayFolder="" count="0" memberValueDatatype="20" unbalanced="0"/>
    <cacheHierarchy uniqueName="[MTDRejection].[Day]" caption="Day" attribute="1" defaultMemberUniqueName="[MTDRejection].[Day].[All]" allUniqueName="[MTDRejection].[Day].[All]" dimensionUniqueName="[MTDRejection]" displayFolder="" count="0" memberValueDatatype="20" unbalanced="0"/>
    <cacheHierarchy uniqueName="[MTDRejection].[Weekday]" caption="Weekday" attribute="1" defaultMemberUniqueName="[MTDRejection].[Weekday].[All]" allUniqueName="[MTDRejection].[Weekday].[All]" dimensionUniqueName="[MTDRejection]" displayFolder="" count="0" memberValueDatatype="130" unbalanced="0"/>
    <cacheHierarchy uniqueName="[Measures].[__XL_Count MTDRejection]" caption="__XL_Count MTDRejection" measure="1" displayFolder="" measureGroup="MTDRejection" count="0" hidden="1"/>
    <cacheHierarchy uniqueName="[Measures].[__No measures defined]" caption="__No measures defined" measure="1" displayFolder="" count="0" hidden="1"/>
    <cacheHierarchy uniqueName="[Measures].[Sum of Day]" caption="Sum of Day" measure="1" displayFolder="" measureGroup="MTDRejection" count="0" hidden="1">
      <extLst>
        <ext xmlns:x15="http://schemas.microsoft.com/office/spreadsheetml/2010/11/main" uri="{B97F6D7D-B522-45F9-BDA1-12C45D357490}">
          <x15:cacheHierarchy aggregatedColumn="12"/>
        </ext>
      </extLst>
    </cacheHierarchy>
    <cacheHierarchy uniqueName="[Measures].[Count of Checks]" caption="Count of Checks" measure="1" displayFolder="" measureGroup="MTDRejection" count="0" oneField="1" hidden="1">
      <fieldsUsage count="1">
        <fieldUsage x="0"/>
      </fieldsUsage>
      <extLst>
        <ext xmlns:x15="http://schemas.microsoft.com/office/spreadsheetml/2010/11/main" uri="{B97F6D7D-B522-45F9-BDA1-12C45D357490}">
          <x15:cacheHierarchy aggregatedColumn="10"/>
        </ext>
      </extLst>
    </cacheHierarchy>
    <cacheHierarchy uniqueName="[Measures].[Count of Pending Rejection]" caption="Count of Pending Rejection" measure="1" displayFolder="" measureGroup="MTDRejection" count="0" hidden="1">
      <extLst>
        <ext xmlns:x15="http://schemas.microsoft.com/office/spreadsheetml/2010/11/main" uri="{B97F6D7D-B522-45F9-BDA1-12C45D357490}">
          <x15:cacheHierarchy aggregatedColumn="11"/>
        </ext>
      </extLst>
    </cacheHierarchy>
    <cacheHierarchy uniqueName="[Measures].[Sum of Pending Rejection]" caption="Sum of Pending Rejection" measure="1" displayFolder="" measureGroup="MTDRejection" count="0" oneField="1" hidden="1">
      <fieldsUsage count="1">
        <fieldUsage x="2"/>
      </fieldsUsage>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MTDRejection" uniqueName="[MTDRejection]" caption="MTDRejection"/>
  </dimensions>
  <measureGroups count="1">
    <measureGroup name="MTDRejection" caption="MTDRejection"/>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Ramesh Singh" refreshedDate="45700.631035879633" backgroundQuery="1" createdVersion="8" refreshedVersion="8" minRefreshableVersion="3" recordCount="0" supportSubquery="1" supportAdvancedDrill="1">
  <cacheSource type="external" connectionId="1"/>
  <cacheFields count="4">
    <cacheField name="[Measures].[Count of Checks]" caption="Count of Checks" numFmtId="0" hierarchy="17" level="32767"/>
    <cacheField name="[MTDRejection].[CheckStatus].[CheckStatus]" caption="CheckStatus" numFmtId="0" hierarchy="3" level="1">
      <sharedItems count="5">
        <s v="Partner Rejected"/>
        <s v="Rejected to DE TM"/>
        <s v="Rejected to OP QC"/>
        <s v="Rejected to OP TM"/>
        <s v="Rejected to Scan"/>
      </sharedItems>
    </cacheField>
    <cacheField name="[Measures].[Sum of Pending Rejection]" caption="Sum of Pending Rejection" numFmtId="0" hierarchy="19" level="32767"/>
    <cacheField name="[MTDRejection].[Checks].[Checks]" caption="Checks" numFmtId="0" hierarchy="10" level="1">
      <sharedItems containsSemiMixedTypes="0" containsNonDate="0" containsString="0"/>
    </cacheField>
  </cacheFields>
  <cacheHierarchies count="20">
    <cacheHierarchy uniqueName="[MTDRejection].[ClientName]" caption="ClientName" attribute="1" defaultMemberUniqueName="[MTDRejection].[ClientName].[All]" allUniqueName="[MTDRejection].[ClientName].[All]" dimensionUniqueName="[MTDRejection]" displayFolder="" count="0" memberValueDatatype="130" unbalanced="0"/>
    <cacheHierarchy uniqueName="[MTDRejection].[Refno]" caption="Refno" attribute="1" defaultMemberUniqueName="[MTDRejection].[Refno].[All]" allUniqueName="[MTDRejection].[Refno].[All]" dimensionUniqueName="[MTDRejection]" displayFolder="" count="0" memberValueDatatype="130" unbalanced="0"/>
    <cacheHierarchy uniqueName="[MTDRejection].[SubCheckName]" caption="SubCheckName" attribute="1" defaultMemberUniqueName="[MTDRejection].[SubCheckName].[All]" allUniqueName="[MTDRejection].[SubCheckName].[All]" dimensionUniqueName="[MTDRejection]" displayFolder="" count="0" memberValueDatatype="130" unbalanced="0"/>
    <cacheHierarchy uniqueName="[MTDRejection].[CheckStatus]" caption="CheckStatus" attribute="1" defaultMemberUniqueName="[MTDRejection].[CheckStatus].[All]" allUniqueName="[MTDRejection].[CheckStatus].[All]" dimensionUniqueName="[MTDRejection]" displayFolder="" count="2" memberValueDatatype="130" unbalanced="0">
      <fieldsUsage count="2">
        <fieldUsage x="-1"/>
        <fieldUsage x="1"/>
      </fieldsUsage>
    </cacheHierarchy>
    <cacheHierarchy uniqueName="[MTDRejection].[RejectionDate]" caption="RejectionDate" attribute="1" time="1" defaultMemberUniqueName="[MTDRejection].[RejectionDate].[All]" allUniqueName="[MTDRejection].[RejectionDate].[All]" dimensionUniqueName="[MTDRejection]" displayFolder="" count="2" memberValueDatatype="7" unbalanced="0"/>
    <cacheHierarchy uniqueName="[MTDRejection].[userName]" caption="userName" attribute="1" defaultMemberUniqueName="[MTDRejection].[userName].[All]" allUniqueName="[MTDRejection].[userName].[All]" dimensionUniqueName="[MTDRejection]" displayFolder="" count="0" memberValueDatatype="130" unbalanced="0"/>
    <cacheHierarchy uniqueName="[MTDRejection].[aging]" caption="aging" attribute="1" defaultMemberUniqueName="[MTDRejection].[aging].[All]" allUniqueName="[MTDRejection].[aging].[All]" dimensionUniqueName="[MTDRejection]" displayFolder="" count="0" memberValueDatatype="20" unbalanced="0"/>
    <cacheHierarchy uniqueName="[MTDRejection].[CaseStatus]" caption="CaseStatus" attribute="1" defaultMemberUniqueName="[MTDRejection].[CaseStatus].[All]" allUniqueName="[MTDRejection].[CaseStatus].[All]" dimensionUniqueName="[MTDRejection]" displayFolder="" count="0" memberValueDatatype="130" unbalanced="0"/>
    <cacheHierarchy uniqueName="[MTDRejection].[CheckActiveStatus]" caption="CheckActiveStatus" attribute="1" defaultMemberUniqueName="[MTDRejection].[CheckActiveStatus].[All]" allUniqueName="[MTDRejection].[CheckActiveStatus].[All]" dimensionUniqueName="[MTDRejection]" displayFolder="" count="0" memberValueDatatype="130" unbalanced="0"/>
    <cacheHierarchy uniqueName="[MTDRejection].[CaseActiveStatus]" caption="CaseActiveStatus" attribute="1" defaultMemberUniqueName="[MTDRejection].[CaseActiveStatus].[All]" allUniqueName="[MTDRejection].[CaseActiveStatus].[All]" dimensionUniqueName="[MTDRejection]" displayFolder="" count="0" memberValueDatatype="130" unbalanced="0"/>
    <cacheHierarchy uniqueName="[MTDRejection].[Checks]" caption="Checks" attribute="1" defaultMemberUniqueName="[MTDRejection].[Checks].[All]" allUniqueName="[MTDRejection].[Checks].[All]" dimensionUniqueName="[MTDRejection]" displayFolder="" count="2" memberValueDatatype="130" unbalanced="0">
      <fieldsUsage count="2">
        <fieldUsage x="-1"/>
        <fieldUsage x="3"/>
      </fieldsUsage>
    </cacheHierarchy>
    <cacheHierarchy uniqueName="[MTDRejection].[Pending Rejection]" caption="Pending Rejection" attribute="1" defaultMemberUniqueName="[MTDRejection].[Pending Rejection].[All]" allUniqueName="[MTDRejection].[Pending Rejection].[All]" dimensionUniqueName="[MTDRejection]" displayFolder="" count="0" memberValueDatatype="20" unbalanced="0"/>
    <cacheHierarchy uniqueName="[MTDRejection].[Day]" caption="Day" attribute="1" defaultMemberUniqueName="[MTDRejection].[Day].[All]" allUniqueName="[MTDRejection].[Day].[All]" dimensionUniqueName="[MTDRejection]" displayFolder="" count="0" memberValueDatatype="20" unbalanced="0"/>
    <cacheHierarchy uniqueName="[MTDRejection].[Weekday]" caption="Weekday" attribute="1" defaultMemberUniqueName="[MTDRejection].[Weekday].[All]" allUniqueName="[MTDRejection].[Weekday].[All]" dimensionUniqueName="[MTDRejection]" displayFolder="" count="0" memberValueDatatype="130" unbalanced="0"/>
    <cacheHierarchy uniqueName="[Measures].[__XL_Count MTDRejection]" caption="__XL_Count MTDRejection" measure="1" displayFolder="" measureGroup="MTDRejection" count="0" hidden="1"/>
    <cacheHierarchy uniqueName="[Measures].[__No measures defined]" caption="__No measures defined" measure="1" displayFolder="" count="0" hidden="1"/>
    <cacheHierarchy uniqueName="[Measures].[Sum of Day]" caption="Sum of Day" measure="1" displayFolder="" measureGroup="MTDRejection" count="0" hidden="1">
      <extLst>
        <ext xmlns:x15="http://schemas.microsoft.com/office/spreadsheetml/2010/11/main" uri="{B97F6D7D-B522-45F9-BDA1-12C45D357490}">
          <x15:cacheHierarchy aggregatedColumn="12"/>
        </ext>
      </extLst>
    </cacheHierarchy>
    <cacheHierarchy uniqueName="[Measures].[Count of Checks]" caption="Count of Checks" measure="1" displayFolder="" measureGroup="MTDRejection" count="0" oneField="1" hidden="1">
      <fieldsUsage count="1">
        <fieldUsage x="0"/>
      </fieldsUsage>
      <extLst>
        <ext xmlns:x15="http://schemas.microsoft.com/office/spreadsheetml/2010/11/main" uri="{B97F6D7D-B522-45F9-BDA1-12C45D357490}">
          <x15:cacheHierarchy aggregatedColumn="10"/>
        </ext>
      </extLst>
    </cacheHierarchy>
    <cacheHierarchy uniqueName="[Measures].[Count of Pending Rejection]" caption="Count of Pending Rejection" measure="1" displayFolder="" measureGroup="MTDRejection" count="0" hidden="1">
      <extLst>
        <ext xmlns:x15="http://schemas.microsoft.com/office/spreadsheetml/2010/11/main" uri="{B97F6D7D-B522-45F9-BDA1-12C45D357490}">
          <x15:cacheHierarchy aggregatedColumn="11"/>
        </ext>
      </extLst>
    </cacheHierarchy>
    <cacheHierarchy uniqueName="[Measures].[Sum of Pending Rejection]" caption="Sum of Pending Rejection" measure="1" displayFolder="" measureGroup="MTDRejection" count="0" oneField="1" hidden="1">
      <fieldsUsage count="1">
        <fieldUsage x="2"/>
      </fieldsUsage>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MTDRejection" uniqueName="[MTDRejection]" caption="MTDRejection"/>
  </dimensions>
  <measureGroups count="1">
    <measureGroup name="MTDRejection" caption="MTDRejection"/>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Ramesh Singh" refreshedDate="45700.631038310188" backgroundQuery="1" createdVersion="8" refreshedVersion="8" minRefreshableVersion="3" recordCount="0" supportSubquery="1" supportAdvancedDrill="1">
  <cacheSource type="external" connectionId="1"/>
  <cacheFields count="4">
    <cacheField name="[Measures].[Count of Checks]" caption="Count of Checks" numFmtId="0" hierarchy="17" level="32767"/>
    <cacheField name="[Measures].[Sum of Pending Rejection]" caption="Sum of Pending Rejection" numFmtId="0" hierarchy="19" level="32767"/>
    <cacheField name="[MTDRejection].[Checks].[Checks]" caption="Checks" numFmtId="0" hierarchy="10" level="1">
      <sharedItems containsSemiMixedTypes="0" containsNonDate="0" containsString="0"/>
    </cacheField>
    <cacheField name="[MTDRejection].[CheckStatus].[CheckStatus]" caption="CheckStatus" numFmtId="0" hierarchy="3" level="1">
      <sharedItems containsSemiMixedTypes="0" containsNonDate="0" containsString="0"/>
    </cacheField>
  </cacheFields>
  <cacheHierarchies count="20">
    <cacheHierarchy uniqueName="[MTDRejection].[ClientName]" caption="ClientName" attribute="1" defaultMemberUniqueName="[MTDRejection].[ClientName].[All]" allUniqueName="[MTDRejection].[ClientName].[All]" dimensionUniqueName="[MTDRejection]" displayFolder="" count="0" memberValueDatatype="130" unbalanced="0"/>
    <cacheHierarchy uniqueName="[MTDRejection].[Refno]" caption="Refno" attribute="1" defaultMemberUniqueName="[MTDRejection].[Refno].[All]" allUniqueName="[MTDRejection].[Refno].[All]" dimensionUniqueName="[MTDRejection]" displayFolder="" count="0" memberValueDatatype="130" unbalanced="0"/>
    <cacheHierarchy uniqueName="[MTDRejection].[SubCheckName]" caption="SubCheckName" attribute="1" defaultMemberUniqueName="[MTDRejection].[SubCheckName].[All]" allUniqueName="[MTDRejection].[SubCheckName].[All]" dimensionUniqueName="[MTDRejection]" displayFolder="" count="0" memberValueDatatype="130" unbalanced="0"/>
    <cacheHierarchy uniqueName="[MTDRejection].[CheckStatus]" caption="CheckStatus" attribute="1" defaultMemberUniqueName="[MTDRejection].[CheckStatus].[All]" allUniqueName="[MTDRejection].[CheckStatus].[All]" dimensionUniqueName="[MTDRejection]" displayFolder="" count="2" memberValueDatatype="130" unbalanced="0">
      <fieldsUsage count="2">
        <fieldUsage x="-1"/>
        <fieldUsage x="3"/>
      </fieldsUsage>
    </cacheHierarchy>
    <cacheHierarchy uniqueName="[MTDRejection].[RejectionDate]" caption="RejectionDate" attribute="1" time="1" defaultMemberUniqueName="[MTDRejection].[RejectionDate].[All]" allUniqueName="[MTDRejection].[RejectionDate].[All]" dimensionUniqueName="[MTDRejection]" displayFolder="" count="2" memberValueDatatype="7" unbalanced="0"/>
    <cacheHierarchy uniqueName="[MTDRejection].[userName]" caption="userName" attribute="1" defaultMemberUniqueName="[MTDRejection].[userName].[All]" allUniqueName="[MTDRejection].[userName].[All]" dimensionUniqueName="[MTDRejection]" displayFolder="" count="0" memberValueDatatype="130" unbalanced="0"/>
    <cacheHierarchy uniqueName="[MTDRejection].[aging]" caption="aging" attribute="1" defaultMemberUniqueName="[MTDRejection].[aging].[All]" allUniqueName="[MTDRejection].[aging].[All]" dimensionUniqueName="[MTDRejection]" displayFolder="" count="0" memberValueDatatype="20" unbalanced="0"/>
    <cacheHierarchy uniqueName="[MTDRejection].[CaseStatus]" caption="CaseStatus" attribute="1" defaultMemberUniqueName="[MTDRejection].[CaseStatus].[All]" allUniqueName="[MTDRejection].[CaseStatus].[All]" dimensionUniqueName="[MTDRejection]" displayFolder="" count="0" memberValueDatatype="130" unbalanced="0"/>
    <cacheHierarchy uniqueName="[MTDRejection].[CheckActiveStatus]" caption="CheckActiveStatus" attribute="1" defaultMemberUniqueName="[MTDRejection].[CheckActiveStatus].[All]" allUniqueName="[MTDRejection].[CheckActiveStatus].[All]" dimensionUniqueName="[MTDRejection]" displayFolder="" count="0" memberValueDatatype="130" unbalanced="0"/>
    <cacheHierarchy uniqueName="[MTDRejection].[CaseActiveStatus]" caption="CaseActiveStatus" attribute="1" defaultMemberUniqueName="[MTDRejection].[CaseActiveStatus].[All]" allUniqueName="[MTDRejection].[CaseActiveStatus].[All]" dimensionUniqueName="[MTDRejection]" displayFolder="" count="0" memberValueDatatype="130" unbalanced="0"/>
    <cacheHierarchy uniqueName="[MTDRejection].[Checks]" caption="Checks" attribute="1" defaultMemberUniqueName="[MTDRejection].[Checks].[All]" allUniqueName="[MTDRejection].[Checks].[All]" dimensionUniqueName="[MTDRejection]" displayFolder="" count="2" memberValueDatatype="130" unbalanced="0">
      <fieldsUsage count="2">
        <fieldUsage x="-1"/>
        <fieldUsage x="2"/>
      </fieldsUsage>
    </cacheHierarchy>
    <cacheHierarchy uniqueName="[MTDRejection].[Pending Rejection]" caption="Pending Rejection" attribute="1" defaultMemberUniqueName="[MTDRejection].[Pending Rejection].[All]" allUniqueName="[MTDRejection].[Pending Rejection].[All]" dimensionUniqueName="[MTDRejection]" displayFolder="" count="0" memberValueDatatype="20" unbalanced="0"/>
    <cacheHierarchy uniqueName="[MTDRejection].[Day]" caption="Day" attribute="1" defaultMemberUniqueName="[MTDRejection].[Day].[All]" allUniqueName="[MTDRejection].[Day].[All]" dimensionUniqueName="[MTDRejection]" displayFolder="" count="0" memberValueDatatype="20" unbalanced="0"/>
    <cacheHierarchy uniqueName="[MTDRejection].[Weekday]" caption="Weekday" attribute="1" defaultMemberUniqueName="[MTDRejection].[Weekday].[All]" allUniqueName="[MTDRejection].[Weekday].[All]" dimensionUniqueName="[MTDRejection]" displayFolder="" count="0" memberValueDatatype="130" unbalanced="0"/>
    <cacheHierarchy uniqueName="[Measures].[__XL_Count MTDRejection]" caption="__XL_Count MTDRejection" measure="1" displayFolder="" measureGroup="MTDRejection" count="0" hidden="1"/>
    <cacheHierarchy uniqueName="[Measures].[__No measures defined]" caption="__No measures defined" measure="1" displayFolder="" count="0" hidden="1"/>
    <cacheHierarchy uniqueName="[Measures].[Sum of Day]" caption="Sum of Day" measure="1" displayFolder="" measureGroup="MTDRejection" count="0" hidden="1">
      <extLst>
        <ext xmlns:x15="http://schemas.microsoft.com/office/spreadsheetml/2010/11/main" uri="{B97F6D7D-B522-45F9-BDA1-12C45D357490}">
          <x15:cacheHierarchy aggregatedColumn="12"/>
        </ext>
      </extLst>
    </cacheHierarchy>
    <cacheHierarchy uniqueName="[Measures].[Count of Checks]" caption="Count of Checks" measure="1" displayFolder="" measureGroup="MTDRejection" count="0" oneField="1" hidden="1">
      <fieldsUsage count="1">
        <fieldUsage x="0"/>
      </fieldsUsage>
      <extLst>
        <ext xmlns:x15="http://schemas.microsoft.com/office/spreadsheetml/2010/11/main" uri="{B97F6D7D-B522-45F9-BDA1-12C45D357490}">
          <x15:cacheHierarchy aggregatedColumn="10"/>
        </ext>
      </extLst>
    </cacheHierarchy>
    <cacheHierarchy uniqueName="[Measures].[Count of Pending Rejection]" caption="Count of Pending Rejection" measure="1" displayFolder="" measureGroup="MTDRejection" count="0" hidden="1">
      <extLst>
        <ext xmlns:x15="http://schemas.microsoft.com/office/spreadsheetml/2010/11/main" uri="{B97F6D7D-B522-45F9-BDA1-12C45D357490}">
          <x15:cacheHierarchy aggregatedColumn="11"/>
        </ext>
      </extLst>
    </cacheHierarchy>
    <cacheHierarchy uniqueName="[Measures].[Sum of Pending Rejection]" caption="Sum of Pending Rejection" measure="1" displayFolder="" measureGroup="MTDRejection" count="0" oneField="1" hidden="1">
      <fieldsUsage count="1">
        <fieldUsage x="1"/>
      </fieldsUsage>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MTDRejection" uniqueName="[MTDRejection]" caption="MTDRejection"/>
  </dimensions>
  <measureGroups count="1">
    <measureGroup name="MTDRejection" caption="MTDRejection"/>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Ramesh Singh" refreshedDate="45700.631040509259" backgroundQuery="1" createdVersion="8" refreshedVersion="8" minRefreshableVersion="3" recordCount="0" supportSubquery="1" supportAdvancedDrill="1">
  <cacheSource type="external" connectionId="1"/>
  <cacheFields count="3">
    <cacheField name="[Measures].[Count of Checks]" caption="Count of Checks" numFmtId="0" hierarchy="17" level="32767"/>
    <cacheField name="[MTDRejection].[Checks].[Checks]" caption="Checks" numFmtId="0" hierarchy="10" level="1">
      <sharedItems count="8">
        <s v="Add"/>
        <s v="CRC"/>
        <s v="Drug"/>
        <s v="Edu"/>
        <s v="Emp"/>
        <s v="Investigation"/>
        <s v="Ref"/>
        <s v="Special Check"/>
      </sharedItems>
    </cacheField>
    <cacheField name="[MTDRejection].[CheckStatus].[CheckStatus]" caption="CheckStatus" numFmtId="0" hierarchy="3" level="1">
      <sharedItems containsSemiMixedTypes="0" containsNonDate="0" containsString="0"/>
    </cacheField>
  </cacheFields>
  <cacheHierarchies count="20">
    <cacheHierarchy uniqueName="[MTDRejection].[ClientName]" caption="ClientName" attribute="1" defaultMemberUniqueName="[MTDRejection].[ClientName].[All]" allUniqueName="[MTDRejection].[ClientName].[All]" dimensionUniqueName="[MTDRejection]" displayFolder="" count="0" memberValueDatatype="130" unbalanced="0"/>
    <cacheHierarchy uniqueName="[MTDRejection].[Refno]" caption="Refno" attribute="1" defaultMemberUniqueName="[MTDRejection].[Refno].[All]" allUniqueName="[MTDRejection].[Refno].[All]" dimensionUniqueName="[MTDRejection]" displayFolder="" count="0" memberValueDatatype="130" unbalanced="0"/>
    <cacheHierarchy uniqueName="[MTDRejection].[SubCheckName]" caption="SubCheckName" attribute="1" defaultMemberUniqueName="[MTDRejection].[SubCheckName].[All]" allUniqueName="[MTDRejection].[SubCheckName].[All]" dimensionUniqueName="[MTDRejection]" displayFolder="" count="0" memberValueDatatype="130" unbalanced="0"/>
    <cacheHierarchy uniqueName="[MTDRejection].[CheckStatus]" caption="CheckStatus" attribute="1" defaultMemberUniqueName="[MTDRejection].[CheckStatus].[All]" allUniqueName="[MTDRejection].[CheckStatus].[All]" dimensionUniqueName="[MTDRejection]" displayFolder="" count="2" memberValueDatatype="130" unbalanced="0">
      <fieldsUsage count="2">
        <fieldUsage x="-1"/>
        <fieldUsage x="2"/>
      </fieldsUsage>
    </cacheHierarchy>
    <cacheHierarchy uniqueName="[MTDRejection].[RejectionDate]" caption="RejectionDate" attribute="1" time="1" defaultMemberUniqueName="[MTDRejection].[RejectionDate].[All]" allUniqueName="[MTDRejection].[RejectionDate].[All]" dimensionUniqueName="[MTDRejection]" displayFolder="" count="2" memberValueDatatype="7" unbalanced="0"/>
    <cacheHierarchy uniqueName="[MTDRejection].[userName]" caption="userName" attribute="1" defaultMemberUniqueName="[MTDRejection].[userName].[All]" allUniqueName="[MTDRejection].[userName].[All]" dimensionUniqueName="[MTDRejection]" displayFolder="" count="0" memberValueDatatype="130" unbalanced="0"/>
    <cacheHierarchy uniqueName="[MTDRejection].[aging]" caption="aging" attribute="1" defaultMemberUniqueName="[MTDRejection].[aging].[All]" allUniqueName="[MTDRejection].[aging].[All]" dimensionUniqueName="[MTDRejection]" displayFolder="" count="0" memberValueDatatype="20" unbalanced="0"/>
    <cacheHierarchy uniqueName="[MTDRejection].[CaseStatus]" caption="CaseStatus" attribute="1" defaultMemberUniqueName="[MTDRejection].[CaseStatus].[All]" allUniqueName="[MTDRejection].[CaseStatus].[All]" dimensionUniqueName="[MTDRejection]" displayFolder="" count="0" memberValueDatatype="130" unbalanced="0"/>
    <cacheHierarchy uniqueName="[MTDRejection].[CheckActiveStatus]" caption="CheckActiveStatus" attribute="1" defaultMemberUniqueName="[MTDRejection].[CheckActiveStatus].[All]" allUniqueName="[MTDRejection].[CheckActiveStatus].[All]" dimensionUniqueName="[MTDRejection]" displayFolder="" count="0" memberValueDatatype="130" unbalanced="0"/>
    <cacheHierarchy uniqueName="[MTDRejection].[CaseActiveStatus]" caption="CaseActiveStatus" attribute="1" defaultMemberUniqueName="[MTDRejection].[CaseActiveStatus].[All]" allUniqueName="[MTDRejection].[CaseActiveStatus].[All]" dimensionUniqueName="[MTDRejection]" displayFolder="" count="0" memberValueDatatype="130" unbalanced="0"/>
    <cacheHierarchy uniqueName="[MTDRejection].[Checks]" caption="Checks" attribute="1" defaultMemberUniqueName="[MTDRejection].[Checks].[All]" allUniqueName="[MTDRejection].[Checks].[All]" dimensionUniqueName="[MTDRejection]" displayFolder="" count="2" memberValueDatatype="130" unbalanced="0">
      <fieldsUsage count="2">
        <fieldUsage x="-1"/>
        <fieldUsage x="1"/>
      </fieldsUsage>
    </cacheHierarchy>
    <cacheHierarchy uniqueName="[MTDRejection].[Pending Rejection]" caption="Pending Rejection" attribute="1" defaultMemberUniqueName="[MTDRejection].[Pending Rejection].[All]" allUniqueName="[MTDRejection].[Pending Rejection].[All]" dimensionUniqueName="[MTDRejection]" displayFolder="" count="0" memberValueDatatype="20" unbalanced="0"/>
    <cacheHierarchy uniqueName="[MTDRejection].[Day]" caption="Day" attribute="1" defaultMemberUniqueName="[MTDRejection].[Day].[All]" allUniqueName="[MTDRejection].[Day].[All]" dimensionUniqueName="[MTDRejection]" displayFolder="" count="0" memberValueDatatype="20" unbalanced="0"/>
    <cacheHierarchy uniqueName="[MTDRejection].[Weekday]" caption="Weekday" attribute="1" defaultMemberUniqueName="[MTDRejection].[Weekday].[All]" allUniqueName="[MTDRejection].[Weekday].[All]" dimensionUniqueName="[MTDRejection]" displayFolder="" count="0" memberValueDatatype="130" unbalanced="0"/>
    <cacheHierarchy uniqueName="[Measures].[__XL_Count MTDRejection]" caption="__XL_Count MTDRejection" measure="1" displayFolder="" measureGroup="MTDRejection" count="0" hidden="1"/>
    <cacheHierarchy uniqueName="[Measures].[__No measures defined]" caption="__No measures defined" measure="1" displayFolder="" count="0" hidden="1"/>
    <cacheHierarchy uniqueName="[Measures].[Sum of Day]" caption="Sum of Day" measure="1" displayFolder="" measureGroup="MTDRejection" count="0" hidden="1">
      <extLst>
        <ext xmlns:x15="http://schemas.microsoft.com/office/spreadsheetml/2010/11/main" uri="{B97F6D7D-B522-45F9-BDA1-12C45D357490}">
          <x15:cacheHierarchy aggregatedColumn="12"/>
        </ext>
      </extLst>
    </cacheHierarchy>
    <cacheHierarchy uniqueName="[Measures].[Count of Checks]" caption="Count of Checks" measure="1" displayFolder="" measureGroup="MTDRejection" count="0" oneField="1" hidden="1">
      <fieldsUsage count="1">
        <fieldUsage x="0"/>
      </fieldsUsage>
      <extLst>
        <ext xmlns:x15="http://schemas.microsoft.com/office/spreadsheetml/2010/11/main" uri="{B97F6D7D-B522-45F9-BDA1-12C45D357490}">
          <x15:cacheHierarchy aggregatedColumn="10"/>
        </ext>
      </extLst>
    </cacheHierarchy>
    <cacheHierarchy uniqueName="[Measures].[Count of Pending Rejection]" caption="Count of Pending Rejection" measure="1" displayFolder="" measureGroup="MTDRejection" count="0" hidden="1">
      <extLst>
        <ext xmlns:x15="http://schemas.microsoft.com/office/spreadsheetml/2010/11/main" uri="{B97F6D7D-B522-45F9-BDA1-12C45D357490}">
          <x15:cacheHierarchy aggregatedColumn="11"/>
        </ext>
      </extLst>
    </cacheHierarchy>
    <cacheHierarchy uniqueName="[Measures].[Sum of Pending Rejection]" caption="Sum of Pending Rejection" measure="1" displayFolder="" measureGroup="MTDRejection"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MTDRejection" uniqueName="[MTDRejection]" caption="MTDRejection"/>
  </dimensions>
  <measureGroups count="1">
    <measureGroup name="MTDRejection" caption="MTDRejection"/>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Ramesh Singh" refreshedDate="45700.631043055553" backgroundQuery="1" createdVersion="8" refreshedVersion="8" minRefreshableVersion="3" recordCount="0" supportSubquery="1" supportAdvancedDrill="1">
  <cacheSource type="external" connectionId="1"/>
  <cacheFields count="3">
    <cacheField name="[Measures].[Count of Checks]" caption="Count of Checks" numFmtId="0" hierarchy="17" level="32767"/>
    <cacheField name="[MTDRejection].[CheckStatus].[CheckStatus]" caption="CheckStatus" numFmtId="0" hierarchy="3" level="1">
      <sharedItems count="5">
        <s v="Partner Rejected"/>
        <s v="Rejected to DE TM"/>
        <s v="Rejected to OP QC"/>
        <s v="Rejected to OP TM"/>
        <s v="Rejected to Scan"/>
      </sharedItems>
    </cacheField>
    <cacheField name="[MTDRejection].[Checks].[Checks]" caption="Checks" numFmtId="0" hierarchy="10" level="1">
      <sharedItems containsSemiMixedTypes="0" containsNonDate="0" containsString="0"/>
    </cacheField>
  </cacheFields>
  <cacheHierarchies count="20">
    <cacheHierarchy uniqueName="[MTDRejection].[ClientName]" caption="ClientName" attribute="1" defaultMemberUniqueName="[MTDRejection].[ClientName].[All]" allUniqueName="[MTDRejection].[ClientName].[All]" dimensionUniqueName="[MTDRejection]" displayFolder="" count="0" memberValueDatatype="130" unbalanced="0"/>
    <cacheHierarchy uniqueName="[MTDRejection].[Refno]" caption="Refno" attribute="1" defaultMemberUniqueName="[MTDRejection].[Refno].[All]" allUniqueName="[MTDRejection].[Refno].[All]" dimensionUniqueName="[MTDRejection]" displayFolder="" count="0" memberValueDatatype="130" unbalanced="0"/>
    <cacheHierarchy uniqueName="[MTDRejection].[SubCheckName]" caption="SubCheckName" attribute="1" defaultMemberUniqueName="[MTDRejection].[SubCheckName].[All]" allUniqueName="[MTDRejection].[SubCheckName].[All]" dimensionUniqueName="[MTDRejection]" displayFolder="" count="0" memberValueDatatype="130" unbalanced="0"/>
    <cacheHierarchy uniqueName="[MTDRejection].[CheckStatus]" caption="CheckStatus" attribute="1" defaultMemberUniqueName="[MTDRejection].[CheckStatus].[All]" allUniqueName="[MTDRejection].[CheckStatus].[All]" dimensionUniqueName="[MTDRejection]" displayFolder="" count="2" memberValueDatatype="130" unbalanced="0">
      <fieldsUsage count="2">
        <fieldUsage x="-1"/>
        <fieldUsage x="1"/>
      </fieldsUsage>
    </cacheHierarchy>
    <cacheHierarchy uniqueName="[MTDRejection].[RejectionDate]" caption="RejectionDate" attribute="1" time="1" defaultMemberUniqueName="[MTDRejection].[RejectionDate].[All]" allUniqueName="[MTDRejection].[RejectionDate].[All]" dimensionUniqueName="[MTDRejection]" displayFolder="" count="2" memberValueDatatype="7" unbalanced="0"/>
    <cacheHierarchy uniqueName="[MTDRejection].[userName]" caption="userName" attribute="1" defaultMemberUniqueName="[MTDRejection].[userName].[All]" allUniqueName="[MTDRejection].[userName].[All]" dimensionUniqueName="[MTDRejection]" displayFolder="" count="0" memberValueDatatype="130" unbalanced="0"/>
    <cacheHierarchy uniqueName="[MTDRejection].[aging]" caption="aging" attribute="1" defaultMemberUniqueName="[MTDRejection].[aging].[All]" allUniqueName="[MTDRejection].[aging].[All]" dimensionUniqueName="[MTDRejection]" displayFolder="" count="0" memberValueDatatype="20" unbalanced="0"/>
    <cacheHierarchy uniqueName="[MTDRejection].[CaseStatus]" caption="CaseStatus" attribute="1" defaultMemberUniqueName="[MTDRejection].[CaseStatus].[All]" allUniqueName="[MTDRejection].[CaseStatus].[All]" dimensionUniqueName="[MTDRejection]" displayFolder="" count="0" memberValueDatatype="130" unbalanced="0"/>
    <cacheHierarchy uniqueName="[MTDRejection].[CheckActiveStatus]" caption="CheckActiveStatus" attribute="1" defaultMemberUniqueName="[MTDRejection].[CheckActiveStatus].[All]" allUniqueName="[MTDRejection].[CheckActiveStatus].[All]" dimensionUniqueName="[MTDRejection]" displayFolder="" count="0" memberValueDatatype="130" unbalanced="0"/>
    <cacheHierarchy uniqueName="[MTDRejection].[CaseActiveStatus]" caption="CaseActiveStatus" attribute="1" defaultMemberUniqueName="[MTDRejection].[CaseActiveStatus].[All]" allUniqueName="[MTDRejection].[CaseActiveStatus].[All]" dimensionUniqueName="[MTDRejection]" displayFolder="" count="0" memberValueDatatype="130" unbalanced="0"/>
    <cacheHierarchy uniqueName="[MTDRejection].[Checks]" caption="Checks" attribute="1" defaultMemberUniqueName="[MTDRejection].[Checks].[All]" allUniqueName="[MTDRejection].[Checks].[All]" dimensionUniqueName="[MTDRejection]" displayFolder="" count="2" memberValueDatatype="130" unbalanced="0">
      <fieldsUsage count="2">
        <fieldUsage x="-1"/>
        <fieldUsage x="2"/>
      </fieldsUsage>
    </cacheHierarchy>
    <cacheHierarchy uniqueName="[MTDRejection].[Pending Rejection]" caption="Pending Rejection" attribute="1" defaultMemberUniqueName="[MTDRejection].[Pending Rejection].[All]" allUniqueName="[MTDRejection].[Pending Rejection].[All]" dimensionUniqueName="[MTDRejection]" displayFolder="" count="0" memberValueDatatype="20" unbalanced="0"/>
    <cacheHierarchy uniqueName="[MTDRejection].[Day]" caption="Day" attribute="1" defaultMemberUniqueName="[MTDRejection].[Day].[All]" allUniqueName="[MTDRejection].[Day].[All]" dimensionUniqueName="[MTDRejection]" displayFolder="" count="0" memberValueDatatype="20" unbalanced="0"/>
    <cacheHierarchy uniqueName="[MTDRejection].[Weekday]" caption="Weekday" attribute="1" defaultMemberUniqueName="[MTDRejection].[Weekday].[All]" allUniqueName="[MTDRejection].[Weekday].[All]" dimensionUniqueName="[MTDRejection]" displayFolder="" count="0" memberValueDatatype="130" unbalanced="0"/>
    <cacheHierarchy uniqueName="[Measures].[__XL_Count MTDRejection]" caption="__XL_Count MTDRejection" measure="1" displayFolder="" measureGroup="MTDRejection" count="0" hidden="1"/>
    <cacheHierarchy uniqueName="[Measures].[__No measures defined]" caption="__No measures defined" measure="1" displayFolder="" count="0" hidden="1"/>
    <cacheHierarchy uniqueName="[Measures].[Sum of Day]" caption="Sum of Day" measure="1" displayFolder="" measureGroup="MTDRejection" count="0" hidden="1">
      <extLst>
        <ext xmlns:x15="http://schemas.microsoft.com/office/spreadsheetml/2010/11/main" uri="{B97F6D7D-B522-45F9-BDA1-12C45D357490}">
          <x15:cacheHierarchy aggregatedColumn="12"/>
        </ext>
      </extLst>
    </cacheHierarchy>
    <cacheHierarchy uniqueName="[Measures].[Count of Checks]" caption="Count of Checks" measure="1" displayFolder="" measureGroup="MTDRejection" count="0" oneField="1" hidden="1">
      <fieldsUsage count="1">
        <fieldUsage x="0"/>
      </fieldsUsage>
      <extLst>
        <ext xmlns:x15="http://schemas.microsoft.com/office/spreadsheetml/2010/11/main" uri="{B97F6D7D-B522-45F9-BDA1-12C45D357490}">
          <x15:cacheHierarchy aggregatedColumn="10"/>
        </ext>
      </extLst>
    </cacheHierarchy>
    <cacheHierarchy uniqueName="[Measures].[Count of Pending Rejection]" caption="Count of Pending Rejection" measure="1" displayFolder="" measureGroup="MTDRejection" count="0" hidden="1">
      <extLst>
        <ext xmlns:x15="http://schemas.microsoft.com/office/spreadsheetml/2010/11/main" uri="{B97F6D7D-B522-45F9-BDA1-12C45D357490}">
          <x15:cacheHierarchy aggregatedColumn="11"/>
        </ext>
      </extLst>
    </cacheHierarchy>
    <cacheHierarchy uniqueName="[Measures].[Sum of Pending Rejection]" caption="Sum of Pending Rejection" measure="1" displayFolder="" measureGroup="MTDRejection"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MTDRejection" uniqueName="[MTDRejection]" caption="MTDRejection"/>
  </dimensions>
  <measureGroups count="1">
    <measureGroup name="MTDRejection" caption="MTDRejection"/>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Ramesh Singh" refreshedDate="45700.631044675923" backgroundQuery="1" createdVersion="8" refreshedVersion="8" minRefreshableVersion="3" recordCount="0" supportSubquery="1" supportAdvancedDrill="1">
  <cacheSource type="external" connectionId="1"/>
  <cacheFields count="5">
    <cacheField name="[Measures].[Count of Checks]" caption="Count of Checks" numFmtId="0" hierarchy="17" level="32767"/>
    <cacheField name="[MTDRejection].[Weekday].[Weekday]" caption="Weekday" numFmtId="0" hierarchy="13" level="1">
      <sharedItems count="7">
        <s v="Friday"/>
        <s v="Monday"/>
        <s v="Saturday"/>
        <s v="Sunday"/>
        <s v="Thursday"/>
        <s v="Tuesday"/>
        <s v="Wednesday"/>
      </sharedItems>
    </cacheField>
    <cacheField name="[Measures].[Sum of Pending Rejection]" caption="Sum of Pending Rejection" numFmtId="0" hierarchy="19" level="32767"/>
    <cacheField name="[MTDRejection].[Checks].[Checks]" caption="Checks" numFmtId="0" hierarchy="10" level="1">
      <sharedItems containsSemiMixedTypes="0" containsNonDate="0" containsString="0"/>
    </cacheField>
    <cacheField name="[MTDRejection].[CheckStatus].[CheckStatus]" caption="CheckStatus" numFmtId="0" hierarchy="3" level="1">
      <sharedItems containsSemiMixedTypes="0" containsNonDate="0" containsString="0"/>
    </cacheField>
  </cacheFields>
  <cacheHierarchies count="20">
    <cacheHierarchy uniqueName="[MTDRejection].[ClientName]" caption="ClientName" attribute="1" defaultMemberUniqueName="[MTDRejection].[ClientName].[All]" allUniqueName="[MTDRejection].[ClientName].[All]" dimensionUniqueName="[MTDRejection]" displayFolder="" count="0" memberValueDatatype="130" unbalanced="0"/>
    <cacheHierarchy uniqueName="[MTDRejection].[Refno]" caption="Refno" attribute="1" defaultMemberUniqueName="[MTDRejection].[Refno].[All]" allUniqueName="[MTDRejection].[Refno].[All]" dimensionUniqueName="[MTDRejection]" displayFolder="" count="0" memberValueDatatype="130" unbalanced="0"/>
    <cacheHierarchy uniqueName="[MTDRejection].[SubCheckName]" caption="SubCheckName" attribute="1" defaultMemberUniqueName="[MTDRejection].[SubCheckName].[All]" allUniqueName="[MTDRejection].[SubCheckName].[All]" dimensionUniqueName="[MTDRejection]" displayFolder="" count="0" memberValueDatatype="130" unbalanced="0"/>
    <cacheHierarchy uniqueName="[MTDRejection].[CheckStatus]" caption="CheckStatus" attribute="1" defaultMemberUniqueName="[MTDRejection].[CheckStatus].[All]" allUniqueName="[MTDRejection].[CheckStatus].[All]" dimensionUniqueName="[MTDRejection]" displayFolder="" count="2" memberValueDatatype="130" unbalanced="0">
      <fieldsUsage count="2">
        <fieldUsage x="-1"/>
        <fieldUsage x="4"/>
      </fieldsUsage>
    </cacheHierarchy>
    <cacheHierarchy uniqueName="[MTDRejection].[RejectionDate]" caption="RejectionDate" attribute="1" time="1" defaultMemberUniqueName="[MTDRejection].[RejectionDate].[All]" allUniqueName="[MTDRejection].[RejectionDate].[All]" dimensionUniqueName="[MTDRejection]" displayFolder="" count="0" memberValueDatatype="7" unbalanced="0"/>
    <cacheHierarchy uniqueName="[MTDRejection].[userName]" caption="userName" attribute="1" defaultMemberUniqueName="[MTDRejection].[userName].[All]" allUniqueName="[MTDRejection].[userName].[All]" dimensionUniqueName="[MTDRejection]" displayFolder="" count="0" memberValueDatatype="130" unbalanced="0"/>
    <cacheHierarchy uniqueName="[MTDRejection].[aging]" caption="aging" attribute="1" defaultMemberUniqueName="[MTDRejection].[aging].[All]" allUniqueName="[MTDRejection].[aging].[All]" dimensionUniqueName="[MTDRejection]" displayFolder="" count="0" memberValueDatatype="20" unbalanced="0"/>
    <cacheHierarchy uniqueName="[MTDRejection].[CaseStatus]" caption="CaseStatus" attribute="1" defaultMemberUniqueName="[MTDRejection].[CaseStatus].[All]" allUniqueName="[MTDRejection].[CaseStatus].[All]" dimensionUniqueName="[MTDRejection]" displayFolder="" count="0" memberValueDatatype="130" unbalanced="0"/>
    <cacheHierarchy uniqueName="[MTDRejection].[CheckActiveStatus]" caption="CheckActiveStatus" attribute="1" defaultMemberUniqueName="[MTDRejection].[CheckActiveStatus].[All]" allUniqueName="[MTDRejection].[CheckActiveStatus].[All]" dimensionUniqueName="[MTDRejection]" displayFolder="" count="0" memberValueDatatype="130" unbalanced="0"/>
    <cacheHierarchy uniqueName="[MTDRejection].[CaseActiveStatus]" caption="CaseActiveStatus" attribute="1" defaultMemberUniqueName="[MTDRejection].[CaseActiveStatus].[All]" allUniqueName="[MTDRejection].[CaseActiveStatus].[All]" dimensionUniqueName="[MTDRejection]" displayFolder="" count="0" memberValueDatatype="130" unbalanced="0"/>
    <cacheHierarchy uniqueName="[MTDRejection].[Checks]" caption="Checks" attribute="1" defaultMemberUniqueName="[MTDRejection].[Checks].[All]" allUniqueName="[MTDRejection].[Checks].[All]" dimensionUniqueName="[MTDRejection]" displayFolder="" count="2" memberValueDatatype="130" unbalanced="0">
      <fieldsUsage count="2">
        <fieldUsage x="-1"/>
        <fieldUsage x="3"/>
      </fieldsUsage>
    </cacheHierarchy>
    <cacheHierarchy uniqueName="[MTDRejection].[Pending Rejection]" caption="Pending Rejection" attribute="1" defaultMemberUniqueName="[MTDRejection].[Pending Rejection].[All]" allUniqueName="[MTDRejection].[Pending Rejection].[All]" dimensionUniqueName="[MTDRejection]" displayFolder="" count="0" memberValueDatatype="20" unbalanced="0"/>
    <cacheHierarchy uniqueName="[MTDRejection].[Day]" caption="Day" attribute="1" defaultMemberUniqueName="[MTDRejection].[Day].[All]" allUniqueName="[MTDRejection].[Day].[All]" dimensionUniqueName="[MTDRejection]" displayFolder="" count="0" memberValueDatatype="20" unbalanced="0"/>
    <cacheHierarchy uniqueName="[MTDRejection].[Weekday]" caption="Weekday" attribute="1" defaultMemberUniqueName="[MTDRejection].[Weekday].[All]" allUniqueName="[MTDRejection].[Weekday].[All]" dimensionUniqueName="[MTDRejection]" displayFolder="" count="2" memberValueDatatype="130" unbalanced="0">
      <fieldsUsage count="2">
        <fieldUsage x="-1"/>
        <fieldUsage x="1"/>
      </fieldsUsage>
    </cacheHierarchy>
    <cacheHierarchy uniqueName="[Measures].[__XL_Count MTDRejection]" caption="__XL_Count MTDRejection" measure="1" displayFolder="" measureGroup="MTDRejection" count="0" hidden="1"/>
    <cacheHierarchy uniqueName="[Measures].[__No measures defined]" caption="__No measures defined" measure="1" displayFolder="" count="0" hidden="1"/>
    <cacheHierarchy uniqueName="[Measures].[Sum of Day]" caption="Sum of Day" measure="1" displayFolder="" measureGroup="MTDRejection" count="0" hidden="1">
      <extLst>
        <ext xmlns:x15="http://schemas.microsoft.com/office/spreadsheetml/2010/11/main" uri="{B97F6D7D-B522-45F9-BDA1-12C45D357490}">
          <x15:cacheHierarchy aggregatedColumn="12"/>
        </ext>
      </extLst>
    </cacheHierarchy>
    <cacheHierarchy uniqueName="[Measures].[Count of Checks]" caption="Count of Checks" measure="1" displayFolder="" measureGroup="MTDRejection" count="0" oneField="1" hidden="1">
      <fieldsUsage count="1">
        <fieldUsage x="0"/>
      </fieldsUsage>
      <extLst>
        <ext xmlns:x15="http://schemas.microsoft.com/office/spreadsheetml/2010/11/main" uri="{B97F6D7D-B522-45F9-BDA1-12C45D357490}">
          <x15:cacheHierarchy aggregatedColumn="10"/>
        </ext>
      </extLst>
    </cacheHierarchy>
    <cacheHierarchy uniqueName="[Measures].[Count of Pending Rejection]" caption="Count of Pending Rejection" measure="1" displayFolder="" measureGroup="MTDRejection" count="0" hidden="1">
      <extLst>
        <ext xmlns:x15="http://schemas.microsoft.com/office/spreadsheetml/2010/11/main" uri="{B97F6D7D-B522-45F9-BDA1-12C45D357490}">
          <x15:cacheHierarchy aggregatedColumn="11"/>
        </ext>
      </extLst>
    </cacheHierarchy>
    <cacheHierarchy uniqueName="[Measures].[Sum of Pending Rejection]" caption="Sum of Pending Rejection" measure="1" displayFolder="" measureGroup="MTDRejection" count="0" oneField="1" hidden="1">
      <fieldsUsage count="1">
        <fieldUsage x="2"/>
      </fieldsUsage>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MTDRejection" uniqueName="[MTDRejection]" caption="MTDRejection"/>
  </dimensions>
  <measureGroups count="1">
    <measureGroup name="MTDRejection" caption="MTDRejection"/>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Ramesh Singh" refreshedDate="45700.631046180555" backgroundQuery="1" createdVersion="8" refreshedVersion="8" minRefreshableVersion="3" recordCount="0" supportSubquery="1" supportAdvancedDrill="1">
  <cacheSource type="external" connectionId="1"/>
  <cacheFields count="5">
    <cacheField name="[MTDRejection].[Day].[Day]" caption="Day" numFmtId="0" hierarchy="12" level="1">
      <sharedItems containsSemiMixedTypes="0" containsString="0" containsNumber="1" containsInteger="1" minValue="2" maxValue="31" count="28">
        <n v="2"/>
        <n v="3"/>
        <n v="4"/>
        <n v="5"/>
        <n v="6"/>
        <n v="7"/>
        <n v="8"/>
        <n v="9"/>
        <n v="10"/>
        <n v="11"/>
        <n v="12"/>
        <n v="13"/>
        <n v="14"/>
        <n v="15"/>
        <n v="16"/>
        <n v="17"/>
        <n v="18"/>
        <n v="19"/>
        <n v="20"/>
        <n v="21"/>
        <n v="22"/>
        <n v="23"/>
        <n v="24"/>
        <n v="25"/>
        <n v="26"/>
        <n v="27"/>
        <n v="30"/>
        <n v="31"/>
      </sharedItems>
      <extLst>
        <ext xmlns:x15="http://schemas.microsoft.com/office/spreadsheetml/2010/11/main" uri="{4F2E5C28-24EA-4eb8-9CBF-B6C8F9C3D259}">
          <x15:cachedUniqueNames>
            <x15:cachedUniqueName index="0" name="[MTDRejection].[Day].&amp;[2]"/>
            <x15:cachedUniqueName index="1" name="[MTDRejection].[Day].&amp;[3]"/>
            <x15:cachedUniqueName index="2" name="[MTDRejection].[Day].&amp;[4]"/>
            <x15:cachedUniqueName index="3" name="[MTDRejection].[Day].&amp;[5]"/>
            <x15:cachedUniqueName index="4" name="[MTDRejection].[Day].&amp;[6]"/>
            <x15:cachedUniqueName index="5" name="[MTDRejection].[Day].&amp;[7]"/>
            <x15:cachedUniqueName index="6" name="[MTDRejection].[Day].&amp;[8]"/>
            <x15:cachedUniqueName index="7" name="[MTDRejection].[Day].&amp;[9]"/>
            <x15:cachedUniqueName index="8" name="[MTDRejection].[Day].&amp;[10]"/>
            <x15:cachedUniqueName index="9" name="[MTDRejection].[Day].&amp;[11]"/>
            <x15:cachedUniqueName index="10" name="[MTDRejection].[Day].&amp;[12]"/>
            <x15:cachedUniqueName index="11" name="[MTDRejection].[Day].&amp;[13]"/>
            <x15:cachedUniqueName index="12" name="[MTDRejection].[Day].&amp;[14]"/>
            <x15:cachedUniqueName index="13" name="[MTDRejection].[Day].&amp;[15]"/>
            <x15:cachedUniqueName index="14" name="[MTDRejection].[Day].&amp;[16]"/>
            <x15:cachedUniqueName index="15" name="[MTDRejection].[Day].&amp;[17]"/>
            <x15:cachedUniqueName index="16" name="[MTDRejection].[Day].&amp;[18]"/>
            <x15:cachedUniqueName index="17" name="[MTDRejection].[Day].&amp;[19]"/>
            <x15:cachedUniqueName index="18" name="[MTDRejection].[Day].&amp;[20]"/>
            <x15:cachedUniqueName index="19" name="[MTDRejection].[Day].&amp;[21]"/>
            <x15:cachedUniqueName index="20" name="[MTDRejection].[Day].&amp;[22]"/>
            <x15:cachedUniqueName index="21" name="[MTDRejection].[Day].&amp;[23]"/>
            <x15:cachedUniqueName index="22" name="[MTDRejection].[Day].&amp;[24]"/>
            <x15:cachedUniqueName index="23" name="[MTDRejection].[Day].&amp;[25]"/>
            <x15:cachedUniqueName index="24" name="[MTDRejection].[Day].&amp;[26]"/>
            <x15:cachedUniqueName index="25" name="[MTDRejection].[Day].&amp;[27]"/>
            <x15:cachedUniqueName index="26" name="[MTDRejection].[Day].&amp;[30]"/>
            <x15:cachedUniqueName index="27" name="[MTDRejection].[Day].&amp;[31]"/>
          </x15:cachedUniqueNames>
        </ext>
      </extLst>
    </cacheField>
    <cacheField name="[Measures].[Count of Checks]" caption="Count of Checks" numFmtId="0" hierarchy="17" level="32767"/>
    <cacheField name="[Measures].[Sum of Pending Rejection]" caption="Sum of Pending Rejection" numFmtId="0" hierarchy="19" level="32767"/>
    <cacheField name="[MTDRejection].[Checks].[Checks]" caption="Checks" numFmtId="0" hierarchy="10" level="1">
      <sharedItems containsSemiMixedTypes="0" containsNonDate="0" containsString="0"/>
    </cacheField>
    <cacheField name="[MTDRejection].[CheckStatus].[CheckStatus]" caption="CheckStatus" numFmtId="0" hierarchy="3" level="1">
      <sharedItems containsSemiMixedTypes="0" containsNonDate="0" containsString="0"/>
    </cacheField>
  </cacheFields>
  <cacheHierarchies count="20">
    <cacheHierarchy uniqueName="[MTDRejection].[ClientName]" caption="ClientName" attribute="1" defaultMemberUniqueName="[MTDRejection].[ClientName].[All]" allUniqueName="[MTDRejection].[ClientName].[All]" dimensionUniqueName="[MTDRejection]" displayFolder="" count="0" memberValueDatatype="130" unbalanced="0"/>
    <cacheHierarchy uniqueName="[MTDRejection].[Refno]" caption="Refno" attribute="1" defaultMemberUniqueName="[MTDRejection].[Refno].[All]" allUniqueName="[MTDRejection].[Refno].[All]" dimensionUniqueName="[MTDRejection]" displayFolder="" count="0" memberValueDatatype="130" unbalanced="0"/>
    <cacheHierarchy uniqueName="[MTDRejection].[SubCheckName]" caption="SubCheckName" attribute="1" defaultMemberUniqueName="[MTDRejection].[SubCheckName].[All]" allUniqueName="[MTDRejection].[SubCheckName].[All]" dimensionUniqueName="[MTDRejection]" displayFolder="" count="0" memberValueDatatype="130" unbalanced="0"/>
    <cacheHierarchy uniqueName="[MTDRejection].[CheckStatus]" caption="CheckStatus" attribute="1" defaultMemberUniqueName="[MTDRejection].[CheckStatus].[All]" allUniqueName="[MTDRejection].[CheckStatus].[All]" dimensionUniqueName="[MTDRejection]" displayFolder="" count="2" memberValueDatatype="130" unbalanced="0">
      <fieldsUsage count="2">
        <fieldUsage x="-1"/>
        <fieldUsage x="4"/>
      </fieldsUsage>
    </cacheHierarchy>
    <cacheHierarchy uniqueName="[MTDRejection].[RejectionDate]" caption="RejectionDate" attribute="1" time="1" defaultMemberUniqueName="[MTDRejection].[RejectionDate].[All]" allUniqueName="[MTDRejection].[RejectionDate].[All]" dimensionUniqueName="[MTDRejection]" displayFolder="" count="0" memberValueDatatype="7" unbalanced="0"/>
    <cacheHierarchy uniqueName="[MTDRejection].[userName]" caption="userName" attribute="1" defaultMemberUniqueName="[MTDRejection].[userName].[All]" allUniqueName="[MTDRejection].[userName].[All]" dimensionUniqueName="[MTDRejection]" displayFolder="" count="0" memberValueDatatype="130" unbalanced="0"/>
    <cacheHierarchy uniqueName="[MTDRejection].[aging]" caption="aging" attribute="1" defaultMemberUniqueName="[MTDRejection].[aging].[All]" allUniqueName="[MTDRejection].[aging].[All]" dimensionUniqueName="[MTDRejection]" displayFolder="" count="0" memberValueDatatype="20" unbalanced="0"/>
    <cacheHierarchy uniqueName="[MTDRejection].[CaseStatus]" caption="CaseStatus" attribute="1" defaultMemberUniqueName="[MTDRejection].[CaseStatus].[All]" allUniqueName="[MTDRejection].[CaseStatus].[All]" dimensionUniqueName="[MTDRejection]" displayFolder="" count="0" memberValueDatatype="130" unbalanced="0"/>
    <cacheHierarchy uniqueName="[MTDRejection].[CheckActiveStatus]" caption="CheckActiveStatus" attribute="1" defaultMemberUniqueName="[MTDRejection].[CheckActiveStatus].[All]" allUniqueName="[MTDRejection].[CheckActiveStatus].[All]" dimensionUniqueName="[MTDRejection]" displayFolder="" count="0" memberValueDatatype="130" unbalanced="0"/>
    <cacheHierarchy uniqueName="[MTDRejection].[CaseActiveStatus]" caption="CaseActiveStatus" attribute="1" defaultMemberUniqueName="[MTDRejection].[CaseActiveStatus].[All]" allUniqueName="[MTDRejection].[CaseActiveStatus].[All]" dimensionUniqueName="[MTDRejection]" displayFolder="" count="0" memberValueDatatype="130" unbalanced="0"/>
    <cacheHierarchy uniqueName="[MTDRejection].[Checks]" caption="Checks" attribute="1" defaultMemberUniqueName="[MTDRejection].[Checks].[All]" allUniqueName="[MTDRejection].[Checks].[All]" dimensionUniqueName="[MTDRejection]" displayFolder="" count="2" memberValueDatatype="130" unbalanced="0">
      <fieldsUsage count="2">
        <fieldUsage x="-1"/>
        <fieldUsage x="3"/>
      </fieldsUsage>
    </cacheHierarchy>
    <cacheHierarchy uniqueName="[MTDRejection].[Pending Rejection]" caption="Pending Rejection" attribute="1" defaultMemberUniqueName="[MTDRejection].[Pending Rejection].[All]" allUniqueName="[MTDRejection].[Pending Rejection].[All]" dimensionUniqueName="[MTDRejection]" displayFolder="" count="0" memberValueDatatype="20" unbalanced="0"/>
    <cacheHierarchy uniqueName="[MTDRejection].[Day]" caption="Day" attribute="1" defaultMemberUniqueName="[MTDRejection].[Day].[All]" allUniqueName="[MTDRejection].[Day].[All]" dimensionUniqueName="[MTDRejection]" displayFolder="" count="2" memberValueDatatype="20" unbalanced="0">
      <fieldsUsage count="2">
        <fieldUsage x="-1"/>
        <fieldUsage x="0"/>
      </fieldsUsage>
    </cacheHierarchy>
    <cacheHierarchy uniqueName="[MTDRejection].[Weekday]" caption="Weekday" attribute="1" defaultMemberUniqueName="[MTDRejection].[Weekday].[All]" allUniqueName="[MTDRejection].[Weekday].[All]" dimensionUniqueName="[MTDRejection]" displayFolder="" count="0" memberValueDatatype="130" unbalanced="0"/>
    <cacheHierarchy uniqueName="[Measures].[__XL_Count MTDRejection]" caption="__XL_Count MTDRejection" measure="1" displayFolder="" measureGroup="MTDRejection" count="0" hidden="1"/>
    <cacheHierarchy uniqueName="[Measures].[__No measures defined]" caption="__No measures defined" measure="1" displayFolder="" count="0" hidden="1"/>
    <cacheHierarchy uniqueName="[Measures].[Sum of Day]" caption="Sum of Day" measure="1" displayFolder="" measureGroup="MTDRejection" count="0" hidden="1">
      <extLst>
        <ext xmlns:x15="http://schemas.microsoft.com/office/spreadsheetml/2010/11/main" uri="{B97F6D7D-B522-45F9-BDA1-12C45D357490}">
          <x15:cacheHierarchy aggregatedColumn="12"/>
        </ext>
      </extLst>
    </cacheHierarchy>
    <cacheHierarchy uniqueName="[Measures].[Count of Checks]" caption="Count of Checks" measure="1" displayFolder="" measureGroup="MTDRejection" count="0" oneField="1" hidden="1">
      <fieldsUsage count="1">
        <fieldUsage x="1"/>
      </fieldsUsage>
      <extLst>
        <ext xmlns:x15="http://schemas.microsoft.com/office/spreadsheetml/2010/11/main" uri="{B97F6D7D-B522-45F9-BDA1-12C45D357490}">
          <x15:cacheHierarchy aggregatedColumn="10"/>
        </ext>
      </extLst>
    </cacheHierarchy>
    <cacheHierarchy uniqueName="[Measures].[Count of Pending Rejection]" caption="Count of Pending Rejection" measure="1" displayFolder="" measureGroup="MTDRejection" count="0" hidden="1">
      <extLst>
        <ext xmlns:x15="http://schemas.microsoft.com/office/spreadsheetml/2010/11/main" uri="{B97F6D7D-B522-45F9-BDA1-12C45D357490}">
          <x15:cacheHierarchy aggregatedColumn="11"/>
        </ext>
      </extLst>
    </cacheHierarchy>
    <cacheHierarchy uniqueName="[Measures].[Sum of Pending Rejection]" caption="Sum of Pending Rejection" measure="1" displayFolder="" measureGroup="MTDRejection" count="0" oneField="1" hidden="1">
      <fieldsUsage count="1">
        <fieldUsage x="2"/>
      </fieldsUsage>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MTDRejection" uniqueName="[MTDRejection]" caption="MTDRejection"/>
  </dimensions>
  <measureGroups count="1">
    <measureGroup name="MTDRejection" caption="MTDRejection"/>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Ramesh Singh" refreshedDate="45700.631048495372" backgroundQuery="1" createdVersion="8" refreshedVersion="8" minRefreshableVersion="3" recordCount="0" supportSubquery="1" supportAdvancedDrill="1">
  <cacheSource type="external" connectionId="1"/>
  <cacheFields count="4">
    <cacheField name="[Measures].[Count of Checks]" caption="Count of Checks" numFmtId="0" hierarchy="17" level="32767"/>
    <cacheField name="[MTDRejection].[Checks].[Checks]" caption="Checks" numFmtId="0" hierarchy="10" level="1">
      <sharedItems count="8">
        <s v="Add"/>
        <s v="CRC"/>
        <s v="Drug"/>
        <s v="Edu"/>
        <s v="Emp"/>
        <s v="Investigation"/>
        <s v="Ref"/>
        <s v="Special Check"/>
      </sharedItems>
    </cacheField>
    <cacheField name="[Measures].[Sum of Pending Rejection]" caption="Sum of Pending Rejection" numFmtId="0" hierarchy="19" level="32767"/>
    <cacheField name="[MTDRejection].[CheckStatus].[CheckStatus]" caption="CheckStatus" numFmtId="0" hierarchy="3" level="1">
      <sharedItems containsSemiMixedTypes="0" containsNonDate="0" containsString="0"/>
    </cacheField>
  </cacheFields>
  <cacheHierarchies count="20">
    <cacheHierarchy uniqueName="[MTDRejection].[ClientName]" caption="ClientName" attribute="1" defaultMemberUniqueName="[MTDRejection].[ClientName].[All]" allUniqueName="[MTDRejection].[ClientName].[All]" dimensionUniqueName="[MTDRejection]" displayFolder="" count="0" memberValueDatatype="130" unbalanced="0"/>
    <cacheHierarchy uniqueName="[MTDRejection].[Refno]" caption="Refno" attribute="1" defaultMemberUniqueName="[MTDRejection].[Refno].[All]" allUniqueName="[MTDRejection].[Refno].[All]" dimensionUniqueName="[MTDRejection]" displayFolder="" count="0" memberValueDatatype="130" unbalanced="0"/>
    <cacheHierarchy uniqueName="[MTDRejection].[SubCheckName]" caption="SubCheckName" attribute="1" defaultMemberUniqueName="[MTDRejection].[SubCheckName].[All]" allUniqueName="[MTDRejection].[SubCheckName].[All]" dimensionUniqueName="[MTDRejection]" displayFolder="" count="0" memberValueDatatype="130" unbalanced="0"/>
    <cacheHierarchy uniqueName="[MTDRejection].[CheckStatus]" caption="CheckStatus" attribute="1" defaultMemberUniqueName="[MTDRejection].[CheckStatus].[All]" allUniqueName="[MTDRejection].[CheckStatus].[All]" dimensionUniqueName="[MTDRejection]" displayFolder="" count="2" memberValueDatatype="130" unbalanced="0">
      <fieldsUsage count="2">
        <fieldUsage x="-1"/>
        <fieldUsage x="3"/>
      </fieldsUsage>
    </cacheHierarchy>
    <cacheHierarchy uniqueName="[MTDRejection].[RejectionDate]" caption="RejectionDate" attribute="1" time="1" defaultMemberUniqueName="[MTDRejection].[RejectionDate].[All]" allUniqueName="[MTDRejection].[RejectionDate].[All]" dimensionUniqueName="[MTDRejection]" displayFolder="" count="2" memberValueDatatype="7" unbalanced="0"/>
    <cacheHierarchy uniqueName="[MTDRejection].[userName]" caption="userName" attribute="1" defaultMemberUniqueName="[MTDRejection].[userName].[All]" allUniqueName="[MTDRejection].[userName].[All]" dimensionUniqueName="[MTDRejection]" displayFolder="" count="0" memberValueDatatype="130" unbalanced="0"/>
    <cacheHierarchy uniqueName="[MTDRejection].[aging]" caption="aging" attribute="1" defaultMemberUniqueName="[MTDRejection].[aging].[All]" allUniqueName="[MTDRejection].[aging].[All]" dimensionUniqueName="[MTDRejection]" displayFolder="" count="0" memberValueDatatype="20" unbalanced="0"/>
    <cacheHierarchy uniqueName="[MTDRejection].[CaseStatus]" caption="CaseStatus" attribute="1" defaultMemberUniqueName="[MTDRejection].[CaseStatus].[All]" allUniqueName="[MTDRejection].[CaseStatus].[All]" dimensionUniqueName="[MTDRejection]" displayFolder="" count="0" memberValueDatatype="130" unbalanced="0"/>
    <cacheHierarchy uniqueName="[MTDRejection].[CheckActiveStatus]" caption="CheckActiveStatus" attribute="1" defaultMemberUniqueName="[MTDRejection].[CheckActiveStatus].[All]" allUniqueName="[MTDRejection].[CheckActiveStatus].[All]" dimensionUniqueName="[MTDRejection]" displayFolder="" count="0" memberValueDatatype="130" unbalanced="0"/>
    <cacheHierarchy uniqueName="[MTDRejection].[CaseActiveStatus]" caption="CaseActiveStatus" attribute="1" defaultMemberUniqueName="[MTDRejection].[CaseActiveStatus].[All]" allUniqueName="[MTDRejection].[CaseActiveStatus].[All]" dimensionUniqueName="[MTDRejection]" displayFolder="" count="0" memberValueDatatype="130" unbalanced="0"/>
    <cacheHierarchy uniqueName="[MTDRejection].[Checks]" caption="Checks" attribute="1" defaultMemberUniqueName="[MTDRejection].[Checks].[All]" allUniqueName="[MTDRejection].[Checks].[All]" dimensionUniqueName="[MTDRejection]" displayFolder="" count="2" memberValueDatatype="130" unbalanced="0">
      <fieldsUsage count="2">
        <fieldUsage x="-1"/>
        <fieldUsage x="1"/>
      </fieldsUsage>
    </cacheHierarchy>
    <cacheHierarchy uniqueName="[MTDRejection].[Pending Rejection]" caption="Pending Rejection" attribute="1" defaultMemberUniqueName="[MTDRejection].[Pending Rejection].[All]" allUniqueName="[MTDRejection].[Pending Rejection].[All]" dimensionUniqueName="[MTDRejection]" displayFolder="" count="0" memberValueDatatype="20" unbalanced="0"/>
    <cacheHierarchy uniqueName="[MTDRejection].[Day]" caption="Day" attribute="1" defaultMemberUniqueName="[MTDRejection].[Day].[All]" allUniqueName="[MTDRejection].[Day].[All]" dimensionUniqueName="[MTDRejection]" displayFolder="" count="0" memberValueDatatype="20" unbalanced="0"/>
    <cacheHierarchy uniqueName="[MTDRejection].[Weekday]" caption="Weekday" attribute="1" defaultMemberUniqueName="[MTDRejection].[Weekday].[All]" allUniqueName="[MTDRejection].[Weekday].[All]" dimensionUniqueName="[MTDRejection]" displayFolder="" count="0" memberValueDatatype="130" unbalanced="0"/>
    <cacheHierarchy uniqueName="[Measures].[__XL_Count MTDRejection]" caption="__XL_Count MTDRejection" measure="1" displayFolder="" measureGroup="MTDRejection" count="0" hidden="1"/>
    <cacheHierarchy uniqueName="[Measures].[__No measures defined]" caption="__No measures defined" measure="1" displayFolder="" count="0" hidden="1"/>
    <cacheHierarchy uniqueName="[Measures].[Sum of Day]" caption="Sum of Day" measure="1" displayFolder="" measureGroup="MTDRejection" count="0" hidden="1">
      <extLst>
        <ext xmlns:x15="http://schemas.microsoft.com/office/spreadsheetml/2010/11/main" uri="{B97F6D7D-B522-45F9-BDA1-12C45D357490}">
          <x15:cacheHierarchy aggregatedColumn="12"/>
        </ext>
      </extLst>
    </cacheHierarchy>
    <cacheHierarchy uniqueName="[Measures].[Count of Checks]" caption="Count of Checks" measure="1" displayFolder="" measureGroup="MTDRejection" count="0" oneField="1" hidden="1">
      <fieldsUsage count="1">
        <fieldUsage x="0"/>
      </fieldsUsage>
      <extLst>
        <ext xmlns:x15="http://schemas.microsoft.com/office/spreadsheetml/2010/11/main" uri="{B97F6D7D-B522-45F9-BDA1-12C45D357490}">
          <x15:cacheHierarchy aggregatedColumn="10"/>
        </ext>
      </extLst>
    </cacheHierarchy>
    <cacheHierarchy uniqueName="[Measures].[Count of Pending Rejection]" caption="Count of Pending Rejection" measure="1" displayFolder="" measureGroup="MTDRejection" count="0" hidden="1">
      <extLst>
        <ext xmlns:x15="http://schemas.microsoft.com/office/spreadsheetml/2010/11/main" uri="{B97F6D7D-B522-45F9-BDA1-12C45D357490}">
          <x15:cacheHierarchy aggregatedColumn="11"/>
        </ext>
      </extLst>
    </cacheHierarchy>
    <cacheHierarchy uniqueName="[Measures].[Sum of Pending Rejection]" caption="Sum of Pending Rejection" measure="1" displayFolder="" measureGroup="MTDRejection" count="0" oneField="1" hidden="1">
      <fieldsUsage count="1">
        <fieldUsage x="2"/>
      </fieldsUsage>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MTDRejection" uniqueName="[MTDRejection]" caption="MTDRejection"/>
  </dimensions>
  <measureGroups count="1">
    <measureGroup name="MTDRejection" caption="MTDRejection"/>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Ramesh Singh" refreshedDate="45700.63102951389" backgroundQuery="1" createdVersion="3" refreshedVersion="8" minRefreshableVersion="3" recordCount="0" supportSubquery="1" supportAdvancedDrill="1">
  <cacheSource type="external" connectionId="1">
    <extLst>
      <ext xmlns:x14="http://schemas.microsoft.com/office/spreadsheetml/2009/9/main" uri="{F057638F-6D5F-4e77-A914-E7F072B9BCA8}">
        <x14:sourceConnection name="ThisWorkbookDataModel"/>
      </ext>
    </extLst>
  </cacheSource>
  <cacheFields count="0"/>
  <cacheHierarchies count="20">
    <cacheHierarchy uniqueName="[MTDRejection].[ClientName]" caption="ClientName" attribute="1" defaultMemberUniqueName="[MTDRejection].[ClientName].[All]" allUniqueName="[MTDRejection].[ClientName].[All]" dimensionUniqueName="[MTDRejection]" displayFolder="" count="0" memberValueDatatype="130" unbalanced="0"/>
    <cacheHierarchy uniqueName="[MTDRejection].[Refno]" caption="Refno" attribute="1" defaultMemberUniqueName="[MTDRejection].[Refno].[All]" allUniqueName="[MTDRejection].[Refno].[All]" dimensionUniqueName="[MTDRejection]" displayFolder="" count="0" memberValueDatatype="130" unbalanced="0"/>
    <cacheHierarchy uniqueName="[MTDRejection].[SubCheckName]" caption="SubCheckName" attribute="1" defaultMemberUniqueName="[MTDRejection].[SubCheckName].[All]" allUniqueName="[MTDRejection].[SubCheckName].[All]" dimensionUniqueName="[MTDRejection]" displayFolder="" count="0" memberValueDatatype="130" unbalanced="0"/>
    <cacheHierarchy uniqueName="[MTDRejection].[CheckStatus]" caption="CheckStatus" attribute="1" defaultMemberUniqueName="[MTDRejection].[CheckStatus].[All]" allUniqueName="[MTDRejection].[CheckStatus].[All]" dimensionUniqueName="[MTDRejection]" displayFolder="" count="2" memberValueDatatype="130" unbalanced="0"/>
    <cacheHierarchy uniqueName="[MTDRejection].[RejectionDate]" caption="RejectionDate" attribute="1" time="1" defaultMemberUniqueName="[MTDRejection].[RejectionDate].[All]" allUniqueName="[MTDRejection].[RejectionDate].[All]" dimensionUniqueName="[MTDRejection]" displayFolder="" count="0" memberValueDatatype="7" unbalanced="0"/>
    <cacheHierarchy uniqueName="[MTDRejection].[userName]" caption="userName" attribute="1" defaultMemberUniqueName="[MTDRejection].[userName].[All]" allUniqueName="[MTDRejection].[userName].[All]" dimensionUniqueName="[MTDRejection]" displayFolder="" count="0" memberValueDatatype="130" unbalanced="0"/>
    <cacheHierarchy uniqueName="[MTDRejection].[aging]" caption="aging" attribute="1" defaultMemberUniqueName="[MTDRejection].[aging].[All]" allUniqueName="[MTDRejection].[aging].[All]" dimensionUniqueName="[MTDRejection]" displayFolder="" count="0" memberValueDatatype="20" unbalanced="0"/>
    <cacheHierarchy uniqueName="[MTDRejection].[CaseStatus]" caption="CaseStatus" attribute="1" defaultMemberUniqueName="[MTDRejection].[CaseStatus].[All]" allUniqueName="[MTDRejection].[CaseStatus].[All]" dimensionUniqueName="[MTDRejection]" displayFolder="" count="0" memberValueDatatype="130" unbalanced="0"/>
    <cacheHierarchy uniqueName="[MTDRejection].[CheckActiveStatus]" caption="CheckActiveStatus" attribute="1" defaultMemberUniqueName="[MTDRejection].[CheckActiveStatus].[All]" allUniqueName="[MTDRejection].[CheckActiveStatus].[All]" dimensionUniqueName="[MTDRejection]" displayFolder="" count="0" memberValueDatatype="130" unbalanced="0"/>
    <cacheHierarchy uniqueName="[MTDRejection].[CaseActiveStatus]" caption="CaseActiveStatus" attribute="1" defaultMemberUniqueName="[MTDRejection].[CaseActiveStatus].[All]" allUniqueName="[MTDRejection].[CaseActiveStatus].[All]" dimensionUniqueName="[MTDRejection]" displayFolder="" count="0" memberValueDatatype="130" unbalanced="0"/>
    <cacheHierarchy uniqueName="[MTDRejection].[Checks]" caption="Checks" attribute="1" defaultMemberUniqueName="[MTDRejection].[Checks].[All]" allUniqueName="[MTDRejection].[Checks].[All]" dimensionUniqueName="[MTDRejection]" displayFolder="" count="2" memberValueDatatype="130" unbalanced="0"/>
    <cacheHierarchy uniqueName="[MTDRejection].[Pending Rejection]" caption="Pending Rejection" attribute="1" defaultMemberUniqueName="[MTDRejection].[Pending Rejection].[All]" allUniqueName="[MTDRejection].[Pending Rejection].[All]" dimensionUniqueName="[MTDRejection]" displayFolder="" count="0" memberValueDatatype="20" unbalanced="0"/>
    <cacheHierarchy uniqueName="[MTDRejection].[Day]" caption="Day" attribute="1" defaultMemberUniqueName="[MTDRejection].[Day].[All]" allUniqueName="[MTDRejection].[Day].[All]" dimensionUniqueName="[MTDRejection]" displayFolder="" count="0" memberValueDatatype="20" unbalanced="0"/>
    <cacheHierarchy uniqueName="[MTDRejection].[Weekday]" caption="Weekday" attribute="1" defaultMemberUniqueName="[MTDRejection].[Weekday].[All]" allUniqueName="[MTDRejection].[Weekday].[All]" dimensionUniqueName="[MTDRejection]" displayFolder="" count="0" memberValueDatatype="130" unbalanced="0"/>
    <cacheHierarchy uniqueName="[Measures].[__XL_Count MTDRejection]" caption="__XL_Count MTDRejection" measure="1" displayFolder="" measureGroup="MTDRejection" count="0" hidden="1"/>
    <cacheHierarchy uniqueName="[Measures].[__No measures defined]" caption="__No measures defined" measure="1" displayFolder="" count="0" hidden="1"/>
    <cacheHierarchy uniqueName="[Measures].[Sum of Day]" caption="Sum of Day" measure="1" displayFolder="" measureGroup="MTDRejection" count="0" hidden="1">
      <extLst>
        <ext xmlns:x15="http://schemas.microsoft.com/office/spreadsheetml/2010/11/main" uri="{B97F6D7D-B522-45F9-BDA1-12C45D357490}">
          <x15:cacheHierarchy aggregatedColumn="12"/>
        </ext>
      </extLst>
    </cacheHierarchy>
    <cacheHierarchy uniqueName="[Measures].[Count of Checks]" caption="Count of Checks" measure="1" displayFolder="" measureGroup="MTDRejection" count="0" hidden="1">
      <extLst>
        <ext xmlns:x15="http://schemas.microsoft.com/office/spreadsheetml/2010/11/main" uri="{B97F6D7D-B522-45F9-BDA1-12C45D357490}">
          <x15:cacheHierarchy aggregatedColumn="10"/>
        </ext>
      </extLst>
    </cacheHierarchy>
    <cacheHierarchy uniqueName="[Measures].[Count of Pending Rejection]" caption="Count of Pending Rejection" measure="1" displayFolder="" measureGroup="MTDRejection" count="0" hidden="1">
      <extLst>
        <ext xmlns:x15="http://schemas.microsoft.com/office/spreadsheetml/2010/11/main" uri="{B97F6D7D-B522-45F9-BDA1-12C45D357490}">
          <x15:cacheHierarchy aggregatedColumn="11"/>
        </ext>
      </extLst>
    </cacheHierarchy>
    <cacheHierarchy uniqueName="[Measures].[Sum of Pending Rejection]" caption="Sum of Pending Rejection" measure="1" displayFolder="" measureGroup="MTDRejection" count="0" hidden="1">
      <extLst>
        <ext xmlns:x15="http://schemas.microsoft.com/office/spreadsheetml/2010/11/main" uri="{B97F6D7D-B522-45F9-BDA1-12C45D357490}">
          <x15:cacheHierarchy aggregatedColumn="11"/>
        </ext>
      </extLst>
    </cacheHierarchy>
  </cacheHierarchies>
  <kpis count="0"/>
  <extLst>
    <ext xmlns:x14="http://schemas.microsoft.com/office/spreadsheetml/2009/9/main" uri="{725AE2AE-9491-48be-B2B4-4EB974FC3084}">
      <x14:pivotCacheDefinition slicerData="1" pivotCacheId="4501849"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Ramesh Singh" refreshedDate="45700.631030324075" backgroundQuery="1" createdVersion="3" refreshedVersion="8" minRefreshableVersion="3" recordCount="0" supportSubquery="1" supportAdvancedDrill="1">
  <cacheSource type="external" connectionId="1">
    <extLst>
      <ext xmlns:x14="http://schemas.microsoft.com/office/spreadsheetml/2009/9/main" uri="{F057638F-6D5F-4e77-A914-E7F072B9BCA8}">
        <x14:sourceConnection name="ThisWorkbookDataModel"/>
      </ext>
    </extLst>
  </cacheSource>
  <cacheFields count="0"/>
  <cacheHierarchies count="20">
    <cacheHierarchy uniqueName="[MTDRejection].[ClientName]" caption="ClientName" attribute="1" defaultMemberUniqueName="[MTDRejection].[ClientName].[All]" allUniqueName="[MTDRejection].[ClientName].[All]" dimensionUniqueName="[MTDRejection]" displayFolder="" count="0" memberValueDatatype="130" unbalanced="0"/>
    <cacheHierarchy uniqueName="[MTDRejection].[Refno]" caption="Refno" attribute="1" defaultMemberUniqueName="[MTDRejection].[Refno].[All]" allUniqueName="[MTDRejection].[Refno].[All]" dimensionUniqueName="[MTDRejection]" displayFolder="" count="0" memberValueDatatype="130" unbalanced="0"/>
    <cacheHierarchy uniqueName="[MTDRejection].[SubCheckName]" caption="SubCheckName" attribute="1" defaultMemberUniqueName="[MTDRejection].[SubCheckName].[All]" allUniqueName="[MTDRejection].[SubCheckName].[All]" dimensionUniqueName="[MTDRejection]" displayFolder="" count="0" memberValueDatatype="130" unbalanced="0"/>
    <cacheHierarchy uniqueName="[MTDRejection].[CheckStatus]" caption="CheckStatus" attribute="1" defaultMemberUniqueName="[MTDRejection].[CheckStatus].[All]" allUniqueName="[MTDRejection].[CheckStatus].[All]" dimensionUniqueName="[MTDRejection]" displayFolder="" count="0" memberValueDatatype="130" unbalanced="0"/>
    <cacheHierarchy uniqueName="[MTDRejection].[RejectionDate]" caption="RejectionDate" attribute="1" time="1" defaultMemberUniqueName="[MTDRejection].[RejectionDate].[All]" allUniqueName="[MTDRejection].[RejectionDate].[All]" dimensionUniqueName="[MTDRejection]" displayFolder="" count="2" memberValueDatatype="7" unbalanced="0"/>
    <cacheHierarchy uniqueName="[MTDRejection].[userName]" caption="userName" attribute="1" defaultMemberUniqueName="[MTDRejection].[userName].[All]" allUniqueName="[MTDRejection].[userName].[All]" dimensionUniqueName="[MTDRejection]" displayFolder="" count="0" memberValueDatatype="130" unbalanced="0"/>
    <cacheHierarchy uniqueName="[MTDRejection].[aging]" caption="aging" attribute="1" defaultMemberUniqueName="[MTDRejection].[aging].[All]" allUniqueName="[MTDRejection].[aging].[All]" dimensionUniqueName="[MTDRejection]" displayFolder="" count="0" memberValueDatatype="20" unbalanced="0"/>
    <cacheHierarchy uniqueName="[MTDRejection].[CaseStatus]" caption="CaseStatus" attribute="1" defaultMemberUniqueName="[MTDRejection].[CaseStatus].[All]" allUniqueName="[MTDRejection].[CaseStatus].[All]" dimensionUniqueName="[MTDRejection]" displayFolder="" count="0" memberValueDatatype="130" unbalanced="0"/>
    <cacheHierarchy uniqueName="[MTDRejection].[CheckActiveStatus]" caption="CheckActiveStatus" attribute="1" defaultMemberUniqueName="[MTDRejection].[CheckActiveStatus].[All]" allUniqueName="[MTDRejection].[CheckActiveStatus].[All]" dimensionUniqueName="[MTDRejection]" displayFolder="" count="0" memberValueDatatype="130" unbalanced="0"/>
    <cacheHierarchy uniqueName="[MTDRejection].[CaseActiveStatus]" caption="CaseActiveStatus" attribute="1" defaultMemberUniqueName="[MTDRejection].[CaseActiveStatus].[All]" allUniqueName="[MTDRejection].[CaseActiveStatus].[All]" dimensionUniqueName="[MTDRejection]" displayFolder="" count="0" memberValueDatatype="130" unbalanced="0"/>
    <cacheHierarchy uniqueName="[MTDRejection].[Checks]" caption="Checks" attribute="1" defaultMemberUniqueName="[MTDRejection].[Checks].[All]" allUniqueName="[MTDRejection].[Checks].[All]" dimensionUniqueName="[MTDRejection]" displayFolder="" count="0" memberValueDatatype="130" unbalanced="0"/>
    <cacheHierarchy uniqueName="[MTDRejection].[Pending Rejection]" caption="Pending Rejection" attribute="1" defaultMemberUniqueName="[MTDRejection].[Pending Rejection].[All]" allUniqueName="[MTDRejection].[Pending Rejection].[All]" dimensionUniqueName="[MTDRejection]" displayFolder="" count="0" memberValueDatatype="20" unbalanced="0"/>
    <cacheHierarchy uniqueName="[MTDRejection].[Day]" caption="Day" attribute="1" defaultMemberUniqueName="[MTDRejection].[Day].[All]" allUniqueName="[MTDRejection].[Day].[All]" dimensionUniqueName="[MTDRejection]" displayFolder="" count="0" memberValueDatatype="20" unbalanced="0"/>
    <cacheHierarchy uniqueName="[MTDRejection].[Weekday]" caption="Weekday" attribute="1" defaultMemberUniqueName="[MTDRejection].[Weekday].[All]" allUniqueName="[MTDRejection].[Weekday].[All]" dimensionUniqueName="[MTDRejection]" displayFolder="" count="0" memberValueDatatype="130" unbalanced="0"/>
    <cacheHierarchy uniqueName="[Measures].[__XL_Count MTDRejection]" caption="__XL_Count MTDRejection" measure="1" displayFolder="" measureGroup="MTDRejection" count="0" hidden="1"/>
    <cacheHierarchy uniqueName="[Measures].[__No measures defined]" caption="__No measures defined" measure="1" displayFolder="" count="0" hidden="1"/>
    <cacheHierarchy uniqueName="[Measures].[Sum of Day]" caption="Sum of Day" measure="1" displayFolder="" measureGroup="MTDRejection" count="0" hidden="1">
      <extLst>
        <ext xmlns:x15="http://schemas.microsoft.com/office/spreadsheetml/2010/11/main" uri="{B97F6D7D-B522-45F9-BDA1-12C45D357490}">
          <x15:cacheHierarchy aggregatedColumn="12"/>
        </ext>
      </extLst>
    </cacheHierarchy>
    <cacheHierarchy uniqueName="[Measures].[Count of Checks]" caption="Count of Checks" measure="1" displayFolder="" measureGroup="MTDRejection" count="0" hidden="1">
      <extLst>
        <ext xmlns:x15="http://schemas.microsoft.com/office/spreadsheetml/2010/11/main" uri="{B97F6D7D-B522-45F9-BDA1-12C45D357490}">
          <x15:cacheHierarchy aggregatedColumn="10"/>
        </ext>
      </extLst>
    </cacheHierarchy>
    <cacheHierarchy uniqueName="[Measures].[Count of Pending Rejection]" caption="Count of Pending Rejection" measure="1" displayFolder="" measureGroup="MTDRejection" count="0" hidden="1">
      <extLst>
        <ext xmlns:x15="http://schemas.microsoft.com/office/spreadsheetml/2010/11/main" uri="{B97F6D7D-B522-45F9-BDA1-12C45D357490}">
          <x15:cacheHierarchy aggregatedColumn="11"/>
        </ext>
      </extLst>
    </cacheHierarchy>
    <cacheHierarchy uniqueName="[Measures].[Sum of Pending Rejection]" caption="Sum of Pending Rejection" measure="1" displayFolder="" measureGroup="MTDRejection" count="0" hidden="1">
      <extLst>
        <ext xmlns:x15="http://schemas.microsoft.com/office/spreadsheetml/2010/11/main" uri="{B97F6D7D-B522-45F9-BDA1-12C45D357490}">
          <x15:cacheHierarchy aggregatedColumn="11"/>
        </ext>
      </extLst>
    </cacheHierarchy>
  </cacheHierarchies>
  <kpis count="0"/>
  <extLst>
    <ext xmlns:x14="http://schemas.microsoft.com/office/spreadsheetml/2009/9/main" uri="{725AE2AE-9491-48be-B2B4-4EB974FC3084}">
      <x14:pivotCacheDefinition pivotCacheId="1409909848"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ClientWise Rejection" cacheId="0" applyNumberFormats="0" applyBorderFormats="0" applyFontFormats="0" applyPatternFormats="0" applyAlignmentFormats="0" applyWidthHeightFormats="1" dataCaption="Values" updatedVersion="8" minRefreshableVersion="5" useAutoFormatting="1" subtotalHiddenItems="1" itemPrintTitles="1" createdVersion="8" indent="0" outline="1" outlineData="1" multipleFieldFilters="0" chartFormat="38" rowHeaderCaption="Client">
  <location ref="N8:P19" firstHeaderRow="0" firstDataRow="1" firstDataCol="1"/>
  <pivotFields count="5">
    <pivotField dataField="1" subtotalTop="0" showAll="0" defaultSubtotal="0"/>
    <pivotField axis="axisRow"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1"/>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1"/>
  </rowFields>
  <rowItems count="11">
    <i>
      <x v="6"/>
    </i>
    <i>
      <x v="2"/>
    </i>
    <i>
      <x v="7"/>
    </i>
    <i>
      <x v="5"/>
    </i>
    <i>
      <x/>
    </i>
    <i>
      <x v="9"/>
    </i>
    <i>
      <x v="1"/>
    </i>
    <i>
      <x v="3"/>
    </i>
    <i>
      <x v="4"/>
    </i>
    <i>
      <x v="8"/>
    </i>
    <i t="grand">
      <x/>
    </i>
  </rowItems>
  <colFields count="1">
    <field x="-2"/>
  </colFields>
  <colItems count="2">
    <i>
      <x/>
    </i>
    <i i="1">
      <x v="1"/>
    </i>
  </colItems>
  <dataFields count="2">
    <dataField name="Pending Rejection" fld="2" baseField="1" baseItem="8"/>
    <dataField name="MTD Rejection" fld="0" subtotal="count" baseField="0" baseItem="0"/>
  </dataFields>
  <formats count="4">
    <format dxfId="6">
      <pivotArea type="all" dataOnly="0" outline="0" fieldPosition="0"/>
    </format>
    <format dxfId="5">
      <pivotArea outline="0" collapsedLevelsAreSubtotals="1" fieldPosition="0"/>
    </format>
    <format dxfId="4">
      <pivotArea dataOnly="0" labelOnly="1" grandRow="1" outline="0" fieldPosition="0"/>
    </format>
    <format dxfId="3">
      <pivotArea dataOnly="0" labelOnly="1" outline="0" fieldPosition="0">
        <references count="1">
          <reference field="4294967294" count="2">
            <x v="0"/>
            <x v="1"/>
          </reference>
        </references>
      </pivotArea>
    </format>
  </formats>
  <chartFormats count="30">
    <chartFormat chart="0" format="0" series="1">
      <pivotArea type="data" outline="0" fieldPosition="0">
        <references count="1">
          <reference field="4294967294" count="1" selected="0">
            <x v="1"/>
          </reference>
        </references>
      </pivotArea>
    </chartFormat>
    <chartFormat chart="0" format="1"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0"/>
          </reference>
        </references>
      </pivotArea>
    </chartFormat>
    <chartFormat chart="1" format="3" series="1">
      <pivotArea type="data" outline="0" fieldPosition="0">
        <references count="1">
          <reference field="4294967294" count="1" selected="0">
            <x v="1"/>
          </reference>
        </references>
      </pivotArea>
    </chartFormat>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 chart="28" format="6" series="1">
      <pivotArea type="data" outline="0" fieldPosition="0">
        <references count="1">
          <reference field="4294967294" count="1" selected="0">
            <x v="0"/>
          </reference>
        </references>
      </pivotArea>
    </chartFormat>
    <chartFormat chart="28" format="7" series="1">
      <pivotArea type="data" outline="0" fieldPosition="0">
        <references count="1">
          <reference field="4294967294" count="1" selected="0">
            <x v="1"/>
          </reference>
        </references>
      </pivotArea>
    </chartFormat>
    <chartFormat chart="29" format="8" series="1">
      <pivotArea type="data" outline="0" fieldPosition="0">
        <references count="1">
          <reference field="4294967294" count="1" selected="0">
            <x v="0"/>
          </reference>
        </references>
      </pivotArea>
    </chartFormat>
    <chartFormat chart="29" format="9" series="1">
      <pivotArea type="data" outline="0" fieldPosition="0">
        <references count="1">
          <reference field="4294967294" count="1" selected="0">
            <x v="1"/>
          </reference>
        </references>
      </pivotArea>
    </chartFormat>
    <chartFormat chart="32" format="6" series="1">
      <pivotArea type="data" outline="0" fieldPosition="0">
        <references count="1">
          <reference field="4294967294" count="1" selected="0">
            <x v="0"/>
          </reference>
        </references>
      </pivotArea>
    </chartFormat>
    <chartFormat chart="32" format="7" series="1">
      <pivotArea type="data" outline="0" fieldPosition="0">
        <references count="1">
          <reference field="4294967294" count="1" selected="0">
            <x v="1"/>
          </reference>
        </references>
      </pivotArea>
    </chartFormat>
    <chartFormat chart="33" format="8" series="1">
      <pivotArea type="data" outline="0" fieldPosition="0">
        <references count="1">
          <reference field="4294967294" count="1" selected="0">
            <x v="0"/>
          </reference>
        </references>
      </pivotArea>
    </chartFormat>
    <chartFormat chart="33" format="9" series="1">
      <pivotArea type="data" outline="0" fieldPosition="0">
        <references count="1">
          <reference field="4294967294" count="1" selected="0">
            <x v="1"/>
          </reference>
        </references>
      </pivotArea>
    </chartFormat>
    <chartFormat chart="34" format="6" series="1">
      <pivotArea type="data" outline="0" fieldPosition="0">
        <references count="1">
          <reference field="4294967294" count="1" selected="0">
            <x v="0"/>
          </reference>
        </references>
      </pivotArea>
    </chartFormat>
    <chartFormat chart="34" format="7" series="1">
      <pivotArea type="data" outline="0" fieldPosition="0">
        <references count="1">
          <reference field="4294967294" count="1" selected="0">
            <x v="1"/>
          </reference>
        </references>
      </pivotArea>
    </chartFormat>
    <chartFormat chart="35" format="8" series="1">
      <pivotArea type="data" outline="0" fieldPosition="0">
        <references count="1">
          <reference field="4294967294" count="1" selected="0">
            <x v="0"/>
          </reference>
        </references>
      </pivotArea>
    </chartFormat>
    <chartFormat chart="35" format="9" series="1">
      <pivotArea type="data" outline="0" fieldPosition="0">
        <references count="1">
          <reference field="4294967294" count="1" selected="0">
            <x v="1"/>
          </reference>
        </references>
      </pivotArea>
    </chartFormat>
    <chartFormat chart="36" format="6" series="1">
      <pivotArea type="data" outline="0" fieldPosition="0">
        <references count="1">
          <reference field="4294967294" count="1" selected="0">
            <x v="0"/>
          </reference>
        </references>
      </pivotArea>
    </chartFormat>
    <chartFormat chart="36" format="7" series="1">
      <pivotArea type="data" outline="0" fieldPosition="0">
        <references count="1">
          <reference field="4294967294" count="1" selected="0">
            <x v="1"/>
          </reference>
        </references>
      </pivotArea>
    </chartFormat>
    <chartFormat chart="37" format="8" series="1">
      <pivotArea type="data" outline="0" fieldPosition="0">
        <references count="1">
          <reference field="4294967294" count="1" selected="0">
            <x v="0"/>
          </reference>
        </references>
      </pivotArea>
    </chartFormat>
    <chartFormat chart="37" format="9" series="1">
      <pivotArea type="data" outline="0" fieldPosition="0">
        <references count="1">
          <reference field="4294967294" count="1" selected="0">
            <x v="1"/>
          </reference>
        </references>
      </pivotArea>
    </chartFormat>
  </chartFormats>
  <pivotHierarchies count="20">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caption="MTD Rejection"/>
    <pivotHierarchy dragToData="1" caption="Pending Rejection"/>
    <pivotHierarchy dragToData="1" caption="Pending Rejection"/>
  </pivotHierarchies>
  <pivotTableStyleInfo name="PivotStyleLight16" showRowHeaders="1" showColHeaders="1" showRowStripes="0" showColStripes="0" showLastColumn="1"/>
  <filters count="1">
    <filter fld="1" type="count" id="14" iMeasureHier="17">
      <autoFilter ref="A1">
        <filterColumn colId="0">
          <top10 val="10" filterVal="10"/>
        </filterColumn>
      </autoFilter>
    </filter>
  </filters>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TD Rejection.xlsx!MTDRejection">
        <x15:activeTabTopLevelEntity name="[MTDReject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name="Rejection Type Percentage" cacheId="4" applyNumberFormats="0" applyBorderFormats="0" applyFontFormats="0" applyPatternFormats="0" applyAlignmentFormats="0" applyWidthHeightFormats="1" dataCaption="Values" updatedVersion="8" minRefreshableVersion="5" useAutoFormatting="1" subtotalHiddenItems="1" itemPrintTitles="1" createdVersion="8" indent="0" outline="1" outlineData="1" multipleFieldFilters="0" chartFormat="45">
  <location ref="F23:G29" firstHeaderRow="1" firstDataRow="1" firstDataCol="1"/>
  <pivotFields count="3">
    <pivotField dataField="1" subtotalTop="0" showAll="0" defaultSubtotal="0"/>
    <pivotField axis="axisRow" allDrilled="1" subtotalTop="0" showAll="0" dataSourceSort="1" defaultSubtotal="0" defaultAttributeDrillState="1">
      <items count="5">
        <item x="0"/>
        <item x="1"/>
        <item x="2"/>
        <item x="3"/>
        <item x="4"/>
      </items>
    </pivotField>
    <pivotField allDrilled="1" subtotalTop="0" showAll="0" dataSourceSort="1" defaultSubtotal="0" defaultAttributeDrillState="1"/>
  </pivotFields>
  <rowFields count="1">
    <field x="1"/>
  </rowFields>
  <rowItems count="6">
    <i>
      <x/>
    </i>
    <i>
      <x v="1"/>
    </i>
    <i>
      <x v="2"/>
    </i>
    <i>
      <x v="3"/>
    </i>
    <i>
      <x v="4"/>
    </i>
    <i t="grand">
      <x/>
    </i>
  </rowItems>
  <colItems count="1">
    <i/>
  </colItems>
  <dataFields count="1">
    <dataField name="MTD Rejection" fld="0" subtotal="count" showDataAs="percentOfTotal" baseField="0" baseItem="0" numFmtId="10"/>
  </dataFields>
  <formats count="7">
    <format dxfId="13">
      <pivotArea type="all" dataOnly="0" outline="0" fieldPosition="0"/>
    </format>
    <format dxfId="12">
      <pivotArea outline="0" collapsedLevelsAreSubtotals="1" fieldPosition="0"/>
    </format>
    <format dxfId="11">
      <pivotArea field="1" type="button" dataOnly="0" labelOnly="1" outline="0" axis="axisRow" fieldPosition="0"/>
    </format>
    <format dxfId="10">
      <pivotArea dataOnly="0" labelOnly="1" fieldPosition="0">
        <references count="1">
          <reference field="1" count="0"/>
        </references>
      </pivotArea>
    </format>
    <format dxfId="9">
      <pivotArea dataOnly="0" labelOnly="1" grandRow="1" outline="0" fieldPosition="0"/>
    </format>
    <format dxfId="8">
      <pivotArea dataOnly="0" labelOnly="1" outline="0" fieldPosition="0">
        <references count="1">
          <reference field="4294967294" count="1">
            <x v="0"/>
          </reference>
        </references>
      </pivotArea>
    </format>
    <format dxfId="7">
      <pivotArea outline="0" fieldPosition="0">
        <references count="1">
          <reference field="4294967294" count="1">
            <x v="0"/>
          </reference>
        </references>
      </pivotArea>
    </format>
  </formats>
  <chartFormats count="80">
    <chartFormat chart="0" format="0"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0"/>
          </reference>
        </references>
      </pivotArea>
    </chartFormat>
    <chartFormat chart="11" format="12" series="1">
      <pivotArea type="data" outline="0" fieldPosition="0">
        <references count="1">
          <reference field="4294967294" count="1" selected="0">
            <x v="0"/>
          </reference>
        </references>
      </pivotArea>
    </chartFormat>
    <chartFormat chart="11" format="13">
      <pivotArea type="data" outline="0" fieldPosition="0">
        <references count="2">
          <reference field="4294967294" count="1" selected="0">
            <x v="0"/>
          </reference>
          <reference field="1" count="1" selected="0">
            <x v="0"/>
          </reference>
        </references>
      </pivotArea>
    </chartFormat>
    <chartFormat chart="11" format="14">
      <pivotArea type="data" outline="0" fieldPosition="0">
        <references count="2">
          <reference field="4294967294" count="1" selected="0">
            <x v="0"/>
          </reference>
          <reference field="1" count="1" selected="0">
            <x v="1"/>
          </reference>
        </references>
      </pivotArea>
    </chartFormat>
    <chartFormat chart="11" format="15">
      <pivotArea type="data" outline="0" fieldPosition="0">
        <references count="2">
          <reference field="4294967294" count="1" selected="0">
            <x v="0"/>
          </reference>
          <reference field="1" count="1" selected="0">
            <x v="2"/>
          </reference>
        </references>
      </pivotArea>
    </chartFormat>
    <chartFormat chart="11" format="16">
      <pivotArea type="data" outline="0" fieldPosition="0">
        <references count="2">
          <reference field="4294967294" count="1" selected="0">
            <x v="0"/>
          </reference>
          <reference field="1" count="1" selected="0">
            <x v="3"/>
          </reference>
        </references>
      </pivotArea>
    </chartFormat>
    <chartFormat chart="11" format="17">
      <pivotArea type="data" outline="0" fieldPosition="0">
        <references count="2">
          <reference field="4294967294" count="1" selected="0">
            <x v="0"/>
          </reference>
          <reference field="1" count="1" selected="0">
            <x v="4"/>
          </reference>
        </references>
      </pivotArea>
    </chartFormat>
    <chartFormat chart="27" format="18" series="1">
      <pivotArea type="data" outline="0" fieldPosition="0">
        <references count="1">
          <reference field="4294967294" count="1" selected="0">
            <x v="0"/>
          </reference>
        </references>
      </pivotArea>
    </chartFormat>
    <chartFormat chart="27" format="19">
      <pivotArea type="data" outline="0" fieldPosition="0">
        <references count="2">
          <reference field="4294967294" count="1" selected="0">
            <x v="0"/>
          </reference>
          <reference field="1" count="1" selected="0">
            <x v="0"/>
          </reference>
        </references>
      </pivotArea>
    </chartFormat>
    <chartFormat chart="27" format="20">
      <pivotArea type="data" outline="0" fieldPosition="0">
        <references count="2">
          <reference field="4294967294" count="1" selected="0">
            <x v="0"/>
          </reference>
          <reference field="1" count="1" selected="0">
            <x v="1"/>
          </reference>
        </references>
      </pivotArea>
    </chartFormat>
    <chartFormat chart="27" format="21">
      <pivotArea type="data" outline="0" fieldPosition="0">
        <references count="2">
          <reference field="4294967294" count="1" selected="0">
            <x v="0"/>
          </reference>
          <reference field="1" count="1" selected="0">
            <x v="2"/>
          </reference>
        </references>
      </pivotArea>
    </chartFormat>
    <chartFormat chart="27" format="22">
      <pivotArea type="data" outline="0" fieldPosition="0">
        <references count="2">
          <reference field="4294967294" count="1" selected="0">
            <x v="0"/>
          </reference>
          <reference field="1" count="1" selected="0">
            <x v="3"/>
          </reference>
        </references>
      </pivotArea>
    </chartFormat>
    <chartFormat chart="27" format="23">
      <pivotArea type="data" outline="0" fieldPosition="0">
        <references count="2">
          <reference field="4294967294" count="1" selected="0">
            <x v="0"/>
          </reference>
          <reference field="1" count="1" selected="0">
            <x v="4"/>
          </reference>
        </references>
      </pivotArea>
    </chartFormat>
    <chartFormat chart="28" format="24" series="1">
      <pivotArea type="data" outline="0" fieldPosition="0">
        <references count="1">
          <reference field="4294967294" count="1" selected="0">
            <x v="0"/>
          </reference>
        </references>
      </pivotArea>
    </chartFormat>
    <chartFormat chart="28" format="25">
      <pivotArea type="data" outline="0" fieldPosition="0">
        <references count="2">
          <reference field="4294967294" count="1" selected="0">
            <x v="0"/>
          </reference>
          <reference field="1" count="1" selected="0">
            <x v="0"/>
          </reference>
        </references>
      </pivotArea>
    </chartFormat>
    <chartFormat chart="28" format="26">
      <pivotArea type="data" outline="0" fieldPosition="0">
        <references count="2">
          <reference field="4294967294" count="1" selected="0">
            <x v="0"/>
          </reference>
          <reference field="1" count="1" selected="0">
            <x v="1"/>
          </reference>
        </references>
      </pivotArea>
    </chartFormat>
    <chartFormat chart="28" format="27">
      <pivotArea type="data" outline="0" fieldPosition="0">
        <references count="2">
          <reference field="4294967294" count="1" selected="0">
            <x v="0"/>
          </reference>
          <reference field="1" count="1" selected="0">
            <x v="2"/>
          </reference>
        </references>
      </pivotArea>
    </chartFormat>
    <chartFormat chart="28" format="28">
      <pivotArea type="data" outline="0" fieldPosition="0">
        <references count="2">
          <reference field="4294967294" count="1" selected="0">
            <x v="0"/>
          </reference>
          <reference field="1" count="1" selected="0">
            <x v="3"/>
          </reference>
        </references>
      </pivotArea>
    </chartFormat>
    <chartFormat chart="28" format="29">
      <pivotArea type="data" outline="0" fieldPosition="0">
        <references count="2">
          <reference field="4294967294" count="1" selected="0">
            <x v="0"/>
          </reference>
          <reference field="1" count="1" selected="0">
            <x v="4"/>
          </reference>
        </references>
      </pivotArea>
    </chartFormat>
    <chartFormat chart="29" format="18" series="1">
      <pivotArea type="data" outline="0" fieldPosition="0">
        <references count="1">
          <reference field="4294967294" count="1" selected="0">
            <x v="0"/>
          </reference>
        </references>
      </pivotArea>
    </chartFormat>
    <chartFormat chart="29" format="19">
      <pivotArea type="data" outline="0" fieldPosition="0">
        <references count="2">
          <reference field="4294967294" count="1" selected="0">
            <x v="0"/>
          </reference>
          <reference field="1" count="1" selected="0">
            <x v="0"/>
          </reference>
        </references>
      </pivotArea>
    </chartFormat>
    <chartFormat chart="29" format="20">
      <pivotArea type="data" outline="0" fieldPosition="0">
        <references count="2">
          <reference field="4294967294" count="1" selected="0">
            <x v="0"/>
          </reference>
          <reference field="1" count="1" selected="0">
            <x v="1"/>
          </reference>
        </references>
      </pivotArea>
    </chartFormat>
    <chartFormat chart="29" format="21">
      <pivotArea type="data" outline="0" fieldPosition="0">
        <references count="2">
          <reference field="4294967294" count="1" selected="0">
            <x v="0"/>
          </reference>
          <reference field="1" count="1" selected="0">
            <x v="2"/>
          </reference>
        </references>
      </pivotArea>
    </chartFormat>
    <chartFormat chart="29" format="22">
      <pivotArea type="data" outline="0" fieldPosition="0">
        <references count="2">
          <reference field="4294967294" count="1" selected="0">
            <x v="0"/>
          </reference>
          <reference field="1" count="1" selected="0">
            <x v="3"/>
          </reference>
        </references>
      </pivotArea>
    </chartFormat>
    <chartFormat chart="29" format="23">
      <pivotArea type="data" outline="0" fieldPosition="0">
        <references count="2">
          <reference field="4294967294" count="1" selected="0">
            <x v="0"/>
          </reference>
          <reference field="1" count="1" selected="0">
            <x v="4"/>
          </reference>
        </references>
      </pivotArea>
    </chartFormat>
    <chartFormat chart="30" format="24" series="1">
      <pivotArea type="data" outline="0" fieldPosition="0">
        <references count="1">
          <reference field="4294967294" count="1" selected="0">
            <x v="0"/>
          </reference>
        </references>
      </pivotArea>
    </chartFormat>
    <chartFormat chart="30" format="25">
      <pivotArea type="data" outline="0" fieldPosition="0">
        <references count="2">
          <reference field="4294967294" count="1" selected="0">
            <x v="0"/>
          </reference>
          <reference field="1" count="1" selected="0">
            <x v="0"/>
          </reference>
        </references>
      </pivotArea>
    </chartFormat>
    <chartFormat chart="30" format="26">
      <pivotArea type="data" outline="0" fieldPosition="0">
        <references count="2">
          <reference field="4294967294" count="1" selected="0">
            <x v="0"/>
          </reference>
          <reference field="1" count="1" selected="0">
            <x v="1"/>
          </reference>
        </references>
      </pivotArea>
    </chartFormat>
    <chartFormat chart="30" format="27">
      <pivotArea type="data" outline="0" fieldPosition="0">
        <references count="2">
          <reference field="4294967294" count="1" selected="0">
            <x v="0"/>
          </reference>
          <reference field="1" count="1" selected="0">
            <x v="2"/>
          </reference>
        </references>
      </pivotArea>
    </chartFormat>
    <chartFormat chart="30" format="28">
      <pivotArea type="data" outline="0" fieldPosition="0">
        <references count="2">
          <reference field="4294967294" count="1" selected="0">
            <x v="0"/>
          </reference>
          <reference field="1" count="1" selected="0">
            <x v="3"/>
          </reference>
        </references>
      </pivotArea>
    </chartFormat>
    <chartFormat chart="30" format="29">
      <pivotArea type="data" outline="0" fieldPosition="0">
        <references count="2">
          <reference field="4294967294" count="1" selected="0">
            <x v="0"/>
          </reference>
          <reference field="1" count="1" selected="0">
            <x v="4"/>
          </reference>
        </references>
      </pivotArea>
    </chartFormat>
    <chartFormat chart="35" format="18" series="1">
      <pivotArea type="data" outline="0" fieldPosition="0">
        <references count="1">
          <reference field="4294967294" count="1" selected="0">
            <x v="0"/>
          </reference>
        </references>
      </pivotArea>
    </chartFormat>
    <chartFormat chart="35" format="19">
      <pivotArea type="data" outline="0" fieldPosition="0">
        <references count="2">
          <reference field="4294967294" count="1" selected="0">
            <x v="0"/>
          </reference>
          <reference field="1" count="1" selected="0">
            <x v="0"/>
          </reference>
        </references>
      </pivotArea>
    </chartFormat>
    <chartFormat chart="35" format="20">
      <pivotArea type="data" outline="0" fieldPosition="0">
        <references count="2">
          <reference field="4294967294" count="1" selected="0">
            <x v="0"/>
          </reference>
          <reference field="1" count="1" selected="0">
            <x v="1"/>
          </reference>
        </references>
      </pivotArea>
    </chartFormat>
    <chartFormat chart="35" format="21">
      <pivotArea type="data" outline="0" fieldPosition="0">
        <references count="2">
          <reference field="4294967294" count="1" selected="0">
            <x v="0"/>
          </reference>
          <reference field="1" count="1" selected="0">
            <x v="2"/>
          </reference>
        </references>
      </pivotArea>
    </chartFormat>
    <chartFormat chart="35" format="22">
      <pivotArea type="data" outline="0" fieldPosition="0">
        <references count="2">
          <reference field="4294967294" count="1" selected="0">
            <x v="0"/>
          </reference>
          <reference field="1" count="1" selected="0">
            <x v="3"/>
          </reference>
        </references>
      </pivotArea>
    </chartFormat>
    <chartFormat chart="35" format="23">
      <pivotArea type="data" outline="0" fieldPosition="0">
        <references count="2">
          <reference field="4294967294" count="1" selected="0">
            <x v="0"/>
          </reference>
          <reference field="1" count="1" selected="0">
            <x v="4"/>
          </reference>
        </references>
      </pivotArea>
    </chartFormat>
    <chartFormat chart="36" format="24" series="1">
      <pivotArea type="data" outline="0" fieldPosition="0">
        <references count="1">
          <reference field="4294967294" count="1" selected="0">
            <x v="0"/>
          </reference>
        </references>
      </pivotArea>
    </chartFormat>
    <chartFormat chart="36" format="25">
      <pivotArea type="data" outline="0" fieldPosition="0">
        <references count="2">
          <reference field="4294967294" count="1" selected="0">
            <x v="0"/>
          </reference>
          <reference field="1" count="1" selected="0">
            <x v="0"/>
          </reference>
        </references>
      </pivotArea>
    </chartFormat>
    <chartFormat chart="36" format="26">
      <pivotArea type="data" outline="0" fieldPosition="0">
        <references count="2">
          <reference field="4294967294" count="1" selected="0">
            <x v="0"/>
          </reference>
          <reference field="1" count="1" selected="0">
            <x v="1"/>
          </reference>
        </references>
      </pivotArea>
    </chartFormat>
    <chartFormat chart="36" format="27">
      <pivotArea type="data" outline="0" fieldPosition="0">
        <references count="2">
          <reference field="4294967294" count="1" selected="0">
            <x v="0"/>
          </reference>
          <reference field="1" count="1" selected="0">
            <x v="2"/>
          </reference>
        </references>
      </pivotArea>
    </chartFormat>
    <chartFormat chart="36" format="28">
      <pivotArea type="data" outline="0" fieldPosition="0">
        <references count="2">
          <reference field="4294967294" count="1" selected="0">
            <x v="0"/>
          </reference>
          <reference field="1" count="1" selected="0">
            <x v="3"/>
          </reference>
        </references>
      </pivotArea>
    </chartFormat>
    <chartFormat chart="36" format="29">
      <pivotArea type="data" outline="0" fieldPosition="0">
        <references count="2">
          <reference field="4294967294" count="1" selected="0">
            <x v="0"/>
          </reference>
          <reference field="1" count="1" selected="0">
            <x v="4"/>
          </reference>
        </references>
      </pivotArea>
    </chartFormat>
    <chartFormat chart="39" format="18" series="1">
      <pivotArea type="data" outline="0" fieldPosition="0">
        <references count="1">
          <reference field="4294967294" count="1" selected="0">
            <x v="0"/>
          </reference>
        </references>
      </pivotArea>
    </chartFormat>
    <chartFormat chart="39" format="19">
      <pivotArea type="data" outline="0" fieldPosition="0">
        <references count="2">
          <reference field="4294967294" count="1" selected="0">
            <x v="0"/>
          </reference>
          <reference field="1" count="1" selected="0">
            <x v="0"/>
          </reference>
        </references>
      </pivotArea>
    </chartFormat>
    <chartFormat chart="39" format="20">
      <pivotArea type="data" outline="0" fieldPosition="0">
        <references count="2">
          <reference field="4294967294" count="1" selected="0">
            <x v="0"/>
          </reference>
          <reference field="1" count="1" selected="0">
            <x v="1"/>
          </reference>
        </references>
      </pivotArea>
    </chartFormat>
    <chartFormat chart="39" format="21">
      <pivotArea type="data" outline="0" fieldPosition="0">
        <references count="2">
          <reference field="4294967294" count="1" selected="0">
            <x v="0"/>
          </reference>
          <reference field="1" count="1" selected="0">
            <x v="2"/>
          </reference>
        </references>
      </pivotArea>
    </chartFormat>
    <chartFormat chart="39" format="22">
      <pivotArea type="data" outline="0" fieldPosition="0">
        <references count="2">
          <reference field="4294967294" count="1" selected="0">
            <x v="0"/>
          </reference>
          <reference field="1" count="1" selected="0">
            <x v="3"/>
          </reference>
        </references>
      </pivotArea>
    </chartFormat>
    <chartFormat chart="39" format="23">
      <pivotArea type="data" outline="0" fieldPosition="0">
        <references count="2">
          <reference field="4294967294" count="1" selected="0">
            <x v="0"/>
          </reference>
          <reference field="1" count="1" selected="0">
            <x v="4"/>
          </reference>
        </references>
      </pivotArea>
    </chartFormat>
    <chartFormat chart="40" format="24" series="1">
      <pivotArea type="data" outline="0" fieldPosition="0">
        <references count="1">
          <reference field="4294967294" count="1" selected="0">
            <x v="0"/>
          </reference>
        </references>
      </pivotArea>
    </chartFormat>
    <chartFormat chart="40" format="25">
      <pivotArea type="data" outline="0" fieldPosition="0">
        <references count="2">
          <reference field="4294967294" count="1" selected="0">
            <x v="0"/>
          </reference>
          <reference field="1" count="1" selected="0">
            <x v="0"/>
          </reference>
        </references>
      </pivotArea>
    </chartFormat>
    <chartFormat chart="40" format="26">
      <pivotArea type="data" outline="0" fieldPosition="0">
        <references count="2">
          <reference field="4294967294" count="1" selected="0">
            <x v="0"/>
          </reference>
          <reference field="1" count="1" selected="0">
            <x v="1"/>
          </reference>
        </references>
      </pivotArea>
    </chartFormat>
    <chartFormat chart="40" format="27">
      <pivotArea type="data" outline="0" fieldPosition="0">
        <references count="2">
          <reference field="4294967294" count="1" selected="0">
            <x v="0"/>
          </reference>
          <reference field="1" count="1" selected="0">
            <x v="2"/>
          </reference>
        </references>
      </pivotArea>
    </chartFormat>
    <chartFormat chart="40" format="28">
      <pivotArea type="data" outline="0" fieldPosition="0">
        <references count="2">
          <reference field="4294967294" count="1" selected="0">
            <x v="0"/>
          </reference>
          <reference field="1" count="1" selected="0">
            <x v="3"/>
          </reference>
        </references>
      </pivotArea>
    </chartFormat>
    <chartFormat chart="40" format="29">
      <pivotArea type="data" outline="0" fieldPosition="0">
        <references count="2">
          <reference field="4294967294" count="1" selected="0">
            <x v="0"/>
          </reference>
          <reference field="1" count="1" selected="0">
            <x v="4"/>
          </reference>
        </references>
      </pivotArea>
    </chartFormat>
    <chartFormat chart="41" format="18" series="1">
      <pivotArea type="data" outline="0" fieldPosition="0">
        <references count="1">
          <reference field="4294967294" count="1" selected="0">
            <x v="0"/>
          </reference>
        </references>
      </pivotArea>
    </chartFormat>
    <chartFormat chart="41" format="19">
      <pivotArea type="data" outline="0" fieldPosition="0">
        <references count="2">
          <reference field="4294967294" count="1" selected="0">
            <x v="0"/>
          </reference>
          <reference field="1" count="1" selected="0">
            <x v="0"/>
          </reference>
        </references>
      </pivotArea>
    </chartFormat>
    <chartFormat chart="41" format="20">
      <pivotArea type="data" outline="0" fieldPosition="0">
        <references count="2">
          <reference field="4294967294" count="1" selected="0">
            <x v="0"/>
          </reference>
          <reference field="1" count="1" selected="0">
            <x v="1"/>
          </reference>
        </references>
      </pivotArea>
    </chartFormat>
    <chartFormat chart="41" format="21">
      <pivotArea type="data" outline="0" fieldPosition="0">
        <references count="2">
          <reference field="4294967294" count="1" selected="0">
            <x v="0"/>
          </reference>
          <reference field="1" count="1" selected="0">
            <x v="2"/>
          </reference>
        </references>
      </pivotArea>
    </chartFormat>
    <chartFormat chart="41" format="22">
      <pivotArea type="data" outline="0" fieldPosition="0">
        <references count="2">
          <reference field="4294967294" count="1" selected="0">
            <x v="0"/>
          </reference>
          <reference field="1" count="1" selected="0">
            <x v="3"/>
          </reference>
        </references>
      </pivotArea>
    </chartFormat>
    <chartFormat chart="41" format="23">
      <pivotArea type="data" outline="0" fieldPosition="0">
        <references count="2">
          <reference field="4294967294" count="1" selected="0">
            <x v="0"/>
          </reference>
          <reference field="1" count="1" selected="0">
            <x v="4"/>
          </reference>
        </references>
      </pivotArea>
    </chartFormat>
    <chartFormat chart="42" format="24" series="1">
      <pivotArea type="data" outline="0" fieldPosition="0">
        <references count="1">
          <reference field="4294967294" count="1" selected="0">
            <x v="0"/>
          </reference>
        </references>
      </pivotArea>
    </chartFormat>
    <chartFormat chart="42" format="25">
      <pivotArea type="data" outline="0" fieldPosition="0">
        <references count="2">
          <reference field="4294967294" count="1" selected="0">
            <x v="0"/>
          </reference>
          <reference field="1" count="1" selected="0">
            <x v="0"/>
          </reference>
        </references>
      </pivotArea>
    </chartFormat>
    <chartFormat chart="42" format="26">
      <pivotArea type="data" outline="0" fieldPosition="0">
        <references count="2">
          <reference field="4294967294" count="1" selected="0">
            <x v="0"/>
          </reference>
          <reference field="1" count="1" selected="0">
            <x v="1"/>
          </reference>
        </references>
      </pivotArea>
    </chartFormat>
    <chartFormat chart="42" format="27">
      <pivotArea type="data" outline="0" fieldPosition="0">
        <references count="2">
          <reference field="4294967294" count="1" selected="0">
            <x v="0"/>
          </reference>
          <reference field="1" count="1" selected="0">
            <x v="2"/>
          </reference>
        </references>
      </pivotArea>
    </chartFormat>
    <chartFormat chart="42" format="28">
      <pivotArea type="data" outline="0" fieldPosition="0">
        <references count="2">
          <reference field="4294967294" count="1" selected="0">
            <x v="0"/>
          </reference>
          <reference field="1" count="1" selected="0">
            <x v="3"/>
          </reference>
        </references>
      </pivotArea>
    </chartFormat>
    <chartFormat chart="42" format="29">
      <pivotArea type="data" outline="0" fieldPosition="0">
        <references count="2">
          <reference field="4294967294" count="1" selected="0">
            <x v="0"/>
          </reference>
          <reference field="1" count="1" selected="0">
            <x v="4"/>
          </reference>
        </references>
      </pivotArea>
    </chartFormat>
    <chartFormat chart="43" format="18" series="1">
      <pivotArea type="data" outline="0" fieldPosition="0">
        <references count="1">
          <reference field="4294967294" count="1" selected="0">
            <x v="0"/>
          </reference>
        </references>
      </pivotArea>
    </chartFormat>
    <chartFormat chart="43" format="19">
      <pivotArea type="data" outline="0" fieldPosition="0">
        <references count="2">
          <reference field="4294967294" count="1" selected="0">
            <x v="0"/>
          </reference>
          <reference field="1" count="1" selected="0">
            <x v="0"/>
          </reference>
        </references>
      </pivotArea>
    </chartFormat>
    <chartFormat chart="43" format="20">
      <pivotArea type="data" outline="0" fieldPosition="0">
        <references count="2">
          <reference field="4294967294" count="1" selected="0">
            <x v="0"/>
          </reference>
          <reference field="1" count="1" selected="0">
            <x v="1"/>
          </reference>
        </references>
      </pivotArea>
    </chartFormat>
    <chartFormat chart="43" format="21">
      <pivotArea type="data" outline="0" fieldPosition="0">
        <references count="2">
          <reference field="4294967294" count="1" selected="0">
            <x v="0"/>
          </reference>
          <reference field="1" count="1" selected="0">
            <x v="2"/>
          </reference>
        </references>
      </pivotArea>
    </chartFormat>
    <chartFormat chart="43" format="22">
      <pivotArea type="data" outline="0" fieldPosition="0">
        <references count="2">
          <reference field="4294967294" count="1" selected="0">
            <x v="0"/>
          </reference>
          <reference field="1" count="1" selected="0">
            <x v="3"/>
          </reference>
        </references>
      </pivotArea>
    </chartFormat>
    <chartFormat chart="43" format="23">
      <pivotArea type="data" outline="0" fieldPosition="0">
        <references count="2">
          <reference field="4294967294" count="1" selected="0">
            <x v="0"/>
          </reference>
          <reference field="1" count="1" selected="0">
            <x v="4"/>
          </reference>
        </references>
      </pivotArea>
    </chartFormat>
    <chartFormat chart="44" format="24" series="1">
      <pivotArea type="data" outline="0" fieldPosition="0">
        <references count="1">
          <reference field="4294967294" count="1" selected="0">
            <x v="0"/>
          </reference>
        </references>
      </pivotArea>
    </chartFormat>
    <chartFormat chart="44" format="25">
      <pivotArea type="data" outline="0" fieldPosition="0">
        <references count="2">
          <reference field="4294967294" count="1" selected="0">
            <x v="0"/>
          </reference>
          <reference field="1" count="1" selected="0">
            <x v="0"/>
          </reference>
        </references>
      </pivotArea>
    </chartFormat>
    <chartFormat chart="44" format="26">
      <pivotArea type="data" outline="0" fieldPosition="0">
        <references count="2">
          <reference field="4294967294" count="1" selected="0">
            <x v="0"/>
          </reference>
          <reference field="1" count="1" selected="0">
            <x v="1"/>
          </reference>
        </references>
      </pivotArea>
    </chartFormat>
    <chartFormat chart="44" format="27">
      <pivotArea type="data" outline="0" fieldPosition="0">
        <references count="2">
          <reference field="4294967294" count="1" selected="0">
            <x v="0"/>
          </reference>
          <reference field="1" count="1" selected="0">
            <x v="2"/>
          </reference>
        </references>
      </pivotArea>
    </chartFormat>
    <chartFormat chart="44" format="28">
      <pivotArea type="data" outline="0" fieldPosition="0">
        <references count="2">
          <reference field="4294967294" count="1" selected="0">
            <x v="0"/>
          </reference>
          <reference field="1" count="1" selected="0">
            <x v="3"/>
          </reference>
        </references>
      </pivotArea>
    </chartFormat>
    <chartFormat chart="44" format="29">
      <pivotArea type="data" outline="0" fieldPosition="0">
        <references count="2">
          <reference field="4294967294" count="1" selected="0">
            <x v="0"/>
          </reference>
          <reference field="1" count="1" selected="0">
            <x v="4"/>
          </reference>
        </references>
      </pivotArea>
    </chartFormat>
  </chartFormats>
  <pivotHierarchies count="20">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caption="MTD Rejection"/>
    <pivotHierarchy dragToData="1" caption="Pending Rejection"/>
    <pivotHierarchy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TD Rejection.xlsx!MTDRejection">
        <x15:activeTabTopLevelEntity name="[MTDReject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name="PivotTable10" cacheId="2" applyNumberFormats="0" applyBorderFormats="0" applyFontFormats="0" applyPatternFormats="0" applyAlignmentFormats="0" applyWidthHeightFormats="1" dataCaption="Values" updatedVersion="8" minRefreshableVersion="5" useAutoFormatting="1" subtotalHiddenItems="1" itemPrintTitles="1" createdVersion="8" indent="0" outline="1" outlineData="1" multipleFieldFilters="0" chartFormat="22">
  <location ref="A8:B9" firstHeaderRow="0" firstDataRow="1" firstDataCol="0"/>
  <pivotFields count="4">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2">
    <i>
      <x/>
    </i>
    <i i="1">
      <x v="1"/>
    </i>
  </colItems>
  <dataFields count="2">
    <dataField name="MTD Rejection" fld="0" subtotal="count" baseField="0" baseItem="0"/>
    <dataField name="Sum of Pending Rejection" fld="1" baseField="0" baseItem="1"/>
  </dataFields>
  <formats count="3">
    <format dxfId="16">
      <pivotArea type="all" dataOnly="0" outline="0" fieldPosition="0"/>
    </format>
    <format dxfId="15">
      <pivotArea outline="0" collapsedLevelsAreSubtotals="1" fieldPosition="0"/>
    </format>
    <format dxfId="14">
      <pivotArea dataOnly="0" labelOnly="1" outline="0" fieldPosition="0">
        <references count="1">
          <reference field="4294967294" count="2">
            <x v="0"/>
            <x v="1"/>
          </reference>
        </references>
      </pivotArea>
    </format>
  </formats>
  <chartFormats count="10">
    <chartFormat chart="8" format="0" series="1">
      <pivotArea type="data" outline="0" fieldPosition="0">
        <references count="1">
          <reference field="4294967294" count="1" selected="0">
            <x v="0"/>
          </reference>
        </references>
      </pivotArea>
    </chartFormat>
    <chartFormat chart="8" format="1" series="1">
      <pivotArea type="data" outline="0" fieldPosition="0">
        <references count="1">
          <reference field="4294967294" count="1" selected="0">
            <x v="1"/>
          </reference>
        </references>
      </pivotArea>
    </chartFormat>
    <chartFormat chart="9" format="0" series="1">
      <pivotArea type="data" outline="0" fieldPosition="0">
        <references count="1">
          <reference field="4294967294" count="1" selected="0">
            <x v="0"/>
          </reference>
        </references>
      </pivotArea>
    </chartFormat>
    <chartFormat chart="9" format="1" series="1">
      <pivotArea type="data" outline="0" fieldPosition="0">
        <references count="1">
          <reference field="4294967294" count="1" selected="0">
            <x v="1"/>
          </reference>
        </references>
      </pivotArea>
    </chartFormat>
    <chartFormat chart="13" format="2" series="1">
      <pivotArea type="data" outline="0" fieldPosition="0">
        <references count="1">
          <reference field="4294967294" count="1" selected="0">
            <x v="0"/>
          </reference>
        </references>
      </pivotArea>
    </chartFormat>
    <chartFormat chart="13" format="3"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19" format="0" series="1">
      <pivotArea type="data" outline="0" fieldPosition="0">
        <references count="1">
          <reference field="4294967294" count="1" selected="0">
            <x v="0"/>
          </reference>
        </references>
      </pivotArea>
    </chartFormat>
    <chartFormat chart="19" format="1" series="1">
      <pivotArea type="data" outline="0" fieldPosition="0">
        <references count="1">
          <reference field="4294967294" count="1" selected="0">
            <x v="1"/>
          </reference>
        </references>
      </pivotArea>
    </chartFormat>
  </chartFormats>
  <pivotHierarchies count="20">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caption="MTD Rejection"/>
    <pivotHierarchy dragToData="1" caption="MTD Pending Rejection"/>
    <pivotHierarchy dragToData="1" caption="Sum of Pending Rejection"/>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TD Rejection.xlsx!MTDRejection">
        <x15:activeTabTopLevelEntity name="[MTDReject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name="CheckWise Rejection" cacheId="7" applyNumberFormats="0" applyBorderFormats="0" applyFontFormats="0" applyPatternFormats="0" applyAlignmentFormats="0" applyWidthHeightFormats="1" dataCaption="Values" updatedVersion="8" minRefreshableVersion="5" useAutoFormatting="1" subtotalHiddenItems="1" itemPrintTitles="1" createdVersion="8" indent="0" outline="1" outlineData="1" multipleFieldFilters="0" chartFormat="45">
  <location ref="J8:L17" firstHeaderRow="0" firstDataRow="1" firstDataCol="1"/>
  <pivotFields count="4">
    <pivotField dataField="1" subtotalTop="0" showAll="0" defaultSubtotal="0"/>
    <pivotField axis="axisRow" allDrilled="1" subtotalTop="0" showAll="0" sortType="ascending" defaultSubtotal="0" defaultAttributeDrillState="1">
      <items count="8">
        <item x="0"/>
        <item x="1"/>
        <item x="2"/>
        <item x="3"/>
        <item x="4"/>
        <item x="5"/>
        <item x="6"/>
        <item x="7"/>
      </items>
      <autoSortScope>
        <pivotArea dataOnly="0" outline="0" fieldPosition="0">
          <references count="1">
            <reference field="4294967294" count="1" selected="0">
              <x v="1"/>
            </reference>
          </references>
        </pivotArea>
      </autoSortScope>
    </pivotField>
    <pivotField dataField="1" subtotalTop="0" showAll="0" defaultSubtotal="0"/>
    <pivotField allDrilled="1" subtotalTop="0" showAll="0" dataSourceSort="1" defaultSubtotal="0" defaultAttributeDrillState="1"/>
  </pivotFields>
  <rowFields count="1">
    <field x="1"/>
  </rowFields>
  <rowItems count="9">
    <i>
      <x v="2"/>
    </i>
    <i>
      <x v="5"/>
    </i>
    <i>
      <x v="6"/>
    </i>
    <i>
      <x v="7"/>
    </i>
    <i>
      <x/>
    </i>
    <i>
      <x v="3"/>
    </i>
    <i>
      <x v="1"/>
    </i>
    <i>
      <x v="4"/>
    </i>
    <i t="grand">
      <x/>
    </i>
  </rowItems>
  <colFields count="1">
    <field x="-2"/>
  </colFields>
  <colItems count="2">
    <i>
      <x/>
    </i>
    <i i="1">
      <x v="1"/>
    </i>
  </colItems>
  <dataFields count="2">
    <dataField name="Pending Rejection" fld="2" baseField="1" baseItem="3"/>
    <dataField name="MTD Rejection" fld="0" subtotal="count" baseField="0" baseItem="0"/>
  </dataFields>
  <formats count="4">
    <format dxfId="20">
      <pivotArea type="all" dataOnly="0" outline="0" fieldPosition="0"/>
    </format>
    <format dxfId="19">
      <pivotArea outline="0" collapsedLevelsAreSubtotals="1" fieldPosition="0"/>
    </format>
    <format dxfId="18">
      <pivotArea dataOnly="0" labelOnly="1" grandRow="1" outline="0" fieldPosition="0"/>
    </format>
    <format dxfId="17">
      <pivotArea dataOnly="0" labelOnly="1" outline="0" fieldPosition="0">
        <references count="1">
          <reference field="4294967294" count="2">
            <x v="0"/>
            <x v="1"/>
          </reference>
        </references>
      </pivotArea>
    </format>
  </formats>
  <chartFormats count="26">
    <chartFormat chart="7" format="4" series="1">
      <pivotArea type="data" outline="0" fieldPosition="0">
        <references count="1">
          <reference field="4294967294" count="1" selected="0">
            <x v="1"/>
          </reference>
        </references>
      </pivotArea>
    </chartFormat>
    <chartFormat chart="7" format="5" series="1">
      <pivotArea type="data" outline="0" fieldPosition="0">
        <references count="1">
          <reference field="4294967294" count="1" selected="0">
            <x v="0"/>
          </reference>
        </references>
      </pivotArea>
    </chartFormat>
    <chartFormat chart="27" format="6" series="1">
      <pivotArea type="data" outline="0" fieldPosition="0">
        <references count="1">
          <reference field="4294967294" count="1" selected="0">
            <x v="0"/>
          </reference>
        </references>
      </pivotArea>
    </chartFormat>
    <chartFormat chart="27" format="7" series="1">
      <pivotArea type="data" outline="0" fieldPosition="0">
        <references count="1">
          <reference field="4294967294" count="1" selected="0">
            <x v="1"/>
          </reference>
        </references>
      </pivotArea>
    </chartFormat>
    <chartFormat chart="28" format="8" series="1">
      <pivotArea type="data" outline="0" fieldPosition="0">
        <references count="1">
          <reference field="4294967294" count="1" selected="0">
            <x v="0"/>
          </reference>
        </references>
      </pivotArea>
    </chartFormat>
    <chartFormat chart="28" format="9" series="1">
      <pivotArea type="data" outline="0" fieldPosition="0">
        <references count="1">
          <reference field="4294967294" count="1" selected="0">
            <x v="1"/>
          </reference>
        </references>
      </pivotArea>
    </chartFormat>
    <chartFormat chart="29" format="6" series="1">
      <pivotArea type="data" outline="0" fieldPosition="0">
        <references count="1">
          <reference field="4294967294" count="1" selected="0">
            <x v="0"/>
          </reference>
        </references>
      </pivotArea>
    </chartFormat>
    <chartFormat chart="29" format="7" series="1">
      <pivotArea type="data" outline="0" fieldPosition="0">
        <references count="1">
          <reference field="4294967294" count="1" selected="0">
            <x v="1"/>
          </reference>
        </references>
      </pivotArea>
    </chartFormat>
    <chartFormat chart="30" format="8" series="1">
      <pivotArea type="data" outline="0" fieldPosition="0">
        <references count="1">
          <reference field="4294967294" count="1" selected="0">
            <x v="0"/>
          </reference>
        </references>
      </pivotArea>
    </chartFormat>
    <chartFormat chart="30" format="9" series="1">
      <pivotArea type="data" outline="0" fieldPosition="0">
        <references count="1">
          <reference field="4294967294" count="1" selected="0">
            <x v="1"/>
          </reference>
        </references>
      </pivotArea>
    </chartFormat>
    <chartFormat chart="35" format="6" series="1">
      <pivotArea type="data" outline="0" fieldPosition="0">
        <references count="1">
          <reference field="4294967294" count="1" selected="0">
            <x v="0"/>
          </reference>
        </references>
      </pivotArea>
    </chartFormat>
    <chartFormat chart="35" format="7" series="1">
      <pivotArea type="data" outline="0" fieldPosition="0">
        <references count="1">
          <reference field="4294967294" count="1" selected="0">
            <x v="1"/>
          </reference>
        </references>
      </pivotArea>
    </chartFormat>
    <chartFormat chart="36" format="8" series="1">
      <pivotArea type="data" outline="0" fieldPosition="0">
        <references count="1">
          <reference field="4294967294" count="1" selected="0">
            <x v="0"/>
          </reference>
        </references>
      </pivotArea>
    </chartFormat>
    <chartFormat chart="36" format="9" series="1">
      <pivotArea type="data" outline="0" fieldPosition="0">
        <references count="1">
          <reference field="4294967294" count="1" selected="0">
            <x v="1"/>
          </reference>
        </references>
      </pivotArea>
    </chartFormat>
    <chartFormat chart="39" format="6" series="1">
      <pivotArea type="data" outline="0" fieldPosition="0">
        <references count="1">
          <reference field="4294967294" count="1" selected="0">
            <x v="0"/>
          </reference>
        </references>
      </pivotArea>
    </chartFormat>
    <chartFormat chart="39" format="7" series="1">
      <pivotArea type="data" outline="0" fieldPosition="0">
        <references count="1">
          <reference field="4294967294" count="1" selected="0">
            <x v="1"/>
          </reference>
        </references>
      </pivotArea>
    </chartFormat>
    <chartFormat chart="40" format="8" series="1">
      <pivotArea type="data" outline="0" fieldPosition="0">
        <references count="1">
          <reference field="4294967294" count="1" selected="0">
            <x v="0"/>
          </reference>
        </references>
      </pivotArea>
    </chartFormat>
    <chartFormat chart="40" format="9" series="1">
      <pivotArea type="data" outline="0" fieldPosition="0">
        <references count="1">
          <reference field="4294967294" count="1" selected="0">
            <x v="1"/>
          </reference>
        </references>
      </pivotArea>
    </chartFormat>
    <chartFormat chart="41" format="6" series="1">
      <pivotArea type="data" outline="0" fieldPosition="0">
        <references count="1">
          <reference field="4294967294" count="1" selected="0">
            <x v="0"/>
          </reference>
        </references>
      </pivotArea>
    </chartFormat>
    <chartFormat chart="41" format="7" series="1">
      <pivotArea type="data" outline="0" fieldPosition="0">
        <references count="1">
          <reference field="4294967294" count="1" selected="0">
            <x v="1"/>
          </reference>
        </references>
      </pivotArea>
    </chartFormat>
    <chartFormat chart="42" format="8" series="1">
      <pivotArea type="data" outline="0" fieldPosition="0">
        <references count="1">
          <reference field="4294967294" count="1" selected="0">
            <x v="0"/>
          </reference>
        </references>
      </pivotArea>
    </chartFormat>
    <chartFormat chart="42" format="9" series="1">
      <pivotArea type="data" outline="0" fieldPosition="0">
        <references count="1">
          <reference field="4294967294" count="1" selected="0">
            <x v="1"/>
          </reference>
        </references>
      </pivotArea>
    </chartFormat>
    <chartFormat chart="43" format="6" series="1">
      <pivotArea type="data" outline="0" fieldPosition="0">
        <references count="1">
          <reference field="4294967294" count="1" selected="0">
            <x v="0"/>
          </reference>
        </references>
      </pivotArea>
    </chartFormat>
    <chartFormat chart="43" format="7" series="1">
      <pivotArea type="data" outline="0" fieldPosition="0">
        <references count="1">
          <reference field="4294967294" count="1" selected="0">
            <x v="1"/>
          </reference>
        </references>
      </pivotArea>
    </chartFormat>
    <chartFormat chart="44" format="8" series="1">
      <pivotArea type="data" outline="0" fieldPosition="0">
        <references count="1">
          <reference field="4294967294" count="1" selected="0">
            <x v="0"/>
          </reference>
        </references>
      </pivotArea>
    </chartFormat>
    <chartFormat chart="44" format="9" series="1">
      <pivotArea type="data" outline="0" fieldPosition="0">
        <references count="1">
          <reference field="4294967294" count="1" selected="0">
            <x v="1"/>
          </reference>
        </references>
      </pivotArea>
    </chartFormat>
  </chartFormats>
  <pivotHierarchies count="20">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caption="MTD Rejection"/>
    <pivotHierarchy dragToData="1" caption="Pending Rejection"/>
    <pivotHierarchy dragToData="1" caption="Pending Rejection"/>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TD Rejection.xlsx!MTDRejection">
        <x15:activeTabTopLevelEntity name="[MTDReject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name="Checkwise Rejection Percentage" cacheId="3" applyNumberFormats="0" applyBorderFormats="0" applyFontFormats="0" applyPatternFormats="0" applyAlignmentFormats="0" applyWidthHeightFormats="1" dataCaption="Values" updatedVersion="8" minRefreshableVersion="5" useAutoFormatting="1" subtotalHiddenItems="1" itemPrintTitles="1" createdVersion="8" indent="0" outline="1" outlineData="1" multipleFieldFilters="0" chartFormat="53">
  <location ref="J23:K32" firstHeaderRow="1" firstDataRow="1" firstDataCol="1"/>
  <pivotFields count="3">
    <pivotField dataField="1" subtotalTop="0" showAll="0" defaultSubtotal="0"/>
    <pivotField axis="axisRow" allDrilled="1" subtotalTop="0" showAll="0" defaultSubtotal="0" defaultAttributeDrillState="1">
      <items count="8">
        <item x="1"/>
        <item x="5"/>
        <item x="7"/>
        <item x="0"/>
        <item x="2"/>
        <item x="3"/>
        <item x="4"/>
        <item x="6"/>
      </items>
    </pivotField>
    <pivotField allDrilled="1" subtotalTop="0" showAll="0" dataSourceSort="1" defaultSubtotal="0" defaultAttributeDrillState="1"/>
  </pivotFields>
  <rowFields count="1">
    <field x="1"/>
  </rowFields>
  <rowItems count="9">
    <i>
      <x/>
    </i>
    <i>
      <x v="1"/>
    </i>
    <i>
      <x v="2"/>
    </i>
    <i>
      <x v="3"/>
    </i>
    <i>
      <x v="4"/>
    </i>
    <i>
      <x v="5"/>
    </i>
    <i>
      <x v="6"/>
    </i>
    <i>
      <x v="7"/>
    </i>
    <i t="grand">
      <x/>
    </i>
  </rowItems>
  <colItems count="1">
    <i/>
  </colItems>
  <dataFields count="1">
    <dataField name="MTD Rejection" fld="0" subtotal="count" showDataAs="percentOfTotal" baseField="0" baseItem="0" numFmtId="10"/>
  </dataFields>
  <formats count="5">
    <format dxfId="25">
      <pivotArea type="all" dataOnly="0" outline="0" fieldPosition="0"/>
    </format>
    <format dxfId="24">
      <pivotArea outline="0" collapsedLevelsAreSubtotals="1" fieldPosition="0"/>
    </format>
    <format dxfId="23">
      <pivotArea dataOnly="0" labelOnly="1" grandRow="1" outline="0" fieldPosition="0"/>
    </format>
    <format dxfId="22">
      <pivotArea dataOnly="0" labelOnly="1" outline="0" fieldPosition="0">
        <references count="1">
          <reference field="4294967294" count="1">
            <x v="0"/>
          </reference>
        </references>
      </pivotArea>
    </format>
    <format dxfId="21">
      <pivotArea outline="0" fieldPosition="0">
        <references count="1">
          <reference field="4294967294" count="1">
            <x v="0"/>
          </reference>
        </references>
      </pivotArea>
    </format>
  </formats>
  <chartFormats count="118">
    <chartFormat chart="7" format="4" series="1">
      <pivotArea type="data" outline="0" fieldPosition="0">
        <references count="1">
          <reference field="4294967294" count="1" selected="0">
            <x v="0"/>
          </reference>
        </references>
      </pivotArea>
    </chartFormat>
    <chartFormat chart="16" format="16" series="1">
      <pivotArea type="data" outline="0" fieldPosition="0">
        <references count="1">
          <reference field="4294967294" count="1" selected="0">
            <x v="0"/>
          </reference>
        </references>
      </pivotArea>
    </chartFormat>
    <chartFormat chart="16" format="17">
      <pivotArea type="data" outline="0" fieldPosition="0">
        <references count="2">
          <reference field="4294967294" count="1" selected="0">
            <x v="0"/>
          </reference>
          <reference field="1" count="1" selected="0">
            <x v="1048832"/>
          </reference>
        </references>
      </pivotArea>
    </chartFormat>
    <chartFormat chart="16" format="18">
      <pivotArea type="data" outline="0" fieldPosition="0">
        <references count="2">
          <reference field="4294967294" count="1" selected="0">
            <x v="0"/>
          </reference>
          <reference field="1" count="1" selected="0">
            <x v="0"/>
          </reference>
        </references>
      </pivotArea>
    </chartFormat>
    <chartFormat chart="16" format="19">
      <pivotArea type="data" outline="0" fieldPosition="0">
        <references count="2">
          <reference field="4294967294" count="1" selected="0">
            <x v="0"/>
          </reference>
          <reference field="1" count="1" selected="0">
            <x v="1048832"/>
          </reference>
        </references>
      </pivotArea>
    </chartFormat>
    <chartFormat chart="16" format="20">
      <pivotArea type="data" outline="0" fieldPosition="0">
        <references count="2">
          <reference field="4294967294" count="1" selected="0">
            <x v="0"/>
          </reference>
          <reference field="1" count="1" selected="0">
            <x v="1048832"/>
          </reference>
        </references>
      </pivotArea>
    </chartFormat>
    <chartFormat chart="16" format="21">
      <pivotArea type="data" outline="0" fieldPosition="0">
        <references count="2">
          <reference field="4294967294" count="1" selected="0">
            <x v="0"/>
          </reference>
          <reference field="1" count="1" selected="0">
            <x v="1"/>
          </reference>
        </references>
      </pivotArea>
    </chartFormat>
    <chartFormat chart="16" format="22">
      <pivotArea type="data" outline="0" fieldPosition="0">
        <references count="2">
          <reference field="4294967294" count="1" selected="0">
            <x v="0"/>
          </reference>
          <reference field="1" count="1" selected="0">
            <x v="1048832"/>
          </reference>
        </references>
      </pivotArea>
    </chartFormat>
    <chartFormat chart="16" format="23">
      <pivotArea type="data" outline="0" fieldPosition="0">
        <references count="2">
          <reference field="4294967294" count="1" selected="0">
            <x v="0"/>
          </reference>
          <reference field="1" count="1" selected="0">
            <x v="2"/>
          </reference>
        </references>
      </pivotArea>
    </chartFormat>
    <chartFormat chart="32" format="24" series="1">
      <pivotArea type="data" outline="0" fieldPosition="0">
        <references count="1">
          <reference field="4294967294" count="1" selected="0">
            <x v="0"/>
          </reference>
        </references>
      </pivotArea>
    </chartFormat>
    <chartFormat chart="32" format="25">
      <pivotArea type="data" outline="0" fieldPosition="0">
        <references count="2">
          <reference field="4294967294" count="1" selected="0">
            <x v="0"/>
          </reference>
          <reference field="1" count="1" selected="0">
            <x v="1048832"/>
          </reference>
        </references>
      </pivotArea>
    </chartFormat>
    <chartFormat chart="32" format="26">
      <pivotArea type="data" outline="0" fieldPosition="0">
        <references count="2">
          <reference field="4294967294" count="1" selected="0">
            <x v="0"/>
          </reference>
          <reference field="1" count="1" selected="0">
            <x v="0"/>
          </reference>
        </references>
      </pivotArea>
    </chartFormat>
    <chartFormat chart="32" format="27">
      <pivotArea type="data" outline="0" fieldPosition="0">
        <references count="2">
          <reference field="4294967294" count="1" selected="0">
            <x v="0"/>
          </reference>
          <reference field="1" count="1" selected="0">
            <x v="1048832"/>
          </reference>
        </references>
      </pivotArea>
    </chartFormat>
    <chartFormat chart="32" format="28">
      <pivotArea type="data" outline="0" fieldPosition="0">
        <references count="2">
          <reference field="4294967294" count="1" selected="0">
            <x v="0"/>
          </reference>
          <reference field="1" count="1" selected="0">
            <x v="1048832"/>
          </reference>
        </references>
      </pivotArea>
    </chartFormat>
    <chartFormat chart="32" format="29">
      <pivotArea type="data" outline="0" fieldPosition="0">
        <references count="2">
          <reference field="4294967294" count="1" selected="0">
            <x v="0"/>
          </reference>
          <reference field="1" count="1" selected="0">
            <x v="1"/>
          </reference>
        </references>
      </pivotArea>
    </chartFormat>
    <chartFormat chart="32" format="30">
      <pivotArea type="data" outline="0" fieldPosition="0">
        <references count="2">
          <reference field="4294967294" count="1" selected="0">
            <x v="0"/>
          </reference>
          <reference field="1" count="1" selected="0">
            <x v="1048832"/>
          </reference>
        </references>
      </pivotArea>
    </chartFormat>
    <chartFormat chart="32" format="31">
      <pivotArea type="data" outline="0" fieldPosition="0">
        <references count="2">
          <reference field="4294967294" count="1" selected="0">
            <x v="0"/>
          </reference>
          <reference field="1" count="1" selected="0">
            <x v="2"/>
          </reference>
        </references>
      </pivotArea>
    </chartFormat>
    <chartFormat chart="33" format="32" series="1">
      <pivotArea type="data" outline="0" fieldPosition="0">
        <references count="1">
          <reference field="4294967294" count="1" selected="0">
            <x v="0"/>
          </reference>
        </references>
      </pivotArea>
    </chartFormat>
    <chartFormat chart="33" format="33">
      <pivotArea type="data" outline="0" fieldPosition="0">
        <references count="2">
          <reference field="4294967294" count="1" selected="0">
            <x v="0"/>
          </reference>
          <reference field="1" count="1" selected="0">
            <x v="1048832"/>
          </reference>
        </references>
      </pivotArea>
    </chartFormat>
    <chartFormat chart="33" format="34">
      <pivotArea type="data" outline="0" fieldPosition="0">
        <references count="2">
          <reference field="4294967294" count="1" selected="0">
            <x v="0"/>
          </reference>
          <reference field="1" count="1" selected="0">
            <x v="0"/>
          </reference>
        </references>
      </pivotArea>
    </chartFormat>
    <chartFormat chart="33" format="35">
      <pivotArea type="data" outline="0" fieldPosition="0">
        <references count="2">
          <reference field="4294967294" count="1" selected="0">
            <x v="0"/>
          </reference>
          <reference field="1" count="1" selected="0">
            <x v="1048832"/>
          </reference>
        </references>
      </pivotArea>
    </chartFormat>
    <chartFormat chart="33" format="36">
      <pivotArea type="data" outline="0" fieldPosition="0">
        <references count="2">
          <reference field="4294967294" count="1" selected="0">
            <x v="0"/>
          </reference>
          <reference field="1" count="1" selected="0">
            <x v="1048832"/>
          </reference>
        </references>
      </pivotArea>
    </chartFormat>
    <chartFormat chart="33" format="37">
      <pivotArea type="data" outline="0" fieldPosition="0">
        <references count="2">
          <reference field="4294967294" count="1" selected="0">
            <x v="0"/>
          </reference>
          <reference field="1" count="1" selected="0">
            <x v="1"/>
          </reference>
        </references>
      </pivotArea>
    </chartFormat>
    <chartFormat chart="33" format="38">
      <pivotArea type="data" outline="0" fieldPosition="0">
        <references count="2">
          <reference field="4294967294" count="1" selected="0">
            <x v="0"/>
          </reference>
          <reference field="1" count="1" selected="0">
            <x v="1048832"/>
          </reference>
        </references>
      </pivotArea>
    </chartFormat>
    <chartFormat chart="33" format="39">
      <pivotArea type="data" outline="0" fieldPosition="0">
        <references count="2">
          <reference field="4294967294" count="1" selected="0">
            <x v="0"/>
          </reference>
          <reference field="1" count="1" selected="0">
            <x v="2"/>
          </reference>
        </references>
      </pivotArea>
    </chartFormat>
    <chartFormat chart="34" format="24" series="1">
      <pivotArea type="data" outline="0" fieldPosition="0">
        <references count="1">
          <reference field="4294967294" count="1" selected="0">
            <x v="0"/>
          </reference>
        </references>
      </pivotArea>
    </chartFormat>
    <chartFormat chart="34" format="25">
      <pivotArea type="data" outline="0" fieldPosition="0">
        <references count="2">
          <reference field="4294967294" count="1" selected="0">
            <x v="0"/>
          </reference>
          <reference field="1" count="1" selected="0">
            <x v="1048832"/>
          </reference>
        </references>
      </pivotArea>
    </chartFormat>
    <chartFormat chart="34" format="26">
      <pivotArea type="data" outline="0" fieldPosition="0">
        <references count="2">
          <reference field="4294967294" count="1" selected="0">
            <x v="0"/>
          </reference>
          <reference field="1" count="1" selected="0">
            <x v="0"/>
          </reference>
        </references>
      </pivotArea>
    </chartFormat>
    <chartFormat chart="34" format="27">
      <pivotArea type="data" outline="0" fieldPosition="0">
        <references count="2">
          <reference field="4294967294" count="1" selected="0">
            <x v="0"/>
          </reference>
          <reference field="1" count="1" selected="0">
            <x v="1048832"/>
          </reference>
        </references>
      </pivotArea>
    </chartFormat>
    <chartFormat chart="34" format="28">
      <pivotArea type="data" outline="0" fieldPosition="0">
        <references count="2">
          <reference field="4294967294" count="1" selected="0">
            <x v="0"/>
          </reference>
          <reference field="1" count="1" selected="0">
            <x v="1048832"/>
          </reference>
        </references>
      </pivotArea>
    </chartFormat>
    <chartFormat chart="34" format="29">
      <pivotArea type="data" outline="0" fieldPosition="0">
        <references count="2">
          <reference field="4294967294" count="1" selected="0">
            <x v="0"/>
          </reference>
          <reference field="1" count="1" selected="0">
            <x v="1"/>
          </reference>
        </references>
      </pivotArea>
    </chartFormat>
    <chartFormat chart="34" format="30">
      <pivotArea type="data" outline="0" fieldPosition="0">
        <references count="2">
          <reference field="4294967294" count="1" selected="0">
            <x v="0"/>
          </reference>
          <reference field="1" count="1" selected="0">
            <x v="1048832"/>
          </reference>
        </references>
      </pivotArea>
    </chartFormat>
    <chartFormat chart="34" format="31">
      <pivotArea type="data" outline="0" fieldPosition="0">
        <references count="2">
          <reference field="4294967294" count="1" selected="0">
            <x v="0"/>
          </reference>
          <reference field="1" count="1" selected="0">
            <x v="2"/>
          </reference>
        </references>
      </pivotArea>
    </chartFormat>
    <chartFormat chart="35" format="32" series="1">
      <pivotArea type="data" outline="0" fieldPosition="0">
        <references count="1">
          <reference field="4294967294" count="1" selected="0">
            <x v="0"/>
          </reference>
        </references>
      </pivotArea>
    </chartFormat>
    <chartFormat chart="35" format="33">
      <pivotArea type="data" outline="0" fieldPosition="0">
        <references count="2">
          <reference field="4294967294" count="1" selected="0">
            <x v="0"/>
          </reference>
          <reference field="1" count="1" selected="0">
            <x v="1048832"/>
          </reference>
        </references>
      </pivotArea>
    </chartFormat>
    <chartFormat chart="35" format="34">
      <pivotArea type="data" outline="0" fieldPosition="0">
        <references count="2">
          <reference field="4294967294" count="1" selected="0">
            <x v="0"/>
          </reference>
          <reference field="1" count="1" selected="0">
            <x v="0"/>
          </reference>
        </references>
      </pivotArea>
    </chartFormat>
    <chartFormat chart="35" format="35">
      <pivotArea type="data" outline="0" fieldPosition="0">
        <references count="2">
          <reference field="4294967294" count="1" selected="0">
            <x v="0"/>
          </reference>
          <reference field="1" count="1" selected="0">
            <x v="1048832"/>
          </reference>
        </references>
      </pivotArea>
    </chartFormat>
    <chartFormat chart="35" format="36">
      <pivotArea type="data" outline="0" fieldPosition="0">
        <references count="2">
          <reference field="4294967294" count="1" selected="0">
            <x v="0"/>
          </reference>
          <reference field="1" count="1" selected="0">
            <x v="1048832"/>
          </reference>
        </references>
      </pivotArea>
    </chartFormat>
    <chartFormat chart="35" format="37">
      <pivotArea type="data" outline="0" fieldPosition="0">
        <references count="2">
          <reference field="4294967294" count="1" selected="0">
            <x v="0"/>
          </reference>
          <reference field="1" count="1" selected="0">
            <x v="1"/>
          </reference>
        </references>
      </pivotArea>
    </chartFormat>
    <chartFormat chart="35" format="38">
      <pivotArea type="data" outline="0" fieldPosition="0">
        <references count="2">
          <reference field="4294967294" count="1" selected="0">
            <x v="0"/>
          </reference>
          <reference field="1" count="1" selected="0">
            <x v="1048832"/>
          </reference>
        </references>
      </pivotArea>
    </chartFormat>
    <chartFormat chart="35" format="39">
      <pivotArea type="data" outline="0" fieldPosition="0">
        <references count="2">
          <reference field="4294967294" count="1" selected="0">
            <x v="0"/>
          </reference>
          <reference field="1" count="1" selected="0">
            <x v="2"/>
          </reference>
        </references>
      </pivotArea>
    </chartFormat>
    <chartFormat chart="16" format="24">
      <pivotArea type="data" outline="0" fieldPosition="0">
        <references count="2">
          <reference field="4294967294" count="1" selected="0">
            <x v="0"/>
          </reference>
          <reference field="1" count="1" selected="0">
            <x v="1048832"/>
          </reference>
        </references>
      </pivotArea>
    </chartFormat>
    <chartFormat chart="41" format="25" series="1">
      <pivotArea type="data" outline="0" fieldPosition="0">
        <references count="1">
          <reference field="4294967294" count="1" selected="0">
            <x v="0"/>
          </reference>
        </references>
      </pivotArea>
    </chartFormat>
    <chartFormat chart="41" format="26">
      <pivotArea type="data" outline="0" fieldPosition="0">
        <references count="2">
          <reference field="4294967294" count="1" selected="0">
            <x v="0"/>
          </reference>
          <reference field="1" count="1" selected="0">
            <x v="1048832"/>
          </reference>
        </references>
      </pivotArea>
    </chartFormat>
    <chartFormat chart="41" format="27">
      <pivotArea type="data" outline="0" fieldPosition="0">
        <references count="2">
          <reference field="4294967294" count="1" selected="0">
            <x v="0"/>
          </reference>
          <reference field="1" count="1" selected="0">
            <x v="0"/>
          </reference>
        </references>
      </pivotArea>
    </chartFormat>
    <chartFormat chart="41" format="28">
      <pivotArea type="data" outline="0" fieldPosition="0">
        <references count="2">
          <reference field="4294967294" count="1" selected="0">
            <x v="0"/>
          </reference>
          <reference field="1" count="1" selected="0">
            <x v="1048832"/>
          </reference>
        </references>
      </pivotArea>
    </chartFormat>
    <chartFormat chart="41" format="29">
      <pivotArea type="data" outline="0" fieldPosition="0">
        <references count="2">
          <reference field="4294967294" count="1" selected="0">
            <x v="0"/>
          </reference>
          <reference field="1" count="1" selected="0">
            <x v="1048832"/>
          </reference>
        </references>
      </pivotArea>
    </chartFormat>
    <chartFormat chart="41" format="30">
      <pivotArea type="data" outline="0" fieldPosition="0">
        <references count="2">
          <reference field="4294967294" count="1" selected="0">
            <x v="0"/>
          </reference>
          <reference field="1" count="1" selected="0">
            <x v="1"/>
          </reference>
        </references>
      </pivotArea>
    </chartFormat>
    <chartFormat chart="41" format="31">
      <pivotArea type="data" outline="0" fieldPosition="0">
        <references count="2">
          <reference field="4294967294" count="1" selected="0">
            <x v="0"/>
          </reference>
          <reference field="1" count="1" selected="0">
            <x v="1048832"/>
          </reference>
        </references>
      </pivotArea>
    </chartFormat>
    <chartFormat chart="41" format="32">
      <pivotArea type="data" outline="0" fieldPosition="0">
        <references count="2">
          <reference field="4294967294" count="1" selected="0">
            <x v="0"/>
          </reference>
          <reference field="1" count="1" selected="0">
            <x v="2"/>
          </reference>
        </references>
      </pivotArea>
    </chartFormat>
    <chartFormat chart="42" format="33" series="1">
      <pivotArea type="data" outline="0" fieldPosition="0">
        <references count="1">
          <reference field="4294967294" count="1" selected="0">
            <x v="0"/>
          </reference>
        </references>
      </pivotArea>
    </chartFormat>
    <chartFormat chart="42" format="34">
      <pivotArea type="data" outline="0" fieldPosition="0">
        <references count="2">
          <reference field="4294967294" count="1" selected="0">
            <x v="0"/>
          </reference>
          <reference field="1" count="1" selected="0">
            <x v="1048832"/>
          </reference>
        </references>
      </pivotArea>
    </chartFormat>
    <chartFormat chart="42" format="35">
      <pivotArea type="data" outline="0" fieldPosition="0">
        <references count="2">
          <reference field="4294967294" count="1" selected="0">
            <x v="0"/>
          </reference>
          <reference field="1" count="1" selected="0">
            <x v="0"/>
          </reference>
        </references>
      </pivotArea>
    </chartFormat>
    <chartFormat chart="42" format="36">
      <pivotArea type="data" outline="0" fieldPosition="0">
        <references count="2">
          <reference field="4294967294" count="1" selected="0">
            <x v="0"/>
          </reference>
          <reference field="1" count="1" selected="0">
            <x v="1048832"/>
          </reference>
        </references>
      </pivotArea>
    </chartFormat>
    <chartFormat chart="42" format="37">
      <pivotArea type="data" outline="0" fieldPosition="0">
        <references count="2">
          <reference field="4294967294" count="1" selected="0">
            <x v="0"/>
          </reference>
          <reference field="1" count="1" selected="0">
            <x v="1048832"/>
          </reference>
        </references>
      </pivotArea>
    </chartFormat>
    <chartFormat chart="42" format="38">
      <pivotArea type="data" outline="0" fieldPosition="0">
        <references count="2">
          <reference field="4294967294" count="1" selected="0">
            <x v="0"/>
          </reference>
          <reference field="1" count="1" selected="0">
            <x v="1"/>
          </reference>
        </references>
      </pivotArea>
    </chartFormat>
    <chartFormat chart="42" format="39">
      <pivotArea type="data" outline="0" fieldPosition="0">
        <references count="2">
          <reference field="4294967294" count="1" selected="0">
            <x v="0"/>
          </reference>
          <reference field="1" count="1" selected="0">
            <x v="1048832"/>
          </reference>
        </references>
      </pivotArea>
    </chartFormat>
    <chartFormat chart="42" format="40">
      <pivotArea type="data" outline="0" fieldPosition="0">
        <references count="2">
          <reference field="4294967294" count="1" selected="0">
            <x v="0"/>
          </reference>
          <reference field="1" count="1" selected="0">
            <x v="2"/>
          </reference>
        </references>
      </pivotArea>
    </chartFormat>
    <chartFormat chart="16" format="25">
      <pivotArea type="data" outline="0" fieldPosition="0">
        <references count="2">
          <reference field="4294967294" count="1" selected="0">
            <x v="0"/>
          </reference>
          <reference field="1" count="1" selected="0">
            <x v="1048832"/>
          </reference>
        </references>
      </pivotArea>
    </chartFormat>
    <chartFormat chart="16" format="26">
      <pivotArea type="data" outline="0" fieldPosition="0">
        <references count="2">
          <reference field="4294967294" count="1" selected="0">
            <x v="0"/>
          </reference>
          <reference field="1" count="1" selected="0">
            <x v="6"/>
          </reference>
        </references>
      </pivotArea>
    </chartFormat>
    <chartFormat chart="47" format="27" series="1">
      <pivotArea type="data" outline="0" fieldPosition="0">
        <references count="1">
          <reference field="4294967294" count="1" selected="0">
            <x v="0"/>
          </reference>
        </references>
      </pivotArea>
    </chartFormat>
    <chartFormat chart="47" format="28">
      <pivotArea type="data" outline="0" fieldPosition="0">
        <references count="2">
          <reference field="4294967294" count="1" selected="0">
            <x v="0"/>
          </reference>
          <reference field="1" count="1" selected="0">
            <x v="0"/>
          </reference>
        </references>
      </pivotArea>
    </chartFormat>
    <chartFormat chart="47" format="29">
      <pivotArea type="data" outline="0" fieldPosition="0">
        <references count="2">
          <reference field="4294967294" count="1" selected="0">
            <x v="0"/>
          </reference>
          <reference field="1" count="1" selected="0">
            <x v="1"/>
          </reference>
        </references>
      </pivotArea>
    </chartFormat>
    <chartFormat chart="47" format="30">
      <pivotArea type="data" outline="0" fieldPosition="0">
        <references count="2">
          <reference field="4294967294" count="1" selected="0">
            <x v="0"/>
          </reference>
          <reference field="1" count="1" selected="0">
            <x v="2"/>
          </reference>
        </references>
      </pivotArea>
    </chartFormat>
    <chartFormat chart="47" format="31">
      <pivotArea type="data" outline="0" fieldPosition="0">
        <references count="2">
          <reference field="4294967294" count="1" selected="0">
            <x v="0"/>
          </reference>
          <reference field="1" count="1" selected="0">
            <x v="3"/>
          </reference>
        </references>
      </pivotArea>
    </chartFormat>
    <chartFormat chart="47" format="32">
      <pivotArea type="data" outline="0" fieldPosition="0">
        <references count="2">
          <reference field="4294967294" count="1" selected="0">
            <x v="0"/>
          </reference>
          <reference field="1" count="1" selected="0">
            <x v="4"/>
          </reference>
        </references>
      </pivotArea>
    </chartFormat>
    <chartFormat chart="47" format="33">
      <pivotArea type="data" outline="0" fieldPosition="0">
        <references count="2">
          <reference field="4294967294" count="1" selected="0">
            <x v="0"/>
          </reference>
          <reference field="1" count="1" selected="0">
            <x v="5"/>
          </reference>
        </references>
      </pivotArea>
    </chartFormat>
    <chartFormat chart="47" format="34">
      <pivotArea type="data" outline="0" fieldPosition="0">
        <references count="2">
          <reference field="4294967294" count="1" selected="0">
            <x v="0"/>
          </reference>
          <reference field="1" count="1" selected="0">
            <x v="6"/>
          </reference>
        </references>
      </pivotArea>
    </chartFormat>
    <chartFormat chart="47" format="35">
      <pivotArea type="data" outline="0" fieldPosition="0">
        <references count="2">
          <reference field="4294967294" count="1" selected="0">
            <x v="0"/>
          </reference>
          <reference field="1" count="1" selected="0">
            <x v="7"/>
          </reference>
        </references>
      </pivotArea>
    </chartFormat>
    <chartFormat chart="48" format="36" series="1">
      <pivotArea type="data" outline="0" fieldPosition="0">
        <references count="1">
          <reference field="4294967294" count="1" selected="0">
            <x v="0"/>
          </reference>
        </references>
      </pivotArea>
    </chartFormat>
    <chartFormat chart="48" format="37">
      <pivotArea type="data" outline="0" fieldPosition="0">
        <references count="2">
          <reference field="4294967294" count="1" selected="0">
            <x v="0"/>
          </reference>
          <reference field="1" count="1" selected="0">
            <x v="0"/>
          </reference>
        </references>
      </pivotArea>
    </chartFormat>
    <chartFormat chart="48" format="38">
      <pivotArea type="data" outline="0" fieldPosition="0">
        <references count="2">
          <reference field="4294967294" count="1" selected="0">
            <x v="0"/>
          </reference>
          <reference field="1" count="1" selected="0">
            <x v="1"/>
          </reference>
        </references>
      </pivotArea>
    </chartFormat>
    <chartFormat chart="48" format="39">
      <pivotArea type="data" outline="0" fieldPosition="0">
        <references count="2">
          <reference field="4294967294" count="1" selected="0">
            <x v="0"/>
          </reference>
          <reference field="1" count="1" selected="0">
            <x v="2"/>
          </reference>
        </references>
      </pivotArea>
    </chartFormat>
    <chartFormat chart="48" format="40">
      <pivotArea type="data" outline="0" fieldPosition="0">
        <references count="2">
          <reference field="4294967294" count="1" selected="0">
            <x v="0"/>
          </reference>
          <reference field="1" count="1" selected="0">
            <x v="3"/>
          </reference>
        </references>
      </pivotArea>
    </chartFormat>
    <chartFormat chart="48" format="41">
      <pivotArea type="data" outline="0" fieldPosition="0">
        <references count="2">
          <reference field="4294967294" count="1" selected="0">
            <x v="0"/>
          </reference>
          <reference field="1" count="1" selected="0">
            <x v="4"/>
          </reference>
        </references>
      </pivotArea>
    </chartFormat>
    <chartFormat chart="48" format="42">
      <pivotArea type="data" outline="0" fieldPosition="0">
        <references count="2">
          <reference field="4294967294" count="1" selected="0">
            <x v="0"/>
          </reference>
          <reference field="1" count="1" selected="0">
            <x v="5"/>
          </reference>
        </references>
      </pivotArea>
    </chartFormat>
    <chartFormat chart="48" format="43">
      <pivotArea type="data" outline="0" fieldPosition="0">
        <references count="2">
          <reference field="4294967294" count="1" selected="0">
            <x v="0"/>
          </reference>
          <reference field="1" count="1" selected="0">
            <x v="6"/>
          </reference>
        </references>
      </pivotArea>
    </chartFormat>
    <chartFormat chart="48" format="44">
      <pivotArea type="data" outline="0" fieldPosition="0">
        <references count="2">
          <reference field="4294967294" count="1" selected="0">
            <x v="0"/>
          </reference>
          <reference field="1" count="1" selected="0">
            <x v="7"/>
          </reference>
        </references>
      </pivotArea>
    </chartFormat>
    <chartFormat chart="16" format="27">
      <pivotArea type="data" outline="0" fieldPosition="0">
        <references count="2">
          <reference field="4294967294" count="1" selected="0">
            <x v="0"/>
          </reference>
          <reference field="1" count="1" selected="0">
            <x v="3"/>
          </reference>
        </references>
      </pivotArea>
    </chartFormat>
    <chartFormat chart="16" format="28">
      <pivotArea type="data" outline="0" fieldPosition="0">
        <references count="2">
          <reference field="4294967294" count="1" selected="0">
            <x v="0"/>
          </reference>
          <reference field="1" count="1" selected="0">
            <x v="4"/>
          </reference>
        </references>
      </pivotArea>
    </chartFormat>
    <chartFormat chart="16" format="29">
      <pivotArea type="data" outline="0" fieldPosition="0">
        <references count="2">
          <reference field="4294967294" count="1" selected="0">
            <x v="0"/>
          </reference>
          <reference field="1" count="1" selected="0">
            <x v="5"/>
          </reference>
        </references>
      </pivotArea>
    </chartFormat>
    <chartFormat chart="16" format="30">
      <pivotArea type="data" outline="0" fieldPosition="0">
        <references count="2">
          <reference field="4294967294" count="1" selected="0">
            <x v="0"/>
          </reference>
          <reference field="1" count="1" selected="0">
            <x v="7"/>
          </reference>
        </references>
      </pivotArea>
    </chartFormat>
    <chartFormat chart="49" format="31" series="1">
      <pivotArea type="data" outline="0" fieldPosition="0">
        <references count="1">
          <reference field="4294967294" count="1" selected="0">
            <x v="0"/>
          </reference>
        </references>
      </pivotArea>
    </chartFormat>
    <chartFormat chart="49" format="32">
      <pivotArea type="data" outline="0" fieldPosition="0">
        <references count="2">
          <reference field="4294967294" count="1" selected="0">
            <x v="0"/>
          </reference>
          <reference field="1" count="1" selected="0">
            <x v="0"/>
          </reference>
        </references>
      </pivotArea>
    </chartFormat>
    <chartFormat chart="49" format="33">
      <pivotArea type="data" outline="0" fieldPosition="0">
        <references count="2">
          <reference field="4294967294" count="1" selected="0">
            <x v="0"/>
          </reference>
          <reference field="1" count="1" selected="0">
            <x v="1"/>
          </reference>
        </references>
      </pivotArea>
    </chartFormat>
    <chartFormat chart="49" format="34">
      <pivotArea type="data" outline="0" fieldPosition="0">
        <references count="2">
          <reference field="4294967294" count="1" selected="0">
            <x v="0"/>
          </reference>
          <reference field="1" count="1" selected="0">
            <x v="2"/>
          </reference>
        </references>
      </pivotArea>
    </chartFormat>
    <chartFormat chart="49" format="35">
      <pivotArea type="data" outline="0" fieldPosition="0">
        <references count="2">
          <reference field="4294967294" count="1" selected="0">
            <x v="0"/>
          </reference>
          <reference field="1" count="1" selected="0">
            <x v="3"/>
          </reference>
        </references>
      </pivotArea>
    </chartFormat>
    <chartFormat chart="49" format="36">
      <pivotArea type="data" outline="0" fieldPosition="0">
        <references count="2">
          <reference field="4294967294" count="1" selected="0">
            <x v="0"/>
          </reference>
          <reference field="1" count="1" selected="0">
            <x v="4"/>
          </reference>
        </references>
      </pivotArea>
    </chartFormat>
    <chartFormat chart="49" format="37">
      <pivotArea type="data" outline="0" fieldPosition="0">
        <references count="2">
          <reference field="4294967294" count="1" selected="0">
            <x v="0"/>
          </reference>
          <reference field="1" count="1" selected="0">
            <x v="5"/>
          </reference>
        </references>
      </pivotArea>
    </chartFormat>
    <chartFormat chart="49" format="38">
      <pivotArea type="data" outline="0" fieldPosition="0">
        <references count="2">
          <reference field="4294967294" count="1" selected="0">
            <x v="0"/>
          </reference>
          <reference field="1" count="1" selected="0">
            <x v="6"/>
          </reference>
        </references>
      </pivotArea>
    </chartFormat>
    <chartFormat chart="49" format="39">
      <pivotArea type="data" outline="0" fieldPosition="0">
        <references count="2">
          <reference field="4294967294" count="1" selected="0">
            <x v="0"/>
          </reference>
          <reference field="1" count="1" selected="0">
            <x v="7"/>
          </reference>
        </references>
      </pivotArea>
    </chartFormat>
    <chartFormat chart="50" format="40" series="1">
      <pivotArea type="data" outline="0" fieldPosition="0">
        <references count="1">
          <reference field="4294967294" count="1" selected="0">
            <x v="0"/>
          </reference>
        </references>
      </pivotArea>
    </chartFormat>
    <chartFormat chart="50" format="41">
      <pivotArea type="data" outline="0" fieldPosition="0">
        <references count="2">
          <reference field="4294967294" count="1" selected="0">
            <x v="0"/>
          </reference>
          <reference field="1" count="1" selected="0">
            <x v="0"/>
          </reference>
        </references>
      </pivotArea>
    </chartFormat>
    <chartFormat chart="50" format="42">
      <pivotArea type="data" outline="0" fieldPosition="0">
        <references count="2">
          <reference field="4294967294" count="1" selected="0">
            <x v="0"/>
          </reference>
          <reference field="1" count="1" selected="0">
            <x v="1"/>
          </reference>
        </references>
      </pivotArea>
    </chartFormat>
    <chartFormat chart="50" format="43">
      <pivotArea type="data" outline="0" fieldPosition="0">
        <references count="2">
          <reference field="4294967294" count="1" selected="0">
            <x v="0"/>
          </reference>
          <reference field="1" count="1" selected="0">
            <x v="2"/>
          </reference>
        </references>
      </pivotArea>
    </chartFormat>
    <chartFormat chart="50" format="44">
      <pivotArea type="data" outline="0" fieldPosition="0">
        <references count="2">
          <reference field="4294967294" count="1" selected="0">
            <x v="0"/>
          </reference>
          <reference field="1" count="1" selected="0">
            <x v="3"/>
          </reference>
        </references>
      </pivotArea>
    </chartFormat>
    <chartFormat chart="50" format="45">
      <pivotArea type="data" outline="0" fieldPosition="0">
        <references count="2">
          <reference field="4294967294" count="1" selected="0">
            <x v="0"/>
          </reference>
          <reference field="1" count="1" selected="0">
            <x v="4"/>
          </reference>
        </references>
      </pivotArea>
    </chartFormat>
    <chartFormat chart="50" format="46">
      <pivotArea type="data" outline="0" fieldPosition="0">
        <references count="2">
          <reference field="4294967294" count="1" selected="0">
            <x v="0"/>
          </reference>
          <reference field="1" count="1" selected="0">
            <x v="5"/>
          </reference>
        </references>
      </pivotArea>
    </chartFormat>
    <chartFormat chart="50" format="47">
      <pivotArea type="data" outline="0" fieldPosition="0">
        <references count="2">
          <reference field="4294967294" count="1" selected="0">
            <x v="0"/>
          </reference>
          <reference field="1" count="1" selected="0">
            <x v="6"/>
          </reference>
        </references>
      </pivotArea>
    </chartFormat>
    <chartFormat chart="50" format="48">
      <pivotArea type="data" outline="0" fieldPosition="0">
        <references count="2">
          <reference field="4294967294" count="1" selected="0">
            <x v="0"/>
          </reference>
          <reference field="1" count="1" selected="0">
            <x v="7"/>
          </reference>
        </references>
      </pivotArea>
    </chartFormat>
    <chartFormat chart="51" format="31" series="1">
      <pivotArea type="data" outline="0" fieldPosition="0">
        <references count="1">
          <reference field="4294967294" count="1" selected="0">
            <x v="0"/>
          </reference>
        </references>
      </pivotArea>
    </chartFormat>
    <chartFormat chart="51" format="32">
      <pivotArea type="data" outline="0" fieldPosition="0">
        <references count="2">
          <reference field="4294967294" count="1" selected="0">
            <x v="0"/>
          </reference>
          <reference field="1" count="1" selected="0">
            <x v="0"/>
          </reference>
        </references>
      </pivotArea>
    </chartFormat>
    <chartFormat chart="51" format="33">
      <pivotArea type="data" outline="0" fieldPosition="0">
        <references count="2">
          <reference field="4294967294" count="1" selected="0">
            <x v="0"/>
          </reference>
          <reference field="1" count="1" selected="0">
            <x v="1"/>
          </reference>
        </references>
      </pivotArea>
    </chartFormat>
    <chartFormat chart="51" format="34">
      <pivotArea type="data" outline="0" fieldPosition="0">
        <references count="2">
          <reference field="4294967294" count="1" selected="0">
            <x v="0"/>
          </reference>
          <reference field="1" count="1" selected="0">
            <x v="2"/>
          </reference>
        </references>
      </pivotArea>
    </chartFormat>
    <chartFormat chart="51" format="35">
      <pivotArea type="data" outline="0" fieldPosition="0">
        <references count="2">
          <reference field="4294967294" count="1" selected="0">
            <x v="0"/>
          </reference>
          <reference field="1" count="1" selected="0">
            <x v="3"/>
          </reference>
        </references>
      </pivotArea>
    </chartFormat>
    <chartFormat chart="51" format="36">
      <pivotArea type="data" outline="0" fieldPosition="0">
        <references count="2">
          <reference field="4294967294" count="1" selected="0">
            <x v="0"/>
          </reference>
          <reference field="1" count="1" selected="0">
            <x v="4"/>
          </reference>
        </references>
      </pivotArea>
    </chartFormat>
    <chartFormat chart="51" format="37">
      <pivotArea type="data" outline="0" fieldPosition="0">
        <references count="2">
          <reference field="4294967294" count="1" selected="0">
            <x v="0"/>
          </reference>
          <reference field="1" count="1" selected="0">
            <x v="5"/>
          </reference>
        </references>
      </pivotArea>
    </chartFormat>
    <chartFormat chart="51" format="38">
      <pivotArea type="data" outline="0" fieldPosition="0">
        <references count="2">
          <reference field="4294967294" count="1" selected="0">
            <x v="0"/>
          </reference>
          <reference field="1" count="1" selected="0">
            <x v="6"/>
          </reference>
        </references>
      </pivotArea>
    </chartFormat>
    <chartFormat chart="51" format="39">
      <pivotArea type="data" outline="0" fieldPosition="0">
        <references count="2">
          <reference field="4294967294" count="1" selected="0">
            <x v="0"/>
          </reference>
          <reference field="1" count="1" selected="0">
            <x v="7"/>
          </reference>
        </references>
      </pivotArea>
    </chartFormat>
    <chartFormat chart="52" format="40" series="1">
      <pivotArea type="data" outline="0" fieldPosition="0">
        <references count="1">
          <reference field="4294967294" count="1" selected="0">
            <x v="0"/>
          </reference>
        </references>
      </pivotArea>
    </chartFormat>
    <chartFormat chart="52" format="41">
      <pivotArea type="data" outline="0" fieldPosition="0">
        <references count="2">
          <reference field="4294967294" count="1" selected="0">
            <x v="0"/>
          </reference>
          <reference field="1" count="1" selected="0">
            <x v="0"/>
          </reference>
        </references>
      </pivotArea>
    </chartFormat>
    <chartFormat chart="52" format="42">
      <pivotArea type="data" outline="0" fieldPosition="0">
        <references count="2">
          <reference field="4294967294" count="1" selected="0">
            <x v="0"/>
          </reference>
          <reference field="1" count="1" selected="0">
            <x v="1"/>
          </reference>
        </references>
      </pivotArea>
    </chartFormat>
    <chartFormat chart="52" format="43">
      <pivotArea type="data" outline="0" fieldPosition="0">
        <references count="2">
          <reference field="4294967294" count="1" selected="0">
            <x v="0"/>
          </reference>
          <reference field="1" count="1" selected="0">
            <x v="2"/>
          </reference>
        </references>
      </pivotArea>
    </chartFormat>
    <chartFormat chart="52" format="44">
      <pivotArea type="data" outline="0" fieldPosition="0">
        <references count="2">
          <reference field="4294967294" count="1" selected="0">
            <x v="0"/>
          </reference>
          <reference field="1" count="1" selected="0">
            <x v="3"/>
          </reference>
        </references>
      </pivotArea>
    </chartFormat>
    <chartFormat chart="52" format="45">
      <pivotArea type="data" outline="0" fieldPosition="0">
        <references count="2">
          <reference field="4294967294" count="1" selected="0">
            <x v="0"/>
          </reference>
          <reference field="1" count="1" selected="0">
            <x v="4"/>
          </reference>
        </references>
      </pivotArea>
    </chartFormat>
    <chartFormat chart="52" format="46">
      <pivotArea type="data" outline="0" fieldPosition="0">
        <references count="2">
          <reference field="4294967294" count="1" selected="0">
            <x v="0"/>
          </reference>
          <reference field="1" count="1" selected="0">
            <x v="5"/>
          </reference>
        </references>
      </pivotArea>
    </chartFormat>
    <chartFormat chart="52" format="47">
      <pivotArea type="data" outline="0" fieldPosition="0">
        <references count="2">
          <reference field="4294967294" count="1" selected="0">
            <x v="0"/>
          </reference>
          <reference field="1" count="1" selected="0">
            <x v="6"/>
          </reference>
        </references>
      </pivotArea>
    </chartFormat>
    <chartFormat chart="52" format="48">
      <pivotArea type="data" outline="0" fieldPosition="0">
        <references count="2">
          <reference field="4294967294" count="1" selected="0">
            <x v="0"/>
          </reference>
          <reference field="1" count="1" selected="0">
            <x v="7"/>
          </reference>
        </references>
      </pivotArea>
    </chartFormat>
  </chartFormats>
  <pivotHierarchies count="20">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caption="MTD Rejection"/>
    <pivotHierarchy dragToData="1" caption="Pending Rejection"/>
    <pivotHierarchy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TD Rejection.xlsx!MTDRejection">
        <x15:activeTabTopLevelEntity name="[MTDReject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name="DayWise Rejection" cacheId="6" applyNumberFormats="0" applyBorderFormats="0" applyFontFormats="0" applyPatternFormats="0" applyAlignmentFormats="0" applyWidthHeightFormats="1" dataCaption="Values" tag="bd93245d-012e-4b9a-b5b5-e065958bbf7c" updatedVersion="8" minRefreshableVersion="3" useAutoFormatting="1" itemPrintTitles="1" createdVersion="8" indent="0" outline="1" outlineData="1" multipleFieldFilters="0" chartFormat="41">
  <location ref="A12:C41" firstHeaderRow="0" firstDataRow="1" firstDataCol="1"/>
  <pivotFields count="5">
    <pivotField axis="axisRow" allDrilled="1" subtotalTop="0" showAll="0" dataSourceSort="1" defaultSubtotal="0" defaultAttributeDrillState="1">
      <items count="28">
        <item x="0"/>
        <item x="1"/>
        <item x="2"/>
        <item x="3"/>
        <item x="4"/>
        <item x="5"/>
        <item x="6"/>
        <item x="7"/>
        <item x="8"/>
        <item x="9"/>
        <item x="10"/>
        <item x="11"/>
        <item x="12"/>
        <item x="13"/>
        <item x="14"/>
        <item x="15"/>
        <item x="16"/>
        <item x="17"/>
        <item x="18"/>
        <item x="19"/>
        <item x="20"/>
        <item x="21"/>
        <item x="22"/>
        <item x="23"/>
        <item x="24"/>
        <item x="25"/>
        <item x="26"/>
        <item x="27"/>
      </items>
    </pivotField>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6"/>
    </i>
    <i>
      <x v="27"/>
    </i>
    <i t="grand">
      <x/>
    </i>
  </rowItems>
  <colFields count="1">
    <field x="-2"/>
  </colFields>
  <colItems count="2">
    <i>
      <x/>
    </i>
    <i i="1">
      <x v="1"/>
    </i>
  </colItems>
  <dataFields count="2">
    <dataField name="MTD Rejection" fld="1" subtotal="count" baseField="0" baseItem="0"/>
    <dataField name="Pending Rejection" fld="2" baseField="0" baseItem="6"/>
  </dataFields>
  <formats count="6">
    <format dxfId="31">
      <pivotArea type="all" dataOnly="0" outline="0" fieldPosition="0"/>
    </format>
    <format dxfId="30">
      <pivotArea outline="0" collapsedLevelsAreSubtotals="1" fieldPosition="0"/>
    </format>
    <format dxfId="29">
      <pivotArea field="0" type="button" dataOnly="0" labelOnly="1" outline="0" axis="axisRow" fieldPosition="0"/>
    </format>
    <format dxfId="28">
      <pivotArea dataOnly="0" labelOnly="1" fieldPosition="0">
        <references count="1">
          <reference field="0" count="0"/>
        </references>
      </pivotArea>
    </format>
    <format dxfId="27">
      <pivotArea dataOnly="0" labelOnly="1" grandRow="1" outline="0" fieldPosition="0"/>
    </format>
    <format dxfId="26">
      <pivotArea dataOnly="0" labelOnly="1" outline="0" fieldPosition="0">
        <references count="1">
          <reference field="4294967294" count="2">
            <x v="0"/>
            <x v="1"/>
          </reference>
        </references>
      </pivotArea>
    </format>
  </formats>
  <chartFormats count="24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4" format="4"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1"/>
          </reference>
        </references>
      </pivotArea>
    </chartFormat>
    <chartFormat chart="4" format="6">
      <pivotArea type="data" outline="0" fieldPosition="0">
        <references count="2">
          <reference field="4294967294" count="1" selected="0">
            <x v="1"/>
          </reference>
          <reference field="0" count="1" selected="0">
            <x v="5"/>
          </reference>
        </references>
      </pivotArea>
    </chartFormat>
    <chartFormat chart="4" format="7">
      <pivotArea type="data" outline="0" fieldPosition="0">
        <references count="2">
          <reference field="4294967294" count="1" selected="0">
            <x v="0"/>
          </reference>
          <reference field="0" count="1" selected="0">
            <x v="3"/>
          </reference>
        </references>
      </pivotArea>
    </chartFormat>
    <chartFormat chart="4" format="8">
      <pivotArea type="data" outline="0" fieldPosition="0">
        <references count="2">
          <reference field="4294967294" count="1" selected="0">
            <x v="1"/>
          </reference>
          <reference field="0" count="1" selected="0">
            <x v="7"/>
          </reference>
        </references>
      </pivotArea>
    </chartFormat>
    <chartFormat chart="4" format="9">
      <pivotArea type="data" outline="0" fieldPosition="0">
        <references count="2">
          <reference field="4294967294" count="1" selected="0">
            <x v="0"/>
          </reference>
          <reference field="0" count="1" selected="0">
            <x v="9"/>
          </reference>
        </references>
      </pivotArea>
    </chartFormat>
    <chartFormat chart="4" format="10">
      <pivotArea type="data" outline="0" fieldPosition="0">
        <references count="2">
          <reference field="4294967294" count="1" selected="0">
            <x v="1"/>
          </reference>
          <reference field="0" count="1" selected="0">
            <x v="9"/>
          </reference>
        </references>
      </pivotArea>
    </chartFormat>
    <chartFormat chart="4" format="11">
      <pivotArea type="data" outline="0" fieldPosition="0">
        <references count="2">
          <reference field="4294967294" count="1" selected="0">
            <x v="1"/>
          </reference>
          <reference field="0" count="1" selected="0">
            <x v="10"/>
          </reference>
        </references>
      </pivotArea>
    </chartFormat>
    <chartFormat chart="23" format="12" series="1">
      <pivotArea type="data" outline="0" fieldPosition="0">
        <references count="1">
          <reference field="4294967294" count="1" selected="0">
            <x v="0"/>
          </reference>
        </references>
      </pivotArea>
    </chartFormat>
    <chartFormat chart="23" format="13">
      <pivotArea type="data" outline="0" fieldPosition="0">
        <references count="2">
          <reference field="4294967294" count="1" selected="0">
            <x v="0"/>
          </reference>
          <reference field="0" count="1" selected="0">
            <x v="9"/>
          </reference>
        </references>
      </pivotArea>
    </chartFormat>
    <chartFormat chart="23" format="14" series="1">
      <pivotArea type="data" outline="0" fieldPosition="0">
        <references count="1">
          <reference field="4294967294" count="1" selected="0">
            <x v="1"/>
          </reference>
        </references>
      </pivotArea>
    </chartFormat>
    <chartFormat chart="23" format="15">
      <pivotArea type="data" outline="0" fieldPosition="0">
        <references count="2">
          <reference field="4294967294" count="1" selected="0">
            <x v="1"/>
          </reference>
          <reference field="0" count="1" selected="0">
            <x v="5"/>
          </reference>
        </references>
      </pivotArea>
    </chartFormat>
    <chartFormat chart="23" format="16">
      <pivotArea type="data" outline="0" fieldPosition="0">
        <references count="2">
          <reference field="4294967294" count="1" selected="0">
            <x v="1"/>
          </reference>
          <reference field="0" count="1" selected="0">
            <x v="7"/>
          </reference>
        </references>
      </pivotArea>
    </chartFormat>
    <chartFormat chart="23" format="17">
      <pivotArea type="data" outline="0" fieldPosition="0">
        <references count="2">
          <reference field="4294967294" count="1" selected="0">
            <x v="1"/>
          </reference>
          <reference field="0" count="1" selected="0">
            <x v="9"/>
          </reference>
        </references>
      </pivotArea>
    </chartFormat>
    <chartFormat chart="23" format="18">
      <pivotArea type="data" outline="0" fieldPosition="0">
        <references count="2">
          <reference field="4294967294" count="1" selected="0">
            <x v="1"/>
          </reference>
          <reference field="0" count="1" selected="0">
            <x v="10"/>
          </reference>
        </references>
      </pivotArea>
    </chartFormat>
    <chartFormat chart="24" format="19" series="1">
      <pivotArea type="data" outline="0" fieldPosition="0">
        <references count="1">
          <reference field="4294967294" count="1" selected="0">
            <x v="0"/>
          </reference>
        </references>
      </pivotArea>
    </chartFormat>
    <chartFormat chart="24" format="20">
      <pivotArea type="data" outline="0" fieldPosition="0">
        <references count="2">
          <reference field="4294967294" count="1" selected="0">
            <x v="0"/>
          </reference>
          <reference field="0" count="1" selected="0">
            <x v="9"/>
          </reference>
        </references>
      </pivotArea>
    </chartFormat>
    <chartFormat chart="24" format="21" series="1">
      <pivotArea type="data" outline="0" fieldPosition="0">
        <references count="1">
          <reference field="4294967294" count="1" selected="0">
            <x v="1"/>
          </reference>
        </references>
      </pivotArea>
    </chartFormat>
    <chartFormat chart="24" format="22">
      <pivotArea type="data" outline="0" fieldPosition="0">
        <references count="2">
          <reference field="4294967294" count="1" selected="0">
            <x v="1"/>
          </reference>
          <reference field="0" count="1" selected="0">
            <x v="5"/>
          </reference>
        </references>
      </pivotArea>
    </chartFormat>
    <chartFormat chart="24" format="23">
      <pivotArea type="data" outline="0" fieldPosition="0">
        <references count="2">
          <reference field="4294967294" count="1" selected="0">
            <x v="1"/>
          </reference>
          <reference field="0" count="1" selected="0">
            <x v="7"/>
          </reference>
        </references>
      </pivotArea>
    </chartFormat>
    <chartFormat chart="24" format="24">
      <pivotArea type="data" outline="0" fieldPosition="0">
        <references count="2">
          <reference field="4294967294" count="1" selected="0">
            <x v="1"/>
          </reference>
          <reference field="0" count="1" selected="0">
            <x v="9"/>
          </reference>
        </references>
      </pivotArea>
    </chartFormat>
    <chartFormat chart="24" format="25">
      <pivotArea type="data" outline="0" fieldPosition="0">
        <references count="2">
          <reference field="4294967294" count="1" selected="0">
            <x v="1"/>
          </reference>
          <reference field="0" count="1" selected="0">
            <x v="10"/>
          </reference>
        </references>
      </pivotArea>
    </chartFormat>
    <chartFormat chart="4" format="12">
      <pivotArea type="data" outline="0" fieldPosition="0">
        <references count="2">
          <reference field="4294967294" count="1" selected="0">
            <x v="1"/>
          </reference>
          <reference field="0" count="1" selected="0">
            <x v="11"/>
          </reference>
        </references>
      </pivotArea>
    </chartFormat>
    <chartFormat chart="4" format="13">
      <pivotArea type="data" outline="0" fieldPosition="0">
        <references count="2">
          <reference field="4294967294" count="1" selected="0">
            <x v="0"/>
          </reference>
          <reference field="0" count="1" selected="0">
            <x v="11"/>
          </reference>
        </references>
      </pivotArea>
    </chartFormat>
    <chartFormat chart="25" format="14" series="1">
      <pivotArea type="data" outline="0" fieldPosition="0">
        <references count="1">
          <reference field="4294967294" count="1" selected="0">
            <x v="0"/>
          </reference>
        </references>
      </pivotArea>
    </chartFormat>
    <chartFormat chart="25" format="15">
      <pivotArea type="data" outline="0" fieldPosition="0">
        <references count="2">
          <reference field="4294967294" count="1" selected="0">
            <x v="0"/>
          </reference>
          <reference field="0" count="1" selected="0">
            <x v="9"/>
          </reference>
        </references>
      </pivotArea>
    </chartFormat>
    <chartFormat chart="25" format="16">
      <pivotArea type="data" outline="0" fieldPosition="0">
        <references count="2">
          <reference field="4294967294" count="1" selected="0">
            <x v="0"/>
          </reference>
          <reference field="0" count="1" selected="0">
            <x v="11"/>
          </reference>
        </references>
      </pivotArea>
    </chartFormat>
    <chartFormat chart="25" format="17" series="1">
      <pivotArea type="data" outline="0" fieldPosition="0">
        <references count="1">
          <reference field="4294967294" count="1" selected="0">
            <x v="1"/>
          </reference>
        </references>
      </pivotArea>
    </chartFormat>
    <chartFormat chart="25" format="18">
      <pivotArea type="data" outline="0" fieldPosition="0">
        <references count="2">
          <reference field="4294967294" count="1" selected="0">
            <x v="1"/>
          </reference>
          <reference field="0" count="1" selected="0">
            <x v="5"/>
          </reference>
        </references>
      </pivotArea>
    </chartFormat>
    <chartFormat chart="25" format="19">
      <pivotArea type="data" outline="0" fieldPosition="0">
        <references count="2">
          <reference field="4294967294" count="1" selected="0">
            <x v="1"/>
          </reference>
          <reference field="0" count="1" selected="0">
            <x v="7"/>
          </reference>
        </references>
      </pivotArea>
    </chartFormat>
    <chartFormat chart="25" format="20">
      <pivotArea type="data" outline="0" fieldPosition="0">
        <references count="2">
          <reference field="4294967294" count="1" selected="0">
            <x v="1"/>
          </reference>
          <reference field="0" count="1" selected="0">
            <x v="9"/>
          </reference>
        </references>
      </pivotArea>
    </chartFormat>
    <chartFormat chart="25" format="21">
      <pivotArea type="data" outline="0" fieldPosition="0">
        <references count="2">
          <reference field="4294967294" count="1" selected="0">
            <x v="1"/>
          </reference>
          <reference field="0" count="1" selected="0">
            <x v="10"/>
          </reference>
        </references>
      </pivotArea>
    </chartFormat>
    <chartFormat chart="25" format="22">
      <pivotArea type="data" outline="0" fieldPosition="0">
        <references count="2">
          <reference field="4294967294" count="1" selected="0">
            <x v="1"/>
          </reference>
          <reference field="0" count="1" selected="0">
            <x v="11"/>
          </reference>
        </references>
      </pivotArea>
    </chartFormat>
    <chartFormat chart="26" format="23" series="1">
      <pivotArea type="data" outline="0" fieldPosition="0">
        <references count="1">
          <reference field="4294967294" count="1" selected="0">
            <x v="0"/>
          </reference>
        </references>
      </pivotArea>
    </chartFormat>
    <chartFormat chart="26" format="24">
      <pivotArea type="data" outline="0" fieldPosition="0">
        <references count="2">
          <reference field="4294967294" count="1" selected="0">
            <x v="0"/>
          </reference>
          <reference field="0" count="1" selected="0">
            <x v="9"/>
          </reference>
        </references>
      </pivotArea>
    </chartFormat>
    <chartFormat chart="26" format="25">
      <pivotArea type="data" outline="0" fieldPosition="0">
        <references count="2">
          <reference field="4294967294" count="1" selected="0">
            <x v="0"/>
          </reference>
          <reference field="0" count="1" selected="0">
            <x v="11"/>
          </reference>
        </references>
      </pivotArea>
    </chartFormat>
    <chartFormat chart="26" format="26" series="1">
      <pivotArea type="data" outline="0" fieldPosition="0">
        <references count="1">
          <reference field="4294967294" count="1" selected="0">
            <x v="1"/>
          </reference>
        </references>
      </pivotArea>
    </chartFormat>
    <chartFormat chart="26" format="27">
      <pivotArea type="data" outline="0" fieldPosition="0">
        <references count="2">
          <reference field="4294967294" count="1" selected="0">
            <x v="1"/>
          </reference>
          <reference field="0" count="1" selected="0">
            <x v="5"/>
          </reference>
        </references>
      </pivotArea>
    </chartFormat>
    <chartFormat chart="26" format="28">
      <pivotArea type="data" outline="0" fieldPosition="0">
        <references count="2">
          <reference field="4294967294" count="1" selected="0">
            <x v="1"/>
          </reference>
          <reference field="0" count="1" selected="0">
            <x v="7"/>
          </reference>
        </references>
      </pivotArea>
    </chartFormat>
    <chartFormat chart="26" format="29">
      <pivotArea type="data" outline="0" fieldPosition="0">
        <references count="2">
          <reference field="4294967294" count="1" selected="0">
            <x v="1"/>
          </reference>
          <reference field="0" count="1" selected="0">
            <x v="9"/>
          </reference>
        </references>
      </pivotArea>
    </chartFormat>
    <chartFormat chart="26" format="30">
      <pivotArea type="data" outline="0" fieldPosition="0">
        <references count="2">
          <reference field="4294967294" count="1" selected="0">
            <x v="1"/>
          </reference>
          <reference field="0" count="1" selected="0">
            <x v="10"/>
          </reference>
        </references>
      </pivotArea>
    </chartFormat>
    <chartFormat chart="26" format="31">
      <pivotArea type="data" outline="0" fieldPosition="0">
        <references count="2">
          <reference field="4294967294" count="1" selected="0">
            <x v="1"/>
          </reference>
          <reference field="0" count="1" selected="0">
            <x v="11"/>
          </reference>
        </references>
      </pivotArea>
    </chartFormat>
    <chartFormat chart="4" format="14">
      <pivotArea type="data" outline="0" fieldPosition="0">
        <references count="2">
          <reference field="4294967294" count="1" selected="0">
            <x v="1"/>
          </reference>
          <reference field="0" count="1" selected="0">
            <x v="14"/>
          </reference>
        </references>
      </pivotArea>
    </chartFormat>
    <chartFormat chart="4" format="15">
      <pivotArea type="data" outline="0" fieldPosition="0">
        <references count="2">
          <reference field="4294967294" count="1" selected="0">
            <x v="1"/>
          </reference>
          <reference field="0" count="1" selected="0">
            <x v="13"/>
          </reference>
        </references>
      </pivotArea>
    </chartFormat>
    <chartFormat chart="4" format="16">
      <pivotArea type="data" outline="0" fieldPosition="0">
        <references count="2">
          <reference field="4294967294" count="1" selected="0">
            <x v="1"/>
          </reference>
          <reference field="0" count="1" selected="0">
            <x v="12"/>
          </reference>
        </references>
      </pivotArea>
    </chartFormat>
    <chartFormat chart="4" format="17">
      <pivotArea type="data" outline="0" fieldPosition="0">
        <references count="2">
          <reference field="4294967294" count="1" selected="0">
            <x v="0"/>
          </reference>
          <reference field="0" count="1" selected="0">
            <x v="12"/>
          </reference>
        </references>
      </pivotArea>
    </chartFormat>
    <chartFormat chart="4" format="18">
      <pivotArea type="data" outline="0" fieldPosition="0">
        <references count="2">
          <reference field="4294967294" count="1" selected="0">
            <x v="0"/>
          </reference>
          <reference field="0" count="1" selected="0">
            <x v="15"/>
          </reference>
        </references>
      </pivotArea>
    </chartFormat>
    <chartFormat chart="4" format="19">
      <pivotArea type="data" outline="0" fieldPosition="0">
        <references count="2">
          <reference field="4294967294" count="1" selected="0">
            <x v="1"/>
          </reference>
          <reference field="0" count="1" selected="0">
            <x v="15"/>
          </reference>
        </references>
      </pivotArea>
    </chartFormat>
    <chartFormat chart="4" format="20">
      <pivotArea type="data" outline="0" fieldPosition="0">
        <references count="2">
          <reference field="4294967294" count="1" selected="0">
            <x v="0"/>
          </reference>
          <reference field="0" count="1" selected="0">
            <x v="13"/>
          </reference>
        </references>
      </pivotArea>
    </chartFormat>
    <chartFormat chart="4" format="21">
      <pivotArea type="data" outline="0" fieldPosition="0">
        <references count="2">
          <reference field="4294967294" count="1" selected="0">
            <x v="1"/>
          </reference>
          <reference field="0" count="1" selected="0">
            <x v="16"/>
          </reference>
        </references>
      </pivotArea>
    </chartFormat>
    <chartFormat chart="4" format="22">
      <pivotArea type="data" outline="0" fieldPosition="0">
        <references count="2">
          <reference field="4294967294" count="1" selected="0">
            <x v="0"/>
          </reference>
          <reference field="0" count="1" selected="0">
            <x v="16"/>
          </reference>
        </references>
      </pivotArea>
    </chartFormat>
    <chartFormat chart="31" format="23" series="1">
      <pivotArea type="data" outline="0" fieldPosition="0">
        <references count="1">
          <reference field="4294967294" count="1" selected="0">
            <x v="0"/>
          </reference>
        </references>
      </pivotArea>
    </chartFormat>
    <chartFormat chart="31" format="24">
      <pivotArea type="data" outline="0" fieldPosition="0">
        <references count="2">
          <reference field="4294967294" count="1" selected="0">
            <x v="0"/>
          </reference>
          <reference field="0" count="1" selected="0">
            <x v="9"/>
          </reference>
        </references>
      </pivotArea>
    </chartFormat>
    <chartFormat chart="31" format="25">
      <pivotArea type="data" outline="0" fieldPosition="0">
        <references count="2">
          <reference field="4294967294" count="1" selected="0">
            <x v="0"/>
          </reference>
          <reference field="0" count="1" selected="0">
            <x v="11"/>
          </reference>
        </references>
      </pivotArea>
    </chartFormat>
    <chartFormat chart="31" format="26">
      <pivotArea type="data" outline="0" fieldPosition="0">
        <references count="2">
          <reference field="4294967294" count="1" selected="0">
            <x v="0"/>
          </reference>
          <reference field="0" count="1" selected="0">
            <x v="12"/>
          </reference>
        </references>
      </pivotArea>
    </chartFormat>
    <chartFormat chart="31" format="27">
      <pivotArea type="data" outline="0" fieldPosition="0">
        <references count="2">
          <reference field="4294967294" count="1" selected="0">
            <x v="0"/>
          </reference>
          <reference field="0" count="1" selected="0">
            <x v="13"/>
          </reference>
        </references>
      </pivotArea>
    </chartFormat>
    <chartFormat chart="31" format="28">
      <pivotArea type="data" outline="0" fieldPosition="0">
        <references count="2">
          <reference field="4294967294" count="1" selected="0">
            <x v="0"/>
          </reference>
          <reference field="0" count="1" selected="0">
            <x v="15"/>
          </reference>
        </references>
      </pivotArea>
    </chartFormat>
    <chartFormat chart="31" format="29">
      <pivotArea type="data" outline="0" fieldPosition="0">
        <references count="2">
          <reference field="4294967294" count="1" selected="0">
            <x v="0"/>
          </reference>
          <reference field="0" count="1" selected="0">
            <x v="16"/>
          </reference>
        </references>
      </pivotArea>
    </chartFormat>
    <chartFormat chart="31" format="30" series="1">
      <pivotArea type="data" outline="0" fieldPosition="0">
        <references count="1">
          <reference field="4294967294" count="1" selected="0">
            <x v="1"/>
          </reference>
        </references>
      </pivotArea>
    </chartFormat>
    <chartFormat chart="31" format="31">
      <pivotArea type="data" outline="0" fieldPosition="0">
        <references count="2">
          <reference field="4294967294" count="1" selected="0">
            <x v="1"/>
          </reference>
          <reference field="0" count="1" selected="0">
            <x v="5"/>
          </reference>
        </references>
      </pivotArea>
    </chartFormat>
    <chartFormat chart="31" format="32">
      <pivotArea type="data" outline="0" fieldPosition="0">
        <references count="2">
          <reference field="4294967294" count="1" selected="0">
            <x v="1"/>
          </reference>
          <reference field="0" count="1" selected="0">
            <x v="7"/>
          </reference>
        </references>
      </pivotArea>
    </chartFormat>
    <chartFormat chart="31" format="33">
      <pivotArea type="data" outline="0" fieldPosition="0">
        <references count="2">
          <reference field="4294967294" count="1" selected="0">
            <x v="1"/>
          </reference>
          <reference field="0" count="1" selected="0">
            <x v="9"/>
          </reference>
        </references>
      </pivotArea>
    </chartFormat>
    <chartFormat chart="31" format="34">
      <pivotArea type="data" outline="0" fieldPosition="0">
        <references count="2">
          <reference field="4294967294" count="1" selected="0">
            <x v="1"/>
          </reference>
          <reference field="0" count="1" selected="0">
            <x v="10"/>
          </reference>
        </references>
      </pivotArea>
    </chartFormat>
    <chartFormat chart="31" format="35">
      <pivotArea type="data" outline="0" fieldPosition="0">
        <references count="2">
          <reference field="4294967294" count="1" selected="0">
            <x v="1"/>
          </reference>
          <reference field="0" count="1" selected="0">
            <x v="11"/>
          </reference>
        </references>
      </pivotArea>
    </chartFormat>
    <chartFormat chart="31" format="36">
      <pivotArea type="data" outline="0" fieldPosition="0">
        <references count="2">
          <reference field="4294967294" count="1" selected="0">
            <x v="1"/>
          </reference>
          <reference field="0" count="1" selected="0">
            <x v="12"/>
          </reference>
        </references>
      </pivotArea>
    </chartFormat>
    <chartFormat chart="31" format="37">
      <pivotArea type="data" outline="0" fieldPosition="0">
        <references count="2">
          <reference field="4294967294" count="1" selected="0">
            <x v="1"/>
          </reference>
          <reference field="0" count="1" selected="0">
            <x v="13"/>
          </reference>
        </references>
      </pivotArea>
    </chartFormat>
    <chartFormat chart="31" format="38">
      <pivotArea type="data" outline="0" fieldPosition="0">
        <references count="2">
          <reference field="4294967294" count="1" selected="0">
            <x v="1"/>
          </reference>
          <reference field="0" count="1" selected="0">
            <x v="14"/>
          </reference>
        </references>
      </pivotArea>
    </chartFormat>
    <chartFormat chart="31" format="39">
      <pivotArea type="data" outline="0" fieldPosition="0">
        <references count="2">
          <reference field="4294967294" count="1" selected="0">
            <x v="1"/>
          </reference>
          <reference field="0" count="1" selected="0">
            <x v="15"/>
          </reference>
        </references>
      </pivotArea>
    </chartFormat>
    <chartFormat chart="31" format="40">
      <pivotArea type="data" outline="0" fieldPosition="0">
        <references count="2">
          <reference field="4294967294" count="1" selected="0">
            <x v="1"/>
          </reference>
          <reference field="0" count="1" selected="0">
            <x v="16"/>
          </reference>
        </references>
      </pivotArea>
    </chartFormat>
    <chartFormat chart="32" format="41" series="1">
      <pivotArea type="data" outline="0" fieldPosition="0">
        <references count="1">
          <reference field="4294967294" count="1" selected="0">
            <x v="0"/>
          </reference>
        </references>
      </pivotArea>
    </chartFormat>
    <chartFormat chart="32" format="42">
      <pivotArea type="data" outline="0" fieldPosition="0">
        <references count="2">
          <reference field="4294967294" count="1" selected="0">
            <x v="0"/>
          </reference>
          <reference field="0" count="1" selected="0">
            <x v="9"/>
          </reference>
        </references>
      </pivotArea>
    </chartFormat>
    <chartFormat chart="32" format="43">
      <pivotArea type="data" outline="0" fieldPosition="0">
        <references count="2">
          <reference field="4294967294" count="1" selected="0">
            <x v="0"/>
          </reference>
          <reference field="0" count="1" selected="0">
            <x v="11"/>
          </reference>
        </references>
      </pivotArea>
    </chartFormat>
    <chartFormat chart="32" format="44">
      <pivotArea type="data" outline="0" fieldPosition="0">
        <references count="2">
          <reference field="4294967294" count="1" selected="0">
            <x v="0"/>
          </reference>
          <reference field="0" count="1" selected="0">
            <x v="12"/>
          </reference>
        </references>
      </pivotArea>
    </chartFormat>
    <chartFormat chart="32" format="45">
      <pivotArea type="data" outline="0" fieldPosition="0">
        <references count="2">
          <reference field="4294967294" count="1" selected="0">
            <x v="0"/>
          </reference>
          <reference field="0" count="1" selected="0">
            <x v="13"/>
          </reference>
        </references>
      </pivotArea>
    </chartFormat>
    <chartFormat chart="32" format="46">
      <pivotArea type="data" outline="0" fieldPosition="0">
        <references count="2">
          <reference field="4294967294" count="1" selected="0">
            <x v="0"/>
          </reference>
          <reference field="0" count="1" selected="0">
            <x v="15"/>
          </reference>
        </references>
      </pivotArea>
    </chartFormat>
    <chartFormat chart="32" format="47">
      <pivotArea type="data" outline="0" fieldPosition="0">
        <references count="2">
          <reference field="4294967294" count="1" selected="0">
            <x v="0"/>
          </reference>
          <reference field="0" count="1" selected="0">
            <x v="16"/>
          </reference>
        </references>
      </pivotArea>
    </chartFormat>
    <chartFormat chart="32" format="48" series="1">
      <pivotArea type="data" outline="0" fieldPosition="0">
        <references count="1">
          <reference field="4294967294" count="1" selected="0">
            <x v="1"/>
          </reference>
        </references>
      </pivotArea>
    </chartFormat>
    <chartFormat chart="32" format="49">
      <pivotArea type="data" outline="0" fieldPosition="0">
        <references count="2">
          <reference field="4294967294" count="1" selected="0">
            <x v="1"/>
          </reference>
          <reference field="0" count="1" selected="0">
            <x v="5"/>
          </reference>
        </references>
      </pivotArea>
    </chartFormat>
    <chartFormat chart="32" format="50">
      <pivotArea type="data" outline="0" fieldPosition="0">
        <references count="2">
          <reference field="4294967294" count="1" selected="0">
            <x v="1"/>
          </reference>
          <reference field="0" count="1" selected="0">
            <x v="7"/>
          </reference>
        </references>
      </pivotArea>
    </chartFormat>
    <chartFormat chart="32" format="51">
      <pivotArea type="data" outline="0" fieldPosition="0">
        <references count="2">
          <reference field="4294967294" count="1" selected="0">
            <x v="1"/>
          </reference>
          <reference field="0" count="1" selected="0">
            <x v="9"/>
          </reference>
        </references>
      </pivotArea>
    </chartFormat>
    <chartFormat chart="32" format="52">
      <pivotArea type="data" outline="0" fieldPosition="0">
        <references count="2">
          <reference field="4294967294" count="1" selected="0">
            <x v="1"/>
          </reference>
          <reference field="0" count="1" selected="0">
            <x v="10"/>
          </reference>
        </references>
      </pivotArea>
    </chartFormat>
    <chartFormat chart="32" format="53">
      <pivotArea type="data" outline="0" fieldPosition="0">
        <references count="2">
          <reference field="4294967294" count="1" selected="0">
            <x v="1"/>
          </reference>
          <reference field="0" count="1" selected="0">
            <x v="11"/>
          </reference>
        </references>
      </pivotArea>
    </chartFormat>
    <chartFormat chart="32" format="54">
      <pivotArea type="data" outline="0" fieldPosition="0">
        <references count="2">
          <reference field="4294967294" count="1" selected="0">
            <x v="1"/>
          </reference>
          <reference field="0" count="1" selected="0">
            <x v="12"/>
          </reference>
        </references>
      </pivotArea>
    </chartFormat>
    <chartFormat chart="32" format="55">
      <pivotArea type="data" outline="0" fieldPosition="0">
        <references count="2">
          <reference field="4294967294" count="1" selected="0">
            <x v="1"/>
          </reference>
          <reference field="0" count="1" selected="0">
            <x v="13"/>
          </reference>
        </references>
      </pivotArea>
    </chartFormat>
    <chartFormat chart="32" format="56">
      <pivotArea type="data" outline="0" fieldPosition="0">
        <references count="2">
          <reference field="4294967294" count="1" selected="0">
            <x v="1"/>
          </reference>
          <reference field="0" count="1" selected="0">
            <x v="14"/>
          </reference>
        </references>
      </pivotArea>
    </chartFormat>
    <chartFormat chart="32" format="57">
      <pivotArea type="data" outline="0" fieldPosition="0">
        <references count="2">
          <reference field="4294967294" count="1" selected="0">
            <x v="1"/>
          </reference>
          <reference field="0" count="1" selected="0">
            <x v="15"/>
          </reference>
        </references>
      </pivotArea>
    </chartFormat>
    <chartFormat chart="32" format="58">
      <pivotArea type="data" outline="0" fieldPosition="0">
        <references count="2">
          <reference field="4294967294" count="1" selected="0">
            <x v="1"/>
          </reference>
          <reference field="0" count="1" selected="0">
            <x v="16"/>
          </reference>
        </references>
      </pivotArea>
    </chartFormat>
    <chartFormat chart="4" format="23">
      <pivotArea type="data" outline="0" fieldPosition="0">
        <references count="2">
          <reference field="4294967294" count="1" selected="0">
            <x v="1"/>
          </reference>
          <reference field="0" count="1" selected="0">
            <x v="17"/>
          </reference>
        </references>
      </pivotArea>
    </chartFormat>
    <chartFormat chart="4" format="24">
      <pivotArea type="data" outline="0" fieldPosition="0">
        <references count="2">
          <reference field="4294967294" count="1" selected="0">
            <x v="0"/>
          </reference>
          <reference field="0" count="1" selected="0">
            <x v="17"/>
          </reference>
        </references>
      </pivotArea>
    </chartFormat>
    <chartFormat chart="4" format="25">
      <pivotArea type="data" outline="0" fieldPosition="0">
        <references count="2">
          <reference field="4294967294" count="1" selected="0">
            <x v="1"/>
          </reference>
          <reference field="0" count="1" selected="0">
            <x v="18"/>
          </reference>
        </references>
      </pivotArea>
    </chartFormat>
    <chartFormat chart="35" format="26" series="1">
      <pivotArea type="data" outline="0" fieldPosition="0">
        <references count="1">
          <reference field="4294967294" count="1" selected="0">
            <x v="0"/>
          </reference>
        </references>
      </pivotArea>
    </chartFormat>
    <chartFormat chart="35" format="27">
      <pivotArea type="data" outline="0" fieldPosition="0">
        <references count="2">
          <reference field="4294967294" count="1" selected="0">
            <x v="0"/>
          </reference>
          <reference field="0" count="1" selected="0">
            <x v="9"/>
          </reference>
        </references>
      </pivotArea>
    </chartFormat>
    <chartFormat chart="35" format="28">
      <pivotArea type="data" outline="0" fieldPosition="0">
        <references count="2">
          <reference field="4294967294" count="1" selected="0">
            <x v="0"/>
          </reference>
          <reference field="0" count="1" selected="0">
            <x v="11"/>
          </reference>
        </references>
      </pivotArea>
    </chartFormat>
    <chartFormat chart="35" format="29">
      <pivotArea type="data" outline="0" fieldPosition="0">
        <references count="2">
          <reference field="4294967294" count="1" selected="0">
            <x v="0"/>
          </reference>
          <reference field="0" count="1" selected="0">
            <x v="12"/>
          </reference>
        </references>
      </pivotArea>
    </chartFormat>
    <chartFormat chart="35" format="30">
      <pivotArea type="data" outline="0" fieldPosition="0">
        <references count="2">
          <reference field="4294967294" count="1" selected="0">
            <x v="0"/>
          </reference>
          <reference field="0" count="1" selected="0">
            <x v="13"/>
          </reference>
        </references>
      </pivotArea>
    </chartFormat>
    <chartFormat chart="35" format="31">
      <pivotArea type="data" outline="0" fieldPosition="0">
        <references count="2">
          <reference field="4294967294" count="1" selected="0">
            <x v="0"/>
          </reference>
          <reference field="0" count="1" selected="0">
            <x v="15"/>
          </reference>
        </references>
      </pivotArea>
    </chartFormat>
    <chartFormat chart="35" format="32">
      <pivotArea type="data" outline="0" fieldPosition="0">
        <references count="2">
          <reference field="4294967294" count="1" selected="0">
            <x v="0"/>
          </reference>
          <reference field="0" count="1" selected="0">
            <x v="16"/>
          </reference>
        </references>
      </pivotArea>
    </chartFormat>
    <chartFormat chart="35" format="33">
      <pivotArea type="data" outline="0" fieldPosition="0">
        <references count="2">
          <reference field="4294967294" count="1" selected="0">
            <x v="0"/>
          </reference>
          <reference field="0" count="1" selected="0">
            <x v="17"/>
          </reference>
        </references>
      </pivotArea>
    </chartFormat>
    <chartFormat chart="35" format="34" series="1">
      <pivotArea type="data" outline="0" fieldPosition="0">
        <references count="1">
          <reference field="4294967294" count="1" selected="0">
            <x v="1"/>
          </reference>
        </references>
      </pivotArea>
    </chartFormat>
    <chartFormat chart="35" format="35">
      <pivotArea type="data" outline="0" fieldPosition="0">
        <references count="2">
          <reference field="4294967294" count="1" selected="0">
            <x v="1"/>
          </reference>
          <reference field="0" count="1" selected="0">
            <x v="5"/>
          </reference>
        </references>
      </pivotArea>
    </chartFormat>
    <chartFormat chart="35" format="36">
      <pivotArea type="data" outline="0" fieldPosition="0">
        <references count="2">
          <reference field="4294967294" count="1" selected="0">
            <x v="1"/>
          </reference>
          <reference field="0" count="1" selected="0">
            <x v="7"/>
          </reference>
        </references>
      </pivotArea>
    </chartFormat>
    <chartFormat chart="35" format="37">
      <pivotArea type="data" outline="0" fieldPosition="0">
        <references count="2">
          <reference field="4294967294" count="1" selected="0">
            <x v="1"/>
          </reference>
          <reference field="0" count="1" selected="0">
            <x v="9"/>
          </reference>
        </references>
      </pivotArea>
    </chartFormat>
    <chartFormat chart="35" format="38">
      <pivotArea type="data" outline="0" fieldPosition="0">
        <references count="2">
          <reference field="4294967294" count="1" selected="0">
            <x v="1"/>
          </reference>
          <reference field="0" count="1" selected="0">
            <x v="10"/>
          </reference>
        </references>
      </pivotArea>
    </chartFormat>
    <chartFormat chart="35" format="39">
      <pivotArea type="data" outline="0" fieldPosition="0">
        <references count="2">
          <reference field="4294967294" count="1" selected="0">
            <x v="1"/>
          </reference>
          <reference field="0" count="1" selected="0">
            <x v="11"/>
          </reference>
        </references>
      </pivotArea>
    </chartFormat>
    <chartFormat chart="35" format="40">
      <pivotArea type="data" outline="0" fieldPosition="0">
        <references count="2">
          <reference field="4294967294" count="1" selected="0">
            <x v="1"/>
          </reference>
          <reference field="0" count="1" selected="0">
            <x v="12"/>
          </reference>
        </references>
      </pivotArea>
    </chartFormat>
    <chartFormat chart="35" format="41">
      <pivotArea type="data" outline="0" fieldPosition="0">
        <references count="2">
          <reference field="4294967294" count="1" selected="0">
            <x v="1"/>
          </reference>
          <reference field="0" count="1" selected="0">
            <x v="13"/>
          </reference>
        </references>
      </pivotArea>
    </chartFormat>
    <chartFormat chart="35" format="42">
      <pivotArea type="data" outline="0" fieldPosition="0">
        <references count="2">
          <reference field="4294967294" count="1" selected="0">
            <x v="1"/>
          </reference>
          <reference field="0" count="1" selected="0">
            <x v="14"/>
          </reference>
        </references>
      </pivotArea>
    </chartFormat>
    <chartFormat chart="35" format="43">
      <pivotArea type="data" outline="0" fieldPosition="0">
        <references count="2">
          <reference field="4294967294" count="1" selected="0">
            <x v="1"/>
          </reference>
          <reference field="0" count="1" selected="0">
            <x v="15"/>
          </reference>
        </references>
      </pivotArea>
    </chartFormat>
    <chartFormat chart="35" format="44">
      <pivotArea type="data" outline="0" fieldPosition="0">
        <references count="2">
          <reference field="4294967294" count="1" selected="0">
            <x v="1"/>
          </reference>
          <reference field="0" count="1" selected="0">
            <x v="16"/>
          </reference>
        </references>
      </pivotArea>
    </chartFormat>
    <chartFormat chart="35" format="45">
      <pivotArea type="data" outline="0" fieldPosition="0">
        <references count="2">
          <reference field="4294967294" count="1" selected="0">
            <x v="1"/>
          </reference>
          <reference field="0" count="1" selected="0">
            <x v="17"/>
          </reference>
        </references>
      </pivotArea>
    </chartFormat>
    <chartFormat chart="35" format="46">
      <pivotArea type="data" outline="0" fieldPosition="0">
        <references count="2">
          <reference field="4294967294" count="1" selected="0">
            <x v="1"/>
          </reference>
          <reference field="0" count="1" selected="0">
            <x v="18"/>
          </reference>
        </references>
      </pivotArea>
    </chartFormat>
    <chartFormat chart="36" format="47" series="1">
      <pivotArea type="data" outline="0" fieldPosition="0">
        <references count="1">
          <reference field="4294967294" count="1" selected="0">
            <x v="0"/>
          </reference>
        </references>
      </pivotArea>
    </chartFormat>
    <chartFormat chart="36" format="48">
      <pivotArea type="data" outline="0" fieldPosition="0">
        <references count="2">
          <reference field="4294967294" count="1" selected="0">
            <x v="0"/>
          </reference>
          <reference field="0" count="1" selected="0">
            <x v="9"/>
          </reference>
        </references>
      </pivotArea>
    </chartFormat>
    <chartFormat chart="36" format="49">
      <pivotArea type="data" outline="0" fieldPosition="0">
        <references count="2">
          <reference field="4294967294" count="1" selected="0">
            <x v="0"/>
          </reference>
          <reference field="0" count="1" selected="0">
            <x v="11"/>
          </reference>
        </references>
      </pivotArea>
    </chartFormat>
    <chartFormat chart="36" format="50">
      <pivotArea type="data" outline="0" fieldPosition="0">
        <references count="2">
          <reference field="4294967294" count="1" selected="0">
            <x v="0"/>
          </reference>
          <reference field="0" count="1" selected="0">
            <x v="12"/>
          </reference>
        </references>
      </pivotArea>
    </chartFormat>
    <chartFormat chart="36" format="51">
      <pivotArea type="data" outline="0" fieldPosition="0">
        <references count="2">
          <reference field="4294967294" count="1" selected="0">
            <x v="0"/>
          </reference>
          <reference field="0" count="1" selected="0">
            <x v="13"/>
          </reference>
        </references>
      </pivotArea>
    </chartFormat>
    <chartFormat chart="36" format="52">
      <pivotArea type="data" outline="0" fieldPosition="0">
        <references count="2">
          <reference field="4294967294" count="1" selected="0">
            <x v="0"/>
          </reference>
          <reference field="0" count="1" selected="0">
            <x v="15"/>
          </reference>
        </references>
      </pivotArea>
    </chartFormat>
    <chartFormat chart="36" format="53">
      <pivotArea type="data" outline="0" fieldPosition="0">
        <references count="2">
          <reference field="4294967294" count="1" selected="0">
            <x v="0"/>
          </reference>
          <reference field="0" count="1" selected="0">
            <x v="16"/>
          </reference>
        </references>
      </pivotArea>
    </chartFormat>
    <chartFormat chart="36" format="54">
      <pivotArea type="data" outline="0" fieldPosition="0">
        <references count="2">
          <reference field="4294967294" count="1" selected="0">
            <x v="0"/>
          </reference>
          <reference field="0" count="1" selected="0">
            <x v="17"/>
          </reference>
        </references>
      </pivotArea>
    </chartFormat>
    <chartFormat chart="36" format="55" series="1">
      <pivotArea type="data" outline="0" fieldPosition="0">
        <references count="1">
          <reference field="4294967294" count="1" selected="0">
            <x v="1"/>
          </reference>
        </references>
      </pivotArea>
    </chartFormat>
    <chartFormat chart="36" format="56">
      <pivotArea type="data" outline="0" fieldPosition="0">
        <references count="2">
          <reference field="4294967294" count="1" selected="0">
            <x v="1"/>
          </reference>
          <reference field="0" count="1" selected="0">
            <x v="5"/>
          </reference>
        </references>
      </pivotArea>
    </chartFormat>
    <chartFormat chart="36" format="57">
      <pivotArea type="data" outline="0" fieldPosition="0">
        <references count="2">
          <reference field="4294967294" count="1" selected="0">
            <x v="1"/>
          </reference>
          <reference field="0" count="1" selected="0">
            <x v="7"/>
          </reference>
        </references>
      </pivotArea>
    </chartFormat>
    <chartFormat chart="36" format="58">
      <pivotArea type="data" outline="0" fieldPosition="0">
        <references count="2">
          <reference field="4294967294" count="1" selected="0">
            <x v="1"/>
          </reference>
          <reference field="0" count="1" selected="0">
            <x v="9"/>
          </reference>
        </references>
      </pivotArea>
    </chartFormat>
    <chartFormat chart="36" format="59">
      <pivotArea type="data" outline="0" fieldPosition="0">
        <references count="2">
          <reference field="4294967294" count="1" selected="0">
            <x v="1"/>
          </reference>
          <reference field="0" count="1" selected="0">
            <x v="10"/>
          </reference>
        </references>
      </pivotArea>
    </chartFormat>
    <chartFormat chart="36" format="60">
      <pivotArea type="data" outline="0" fieldPosition="0">
        <references count="2">
          <reference field="4294967294" count="1" selected="0">
            <x v="1"/>
          </reference>
          <reference field="0" count="1" selected="0">
            <x v="11"/>
          </reference>
        </references>
      </pivotArea>
    </chartFormat>
    <chartFormat chart="36" format="61">
      <pivotArea type="data" outline="0" fieldPosition="0">
        <references count="2">
          <reference field="4294967294" count="1" selected="0">
            <x v="1"/>
          </reference>
          <reference field="0" count="1" selected="0">
            <x v="12"/>
          </reference>
        </references>
      </pivotArea>
    </chartFormat>
    <chartFormat chart="36" format="62">
      <pivotArea type="data" outline="0" fieldPosition="0">
        <references count="2">
          <reference field="4294967294" count="1" selected="0">
            <x v="1"/>
          </reference>
          <reference field="0" count="1" selected="0">
            <x v="13"/>
          </reference>
        </references>
      </pivotArea>
    </chartFormat>
    <chartFormat chart="36" format="63">
      <pivotArea type="data" outline="0" fieldPosition="0">
        <references count="2">
          <reference field="4294967294" count="1" selected="0">
            <x v="1"/>
          </reference>
          <reference field="0" count="1" selected="0">
            <x v="14"/>
          </reference>
        </references>
      </pivotArea>
    </chartFormat>
    <chartFormat chart="36" format="64">
      <pivotArea type="data" outline="0" fieldPosition="0">
        <references count="2">
          <reference field="4294967294" count="1" selected="0">
            <x v="1"/>
          </reference>
          <reference field="0" count="1" selected="0">
            <x v="15"/>
          </reference>
        </references>
      </pivotArea>
    </chartFormat>
    <chartFormat chart="36" format="65">
      <pivotArea type="data" outline="0" fieldPosition="0">
        <references count="2">
          <reference field="4294967294" count="1" selected="0">
            <x v="1"/>
          </reference>
          <reference field="0" count="1" selected="0">
            <x v="16"/>
          </reference>
        </references>
      </pivotArea>
    </chartFormat>
    <chartFormat chart="36" format="66">
      <pivotArea type="data" outline="0" fieldPosition="0">
        <references count="2">
          <reference field="4294967294" count="1" selected="0">
            <x v="1"/>
          </reference>
          <reference field="0" count="1" selected="0">
            <x v="17"/>
          </reference>
        </references>
      </pivotArea>
    </chartFormat>
    <chartFormat chart="36" format="67">
      <pivotArea type="data" outline="0" fieldPosition="0">
        <references count="2">
          <reference field="4294967294" count="1" selected="0">
            <x v="1"/>
          </reference>
          <reference field="0" count="1" selected="0">
            <x v="18"/>
          </reference>
        </references>
      </pivotArea>
    </chartFormat>
    <chartFormat chart="4" format="26">
      <pivotArea type="data" outline="0" fieldPosition="0">
        <references count="2">
          <reference field="4294967294" count="1" selected="0">
            <x v="0"/>
          </reference>
          <reference field="0" count="1" selected="0">
            <x v="18"/>
          </reference>
        </references>
      </pivotArea>
    </chartFormat>
    <chartFormat chart="4" format="27">
      <pivotArea type="data" outline="0" fieldPosition="0">
        <references count="2">
          <reference field="4294967294" count="1" selected="0">
            <x v="1"/>
          </reference>
          <reference field="0" count="1" selected="0">
            <x v="19"/>
          </reference>
        </references>
      </pivotArea>
    </chartFormat>
    <chartFormat chart="4" format="28">
      <pivotArea type="data" outline="0" fieldPosition="0">
        <references count="2">
          <reference field="4294967294" count="1" selected="0">
            <x v="0"/>
          </reference>
          <reference field="0" count="1" selected="0">
            <x v="19"/>
          </reference>
        </references>
      </pivotArea>
    </chartFormat>
    <chartFormat chart="37" format="29" series="1">
      <pivotArea type="data" outline="0" fieldPosition="0">
        <references count="1">
          <reference field="4294967294" count="1" selected="0">
            <x v="0"/>
          </reference>
        </references>
      </pivotArea>
    </chartFormat>
    <chartFormat chart="37" format="30">
      <pivotArea type="data" outline="0" fieldPosition="0">
        <references count="2">
          <reference field="4294967294" count="1" selected="0">
            <x v="0"/>
          </reference>
          <reference field="0" count="1" selected="0">
            <x v="9"/>
          </reference>
        </references>
      </pivotArea>
    </chartFormat>
    <chartFormat chart="37" format="31">
      <pivotArea type="data" outline="0" fieldPosition="0">
        <references count="2">
          <reference field="4294967294" count="1" selected="0">
            <x v="0"/>
          </reference>
          <reference field="0" count="1" selected="0">
            <x v="11"/>
          </reference>
        </references>
      </pivotArea>
    </chartFormat>
    <chartFormat chart="37" format="32">
      <pivotArea type="data" outline="0" fieldPosition="0">
        <references count="2">
          <reference field="4294967294" count="1" selected="0">
            <x v="0"/>
          </reference>
          <reference field="0" count="1" selected="0">
            <x v="12"/>
          </reference>
        </references>
      </pivotArea>
    </chartFormat>
    <chartFormat chart="37" format="33">
      <pivotArea type="data" outline="0" fieldPosition="0">
        <references count="2">
          <reference field="4294967294" count="1" selected="0">
            <x v="0"/>
          </reference>
          <reference field="0" count="1" selected="0">
            <x v="13"/>
          </reference>
        </references>
      </pivotArea>
    </chartFormat>
    <chartFormat chart="37" format="34">
      <pivotArea type="data" outline="0" fieldPosition="0">
        <references count="2">
          <reference field="4294967294" count="1" selected="0">
            <x v="0"/>
          </reference>
          <reference field="0" count="1" selected="0">
            <x v="15"/>
          </reference>
        </references>
      </pivotArea>
    </chartFormat>
    <chartFormat chart="37" format="35">
      <pivotArea type="data" outline="0" fieldPosition="0">
        <references count="2">
          <reference field="4294967294" count="1" selected="0">
            <x v="0"/>
          </reference>
          <reference field="0" count="1" selected="0">
            <x v="16"/>
          </reference>
        </references>
      </pivotArea>
    </chartFormat>
    <chartFormat chart="37" format="36">
      <pivotArea type="data" outline="0" fieldPosition="0">
        <references count="2">
          <reference field="4294967294" count="1" selected="0">
            <x v="0"/>
          </reference>
          <reference field="0" count="1" selected="0">
            <x v="17"/>
          </reference>
        </references>
      </pivotArea>
    </chartFormat>
    <chartFormat chart="37" format="37">
      <pivotArea type="data" outline="0" fieldPosition="0">
        <references count="2">
          <reference field="4294967294" count="1" selected="0">
            <x v="0"/>
          </reference>
          <reference field="0" count="1" selected="0">
            <x v="18"/>
          </reference>
        </references>
      </pivotArea>
    </chartFormat>
    <chartFormat chart="37" format="38">
      <pivotArea type="data" outline="0" fieldPosition="0">
        <references count="2">
          <reference field="4294967294" count="1" selected="0">
            <x v="0"/>
          </reference>
          <reference field="0" count="1" selected="0">
            <x v="19"/>
          </reference>
        </references>
      </pivotArea>
    </chartFormat>
    <chartFormat chart="37" format="39" series="1">
      <pivotArea type="data" outline="0" fieldPosition="0">
        <references count="1">
          <reference field="4294967294" count="1" selected="0">
            <x v="1"/>
          </reference>
        </references>
      </pivotArea>
    </chartFormat>
    <chartFormat chart="37" format="40">
      <pivotArea type="data" outline="0" fieldPosition="0">
        <references count="2">
          <reference field="4294967294" count="1" selected="0">
            <x v="1"/>
          </reference>
          <reference field="0" count="1" selected="0">
            <x v="5"/>
          </reference>
        </references>
      </pivotArea>
    </chartFormat>
    <chartFormat chart="37" format="41">
      <pivotArea type="data" outline="0" fieldPosition="0">
        <references count="2">
          <reference field="4294967294" count="1" selected="0">
            <x v="1"/>
          </reference>
          <reference field="0" count="1" selected="0">
            <x v="7"/>
          </reference>
        </references>
      </pivotArea>
    </chartFormat>
    <chartFormat chart="37" format="42">
      <pivotArea type="data" outline="0" fieldPosition="0">
        <references count="2">
          <reference field="4294967294" count="1" selected="0">
            <x v="1"/>
          </reference>
          <reference field="0" count="1" selected="0">
            <x v="9"/>
          </reference>
        </references>
      </pivotArea>
    </chartFormat>
    <chartFormat chart="37" format="43">
      <pivotArea type="data" outline="0" fieldPosition="0">
        <references count="2">
          <reference field="4294967294" count="1" selected="0">
            <x v="1"/>
          </reference>
          <reference field="0" count="1" selected="0">
            <x v="10"/>
          </reference>
        </references>
      </pivotArea>
    </chartFormat>
    <chartFormat chart="37" format="44">
      <pivotArea type="data" outline="0" fieldPosition="0">
        <references count="2">
          <reference field="4294967294" count="1" selected="0">
            <x v="1"/>
          </reference>
          <reference field="0" count="1" selected="0">
            <x v="11"/>
          </reference>
        </references>
      </pivotArea>
    </chartFormat>
    <chartFormat chart="37" format="45">
      <pivotArea type="data" outline="0" fieldPosition="0">
        <references count="2">
          <reference field="4294967294" count="1" selected="0">
            <x v="1"/>
          </reference>
          <reference field="0" count="1" selected="0">
            <x v="12"/>
          </reference>
        </references>
      </pivotArea>
    </chartFormat>
    <chartFormat chart="37" format="46">
      <pivotArea type="data" outline="0" fieldPosition="0">
        <references count="2">
          <reference field="4294967294" count="1" selected="0">
            <x v="1"/>
          </reference>
          <reference field="0" count="1" selected="0">
            <x v="13"/>
          </reference>
        </references>
      </pivotArea>
    </chartFormat>
    <chartFormat chart="37" format="47">
      <pivotArea type="data" outline="0" fieldPosition="0">
        <references count="2">
          <reference field="4294967294" count="1" selected="0">
            <x v="1"/>
          </reference>
          <reference field="0" count="1" selected="0">
            <x v="14"/>
          </reference>
        </references>
      </pivotArea>
    </chartFormat>
    <chartFormat chart="37" format="48">
      <pivotArea type="data" outline="0" fieldPosition="0">
        <references count="2">
          <reference field="4294967294" count="1" selected="0">
            <x v="1"/>
          </reference>
          <reference field="0" count="1" selected="0">
            <x v="15"/>
          </reference>
        </references>
      </pivotArea>
    </chartFormat>
    <chartFormat chart="37" format="49">
      <pivotArea type="data" outline="0" fieldPosition="0">
        <references count="2">
          <reference field="4294967294" count="1" selected="0">
            <x v="1"/>
          </reference>
          <reference field="0" count="1" selected="0">
            <x v="16"/>
          </reference>
        </references>
      </pivotArea>
    </chartFormat>
    <chartFormat chart="37" format="50">
      <pivotArea type="data" outline="0" fieldPosition="0">
        <references count="2">
          <reference field="4294967294" count="1" selected="0">
            <x v="1"/>
          </reference>
          <reference field="0" count="1" selected="0">
            <x v="17"/>
          </reference>
        </references>
      </pivotArea>
    </chartFormat>
    <chartFormat chart="37" format="51">
      <pivotArea type="data" outline="0" fieldPosition="0">
        <references count="2">
          <reference field="4294967294" count="1" selected="0">
            <x v="1"/>
          </reference>
          <reference field="0" count="1" selected="0">
            <x v="18"/>
          </reference>
        </references>
      </pivotArea>
    </chartFormat>
    <chartFormat chart="37" format="52">
      <pivotArea type="data" outline="0" fieldPosition="0">
        <references count="2">
          <reference field="4294967294" count="1" selected="0">
            <x v="1"/>
          </reference>
          <reference field="0" count="1" selected="0">
            <x v="19"/>
          </reference>
        </references>
      </pivotArea>
    </chartFormat>
    <chartFormat chart="38" format="53" series="1">
      <pivotArea type="data" outline="0" fieldPosition="0">
        <references count="1">
          <reference field="4294967294" count="1" selected="0">
            <x v="0"/>
          </reference>
        </references>
      </pivotArea>
    </chartFormat>
    <chartFormat chart="38" format="54">
      <pivotArea type="data" outline="0" fieldPosition="0">
        <references count="2">
          <reference field="4294967294" count="1" selected="0">
            <x v="0"/>
          </reference>
          <reference field="0" count="1" selected="0">
            <x v="9"/>
          </reference>
        </references>
      </pivotArea>
    </chartFormat>
    <chartFormat chart="38" format="55">
      <pivotArea type="data" outline="0" fieldPosition="0">
        <references count="2">
          <reference field="4294967294" count="1" selected="0">
            <x v="0"/>
          </reference>
          <reference field="0" count="1" selected="0">
            <x v="11"/>
          </reference>
        </references>
      </pivotArea>
    </chartFormat>
    <chartFormat chart="38" format="56">
      <pivotArea type="data" outline="0" fieldPosition="0">
        <references count="2">
          <reference field="4294967294" count="1" selected="0">
            <x v="0"/>
          </reference>
          <reference field="0" count="1" selected="0">
            <x v="12"/>
          </reference>
        </references>
      </pivotArea>
    </chartFormat>
    <chartFormat chart="38" format="57">
      <pivotArea type="data" outline="0" fieldPosition="0">
        <references count="2">
          <reference field="4294967294" count="1" selected="0">
            <x v="0"/>
          </reference>
          <reference field="0" count="1" selected="0">
            <x v="13"/>
          </reference>
        </references>
      </pivotArea>
    </chartFormat>
    <chartFormat chart="38" format="58">
      <pivotArea type="data" outline="0" fieldPosition="0">
        <references count="2">
          <reference field="4294967294" count="1" selected="0">
            <x v="0"/>
          </reference>
          <reference field="0" count="1" selected="0">
            <x v="15"/>
          </reference>
        </references>
      </pivotArea>
    </chartFormat>
    <chartFormat chart="38" format="59">
      <pivotArea type="data" outline="0" fieldPosition="0">
        <references count="2">
          <reference field="4294967294" count="1" selected="0">
            <x v="0"/>
          </reference>
          <reference field="0" count="1" selected="0">
            <x v="16"/>
          </reference>
        </references>
      </pivotArea>
    </chartFormat>
    <chartFormat chart="38" format="60">
      <pivotArea type="data" outline="0" fieldPosition="0">
        <references count="2">
          <reference field="4294967294" count="1" selected="0">
            <x v="0"/>
          </reference>
          <reference field="0" count="1" selected="0">
            <x v="17"/>
          </reference>
        </references>
      </pivotArea>
    </chartFormat>
    <chartFormat chart="38" format="61">
      <pivotArea type="data" outline="0" fieldPosition="0">
        <references count="2">
          <reference field="4294967294" count="1" selected="0">
            <x v="0"/>
          </reference>
          <reference field="0" count="1" selected="0">
            <x v="18"/>
          </reference>
        </references>
      </pivotArea>
    </chartFormat>
    <chartFormat chart="38" format="62">
      <pivotArea type="data" outline="0" fieldPosition="0">
        <references count="2">
          <reference field="4294967294" count="1" selected="0">
            <x v="0"/>
          </reference>
          <reference field="0" count="1" selected="0">
            <x v="19"/>
          </reference>
        </references>
      </pivotArea>
    </chartFormat>
    <chartFormat chart="38" format="63" series="1">
      <pivotArea type="data" outline="0" fieldPosition="0">
        <references count="1">
          <reference field="4294967294" count="1" selected="0">
            <x v="1"/>
          </reference>
        </references>
      </pivotArea>
    </chartFormat>
    <chartFormat chart="38" format="64">
      <pivotArea type="data" outline="0" fieldPosition="0">
        <references count="2">
          <reference field="4294967294" count="1" selected="0">
            <x v="1"/>
          </reference>
          <reference field="0" count="1" selected="0">
            <x v="5"/>
          </reference>
        </references>
      </pivotArea>
    </chartFormat>
    <chartFormat chart="38" format="65">
      <pivotArea type="data" outline="0" fieldPosition="0">
        <references count="2">
          <reference field="4294967294" count="1" selected="0">
            <x v="1"/>
          </reference>
          <reference field="0" count="1" selected="0">
            <x v="7"/>
          </reference>
        </references>
      </pivotArea>
    </chartFormat>
    <chartFormat chart="38" format="66">
      <pivotArea type="data" outline="0" fieldPosition="0">
        <references count="2">
          <reference field="4294967294" count="1" selected="0">
            <x v="1"/>
          </reference>
          <reference field="0" count="1" selected="0">
            <x v="9"/>
          </reference>
        </references>
      </pivotArea>
    </chartFormat>
    <chartFormat chart="38" format="67">
      <pivotArea type="data" outline="0" fieldPosition="0">
        <references count="2">
          <reference field="4294967294" count="1" selected="0">
            <x v="1"/>
          </reference>
          <reference field="0" count="1" selected="0">
            <x v="10"/>
          </reference>
        </references>
      </pivotArea>
    </chartFormat>
    <chartFormat chart="38" format="68">
      <pivotArea type="data" outline="0" fieldPosition="0">
        <references count="2">
          <reference field="4294967294" count="1" selected="0">
            <x v="1"/>
          </reference>
          <reference field="0" count="1" selected="0">
            <x v="11"/>
          </reference>
        </references>
      </pivotArea>
    </chartFormat>
    <chartFormat chart="38" format="69">
      <pivotArea type="data" outline="0" fieldPosition="0">
        <references count="2">
          <reference field="4294967294" count="1" selected="0">
            <x v="1"/>
          </reference>
          <reference field="0" count="1" selected="0">
            <x v="12"/>
          </reference>
        </references>
      </pivotArea>
    </chartFormat>
    <chartFormat chart="38" format="70">
      <pivotArea type="data" outline="0" fieldPosition="0">
        <references count="2">
          <reference field="4294967294" count="1" selected="0">
            <x v="1"/>
          </reference>
          <reference field="0" count="1" selected="0">
            <x v="13"/>
          </reference>
        </references>
      </pivotArea>
    </chartFormat>
    <chartFormat chart="38" format="71">
      <pivotArea type="data" outline="0" fieldPosition="0">
        <references count="2">
          <reference field="4294967294" count="1" selected="0">
            <x v="1"/>
          </reference>
          <reference field="0" count="1" selected="0">
            <x v="14"/>
          </reference>
        </references>
      </pivotArea>
    </chartFormat>
    <chartFormat chart="38" format="72">
      <pivotArea type="data" outline="0" fieldPosition="0">
        <references count="2">
          <reference field="4294967294" count="1" selected="0">
            <x v="1"/>
          </reference>
          <reference field="0" count="1" selected="0">
            <x v="15"/>
          </reference>
        </references>
      </pivotArea>
    </chartFormat>
    <chartFormat chart="38" format="73">
      <pivotArea type="data" outline="0" fieldPosition="0">
        <references count="2">
          <reference field="4294967294" count="1" selected="0">
            <x v="1"/>
          </reference>
          <reference field="0" count="1" selected="0">
            <x v="16"/>
          </reference>
        </references>
      </pivotArea>
    </chartFormat>
    <chartFormat chart="38" format="74">
      <pivotArea type="data" outline="0" fieldPosition="0">
        <references count="2">
          <reference field="4294967294" count="1" selected="0">
            <x v="1"/>
          </reference>
          <reference field="0" count="1" selected="0">
            <x v="17"/>
          </reference>
        </references>
      </pivotArea>
    </chartFormat>
    <chartFormat chart="38" format="75">
      <pivotArea type="data" outline="0" fieldPosition="0">
        <references count="2">
          <reference field="4294967294" count="1" selected="0">
            <x v="1"/>
          </reference>
          <reference field="0" count="1" selected="0">
            <x v="18"/>
          </reference>
        </references>
      </pivotArea>
    </chartFormat>
    <chartFormat chart="38" format="76">
      <pivotArea type="data" outline="0" fieldPosition="0">
        <references count="2">
          <reference field="4294967294" count="1" selected="0">
            <x v="1"/>
          </reference>
          <reference field="0" count="1" selected="0">
            <x v="19"/>
          </reference>
        </references>
      </pivotArea>
    </chartFormat>
    <chartFormat chart="4" format="29">
      <pivotArea type="data" outline="0" fieldPosition="0">
        <references count="2">
          <reference field="4294967294" count="1" selected="0">
            <x v="1"/>
          </reference>
          <reference field="0" count="1" selected="0">
            <x v="20"/>
          </reference>
        </references>
      </pivotArea>
    </chartFormat>
    <chartFormat chart="4" format="30">
      <pivotArea type="data" outline="0" fieldPosition="0">
        <references count="2">
          <reference field="4294967294" count="1" selected="0">
            <x v="1"/>
          </reference>
          <reference field="0" count="1" selected="0">
            <x v="21"/>
          </reference>
        </references>
      </pivotArea>
    </chartFormat>
    <chartFormat chart="4" format="31">
      <pivotArea type="data" outline="0" fieldPosition="0">
        <references count="2">
          <reference field="4294967294" count="1" selected="0">
            <x v="1"/>
          </reference>
          <reference field="0" count="1" selected="0">
            <x v="22"/>
          </reference>
        </references>
      </pivotArea>
    </chartFormat>
    <chartFormat chart="4" format="32">
      <pivotArea type="data" outline="0" fieldPosition="0">
        <references count="2">
          <reference field="4294967294" count="1" selected="0">
            <x v="0"/>
          </reference>
          <reference field="0" count="1" selected="0">
            <x v="22"/>
          </reference>
        </references>
      </pivotArea>
    </chartFormat>
    <chartFormat chart="39" format="33" series="1">
      <pivotArea type="data" outline="0" fieldPosition="0">
        <references count="1">
          <reference field="4294967294" count="1" selected="0">
            <x v="0"/>
          </reference>
        </references>
      </pivotArea>
    </chartFormat>
    <chartFormat chart="39" format="34">
      <pivotArea type="data" outline="0" fieldPosition="0">
        <references count="2">
          <reference field="4294967294" count="1" selected="0">
            <x v="0"/>
          </reference>
          <reference field="0" count="1" selected="0">
            <x v="9"/>
          </reference>
        </references>
      </pivotArea>
    </chartFormat>
    <chartFormat chart="39" format="35">
      <pivotArea type="data" outline="0" fieldPosition="0">
        <references count="2">
          <reference field="4294967294" count="1" selected="0">
            <x v="0"/>
          </reference>
          <reference field="0" count="1" selected="0">
            <x v="11"/>
          </reference>
        </references>
      </pivotArea>
    </chartFormat>
    <chartFormat chart="39" format="36">
      <pivotArea type="data" outline="0" fieldPosition="0">
        <references count="2">
          <reference field="4294967294" count="1" selected="0">
            <x v="0"/>
          </reference>
          <reference field="0" count="1" selected="0">
            <x v="12"/>
          </reference>
        </references>
      </pivotArea>
    </chartFormat>
    <chartFormat chart="39" format="37">
      <pivotArea type="data" outline="0" fieldPosition="0">
        <references count="2">
          <reference field="4294967294" count="1" selected="0">
            <x v="0"/>
          </reference>
          <reference field="0" count="1" selected="0">
            <x v="13"/>
          </reference>
        </references>
      </pivotArea>
    </chartFormat>
    <chartFormat chart="39" format="38">
      <pivotArea type="data" outline="0" fieldPosition="0">
        <references count="2">
          <reference field="4294967294" count="1" selected="0">
            <x v="0"/>
          </reference>
          <reference field="0" count="1" selected="0">
            <x v="15"/>
          </reference>
        </references>
      </pivotArea>
    </chartFormat>
    <chartFormat chart="39" format="39">
      <pivotArea type="data" outline="0" fieldPosition="0">
        <references count="2">
          <reference field="4294967294" count="1" selected="0">
            <x v="0"/>
          </reference>
          <reference field="0" count="1" selected="0">
            <x v="16"/>
          </reference>
        </references>
      </pivotArea>
    </chartFormat>
    <chartFormat chart="39" format="40">
      <pivotArea type="data" outline="0" fieldPosition="0">
        <references count="2">
          <reference field="4294967294" count="1" selected="0">
            <x v="0"/>
          </reference>
          <reference field="0" count="1" selected="0">
            <x v="17"/>
          </reference>
        </references>
      </pivotArea>
    </chartFormat>
    <chartFormat chart="39" format="41">
      <pivotArea type="data" outline="0" fieldPosition="0">
        <references count="2">
          <reference field="4294967294" count="1" selected="0">
            <x v="0"/>
          </reference>
          <reference field="0" count="1" selected="0">
            <x v="18"/>
          </reference>
        </references>
      </pivotArea>
    </chartFormat>
    <chartFormat chart="39" format="42">
      <pivotArea type="data" outline="0" fieldPosition="0">
        <references count="2">
          <reference field="4294967294" count="1" selected="0">
            <x v="0"/>
          </reference>
          <reference field="0" count="1" selected="0">
            <x v="19"/>
          </reference>
        </references>
      </pivotArea>
    </chartFormat>
    <chartFormat chart="39" format="43">
      <pivotArea type="data" outline="0" fieldPosition="0">
        <references count="2">
          <reference field="4294967294" count="1" selected="0">
            <x v="0"/>
          </reference>
          <reference field="0" count="1" selected="0">
            <x v="22"/>
          </reference>
        </references>
      </pivotArea>
    </chartFormat>
    <chartFormat chart="39" format="44" series="1">
      <pivotArea type="data" outline="0" fieldPosition="0">
        <references count="1">
          <reference field="4294967294" count="1" selected="0">
            <x v="1"/>
          </reference>
        </references>
      </pivotArea>
    </chartFormat>
    <chartFormat chart="39" format="45">
      <pivotArea type="data" outline="0" fieldPosition="0">
        <references count="2">
          <reference field="4294967294" count="1" selected="0">
            <x v="1"/>
          </reference>
          <reference field="0" count="1" selected="0">
            <x v="5"/>
          </reference>
        </references>
      </pivotArea>
    </chartFormat>
    <chartFormat chart="39" format="46">
      <pivotArea type="data" outline="0" fieldPosition="0">
        <references count="2">
          <reference field="4294967294" count="1" selected="0">
            <x v="1"/>
          </reference>
          <reference field="0" count="1" selected="0">
            <x v="7"/>
          </reference>
        </references>
      </pivotArea>
    </chartFormat>
    <chartFormat chart="39" format="47">
      <pivotArea type="data" outline="0" fieldPosition="0">
        <references count="2">
          <reference field="4294967294" count="1" selected="0">
            <x v="1"/>
          </reference>
          <reference field="0" count="1" selected="0">
            <x v="9"/>
          </reference>
        </references>
      </pivotArea>
    </chartFormat>
    <chartFormat chart="39" format="48">
      <pivotArea type="data" outline="0" fieldPosition="0">
        <references count="2">
          <reference field="4294967294" count="1" selected="0">
            <x v="1"/>
          </reference>
          <reference field="0" count="1" selected="0">
            <x v="10"/>
          </reference>
        </references>
      </pivotArea>
    </chartFormat>
    <chartFormat chart="39" format="49">
      <pivotArea type="data" outline="0" fieldPosition="0">
        <references count="2">
          <reference field="4294967294" count="1" selected="0">
            <x v="1"/>
          </reference>
          <reference field="0" count="1" selected="0">
            <x v="11"/>
          </reference>
        </references>
      </pivotArea>
    </chartFormat>
    <chartFormat chart="39" format="50">
      <pivotArea type="data" outline="0" fieldPosition="0">
        <references count="2">
          <reference field="4294967294" count="1" selected="0">
            <x v="1"/>
          </reference>
          <reference field="0" count="1" selected="0">
            <x v="12"/>
          </reference>
        </references>
      </pivotArea>
    </chartFormat>
    <chartFormat chart="39" format="51">
      <pivotArea type="data" outline="0" fieldPosition="0">
        <references count="2">
          <reference field="4294967294" count="1" selected="0">
            <x v="1"/>
          </reference>
          <reference field="0" count="1" selected="0">
            <x v="13"/>
          </reference>
        </references>
      </pivotArea>
    </chartFormat>
    <chartFormat chart="39" format="52">
      <pivotArea type="data" outline="0" fieldPosition="0">
        <references count="2">
          <reference field="4294967294" count="1" selected="0">
            <x v="1"/>
          </reference>
          <reference field="0" count="1" selected="0">
            <x v="14"/>
          </reference>
        </references>
      </pivotArea>
    </chartFormat>
    <chartFormat chart="39" format="53">
      <pivotArea type="data" outline="0" fieldPosition="0">
        <references count="2">
          <reference field="4294967294" count="1" selected="0">
            <x v="1"/>
          </reference>
          <reference field="0" count="1" selected="0">
            <x v="15"/>
          </reference>
        </references>
      </pivotArea>
    </chartFormat>
    <chartFormat chart="39" format="54">
      <pivotArea type="data" outline="0" fieldPosition="0">
        <references count="2">
          <reference field="4294967294" count="1" selected="0">
            <x v="1"/>
          </reference>
          <reference field="0" count="1" selected="0">
            <x v="16"/>
          </reference>
        </references>
      </pivotArea>
    </chartFormat>
    <chartFormat chart="39" format="55">
      <pivotArea type="data" outline="0" fieldPosition="0">
        <references count="2">
          <reference field="4294967294" count="1" selected="0">
            <x v="1"/>
          </reference>
          <reference field="0" count="1" selected="0">
            <x v="17"/>
          </reference>
        </references>
      </pivotArea>
    </chartFormat>
    <chartFormat chart="39" format="56">
      <pivotArea type="data" outline="0" fieldPosition="0">
        <references count="2">
          <reference field="4294967294" count="1" selected="0">
            <x v="1"/>
          </reference>
          <reference field="0" count="1" selected="0">
            <x v="18"/>
          </reference>
        </references>
      </pivotArea>
    </chartFormat>
    <chartFormat chart="39" format="57">
      <pivotArea type="data" outline="0" fieldPosition="0">
        <references count="2">
          <reference field="4294967294" count="1" selected="0">
            <x v="1"/>
          </reference>
          <reference field="0" count="1" selected="0">
            <x v="19"/>
          </reference>
        </references>
      </pivotArea>
    </chartFormat>
    <chartFormat chart="39" format="58">
      <pivotArea type="data" outline="0" fieldPosition="0">
        <references count="2">
          <reference field="4294967294" count="1" selected="0">
            <x v="1"/>
          </reference>
          <reference field="0" count="1" selected="0">
            <x v="20"/>
          </reference>
        </references>
      </pivotArea>
    </chartFormat>
    <chartFormat chart="39" format="59">
      <pivotArea type="data" outline="0" fieldPosition="0">
        <references count="2">
          <reference field="4294967294" count="1" selected="0">
            <x v="1"/>
          </reference>
          <reference field="0" count="1" selected="0">
            <x v="21"/>
          </reference>
        </references>
      </pivotArea>
    </chartFormat>
    <chartFormat chart="39" format="60">
      <pivotArea type="data" outline="0" fieldPosition="0">
        <references count="2">
          <reference field="4294967294" count="1" selected="0">
            <x v="1"/>
          </reference>
          <reference field="0" count="1" selected="0">
            <x v="22"/>
          </reference>
        </references>
      </pivotArea>
    </chartFormat>
    <chartFormat chart="40" format="61" series="1">
      <pivotArea type="data" outline="0" fieldPosition="0">
        <references count="1">
          <reference field="4294967294" count="1" selected="0">
            <x v="0"/>
          </reference>
        </references>
      </pivotArea>
    </chartFormat>
    <chartFormat chart="40" format="62">
      <pivotArea type="data" outline="0" fieldPosition="0">
        <references count="2">
          <reference field="4294967294" count="1" selected="0">
            <x v="0"/>
          </reference>
          <reference field="0" count="1" selected="0">
            <x v="9"/>
          </reference>
        </references>
      </pivotArea>
    </chartFormat>
    <chartFormat chart="40" format="63">
      <pivotArea type="data" outline="0" fieldPosition="0">
        <references count="2">
          <reference field="4294967294" count="1" selected="0">
            <x v="0"/>
          </reference>
          <reference field="0" count="1" selected="0">
            <x v="11"/>
          </reference>
        </references>
      </pivotArea>
    </chartFormat>
    <chartFormat chart="40" format="64">
      <pivotArea type="data" outline="0" fieldPosition="0">
        <references count="2">
          <reference field="4294967294" count="1" selected="0">
            <x v="0"/>
          </reference>
          <reference field="0" count="1" selected="0">
            <x v="12"/>
          </reference>
        </references>
      </pivotArea>
    </chartFormat>
    <chartFormat chart="40" format="65">
      <pivotArea type="data" outline="0" fieldPosition="0">
        <references count="2">
          <reference field="4294967294" count="1" selected="0">
            <x v="0"/>
          </reference>
          <reference field="0" count="1" selected="0">
            <x v="13"/>
          </reference>
        </references>
      </pivotArea>
    </chartFormat>
    <chartFormat chart="40" format="66">
      <pivotArea type="data" outline="0" fieldPosition="0">
        <references count="2">
          <reference field="4294967294" count="1" selected="0">
            <x v="0"/>
          </reference>
          <reference field="0" count="1" selected="0">
            <x v="15"/>
          </reference>
        </references>
      </pivotArea>
    </chartFormat>
    <chartFormat chart="40" format="67">
      <pivotArea type="data" outline="0" fieldPosition="0">
        <references count="2">
          <reference field="4294967294" count="1" selected="0">
            <x v="0"/>
          </reference>
          <reference field="0" count="1" selected="0">
            <x v="16"/>
          </reference>
        </references>
      </pivotArea>
    </chartFormat>
    <chartFormat chart="40" format="68">
      <pivotArea type="data" outline="0" fieldPosition="0">
        <references count="2">
          <reference field="4294967294" count="1" selected="0">
            <x v="0"/>
          </reference>
          <reference field="0" count="1" selected="0">
            <x v="17"/>
          </reference>
        </references>
      </pivotArea>
    </chartFormat>
    <chartFormat chart="40" format="69">
      <pivotArea type="data" outline="0" fieldPosition="0">
        <references count="2">
          <reference field="4294967294" count="1" selected="0">
            <x v="0"/>
          </reference>
          <reference field="0" count="1" selected="0">
            <x v="18"/>
          </reference>
        </references>
      </pivotArea>
    </chartFormat>
    <chartFormat chart="40" format="70">
      <pivotArea type="data" outline="0" fieldPosition="0">
        <references count="2">
          <reference field="4294967294" count="1" selected="0">
            <x v="0"/>
          </reference>
          <reference field="0" count="1" selected="0">
            <x v="19"/>
          </reference>
        </references>
      </pivotArea>
    </chartFormat>
    <chartFormat chart="40" format="71">
      <pivotArea type="data" outline="0" fieldPosition="0">
        <references count="2">
          <reference field="4294967294" count="1" selected="0">
            <x v="0"/>
          </reference>
          <reference field="0" count="1" selected="0">
            <x v="22"/>
          </reference>
        </references>
      </pivotArea>
    </chartFormat>
    <chartFormat chart="40" format="72" series="1">
      <pivotArea type="data" outline="0" fieldPosition="0">
        <references count="1">
          <reference field="4294967294" count="1" selected="0">
            <x v="1"/>
          </reference>
        </references>
      </pivotArea>
    </chartFormat>
    <chartFormat chart="40" format="73">
      <pivotArea type="data" outline="0" fieldPosition="0">
        <references count="2">
          <reference field="4294967294" count="1" selected="0">
            <x v="1"/>
          </reference>
          <reference field="0" count="1" selected="0">
            <x v="5"/>
          </reference>
        </references>
      </pivotArea>
    </chartFormat>
    <chartFormat chart="40" format="74">
      <pivotArea type="data" outline="0" fieldPosition="0">
        <references count="2">
          <reference field="4294967294" count="1" selected="0">
            <x v="1"/>
          </reference>
          <reference field="0" count="1" selected="0">
            <x v="7"/>
          </reference>
        </references>
      </pivotArea>
    </chartFormat>
    <chartFormat chart="40" format="75">
      <pivotArea type="data" outline="0" fieldPosition="0">
        <references count="2">
          <reference field="4294967294" count="1" selected="0">
            <x v="1"/>
          </reference>
          <reference field="0" count="1" selected="0">
            <x v="9"/>
          </reference>
        </references>
      </pivotArea>
    </chartFormat>
    <chartFormat chart="40" format="76">
      <pivotArea type="data" outline="0" fieldPosition="0">
        <references count="2">
          <reference field="4294967294" count="1" selected="0">
            <x v="1"/>
          </reference>
          <reference field="0" count="1" selected="0">
            <x v="10"/>
          </reference>
        </references>
      </pivotArea>
    </chartFormat>
    <chartFormat chart="40" format="77">
      <pivotArea type="data" outline="0" fieldPosition="0">
        <references count="2">
          <reference field="4294967294" count="1" selected="0">
            <x v="1"/>
          </reference>
          <reference field="0" count="1" selected="0">
            <x v="11"/>
          </reference>
        </references>
      </pivotArea>
    </chartFormat>
    <chartFormat chart="40" format="78">
      <pivotArea type="data" outline="0" fieldPosition="0">
        <references count="2">
          <reference field="4294967294" count="1" selected="0">
            <x v="1"/>
          </reference>
          <reference field="0" count="1" selected="0">
            <x v="12"/>
          </reference>
        </references>
      </pivotArea>
    </chartFormat>
    <chartFormat chart="40" format="79">
      <pivotArea type="data" outline="0" fieldPosition="0">
        <references count="2">
          <reference field="4294967294" count="1" selected="0">
            <x v="1"/>
          </reference>
          <reference field="0" count="1" selected="0">
            <x v="13"/>
          </reference>
        </references>
      </pivotArea>
    </chartFormat>
    <chartFormat chart="40" format="80">
      <pivotArea type="data" outline="0" fieldPosition="0">
        <references count="2">
          <reference field="4294967294" count="1" selected="0">
            <x v="1"/>
          </reference>
          <reference field="0" count="1" selected="0">
            <x v="14"/>
          </reference>
        </references>
      </pivotArea>
    </chartFormat>
    <chartFormat chart="40" format="81">
      <pivotArea type="data" outline="0" fieldPosition="0">
        <references count="2">
          <reference field="4294967294" count="1" selected="0">
            <x v="1"/>
          </reference>
          <reference field="0" count="1" selected="0">
            <x v="15"/>
          </reference>
        </references>
      </pivotArea>
    </chartFormat>
    <chartFormat chart="40" format="82">
      <pivotArea type="data" outline="0" fieldPosition="0">
        <references count="2">
          <reference field="4294967294" count="1" selected="0">
            <x v="1"/>
          </reference>
          <reference field="0" count="1" selected="0">
            <x v="16"/>
          </reference>
        </references>
      </pivotArea>
    </chartFormat>
    <chartFormat chart="40" format="83">
      <pivotArea type="data" outline="0" fieldPosition="0">
        <references count="2">
          <reference field="4294967294" count="1" selected="0">
            <x v="1"/>
          </reference>
          <reference field="0" count="1" selected="0">
            <x v="17"/>
          </reference>
        </references>
      </pivotArea>
    </chartFormat>
    <chartFormat chart="40" format="84">
      <pivotArea type="data" outline="0" fieldPosition="0">
        <references count="2">
          <reference field="4294967294" count="1" selected="0">
            <x v="1"/>
          </reference>
          <reference field="0" count="1" selected="0">
            <x v="18"/>
          </reference>
        </references>
      </pivotArea>
    </chartFormat>
    <chartFormat chart="40" format="85">
      <pivotArea type="data" outline="0" fieldPosition="0">
        <references count="2">
          <reference field="4294967294" count="1" selected="0">
            <x v="1"/>
          </reference>
          <reference field="0" count="1" selected="0">
            <x v="19"/>
          </reference>
        </references>
      </pivotArea>
    </chartFormat>
    <chartFormat chart="40" format="86">
      <pivotArea type="data" outline="0" fieldPosition="0">
        <references count="2">
          <reference field="4294967294" count="1" selected="0">
            <x v="1"/>
          </reference>
          <reference field="0" count="1" selected="0">
            <x v="20"/>
          </reference>
        </references>
      </pivotArea>
    </chartFormat>
    <chartFormat chart="40" format="87">
      <pivotArea type="data" outline="0" fieldPosition="0">
        <references count="2">
          <reference field="4294967294" count="1" selected="0">
            <x v="1"/>
          </reference>
          <reference field="0" count="1" selected="0">
            <x v="21"/>
          </reference>
        </references>
      </pivotArea>
    </chartFormat>
    <chartFormat chart="40" format="88">
      <pivotArea type="data" outline="0" fieldPosition="0">
        <references count="2">
          <reference field="4294967294" count="1" selected="0">
            <x v="1"/>
          </reference>
          <reference field="0" count="1" selected="0">
            <x v="22"/>
          </reference>
        </references>
      </pivotArea>
    </chartFormat>
  </chartFormats>
  <pivotHierarchies count="20">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caption="MTD Rejection"/>
    <pivotHierarchy dragToData="1" caption="Pending Rejection"/>
    <pivotHierarchy dragToData="1" caption="Pending Rejection"/>
  </pivotHierarchies>
  <pivotTableStyleInfo name="PivotStyleLight16" showRowHeaders="1" showColHeaders="1" showRowStripes="0" showColStripes="0" showLastColumn="1"/>
  <rowHierarchiesUsage count="1">
    <rowHierarchyUsage hierarchyUsage="1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TD Rejection.xlsx!MTDRejection">
        <x15:activeTabTopLevelEntity name="[MTDReject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name="Weekday Rejection"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Y8:AA16" firstHeaderRow="0" firstDataRow="1" firstDataCol="1"/>
  <pivotFields count="5">
    <pivotField dataField="1" subtotalTop="0" showAll="0" defaultSubtotal="0"/>
    <pivotField axis="axisRow" allDrilled="1" subtotalTop="0" showAll="0" defaultSubtotal="0" defaultAttributeDrillState="1">
      <items count="7">
        <item x="4"/>
        <item x="0"/>
        <item x="1"/>
        <item x="2"/>
        <item x="3"/>
        <item x="5"/>
        <item x="6"/>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1"/>
  </rowFields>
  <rowItems count="8">
    <i>
      <x/>
    </i>
    <i>
      <x v="1"/>
    </i>
    <i>
      <x v="2"/>
    </i>
    <i>
      <x v="3"/>
    </i>
    <i>
      <x v="4"/>
    </i>
    <i>
      <x v="5"/>
    </i>
    <i>
      <x v="6"/>
    </i>
    <i t="grand">
      <x/>
    </i>
  </rowItems>
  <colFields count="1">
    <field x="-2"/>
  </colFields>
  <colItems count="2">
    <i>
      <x/>
    </i>
    <i i="1">
      <x v="1"/>
    </i>
  </colItems>
  <dataFields count="2">
    <dataField name="MTD Rejection" fld="0" subtotal="count" baseField="0" baseItem="0"/>
    <dataField name="Pending Rejection" fld="2" baseField="1" baseItem="0"/>
  </dataFields>
  <formats count="4">
    <format dxfId="35">
      <pivotArea type="all" dataOnly="0" outline="0" fieldPosition="0"/>
    </format>
    <format dxfId="34">
      <pivotArea outline="0" collapsedLevelsAreSubtotals="1" fieldPosition="0"/>
    </format>
    <format dxfId="33">
      <pivotArea dataOnly="0" labelOnly="1" grandRow="1" outline="0" fieldPosition="0"/>
    </format>
    <format dxfId="32">
      <pivotArea dataOnly="0" labelOnly="1" outline="0" fieldPosition="0">
        <references count="1">
          <reference field="4294967294" count="2">
            <x v="0"/>
            <x v="1"/>
          </reference>
        </references>
      </pivotArea>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Hierarchies count="20">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caption="MTD Rejection"/>
    <pivotHierarchy dragToData="1" caption="Pending Rejection"/>
    <pivotHierarchy dragToData="1" caption="Pending Rejection"/>
  </pivotHierarchies>
  <pivotTableStyleInfo name="PivotStyleLight16" showRowHeaders="1" showColHeaders="1" showRowStripes="0" showColStripes="0" showLastColumn="1"/>
  <rowHierarchiesUsage count="1">
    <rowHierarchyUsage hierarchyUsage="1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TD Rejection.xlsx!MTDRejection">
        <x15:activeTabTopLevelEntity name="[MTDReject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name="Rejection Type" cacheId="1" applyNumberFormats="0" applyBorderFormats="0" applyFontFormats="0" applyPatternFormats="0" applyAlignmentFormats="0" applyWidthHeightFormats="1" dataCaption="Values" updatedVersion="8" minRefreshableVersion="5" useAutoFormatting="1" subtotalHiddenItems="1" itemPrintTitles="1" createdVersion="8" indent="0" outline="1" outlineData="1" multipleFieldFilters="0" chartFormat="43">
  <location ref="F8:H14" firstHeaderRow="0" firstDataRow="1" firstDataCol="1"/>
  <pivotFields count="4">
    <pivotField dataField="1" subtotalTop="0" showAll="0" defaultSubtotal="0"/>
    <pivotField axis="axisRow" allDrilled="1" subtotalTop="0" showAll="0"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s>
  <rowFields count="1">
    <field x="1"/>
  </rowFields>
  <rowItems count="6">
    <i>
      <x/>
    </i>
    <i>
      <x v="1"/>
    </i>
    <i>
      <x v="2"/>
    </i>
    <i>
      <x v="3"/>
    </i>
    <i>
      <x v="4"/>
    </i>
    <i t="grand">
      <x/>
    </i>
  </rowItems>
  <colFields count="1">
    <field x="-2"/>
  </colFields>
  <colItems count="2">
    <i>
      <x/>
    </i>
    <i i="1">
      <x v="1"/>
    </i>
  </colItems>
  <dataFields count="2">
    <dataField name="MTD Rejection" fld="0" subtotal="count" baseField="0" baseItem="0"/>
    <dataField name="Pending Rejection" fld="2" baseField="1" baseItem="0"/>
  </dataFields>
  <formats count="6">
    <format dxfId="41">
      <pivotArea type="all" dataOnly="0" outline="0" fieldPosition="0"/>
    </format>
    <format dxfId="40">
      <pivotArea outline="0" collapsedLevelsAreSubtotals="1" fieldPosition="0"/>
    </format>
    <format dxfId="39">
      <pivotArea field="1" type="button" dataOnly="0" labelOnly="1" outline="0" axis="axisRow" fieldPosition="0"/>
    </format>
    <format dxfId="38">
      <pivotArea dataOnly="0" labelOnly="1" fieldPosition="0">
        <references count="1">
          <reference field="1" count="0"/>
        </references>
      </pivotArea>
    </format>
    <format dxfId="37">
      <pivotArea dataOnly="0" labelOnly="1" grandRow="1" outline="0" fieldPosition="0"/>
    </format>
    <format dxfId="36">
      <pivotArea dataOnly="0" labelOnly="1" outline="0" fieldPosition="0">
        <references count="1">
          <reference field="4294967294" count="2">
            <x v="0"/>
            <x v="1"/>
          </reference>
        </references>
      </pivotArea>
    </format>
  </formats>
  <chartFormats count="2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 chart="23" format="6" series="1">
      <pivotArea type="data" outline="0" fieldPosition="0">
        <references count="1">
          <reference field="4294967294" count="1" selected="0">
            <x v="0"/>
          </reference>
        </references>
      </pivotArea>
    </chartFormat>
    <chartFormat chart="23" format="7" series="1">
      <pivotArea type="data" outline="0" fieldPosition="0">
        <references count="1">
          <reference field="4294967294" count="1" selected="0">
            <x v="1"/>
          </reference>
        </references>
      </pivotArea>
    </chartFormat>
    <chartFormat chart="24" format="8" series="1">
      <pivotArea type="data" outline="0" fieldPosition="0">
        <references count="1">
          <reference field="4294967294" count="1" selected="0">
            <x v="0"/>
          </reference>
        </references>
      </pivotArea>
    </chartFormat>
    <chartFormat chart="24" format="9" series="1">
      <pivotArea type="data" outline="0" fieldPosition="0">
        <references count="1">
          <reference field="4294967294" count="1" selected="0">
            <x v="1"/>
          </reference>
        </references>
      </pivotArea>
    </chartFormat>
    <chartFormat chart="25" format="6" series="1">
      <pivotArea type="data" outline="0" fieldPosition="0">
        <references count="1">
          <reference field="4294967294" count="1" selected="0">
            <x v="0"/>
          </reference>
        </references>
      </pivotArea>
    </chartFormat>
    <chartFormat chart="25" format="7" series="1">
      <pivotArea type="data" outline="0" fieldPosition="0">
        <references count="1">
          <reference field="4294967294" count="1" selected="0">
            <x v="1"/>
          </reference>
        </references>
      </pivotArea>
    </chartFormat>
    <chartFormat chart="26" format="8" series="1">
      <pivotArea type="data" outline="0" fieldPosition="0">
        <references count="1">
          <reference field="4294967294" count="1" selected="0">
            <x v="0"/>
          </reference>
        </references>
      </pivotArea>
    </chartFormat>
    <chartFormat chart="26" format="9" series="1">
      <pivotArea type="data" outline="0" fieldPosition="0">
        <references count="1">
          <reference field="4294967294" count="1" selected="0">
            <x v="1"/>
          </reference>
        </references>
      </pivotArea>
    </chartFormat>
    <chartFormat chart="33" format="6" series="1">
      <pivotArea type="data" outline="0" fieldPosition="0">
        <references count="1">
          <reference field="4294967294" count="1" selected="0">
            <x v="0"/>
          </reference>
        </references>
      </pivotArea>
    </chartFormat>
    <chartFormat chart="33" format="7" series="1">
      <pivotArea type="data" outline="0" fieldPosition="0">
        <references count="1">
          <reference field="4294967294" count="1" selected="0">
            <x v="1"/>
          </reference>
        </references>
      </pivotArea>
    </chartFormat>
    <chartFormat chart="34" format="8" series="1">
      <pivotArea type="data" outline="0" fieldPosition="0">
        <references count="1">
          <reference field="4294967294" count="1" selected="0">
            <x v="0"/>
          </reference>
        </references>
      </pivotArea>
    </chartFormat>
    <chartFormat chart="34" format="9" series="1">
      <pivotArea type="data" outline="0" fieldPosition="0">
        <references count="1">
          <reference field="4294967294" count="1" selected="0">
            <x v="1"/>
          </reference>
        </references>
      </pivotArea>
    </chartFormat>
    <chartFormat chart="37" format="6" series="1">
      <pivotArea type="data" outline="0" fieldPosition="0">
        <references count="1">
          <reference field="4294967294" count="1" selected="0">
            <x v="0"/>
          </reference>
        </references>
      </pivotArea>
    </chartFormat>
    <chartFormat chart="37" format="7" series="1">
      <pivotArea type="data" outline="0" fieldPosition="0">
        <references count="1">
          <reference field="4294967294" count="1" selected="0">
            <x v="1"/>
          </reference>
        </references>
      </pivotArea>
    </chartFormat>
    <chartFormat chart="38" format="8" series="1">
      <pivotArea type="data" outline="0" fieldPosition="0">
        <references count="1">
          <reference field="4294967294" count="1" selected="0">
            <x v="0"/>
          </reference>
        </references>
      </pivotArea>
    </chartFormat>
    <chartFormat chart="38" format="9" series="1">
      <pivotArea type="data" outline="0" fieldPosition="0">
        <references count="1">
          <reference field="4294967294" count="1" selected="0">
            <x v="1"/>
          </reference>
        </references>
      </pivotArea>
    </chartFormat>
    <chartFormat chart="39" format="6" series="1">
      <pivotArea type="data" outline="0" fieldPosition="0">
        <references count="1">
          <reference field="4294967294" count="1" selected="0">
            <x v="0"/>
          </reference>
        </references>
      </pivotArea>
    </chartFormat>
    <chartFormat chart="39" format="7" series="1">
      <pivotArea type="data" outline="0" fieldPosition="0">
        <references count="1">
          <reference field="4294967294" count="1" selected="0">
            <x v="1"/>
          </reference>
        </references>
      </pivotArea>
    </chartFormat>
    <chartFormat chart="40" format="8" series="1">
      <pivotArea type="data" outline="0" fieldPosition="0">
        <references count="1">
          <reference field="4294967294" count="1" selected="0">
            <x v="0"/>
          </reference>
        </references>
      </pivotArea>
    </chartFormat>
    <chartFormat chart="40" format="9" series="1">
      <pivotArea type="data" outline="0" fieldPosition="0">
        <references count="1">
          <reference field="4294967294" count="1" selected="0">
            <x v="1"/>
          </reference>
        </references>
      </pivotArea>
    </chartFormat>
    <chartFormat chart="41" format="6" series="1">
      <pivotArea type="data" outline="0" fieldPosition="0">
        <references count="1">
          <reference field="4294967294" count="1" selected="0">
            <x v="0"/>
          </reference>
        </references>
      </pivotArea>
    </chartFormat>
    <chartFormat chart="41" format="7" series="1">
      <pivotArea type="data" outline="0" fieldPosition="0">
        <references count="1">
          <reference field="4294967294" count="1" selected="0">
            <x v="1"/>
          </reference>
        </references>
      </pivotArea>
    </chartFormat>
    <chartFormat chart="42" format="8" series="1">
      <pivotArea type="data" outline="0" fieldPosition="0">
        <references count="1">
          <reference field="4294967294" count="1" selected="0">
            <x v="0"/>
          </reference>
        </references>
      </pivotArea>
    </chartFormat>
    <chartFormat chart="42" format="9" series="1">
      <pivotArea type="data" outline="0" fieldPosition="0">
        <references count="1">
          <reference field="4294967294" count="1" selected="0">
            <x v="1"/>
          </reference>
        </references>
      </pivotArea>
    </chartFormat>
  </chartFormats>
  <pivotHierarchies count="20">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caption="MTD Rejection"/>
    <pivotHierarchy dragToData="1" caption="Pending Rejection"/>
    <pivotHierarchy dragToData="1" caption="Pending Rejection"/>
  </pivotHierarchies>
  <pivotTableStyleInfo name="PivotStyleLight16" showRowHeaders="1" showColHeaders="1" showRowStripes="0" showColStripes="0" showLastColumn="1"/>
  <rowHierarchiesUsage count="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TD Rejection.xlsx!MTDRejection">
        <x15:activeTabTopLevelEntity name="[MTDRejection]"/>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Checks" sourceName="[MTDRejection].[Checks]">
  <pivotTables>
    <pivotTable tabId="5" name="CheckWise Rejection"/>
    <pivotTable tabId="5" name="ClientWise Rejection"/>
    <pivotTable tabId="5" name="Rejection Type"/>
    <pivotTable tabId="5" name="PivotTable10"/>
    <pivotTable tabId="5" name="Checkwise Rejection Percentage"/>
    <pivotTable tabId="5" name="Rejection Type Percentage"/>
    <pivotTable tabId="5" name="Weekday Rejection"/>
    <pivotTable tabId="5" name="DayWise Rejection"/>
  </pivotTables>
  <data>
    <olap pivotCacheId="4501849">
      <levels count="2">
        <level uniqueName="[MTDRejection].[Checks].[(All)]" sourceCaption="(All)" count="0"/>
        <level uniqueName="[MTDRejection].[Checks].[Checks]" sourceCaption="Checks" count="8">
          <ranges>
            <range startItem="0">
              <i n="[MTDRejection].[Checks].&amp;[Add]" c="Add"/>
              <i n="[MTDRejection].[Checks].&amp;[CRC]" c="CRC"/>
              <i n="[MTDRejection].[Checks].&amp;[Drug]" c="Drug"/>
              <i n="[MTDRejection].[Checks].&amp;[Edu]" c="Edu"/>
              <i n="[MTDRejection].[Checks].&amp;[Emp]" c="Emp"/>
              <i n="[MTDRejection].[Checks].&amp;[Investigation]" c="Investigation"/>
              <i n="[MTDRejection].[Checks].&amp;[Ref]" c="Ref"/>
              <i n="[MTDRejection].[Checks].&amp;[Special Check]" c="Special Check"/>
            </range>
          </ranges>
        </level>
      </levels>
      <selections count="1">
        <selection n="[MTDRejection].[Checks].[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CheckStatus" sourceName="[MTDRejection].[CheckStatus]">
  <pivotTables>
    <pivotTable tabId="5" name="Rejection Type"/>
    <pivotTable tabId="5" name="CheckWise Rejection"/>
    <pivotTable tabId="5" name="Checkwise Rejection Percentage"/>
    <pivotTable tabId="5" name="ClientWise Rejection"/>
    <pivotTable tabId="5" name="PivotTable10"/>
    <pivotTable tabId="5" name="Rejection Type Percentage"/>
    <pivotTable tabId="5" name="Weekday Rejection"/>
    <pivotTable tabId="5" name="DayWise Rejection"/>
  </pivotTables>
  <data>
    <olap pivotCacheId="4501849">
      <levels count="2">
        <level uniqueName="[MTDRejection].[CheckStatus].[(All)]" sourceCaption="(All)" count="0"/>
        <level uniqueName="[MTDRejection].[CheckStatus].[CheckStatus]" sourceCaption="CheckStatus" count="5">
          <ranges>
            <range startItem="0">
              <i n="[MTDRejection].[CheckStatus].&amp;[Partner Rejected]" c="Partner Rejected"/>
              <i n="[MTDRejection].[CheckStatus].&amp;[Rejected to DE TM]" c="Rejected to DE TM"/>
              <i n="[MTDRejection].[CheckStatus].&amp;[Rejected to OP QC]" c="Rejected to OP QC"/>
              <i n="[MTDRejection].[CheckStatus].&amp;[Rejected to OP TM]" c="Rejected to OP TM"/>
              <i n="[MTDRejection].[CheckStatus].&amp;[Rejected to Scan]" c="Rejected to Scan"/>
            </range>
          </ranges>
        </level>
      </levels>
      <selections count="1">
        <selection n="[MTDRejection].[CheckStatus].[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Checks" cache="Slicer_Checks" caption="Checks Type" level="1" style="Slicer Style 1" lockedPosition="1" rowHeight="241300"/>
  <slicer name="CheckStatus" cache="Slicer_CheckStatus" caption="Rejection Type" level="1" style="Slicer Style 1" lockedPosition="1" rowHeight="241300"/>
</slicers>
</file>

<file path=xl/tables/table1.xml><?xml version="1.0" encoding="utf-8"?>
<table xmlns="http://schemas.openxmlformats.org/spreadsheetml/2006/main" id="2" name="MTDRejection" displayName="MTDRejection" ref="A1:N4651" totalsRowShown="0">
  <tableColumns count="14">
    <tableColumn id="1" name="ClientName"/>
    <tableColumn id="2" name="Refno"/>
    <tableColumn id="3" name="SubCheckName"/>
    <tableColumn id="4" name="CheckStatus"/>
    <tableColumn id="5" name="RejectionDate"/>
    <tableColumn id="6" name="userName"/>
    <tableColumn id="7" name="aging"/>
    <tableColumn id="8" name="CaseStatus"/>
    <tableColumn id="9" name="CheckActiveStatus"/>
    <tableColumn id="10" name="CaseActiveStatus"/>
    <tableColumn id="11" name="Checks">
      <calculatedColumnFormula>VLOOKUP(C2,CheckName!A:B,2,0)</calculatedColumnFormula>
    </tableColumn>
    <tableColumn id="12" name="Pending Rejection"/>
    <tableColumn id="13" name="Day">
      <calculatedColumnFormula>DAY(E2)</calculatedColumnFormula>
    </tableColumn>
    <tableColumn id="14" name="Weekday">
      <calculatedColumnFormula>TEXT(MTDRejection[[#This Row],[RejectionDate]],"dddd")</calculatedColumnFormula>
    </tableColumn>
  </tableColumns>
  <tableStyleInfo name="Table Style 1" showFirstColumn="0" showLastColumn="0" showRowStripes="1" showColumnStripes="0"/>
</table>
</file>

<file path=xl/tables/table2.xml><?xml version="1.0" encoding="utf-8"?>
<table xmlns="http://schemas.openxmlformats.org/spreadsheetml/2006/main" id="1" name="RejectionData" displayName="RejectionData" ref="A1:M1272" totalsRowShown="0">
  <tableColumns count="13">
    <tableColumn id="1" name="ClientName"/>
    <tableColumn id="2" name="Refno"/>
    <tableColumn id="3" name="SubCheckName"/>
    <tableColumn id="4" name="CheckStatus"/>
    <tableColumn id="5" name="RejectionDate" dataDxfId="1"/>
    <tableColumn id="6" name="userName"/>
    <tableColumn id="7" name="aging"/>
    <tableColumn id="8" name="CaseStatus"/>
    <tableColumn id="9" name="CheckActiveStatus"/>
    <tableColumn id="10" name="CaseActiveStatus"/>
    <tableColumn id="11" name="Checks">
      <calculatedColumnFormula>VLOOKUP(C2,CheckName!A:B,2,0)</calculatedColumnFormula>
    </tableColumn>
    <tableColumn id="12" name="Pending Rejection"/>
    <tableColumn id="13" name="Day" dataDxfId="0">
      <calculatedColumnFormula>DAY(RejectionData[[#This Row],[RejectionDate]])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name="Timeline_RejectionDate" sourceName="[MTDRejection].[RejectionDate]">
  <pivotTables>
    <pivotTable tabId="5" name="CheckWise Rejection"/>
    <pivotTable tabId="5" name="ClientWise Rejection"/>
    <pivotTable tabId="5" name="Rejection Type"/>
    <pivotTable tabId="5" name="PivotTable10"/>
    <pivotTable tabId="5" name="Checkwise Rejection Percentage"/>
    <pivotTable tabId="5" name="Rejection Type Percentage"/>
  </pivotTables>
  <state minimalRefreshVersion="6" lastRefreshVersion="6" pivotCacheId="1409909848" filterType="unknown">
    <bounds startDate="2024-01-01T00:00:00" endDate="202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mc:Ignorable="x">
  <timeline name="RejectionDate" cache="Timeline_RejectionDate" caption="Date Wise Rejection" level="3" selectionLevel="3" scrollPosition="2024-12-01T00:00:00" style="Timeline Style 1"/>
</timelines>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A41"/>
  <sheetViews>
    <sheetView topLeftCell="K1" workbookViewId="0">
      <selection activeCell="R14" sqref="R14"/>
    </sheetView>
  </sheetViews>
  <sheetFormatPr defaultRowHeight="14.25"/>
  <cols>
    <col min="1" max="1" width="13.125" bestFit="1" customWidth="1"/>
    <col min="2" max="2" width="14.375" bestFit="1" customWidth="1"/>
    <col min="3" max="3" width="17.25" bestFit="1" customWidth="1"/>
    <col min="6" max="6" width="16.375" bestFit="1" customWidth="1"/>
    <col min="7" max="7" width="14.375" bestFit="1" customWidth="1"/>
    <col min="8" max="8" width="17.25" bestFit="1" customWidth="1"/>
    <col min="10" max="10" width="13.125" bestFit="1" customWidth="1"/>
    <col min="11" max="11" width="17.25" bestFit="1" customWidth="1"/>
    <col min="12" max="12" width="14.375" bestFit="1" customWidth="1"/>
    <col min="14" max="14" width="35.375" bestFit="1" customWidth="1"/>
    <col min="15" max="15" width="17.25" bestFit="1" customWidth="1"/>
    <col min="16" max="16" width="14.375" bestFit="1" customWidth="1"/>
    <col min="17" max="17" width="4" customWidth="1"/>
    <col min="18" max="18" width="35.375" bestFit="1" customWidth="1"/>
    <col min="19" max="19" width="17.25" bestFit="1" customWidth="1"/>
    <col min="20" max="20" width="14.375" bestFit="1" customWidth="1"/>
    <col min="21" max="23" width="14.375" customWidth="1"/>
    <col min="25" max="25" width="13.125" bestFit="1" customWidth="1"/>
    <col min="26" max="26" width="14.375" bestFit="1" customWidth="1"/>
    <col min="27" max="27" width="17.25" bestFit="1" customWidth="1"/>
  </cols>
  <sheetData>
    <row r="1" spans="1:27">
      <c r="D1" s="20"/>
    </row>
    <row r="4" spans="1:27">
      <c r="A4" s="15" t="s">
        <v>1868</v>
      </c>
      <c r="B4" s="15" t="s">
        <v>1743</v>
      </c>
    </row>
    <row r="5" spans="1:27">
      <c r="A5" s="3">
        <f>A9</f>
        <v>4650</v>
      </c>
      <c r="B5" s="3">
        <f>B9</f>
        <v>193</v>
      </c>
    </row>
    <row r="8" spans="1:27">
      <c r="A8" s="3" t="s">
        <v>1754</v>
      </c>
      <c r="B8" s="3" t="s">
        <v>1965</v>
      </c>
      <c r="F8" s="8" t="s">
        <v>1748</v>
      </c>
      <c r="G8" s="3" t="s">
        <v>1754</v>
      </c>
      <c r="H8" s="3" t="s">
        <v>1743</v>
      </c>
      <c r="J8" s="8" t="s">
        <v>1748</v>
      </c>
      <c r="K8" s="3" t="s">
        <v>1743</v>
      </c>
      <c r="L8" s="3" t="s">
        <v>1754</v>
      </c>
      <c r="N8" s="8" t="s">
        <v>1853</v>
      </c>
      <c r="O8" s="3" t="s">
        <v>1743</v>
      </c>
      <c r="P8" s="3" t="s">
        <v>1754</v>
      </c>
      <c r="R8" s="12" t="s">
        <v>1853</v>
      </c>
      <c r="S8" s="12" t="s">
        <v>1754</v>
      </c>
      <c r="Y8" s="8" t="s">
        <v>1748</v>
      </c>
      <c r="Z8" s="3" t="s">
        <v>1754</v>
      </c>
      <c r="AA8" s="3" t="s">
        <v>1743</v>
      </c>
    </row>
    <row r="9" spans="1:27">
      <c r="A9" s="21">
        <v>4650</v>
      </c>
      <c r="B9" s="21">
        <v>193</v>
      </c>
      <c r="F9" s="9" t="s">
        <v>20</v>
      </c>
      <c r="G9" s="21">
        <v>511</v>
      </c>
      <c r="H9" s="21">
        <v>59</v>
      </c>
      <c r="J9" s="9" t="s">
        <v>2049</v>
      </c>
      <c r="K9" s="21">
        <v>0</v>
      </c>
      <c r="L9" s="21">
        <v>1</v>
      </c>
      <c r="N9" s="9" t="s">
        <v>176</v>
      </c>
      <c r="O9" s="21">
        <v>1</v>
      </c>
      <c r="P9" s="21">
        <v>72</v>
      </c>
      <c r="R9" s="3" t="str">
        <f>N9</f>
        <v>Tech Mahindra Limited</v>
      </c>
      <c r="S9" s="13">
        <f>P9/$A$9</f>
        <v>1.5483870967741935E-2</v>
      </c>
      <c r="Y9" s="9" t="s">
        <v>1752</v>
      </c>
      <c r="Z9" s="21">
        <v>718</v>
      </c>
      <c r="AA9" s="21">
        <v>14</v>
      </c>
    </row>
    <row r="10" spans="1:27">
      <c r="F10" s="9" t="s">
        <v>13</v>
      </c>
      <c r="G10" s="21">
        <v>836</v>
      </c>
      <c r="H10" s="21">
        <v>9</v>
      </c>
      <c r="J10" s="9" t="s">
        <v>930</v>
      </c>
      <c r="K10" s="21">
        <v>0</v>
      </c>
      <c r="L10" s="21">
        <v>15</v>
      </c>
      <c r="N10" s="9" t="s">
        <v>1110</v>
      </c>
      <c r="O10" s="21">
        <v>6</v>
      </c>
      <c r="P10" s="21">
        <v>79</v>
      </c>
      <c r="R10" s="3" t="str">
        <f t="shared" ref="R10:R18" si="0">N10</f>
        <v>Eureka Forbes Limited</v>
      </c>
      <c r="S10" s="13">
        <f t="shared" ref="S10:S18" si="1">P10/$A$9</f>
        <v>1.6989247311827958E-2</v>
      </c>
      <c r="Y10" s="9" t="s">
        <v>1767</v>
      </c>
      <c r="Z10" s="21">
        <v>662</v>
      </c>
      <c r="AA10" s="21">
        <v>21</v>
      </c>
    </row>
    <row r="11" spans="1:27">
      <c r="F11" s="9" t="s">
        <v>38</v>
      </c>
      <c r="G11" s="21">
        <v>294</v>
      </c>
      <c r="H11" s="21">
        <v>18</v>
      </c>
      <c r="J11" s="9" t="s">
        <v>2048</v>
      </c>
      <c r="K11" s="21">
        <v>5</v>
      </c>
      <c r="L11" s="21">
        <v>92</v>
      </c>
      <c r="N11" s="9" t="s">
        <v>119</v>
      </c>
      <c r="O11" s="21">
        <v>9</v>
      </c>
      <c r="P11" s="21">
        <v>80</v>
      </c>
      <c r="R11" s="3" t="str">
        <f t="shared" si="0"/>
        <v>Titan Company Limited</v>
      </c>
      <c r="S11" s="13">
        <f t="shared" si="1"/>
        <v>1.7204301075268817E-2</v>
      </c>
      <c r="Y11" s="9" t="s">
        <v>1749</v>
      </c>
      <c r="Z11" s="21">
        <v>1109</v>
      </c>
      <c r="AA11" s="21">
        <v>65</v>
      </c>
    </row>
    <row r="12" spans="1:27">
      <c r="A12" s="8" t="s">
        <v>1748</v>
      </c>
      <c r="B12" s="3" t="s">
        <v>1754</v>
      </c>
      <c r="C12" s="3" t="s">
        <v>1743</v>
      </c>
      <c r="F12" s="9" t="s">
        <v>26</v>
      </c>
      <c r="G12" s="21">
        <v>2788</v>
      </c>
      <c r="H12" s="21">
        <v>106</v>
      </c>
      <c r="J12" s="9" t="s">
        <v>57</v>
      </c>
      <c r="K12" s="21">
        <v>30</v>
      </c>
      <c r="L12" s="21">
        <v>363</v>
      </c>
      <c r="N12" s="9" t="s">
        <v>142</v>
      </c>
      <c r="O12" s="21">
        <v>6</v>
      </c>
      <c r="P12" s="21">
        <v>101</v>
      </c>
      <c r="R12" s="3" t="str">
        <f t="shared" si="0"/>
        <v>Tata Consultancy Services BPO Limited</v>
      </c>
      <c r="S12" s="13">
        <f t="shared" si="1"/>
        <v>2.1720430107526882E-2</v>
      </c>
      <c r="Y12" s="9" t="s">
        <v>1777</v>
      </c>
      <c r="Z12" s="21">
        <v>258</v>
      </c>
      <c r="AA12" s="21">
        <v>14</v>
      </c>
    </row>
    <row r="13" spans="1:27">
      <c r="A13" s="9">
        <v>2</v>
      </c>
      <c r="B13" s="21">
        <v>145</v>
      </c>
      <c r="C13" s="21">
        <v>2</v>
      </c>
      <c r="F13" s="9" t="s">
        <v>51</v>
      </c>
      <c r="G13" s="21">
        <v>221</v>
      </c>
      <c r="H13" s="21">
        <v>1</v>
      </c>
      <c r="J13" s="9" t="s">
        <v>2045</v>
      </c>
      <c r="K13" s="21">
        <v>69</v>
      </c>
      <c r="L13" s="21">
        <v>794</v>
      </c>
      <c r="N13" s="9" t="s">
        <v>160</v>
      </c>
      <c r="O13" s="21">
        <v>9</v>
      </c>
      <c r="P13" s="21">
        <v>108</v>
      </c>
      <c r="R13" s="3" t="str">
        <f t="shared" si="0"/>
        <v>Ambit Private Limited</v>
      </c>
      <c r="S13" s="13">
        <f t="shared" si="1"/>
        <v>2.3225806451612905E-2</v>
      </c>
      <c r="Y13" s="9" t="s">
        <v>1797</v>
      </c>
      <c r="Z13" s="21">
        <v>35</v>
      </c>
      <c r="AA13" s="21">
        <v>12</v>
      </c>
    </row>
    <row r="14" spans="1:27">
      <c r="A14" s="9">
        <v>3</v>
      </c>
      <c r="B14" s="21">
        <v>191</v>
      </c>
      <c r="C14" s="21">
        <v>0</v>
      </c>
      <c r="F14" s="9" t="s">
        <v>1753</v>
      </c>
      <c r="G14" s="21">
        <v>4650</v>
      </c>
      <c r="H14" s="21">
        <v>193</v>
      </c>
      <c r="J14" s="9" t="s">
        <v>2047</v>
      </c>
      <c r="K14" s="21">
        <v>24</v>
      </c>
      <c r="L14" s="21">
        <v>795</v>
      </c>
      <c r="N14" s="9" t="s">
        <v>306</v>
      </c>
      <c r="O14" s="21">
        <v>2</v>
      </c>
      <c r="P14" s="21">
        <v>153</v>
      </c>
      <c r="R14" s="3" t="str">
        <f t="shared" si="0"/>
        <v>Wipro Limited</v>
      </c>
      <c r="S14" s="13">
        <f t="shared" si="1"/>
        <v>3.2903225806451615E-2</v>
      </c>
      <c r="Y14" s="9" t="s">
        <v>1750</v>
      </c>
      <c r="Z14" s="21">
        <v>907</v>
      </c>
      <c r="AA14" s="21">
        <v>57</v>
      </c>
    </row>
    <row r="15" spans="1:27">
      <c r="A15" s="9">
        <v>4</v>
      </c>
      <c r="B15" s="21">
        <v>159</v>
      </c>
      <c r="C15" s="21">
        <v>2</v>
      </c>
      <c r="J15" s="9" t="s">
        <v>50</v>
      </c>
      <c r="K15" s="21">
        <v>1</v>
      </c>
      <c r="L15" s="21">
        <v>936</v>
      </c>
      <c r="N15" s="9" t="s">
        <v>100</v>
      </c>
      <c r="O15" s="21">
        <v>3</v>
      </c>
      <c r="P15" s="21">
        <v>236</v>
      </c>
      <c r="R15" s="3" t="str">
        <f t="shared" si="0"/>
        <v>Capgemini Technology Services India Ltd.</v>
      </c>
      <c r="S15" s="13">
        <f t="shared" si="1"/>
        <v>5.0752688172043009E-2</v>
      </c>
      <c r="Y15" s="9" t="s">
        <v>1751</v>
      </c>
      <c r="Z15" s="21">
        <v>961</v>
      </c>
      <c r="AA15" s="21">
        <v>10</v>
      </c>
    </row>
    <row r="16" spans="1:27">
      <c r="A16" s="9">
        <v>5</v>
      </c>
      <c r="B16" s="21">
        <v>118</v>
      </c>
      <c r="C16" s="21">
        <v>2</v>
      </c>
      <c r="J16" s="9" t="s">
        <v>2046</v>
      </c>
      <c r="K16" s="21">
        <v>64</v>
      </c>
      <c r="L16" s="21">
        <v>1654</v>
      </c>
      <c r="N16" s="9" t="s">
        <v>45</v>
      </c>
      <c r="O16" s="21">
        <v>19</v>
      </c>
      <c r="P16" s="21">
        <v>329</v>
      </c>
      <c r="R16" s="3" t="str">
        <f t="shared" si="0"/>
        <v>LTIMindtree Limited</v>
      </c>
      <c r="S16" s="13">
        <f t="shared" si="1"/>
        <v>7.0752688172043013E-2</v>
      </c>
      <c r="Y16" s="9" t="s">
        <v>1753</v>
      </c>
      <c r="Z16" s="21">
        <v>4650</v>
      </c>
      <c r="AA16" s="21">
        <v>193</v>
      </c>
    </row>
    <row r="17" spans="1:19">
      <c r="A17" s="9">
        <v>6</v>
      </c>
      <c r="B17" s="21">
        <v>157</v>
      </c>
      <c r="C17" s="21">
        <v>1</v>
      </c>
      <c r="J17" s="9" t="s">
        <v>1753</v>
      </c>
      <c r="K17" s="21">
        <v>193</v>
      </c>
      <c r="L17" s="21">
        <v>4650</v>
      </c>
      <c r="N17" s="9" t="s">
        <v>84</v>
      </c>
      <c r="O17" s="21">
        <v>14</v>
      </c>
      <c r="P17" s="21">
        <v>352</v>
      </c>
      <c r="R17" s="3" t="str">
        <f t="shared" si="0"/>
        <v>Tata Consultancy Services</v>
      </c>
      <c r="S17" s="13">
        <f t="shared" si="1"/>
        <v>7.5698924731182796E-2</v>
      </c>
    </row>
    <row r="18" spans="1:19">
      <c r="A18" s="9">
        <v>7</v>
      </c>
      <c r="B18" s="21">
        <v>146</v>
      </c>
      <c r="C18" s="21">
        <v>2</v>
      </c>
      <c r="N18" s="9" t="s">
        <v>1879</v>
      </c>
      <c r="O18" s="21">
        <v>0</v>
      </c>
      <c r="P18" s="21">
        <v>477</v>
      </c>
      <c r="R18" s="3" t="str">
        <f t="shared" si="0"/>
        <v>Walsons PCC</v>
      </c>
      <c r="S18" s="13">
        <f t="shared" si="1"/>
        <v>0.10258064516129033</v>
      </c>
    </row>
    <row r="19" spans="1:19">
      <c r="A19" s="9">
        <v>8</v>
      </c>
      <c r="B19" s="21">
        <v>2</v>
      </c>
      <c r="C19" s="21">
        <v>1</v>
      </c>
      <c r="N19" s="9" t="s">
        <v>1753</v>
      </c>
      <c r="O19" s="21">
        <v>69</v>
      </c>
      <c r="P19" s="21">
        <v>1987</v>
      </c>
      <c r="R19" s="12" t="s">
        <v>1753</v>
      </c>
      <c r="S19" s="14">
        <f>P19/$A$9</f>
        <v>0.42731182795698924</v>
      </c>
    </row>
    <row r="20" spans="1:19">
      <c r="A20" s="9">
        <v>9</v>
      </c>
      <c r="B20" s="21">
        <v>145</v>
      </c>
      <c r="C20" s="21">
        <v>2</v>
      </c>
    </row>
    <row r="21" spans="1:19">
      <c r="A21" s="9">
        <v>10</v>
      </c>
      <c r="B21" s="21">
        <v>219</v>
      </c>
      <c r="C21" s="21">
        <v>1</v>
      </c>
    </row>
    <row r="22" spans="1:19">
      <c r="A22" s="9">
        <v>11</v>
      </c>
      <c r="B22" s="21">
        <v>175</v>
      </c>
      <c r="C22" s="21">
        <v>1</v>
      </c>
    </row>
    <row r="23" spans="1:19">
      <c r="A23" s="9">
        <v>12</v>
      </c>
      <c r="B23" s="21">
        <v>208</v>
      </c>
      <c r="C23" s="21">
        <v>2</v>
      </c>
      <c r="F23" s="8" t="s">
        <v>1748</v>
      </c>
      <c r="G23" s="3" t="s">
        <v>1754</v>
      </c>
      <c r="J23" s="8" t="s">
        <v>1748</v>
      </c>
      <c r="K23" s="3" t="s">
        <v>1754</v>
      </c>
    </row>
    <row r="24" spans="1:19">
      <c r="A24" s="9">
        <v>13</v>
      </c>
      <c r="B24" s="21">
        <v>211</v>
      </c>
      <c r="C24" s="21">
        <v>5</v>
      </c>
      <c r="F24" s="9" t="s">
        <v>20</v>
      </c>
      <c r="G24" s="11">
        <v>0.10989247311827957</v>
      </c>
      <c r="J24" s="9" t="s">
        <v>50</v>
      </c>
      <c r="K24" s="11">
        <v>0.20129032258064516</v>
      </c>
      <c r="P24" s="13"/>
    </row>
    <row r="25" spans="1:19">
      <c r="A25" s="9">
        <v>14</v>
      </c>
      <c r="B25" s="21">
        <v>19</v>
      </c>
      <c r="C25" s="21">
        <v>0</v>
      </c>
      <c r="F25" s="9" t="s">
        <v>13</v>
      </c>
      <c r="G25" s="11">
        <v>0.17978494623655913</v>
      </c>
      <c r="J25" s="9" t="s">
        <v>930</v>
      </c>
      <c r="K25" s="11">
        <v>3.2258064516129032E-3</v>
      </c>
    </row>
    <row r="26" spans="1:19">
      <c r="A26" s="9">
        <v>15</v>
      </c>
      <c r="B26" s="21">
        <v>31</v>
      </c>
      <c r="C26" s="21">
        <v>11</v>
      </c>
      <c r="F26" s="9" t="s">
        <v>38</v>
      </c>
      <c r="G26" s="11">
        <v>6.3225806451612909E-2</v>
      </c>
      <c r="J26" s="9" t="s">
        <v>57</v>
      </c>
      <c r="K26" s="11">
        <v>7.8064516129032258E-2</v>
      </c>
    </row>
    <row r="27" spans="1:19">
      <c r="A27" s="9">
        <v>16</v>
      </c>
      <c r="B27" s="21">
        <v>332</v>
      </c>
      <c r="C27" s="21">
        <v>7</v>
      </c>
      <c r="F27" s="9" t="s">
        <v>26</v>
      </c>
      <c r="G27" s="11">
        <v>0.59956989247311832</v>
      </c>
      <c r="J27" s="9" t="s">
        <v>2045</v>
      </c>
      <c r="K27" s="11">
        <v>0.170752688172043</v>
      </c>
    </row>
    <row r="28" spans="1:19">
      <c r="A28" s="9">
        <v>17</v>
      </c>
      <c r="B28" s="21">
        <v>250</v>
      </c>
      <c r="C28" s="21">
        <v>10</v>
      </c>
      <c r="F28" s="9" t="s">
        <v>51</v>
      </c>
      <c r="G28" s="11">
        <v>4.7526881720430104E-2</v>
      </c>
      <c r="J28" s="9" t="s">
        <v>2049</v>
      </c>
      <c r="K28" s="11">
        <v>2.1505376344086021E-4</v>
      </c>
    </row>
    <row r="29" spans="1:19">
      <c r="A29" s="9">
        <v>18</v>
      </c>
      <c r="B29" s="21">
        <v>614</v>
      </c>
      <c r="C29" s="21">
        <v>7</v>
      </c>
      <c r="F29" s="9" t="s">
        <v>1753</v>
      </c>
      <c r="G29" s="11">
        <v>1</v>
      </c>
      <c r="J29" s="9" t="s">
        <v>2047</v>
      </c>
      <c r="K29" s="11">
        <v>0.17096774193548386</v>
      </c>
    </row>
    <row r="30" spans="1:19">
      <c r="A30" s="9">
        <v>19</v>
      </c>
      <c r="B30" s="21">
        <v>212</v>
      </c>
      <c r="C30" s="21">
        <v>10</v>
      </c>
      <c r="J30" s="9" t="s">
        <v>2046</v>
      </c>
      <c r="K30" s="11">
        <v>0.35569892473118281</v>
      </c>
    </row>
    <row r="31" spans="1:19">
      <c r="A31" s="9">
        <v>20</v>
      </c>
      <c r="B31" s="21">
        <v>200</v>
      </c>
      <c r="C31" s="21">
        <v>15</v>
      </c>
      <c r="J31" s="9" t="s">
        <v>2048</v>
      </c>
      <c r="K31" s="11">
        <v>1.9784946236559142E-2</v>
      </c>
    </row>
    <row r="32" spans="1:19">
      <c r="A32" s="9">
        <v>21</v>
      </c>
      <c r="B32" s="21">
        <v>93</v>
      </c>
      <c r="C32" s="21">
        <v>12</v>
      </c>
      <c r="J32" s="9" t="s">
        <v>1753</v>
      </c>
      <c r="K32" s="11">
        <v>1</v>
      </c>
    </row>
    <row r="33" spans="1:3">
      <c r="A33" s="9">
        <v>22</v>
      </c>
      <c r="B33" s="21">
        <v>2</v>
      </c>
      <c r="C33" s="21">
        <v>0</v>
      </c>
    </row>
    <row r="34" spans="1:3">
      <c r="A34" s="9">
        <v>23</v>
      </c>
      <c r="B34" s="21">
        <v>155</v>
      </c>
      <c r="C34" s="21">
        <v>47</v>
      </c>
    </row>
    <row r="35" spans="1:3">
      <c r="A35" s="9">
        <v>24</v>
      </c>
      <c r="B35" s="21">
        <v>154</v>
      </c>
      <c r="C35" s="21">
        <v>34</v>
      </c>
    </row>
    <row r="36" spans="1:3">
      <c r="A36" s="9">
        <v>25</v>
      </c>
      <c r="B36" s="21">
        <v>13</v>
      </c>
      <c r="C36" s="21">
        <v>0</v>
      </c>
    </row>
    <row r="37" spans="1:3">
      <c r="A37" s="9">
        <v>26</v>
      </c>
      <c r="B37" s="21">
        <v>180</v>
      </c>
      <c r="C37" s="21">
        <v>0</v>
      </c>
    </row>
    <row r="38" spans="1:3">
      <c r="A38" s="9">
        <v>27</v>
      </c>
      <c r="B38" s="21">
        <v>94</v>
      </c>
      <c r="C38" s="21">
        <v>0</v>
      </c>
    </row>
    <row r="39" spans="1:3">
      <c r="A39" s="9">
        <v>30</v>
      </c>
      <c r="B39" s="21">
        <v>332</v>
      </c>
      <c r="C39" s="21">
        <v>7</v>
      </c>
    </row>
    <row r="40" spans="1:3">
      <c r="A40" s="9">
        <v>31</v>
      </c>
      <c r="B40" s="21">
        <v>93</v>
      </c>
      <c r="C40" s="21">
        <v>12</v>
      </c>
    </row>
    <row r="41" spans="1:3">
      <c r="A41" s="9" t="s">
        <v>1753</v>
      </c>
      <c r="B41" s="21">
        <v>4650</v>
      </c>
      <c r="C41" s="21">
        <v>193</v>
      </c>
    </row>
  </sheetData>
  <pageMargins left="0.7" right="0.7" top="0.75" bottom="0.75" header="0.3" footer="0.3"/>
  <drawing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0:B33"/>
  <sheetViews>
    <sheetView showGridLines="0" tabSelected="1" topLeftCell="C1" zoomScaleNormal="100" workbookViewId="0">
      <selection activeCell="X29" sqref="X29"/>
    </sheetView>
  </sheetViews>
  <sheetFormatPr defaultRowHeight="14.25"/>
  <cols>
    <col min="1" max="1" width="1.125" style="10" hidden="1" customWidth="1"/>
    <col min="2" max="2" width="1.5" style="10" hidden="1" customWidth="1"/>
    <col min="3" max="7" width="9" style="10"/>
    <col min="8" max="8" width="11.25" style="10" customWidth="1"/>
    <col min="9" max="9" width="0.5" style="10" customWidth="1"/>
    <col min="10" max="15" width="9" style="10"/>
    <col min="16" max="16" width="0.5" style="10" customWidth="1"/>
    <col min="17" max="16384" width="9" style="10"/>
  </cols>
  <sheetData>
    <row r="20" ht="2.25" customHeight="1"/>
    <row r="33" ht="1.5" customHeight="1"/>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N4651"/>
  <sheetViews>
    <sheetView workbookViewId="0">
      <pane ySplit="1" topLeftCell="A2" activePane="bottomLeft" state="frozen"/>
      <selection pane="bottomLeft"/>
    </sheetView>
  </sheetViews>
  <sheetFormatPr defaultRowHeight="14.25"/>
  <cols>
    <col min="1" max="1" width="13.25" customWidth="1"/>
    <col min="3" max="3" width="16.75" customWidth="1"/>
    <col min="4" max="4" width="13.875" customWidth="1"/>
    <col min="5" max="5" width="15.375" style="7" customWidth="1"/>
    <col min="6" max="6" width="11.625" customWidth="1"/>
    <col min="8" max="8" width="12.5" customWidth="1"/>
    <col min="9" max="9" width="19.75" customWidth="1"/>
    <col min="10" max="10" width="18.375" customWidth="1"/>
    <col min="11" max="11" width="9.125" customWidth="1"/>
    <col min="12" max="12" width="18.875" customWidth="1"/>
  </cols>
  <sheetData>
    <row r="1" spans="1:14" ht="15">
      <c r="A1" s="17" t="s">
        <v>0</v>
      </c>
      <c r="B1" s="17" t="s">
        <v>1</v>
      </c>
      <c r="C1" s="17" t="s">
        <v>2</v>
      </c>
      <c r="D1" s="17" t="s">
        <v>3</v>
      </c>
      <c r="E1" s="18" t="s">
        <v>4</v>
      </c>
      <c r="F1" s="17" t="s">
        <v>5</v>
      </c>
      <c r="G1" s="17" t="s">
        <v>6</v>
      </c>
      <c r="H1" s="17" t="s">
        <v>7</v>
      </c>
      <c r="I1" s="17" t="s">
        <v>8</v>
      </c>
      <c r="J1" s="17" t="s">
        <v>9</v>
      </c>
      <c r="K1" s="17" t="s">
        <v>1742</v>
      </c>
      <c r="L1" s="17" t="s">
        <v>1743</v>
      </c>
      <c r="M1" s="17" t="s">
        <v>1744</v>
      </c>
      <c r="N1" s="17" t="s">
        <v>1747</v>
      </c>
    </row>
    <row r="2" spans="1:14">
      <c r="A2" s="16" t="s">
        <v>189</v>
      </c>
      <c r="B2" s="16" t="s">
        <v>2356</v>
      </c>
      <c r="C2" s="16" t="s">
        <v>220</v>
      </c>
      <c r="D2" s="16" t="s">
        <v>13</v>
      </c>
      <c r="E2" s="19">
        <v>45628</v>
      </c>
      <c r="F2" s="16" t="s">
        <v>2326</v>
      </c>
      <c r="G2" s="16">
        <v>0</v>
      </c>
      <c r="H2" s="16" t="s">
        <v>15</v>
      </c>
      <c r="I2" s="16" t="s">
        <v>16</v>
      </c>
      <c r="J2" s="16" t="s">
        <v>16</v>
      </c>
      <c r="K2" s="16" t="str">
        <f>VLOOKUP(C2,CheckName!A:B,2,0)</f>
        <v>Ref</v>
      </c>
      <c r="L2">
        <v>0</v>
      </c>
      <c r="M2" s="16">
        <f>DAY(E2)</f>
        <v>2</v>
      </c>
      <c r="N2" t="str">
        <f>TEXT(MTDRejection[[#This Row],[RejectionDate]],"dddd")</f>
        <v>Monday</v>
      </c>
    </row>
    <row r="3" spans="1:14">
      <c r="A3" t="s">
        <v>189</v>
      </c>
      <c r="B3" t="s">
        <v>2812</v>
      </c>
      <c r="C3" t="s">
        <v>36</v>
      </c>
      <c r="D3" t="s">
        <v>13</v>
      </c>
      <c r="E3" s="7">
        <v>45628</v>
      </c>
      <c r="F3" t="s">
        <v>2326</v>
      </c>
      <c r="G3">
        <v>0</v>
      </c>
      <c r="H3" t="s">
        <v>15</v>
      </c>
      <c r="I3" t="s">
        <v>16</v>
      </c>
      <c r="J3" t="s">
        <v>16</v>
      </c>
      <c r="K3" s="16" t="str">
        <f>VLOOKUP(C3,CheckName!A:B,2,0)</f>
        <v>Emp</v>
      </c>
      <c r="L3">
        <v>0</v>
      </c>
      <c r="M3" s="16">
        <f t="shared" ref="M3:M66" si="0">DAY(E3)</f>
        <v>2</v>
      </c>
      <c r="N3" t="str">
        <f>TEXT(MTDRejection[[#This Row],[RejectionDate]],"dddd")</f>
        <v>Monday</v>
      </c>
    </row>
    <row r="4" spans="1:14">
      <c r="A4" s="16" t="s">
        <v>189</v>
      </c>
      <c r="B4" s="16" t="s">
        <v>2813</v>
      </c>
      <c r="C4" s="16" t="s">
        <v>54</v>
      </c>
      <c r="D4" s="16" t="s">
        <v>13</v>
      </c>
      <c r="E4" s="19">
        <v>45628</v>
      </c>
      <c r="F4" s="16" t="s">
        <v>2326</v>
      </c>
      <c r="G4" s="16">
        <v>0</v>
      </c>
      <c r="H4" s="16" t="s">
        <v>15</v>
      </c>
      <c r="I4" s="16" t="s">
        <v>16</v>
      </c>
      <c r="J4" s="16" t="s">
        <v>16</v>
      </c>
      <c r="K4" s="16" t="str">
        <f>VLOOKUP(C4,CheckName!A:B,2,0)</f>
        <v>Edu</v>
      </c>
      <c r="L4">
        <v>0</v>
      </c>
      <c r="M4" s="16">
        <f t="shared" si="0"/>
        <v>2</v>
      </c>
      <c r="N4" t="str">
        <f>TEXT(MTDRejection[[#This Row],[RejectionDate]],"dddd")</f>
        <v>Monday</v>
      </c>
    </row>
    <row r="5" spans="1:14">
      <c r="A5" t="s">
        <v>189</v>
      </c>
      <c r="B5" t="s">
        <v>2814</v>
      </c>
      <c r="C5" t="s">
        <v>12</v>
      </c>
      <c r="D5" t="s">
        <v>13</v>
      </c>
      <c r="E5" s="7">
        <v>45628</v>
      </c>
      <c r="F5" t="s">
        <v>2326</v>
      </c>
      <c r="G5">
        <v>0</v>
      </c>
      <c r="H5" t="s">
        <v>15</v>
      </c>
      <c r="I5" t="s">
        <v>16</v>
      </c>
      <c r="J5" t="s">
        <v>16</v>
      </c>
      <c r="K5" s="16" t="str">
        <f>VLOOKUP(C5,CheckName!A:B,2,0)</f>
        <v>Emp</v>
      </c>
      <c r="L5">
        <v>0</v>
      </c>
      <c r="M5" s="16">
        <f t="shared" si="0"/>
        <v>2</v>
      </c>
      <c r="N5" t="str">
        <f>TEXT(MTDRejection[[#This Row],[RejectionDate]],"dddd")</f>
        <v>Monday</v>
      </c>
    </row>
    <row r="6" spans="1:14">
      <c r="A6" s="16" t="s">
        <v>189</v>
      </c>
      <c r="B6" s="16" t="s">
        <v>2815</v>
      </c>
      <c r="C6" s="16" t="s">
        <v>106</v>
      </c>
      <c r="D6" s="16" t="s">
        <v>13</v>
      </c>
      <c r="E6" s="19">
        <v>45628</v>
      </c>
      <c r="F6" s="16" t="s">
        <v>2326</v>
      </c>
      <c r="G6" s="16">
        <v>0</v>
      </c>
      <c r="H6" s="16" t="s">
        <v>15</v>
      </c>
      <c r="I6" s="16" t="s">
        <v>16</v>
      </c>
      <c r="J6" s="16" t="s">
        <v>16</v>
      </c>
      <c r="K6" s="16" t="str">
        <f>VLOOKUP(C6,CheckName!A:B,2,0)</f>
        <v>Ref</v>
      </c>
      <c r="L6">
        <v>0</v>
      </c>
      <c r="M6" s="16">
        <f t="shared" si="0"/>
        <v>2</v>
      </c>
      <c r="N6" t="str">
        <f>TEXT(MTDRejection[[#This Row],[RejectionDate]],"dddd")</f>
        <v>Monday</v>
      </c>
    </row>
    <row r="7" spans="1:14">
      <c r="A7" t="s">
        <v>599</v>
      </c>
      <c r="B7" t="s">
        <v>2816</v>
      </c>
      <c r="C7" t="s">
        <v>12</v>
      </c>
      <c r="D7" t="s">
        <v>13</v>
      </c>
      <c r="E7" s="7">
        <v>45628</v>
      </c>
      <c r="F7" t="s">
        <v>2326</v>
      </c>
      <c r="G7">
        <v>0</v>
      </c>
      <c r="H7" t="s">
        <v>15</v>
      </c>
      <c r="I7" t="s">
        <v>16</v>
      </c>
      <c r="J7" t="s">
        <v>16</v>
      </c>
      <c r="K7" s="16" t="str">
        <f>VLOOKUP(C7,CheckName!A:B,2,0)</f>
        <v>Emp</v>
      </c>
      <c r="L7">
        <v>0</v>
      </c>
      <c r="M7" s="16">
        <f t="shared" si="0"/>
        <v>2</v>
      </c>
      <c r="N7" t="str">
        <f>TEXT(MTDRejection[[#This Row],[RejectionDate]],"dddd")</f>
        <v>Monday</v>
      </c>
    </row>
    <row r="8" spans="1:14">
      <c r="A8" s="16" t="s">
        <v>64</v>
      </c>
      <c r="B8" s="16" t="s">
        <v>2357</v>
      </c>
      <c r="C8" s="16" t="s">
        <v>54</v>
      </c>
      <c r="D8" s="16" t="s">
        <v>13</v>
      </c>
      <c r="E8" s="19">
        <v>45628</v>
      </c>
      <c r="F8" s="16" t="s">
        <v>2326</v>
      </c>
      <c r="G8" s="16">
        <v>0</v>
      </c>
      <c r="H8" s="16" t="s">
        <v>15</v>
      </c>
      <c r="I8" s="16" t="s">
        <v>16</v>
      </c>
      <c r="J8" s="16" t="s">
        <v>16</v>
      </c>
      <c r="K8" s="16" t="str">
        <f>VLOOKUP(C8,CheckName!A:B,2,0)</f>
        <v>Edu</v>
      </c>
      <c r="L8">
        <v>0</v>
      </c>
      <c r="M8" s="16">
        <f t="shared" si="0"/>
        <v>2</v>
      </c>
      <c r="N8" t="str">
        <f>TEXT(MTDRejection[[#This Row],[RejectionDate]],"dddd")</f>
        <v>Monday</v>
      </c>
    </row>
    <row r="9" spans="1:14">
      <c r="A9" t="s">
        <v>160</v>
      </c>
      <c r="B9" t="s">
        <v>2817</v>
      </c>
      <c r="C9" t="s">
        <v>19</v>
      </c>
      <c r="D9" t="s">
        <v>20</v>
      </c>
      <c r="E9" s="7">
        <v>45628</v>
      </c>
      <c r="F9" t="s">
        <v>2327</v>
      </c>
      <c r="G9">
        <v>0</v>
      </c>
      <c r="H9" t="s">
        <v>22</v>
      </c>
      <c r="I9" t="s">
        <v>16</v>
      </c>
      <c r="J9" t="s">
        <v>16</v>
      </c>
      <c r="K9" s="16" t="str">
        <f>VLOOKUP(C9,CheckName!A:B,2,0)</f>
        <v>Add</v>
      </c>
      <c r="L9">
        <v>0</v>
      </c>
      <c r="M9" s="16">
        <f t="shared" si="0"/>
        <v>2</v>
      </c>
      <c r="N9" t="str">
        <f>TEXT(MTDRejection[[#This Row],[RejectionDate]],"dddd")</f>
        <v>Monday</v>
      </c>
    </row>
    <row r="10" spans="1:14">
      <c r="A10" s="16" t="s">
        <v>160</v>
      </c>
      <c r="B10" s="16" t="s">
        <v>1547</v>
      </c>
      <c r="C10" s="16" t="s">
        <v>19</v>
      </c>
      <c r="D10" s="16" t="s">
        <v>20</v>
      </c>
      <c r="E10" s="19">
        <v>45628</v>
      </c>
      <c r="F10" s="16" t="s">
        <v>2327</v>
      </c>
      <c r="G10" s="16">
        <v>0</v>
      </c>
      <c r="H10" s="16" t="s">
        <v>22</v>
      </c>
      <c r="I10" s="16" t="s">
        <v>16</v>
      </c>
      <c r="J10" s="16" t="s">
        <v>16</v>
      </c>
      <c r="K10" s="16" t="str">
        <f>VLOOKUP(C10,CheckName!A:B,2,0)</f>
        <v>Add</v>
      </c>
      <c r="L10">
        <v>0</v>
      </c>
      <c r="M10" s="16">
        <f t="shared" si="0"/>
        <v>2</v>
      </c>
      <c r="N10" t="str">
        <f>TEXT(MTDRejection[[#This Row],[RejectionDate]],"dddd")</f>
        <v>Monday</v>
      </c>
    </row>
    <row r="11" spans="1:14">
      <c r="A11" t="s">
        <v>360</v>
      </c>
      <c r="B11" t="s">
        <v>2818</v>
      </c>
      <c r="C11" t="s">
        <v>980</v>
      </c>
      <c r="D11" t="s">
        <v>20</v>
      </c>
      <c r="E11" s="7">
        <v>45628</v>
      </c>
      <c r="F11" t="s">
        <v>2327</v>
      </c>
      <c r="G11">
        <v>0</v>
      </c>
      <c r="H11" t="s">
        <v>22</v>
      </c>
      <c r="I11" t="s">
        <v>16</v>
      </c>
      <c r="J11" t="s">
        <v>16</v>
      </c>
      <c r="K11" s="16" t="str">
        <f>VLOOKUP(C11,CheckName!A:B,2,0)</f>
        <v>Add</v>
      </c>
      <c r="L11">
        <v>0</v>
      </c>
      <c r="M11" s="16">
        <f t="shared" si="0"/>
        <v>2</v>
      </c>
      <c r="N11" t="str">
        <f>TEXT(MTDRejection[[#This Row],[RejectionDate]],"dddd")</f>
        <v>Monday</v>
      </c>
    </row>
    <row r="12" spans="1:14">
      <c r="A12" s="16" t="s">
        <v>360</v>
      </c>
      <c r="B12" s="16" t="s">
        <v>2819</v>
      </c>
      <c r="C12" s="16" t="s">
        <v>112</v>
      </c>
      <c r="D12" s="16" t="s">
        <v>26</v>
      </c>
      <c r="E12" s="19">
        <v>45628</v>
      </c>
      <c r="F12" s="16" t="s">
        <v>325</v>
      </c>
      <c r="G12" s="16">
        <v>0</v>
      </c>
      <c r="H12" s="16" t="s">
        <v>130</v>
      </c>
      <c r="I12" s="16" t="s">
        <v>16</v>
      </c>
      <c r="J12" s="16" t="s">
        <v>16</v>
      </c>
      <c r="K12" s="16" t="str">
        <f>VLOOKUP(C12,CheckName!A:B,2,0)</f>
        <v>Emp</v>
      </c>
      <c r="L12">
        <v>0</v>
      </c>
      <c r="M12" s="16">
        <f t="shared" si="0"/>
        <v>2</v>
      </c>
      <c r="N12" t="str">
        <f>TEXT(MTDRejection[[#This Row],[RejectionDate]],"dddd")</f>
        <v>Monday</v>
      </c>
    </row>
    <row r="13" spans="1:14">
      <c r="A13" t="s">
        <v>510</v>
      </c>
      <c r="B13" t="s">
        <v>2820</v>
      </c>
      <c r="C13" t="s">
        <v>19</v>
      </c>
      <c r="D13" t="s">
        <v>20</v>
      </c>
      <c r="E13" s="7">
        <v>45628</v>
      </c>
      <c r="F13" t="s">
        <v>2327</v>
      </c>
      <c r="G13">
        <v>0</v>
      </c>
      <c r="H13" t="s">
        <v>22</v>
      </c>
      <c r="I13" t="s">
        <v>16</v>
      </c>
      <c r="J13" t="s">
        <v>16</v>
      </c>
      <c r="K13" s="16" t="str">
        <f>VLOOKUP(C13,CheckName!A:B,2,0)</f>
        <v>Add</v>
      </c>
      <c r="L13">
        <v>0</v>
      </c>
      <c r="M13" s="16">
        <f t="shared" si="0"/>
        <v>2</v>
      </c>
      <c r="N13" t="str">
        <f>TEXT(MTDRejection[[#This Row],[RejectionDate]],"dddd")</f>
        <v>Monday</v>
      </c>
    </row>
    <row r="14" spans="1:14">
      <c r="A14" s="16" t="s">
        <v>1040</v>
      </c>
      <c r="B14" s="16" t="s">
        <v>2821</v>
      </c>
      <c r="C14" s="16" t="s">
        <v>19</v>
      </c>
      <c r="D14" s="16" t="s">
        <v>20</v>
      </c>
      <c r="E14" s="19">
        <v>45628</v>
      </c>
      <c r="F14" s="16" t="s">
        <v>2327</v>
      </c>
      <c r="G14" s="16">
        <v>0</v>
      </c>
      <c r="H14" s="16" t="s">
        <v>22</v>
      </c>
      <c r="I14" s="16" t="s">
        <v>16</v>
      </c>
      <c r="J14" s="16" t="s">
        <v>16</v>
      </c>
      <c r="K14" s="16" t="str">
        <f>VLOOKUP(C14,CheckName!A:B,2,0)</f>
        <v>Add</v>
      </c>
      <c r="L14">
        <v>0</v>
      </c>
      <c r="M14" s="16">
        <f t="shared" si="0"/>
        <v>2</v>
      </c>
      <c r="N14" t="str">
        <f>TEXT(MTDRejection[[#This Row],[RejectionDate]],"dddd")</f>
        <v>Monday</v>
      </c>
    </row>
    <row r="15" spans="1:14">
      <c r="A15" t="s">
        <v>203</v>
      </c>
      <c r="B15" t="s">
        <v>2822</v>
      </c>
      <c r="C15" t="s">
        <v>36</v>
      </c>
      <c r="D15" t="s">
        <v>26</v>
      </c>
      <c r="E15" s="7">
        <v>45628</v>
      </c>
      <c r="F15" t="s">
        <v>325</v>
      </c>
      <c r="G15">
        <v>0</v>
      </c>
      <c r="H15" t="s">
        <v>27</v>
      </c>
      <c r="I15" t="s">
        <v>16</v>
      </c>
      <c r="J15" t="s">
        <v>16</v>
      </c>
      <c r="K15" s="16" t="str">
        <f>VLOOKUP(C15,CheckName!A:B,2,0)</f>
        <v>Emp</v>
      </c>
      <c r="L15">
        <v>0</v>
      </c>
      <c r="M15" s="16">
        <f t="shared" si="0"/>
        <v>2</v>
      </c>
      <c r="N15" t="str">
        <f>TEXT(MTDRejection[[#This Row],[RejectionDate]],"dddd")</f>
        <v>Monday</v>
      </c>
    </row>
    <row r="16" spans="1:14">
      <c r="A16" s="16" t="s">
        <v>306</v>
      </c>
      <c r="B16" s="16" t="s">
        <v>2823</v>
      </c>
      <c r="C16" s="16" t="s">
        <v>54</v>
      </c>
      <c r="D16" s="16" t="s">
        <v>26</v>
      </c>
      <c r="E16" s="19">
        <v>45628</v>
      </c>
      <c r="F16" s="16" t="s">
        <v>663</v>
      </c>
      <c r="G16" s="16">
        <v>0</v>
      </c>
      <c r="H16" s="16" t="s">
        <v>27</v>
      </c>
      <c r="I16" s="16" t="s">
        <v>16</v>
      </c>
      <c r="J16" s="16" t="s">
        <v>16</v>
      </c>
      <c r="K16" s="16" t="str">
        <f>VLOOKUP(C16,CheckName!A:B,2,0)</f>
        <v>Edu</v>
      </c>
      <c r="L16">
        <v>0</v>
      </c>
      <c r="M16" s="16">
        <f t="shared" si="0"/>
        <v>2</v>
      </c>
      <c r="N16" t="str">
        <f>TEXT(MTDRejection[[#This Row],[RejectionDate]],"dddd")</f>
        <v>Monday</v>
      </c>
    </row>
    <row r="17" spans="1:14">
      <c r="A17" t="s">
        <v>306</v>
      </c>
      <c r="B17" t="s">
        <v>2824</v>
      </c>
      <c r="C17" t="s">
        <v>54</v>
      </c>
      <c r="D17" t="s">
        <v>26</v>
      </c>
      <c r="E17" s="7">
        <v>45628</v>
      </c>
      <c r="F17" t="s">
        <v>663</v>
      </c>
      <c r="G17">
        <v>0</v>
      </c>
      <c r="H17" t="s">
        <v>27</v>
      </c>
      <c r="I17" t="s">
        <v>16</v>
      </c>
      <c r="J17" t="s">
        <v>16</v>
      </c>
      <c r="K17" s="16" t="str">
        <f>VLOOKUP(C17,CheckName!A:B,2,0)</f>
        <v>Edu</v>
      </c>
      <c r="L17">
        <v>0</v>
      </c>
      <c r="M17" s="16">
        <f t="shared" si="0"/>
        <v>2</v>
      </c>
      <c r="N17" t="str">
        <f>TEXT(MTDRejection[[#This Row],[RejectionDate]],"dddd")</f>
        <v>Monday</v>
      </c>
    </row>
    <row r="18" spans="1:14">
      <c r="A18" s="16" t="s">
        <v>306</v>
      </c>
      <c r="B18" s="16" t="s">
        <v>2825</v>
      </c>
      <c r="C18" s="16" t="s">
        <v>54</v>
      </c>
      <c r="D18" s="16" t="s">
        <v>26</v>
      </c>
      <c r="E18" s="19">
        <v>45628</v>
      </c>
      <c r="F18" s="16" t="s">
        <v>663</v>
      </c>
      <c r="G18" s="16">
        <v>0</v>
      </c>
      <c r="H18" s="16" t="s">
        <v>27</v>
      </c>
      <c r="I18" s="16" t="s">
        <v>16</v>
      </c>
      <c r="J18" s="16" t="s">
        <v>16</v>
      </c>
      <c r="K18" s="16" t="str">
        <f>VLOOKUP(C18,CheckName!A:B,2,0)</f>
        <v>Edu</v>
      </c>
      <c r="L18">
        <v>0</v>
      </c>
      <c r="M18" s="16">
        <f t="shared" si="0"/>
        <v>2</v>
      </c>
      <c r="N18" t="str">
        <f>TEXT(MTDRejection[[#This Row],[RejectionDate]],"dddd")</f>
        <v>Monday</v>
      </c>
    </row>
    <row r="19" spans="1:14">
      <c r="A19" t="s">
        <v>452</v>
      </c>
      <c r="B19" t="s">
        <v>2826</v>
      </c>
      <c r="C19" t="s">
        <v>19</v>
      </c>
      <c r="D19" t="s">
        <v>20</v>
      </c>
      <c r="E19" s="7">
        <v>45628</v>
      </c>
      <c r="F19" t="s">
        <v>2327</v>
      </c>
      <c r="G19">
        <v>0</v>
      </c>
      <c r="H19" t="s">
        <v>22</v>
      </c>
      <c r="I19" t="s">
        <v>16</v>
      </c>
      <c r="J19" t="s">
        <v>16</v>
      </c>
      <c r="K19" s="16" t="str">
        <f>VLOOKUP(C19,CheckName!A:B,2,0)</f>
        <v>Add</v>
      </c>
      <c r="L19">
        <v>0</v>
      </c>
      <c r="M19" s="16">
        <f t="shared" si="0"/>
        <v>2</v>
      </c>
      <c r="N19" t="str">
        <f>TEXT(MTDRejection[[#This Row],[RejectionDate]],"dddd")</f>
        <v>Monday</v>
      </c>
    </row>
    <row r="20" spans="1:14">
      <c r="A20" s="16" t="s">
        <v>88</v>
      </c>
      <c r="B20" s="16" t="s">
        <v>2827</v>
      </c>
      <c r="C20" s="16" t="s">
        <v>12</v>
      </c>
      <c r="D20" s="16" t="s">
        <v>51</v>
      </c>
      <c r="E20" s="19">
        <v>45628</v>
      </c>
      <c r="F20" s="16" t="s">
        <v>555</v>
      </c>
      <c r="G20" s="16">
        <v>0</v>
      </c>
      <c r="H20" s="16" t="s">
        <v>53</v>
      </c>
      <c r="I20" s="16" t="s">
        <v>16</v>
      </c>
      <c r="J20" s="16" t="s">
        <v>16</v>
      </c>
      <c r="K20" s="16" t="str">
        <f>VLOOKUP(C20,CheckName!A:B,2,0)</f>
        <v>Emp</v>
      </c>
      <c r="L20">
        <v>0</v>
      </c>
      <c r="M20" s="16">
        <f t="shared" si="0"/>
        <v>2</v>
      </c>
      <c r="N20" t="str">
        <f>TEXT(MTDRejection[[#This Row],[RejectionDate]],"dddd")</f>
        <v>Monday</v>
      </c>
    </row>
    <row r="21" spans="1:14">
      <c r="A21" t="s">
        <v>100</v>
      </c>
      <c r="B21" t="s">
        <v>2828</v>
      </c>
      <c r="C21" t="s">
        <v>255</v>
      </c>
      <c r="D21" t="s">
        <v>51</v>
      </c>
      <c r="E21" s="7">
        <v>45628</v>
      </c>
      <c r="F21" t="s">
        <v>555</v>
      </c>
      <c r="G21">
        <v>0</v>
      </c>
      <c r="H21" t="s">
        <v>53</v>
      </c>
      <c r="I21" t="s">
        <v>16</v>
      </c>
      <c r="J21" t="s">
        <v>16</v>
      </c>
      <c r="K21" s="16" t="str">
        <f>VLOOKUP(C21,CheckName!A:B,2,0)</f>
        <v>Special Check</v>
      </c>
      <c r="L21">
        <v>0</v>
      </c>
      <c r="M21" s="16">
        <f t="shared" si="0"/>
        <v>2</v>
      </c>
      <c r="N21" t="str">
        <f>TEXT(MTDRejection[[#This Row],[RejectionDate]],"dddd")</f>
        <v>Monday</v>
      </c>
    </row>
    <row r="22" spans="1:14">
      <c r="A22" s="16" t="s">
        <v>680</v>
      </c>
      <c r="B22" s="16" t="s">
        <v>2829</v>
      </c>
      <c r="C22" s="16" t="s">
        <v>56</v>
      </c>
      <c r="D22" s="16" t="s">
        <v>13</v>
      </c>
      <c r="E22" s="19">
        <v>45628</v>
      </c>
      <c r="F22" s="16" t="s">
        <v>230</v>
      </c>
      <c r="G22" s="16">
        <v>0</v>
      </c>
      <c r="H22" s="16" t="s">
        <v>15</v>
      </c>
      <c r="I22" s="16" t="s">
        <v>16</v>
      </c>
      <c r="J22" s="16" t="s">
        <v>16</v>
      </c>
      <c r="K22" s="16" t="str">
        <f>VLOOKUP(C22,CheckName!A:B,2,0)</f>
        <v>Special Check</v>
      </c>
      <c r="L22">
        <v>0</v>
      </c>
      <c r="M22" s="16">
        <f t="shared" si="0"/>
        <v>2</v>
      </c>
      <c r="N22" t="str">
        <f>TEXT(MTDRejection[[#This Row],[RejectionDate]],"dddd")</f>
        <v>Monday</v>
      </c>
    </row>
    <row r="23" spans="1:14">
      <c r="A23" t="s">
        <v>47</v>
      </c>
      <c r="B23" t="s">
        <v>2358</v>
      </c>
      <c r="C23" t="s">
        <v>56</v>
      </c>
      <c r="D23" t="s">
        <v>13</v>
      </c>
      <c r="E23" s="7">
        <v>45628</v>
      </c>
      <c r="F23" t="s">
        <v>2328</v>
      </c>
      <c r="G23">
        <v>0</v>
      </c>
      <c r="H23" t="s">
        <v>15</v>
      </c>
      <c r="I23" t="s">
        <v>16</v>
      </c>
      <c r="J23" t="s">
        <v>16</v>
      </c>
      <c r="K23" s="16" t="str">
        <f>VLOOKUP(C23,CheckName!A:B,2,0)</f>
        <v>Special Check</v>
      </c>
      <c r="L23">
        <v>0</v>
      </c>
      <c r="M23" s="16">
        <f t="shared" si="0"/>
        <v>2</v>
      </c>
      <c r="N23" t="str">
        <f>TEXT(MTDRejection[[#This Row],[RejectionDate]],"dddd")</f>
        <v>Monday</v>
      </c>
    </row>
    <row r="24" spans="1:14">
      <c r="A24" s="16" t="s">
        <v>84</v>
      </c>
      <c r="B24" s="16" t="s">
        <v>2830</v>
      </c>
      <c r="C24" s="16" t="s">
        <v>36</v>
      </c>
      <c r="D24" s="16" t="s">
        <v>38</v>
      </c>
      <c r="E24" s="19">
        <v>45628</v>
      </c>
      <c r="F24" s="16" t="s">
        <v>39</v>
      </c>
      <c r="G24" s="16">
        <v>0</v>
      </c>
      <c r="H24" s="16" t="s">
        <v>42</v>
      </c>
      <c r="I24" s="16" t="s">
        <v>16</v>
      </c>
      <c r="J24" s="16" t="s">
        <v>16</v>
      </c>
      <c r="K24" s="16" t="str">
        <f>VLOOKUP(C24,CheckName!A:B,2,0)</f>
        <v>Emp</v>
      </c>
      <c r="L24">
        <v>0</v>
      </c>
      <c r="M24" s="16">
        <f t="shared" si="0"/>
        <v>2</v>
      </c>
      <c r="N24" t="str">
        <f>TEXT(MTDRejection[[#This Row],[RejectionDate]],"dddd")</f>
        <v>Monday</v>
      </c>
    </row>
    <row r="25" spans="1:14">
      <c r="A25" t="s">
        <v>119</v>
      </c>
      <c r="B25" t="s">
        <v>2831</v>
      </c>
      <c r="C25" t="s">
        <v>36</v>
      </c>
      <c r="D25" t="s">
        <v>38</v>
      </c>
      <c r="E25" s="7">
        <v>45628</v>
      </c>
      <c r="F25" t="s">
        <v>39</v>
      </c>
      <c r="G25">
        <v>0</v>
      </c>
      <c r="H25" t="s">
        <v>42</v>
      </c>
      <c r="I25" t="s">
        <v>16</v>
      </c>
      <c r="J25" t="s">
        <v>16</v>
      </c>
      <c r="K25" s="16" t="str">
        <f>VLOOKUP(C25,CheckName!A:B,2,0)</f>
        <v>Emp</v>
      </c>
      <c r="L25">
        <v>0</v>
      </c>
      <c r="M25" s="16">
        <f t="shared" si="0"/>
        <v>2</v>
      </c>
      <c r="N25" t="str">
        <f>TEXT(MTDRejection[[#This Row],[RejectionDate]],"dddd")</f>
        <v>Monday</v>
      </c>
    </row>
    <row r="26" spans="1:14">
      <c r="A26" s="16" t="s">
        <v>160</v>
      </c>
      <c r="B26" s="16" t="s">
        <v>2075</v>
      </c>
      <c r="C26" s="16" t="s">
        <v>125</v>
      </c>
      <c r="D26" s="16" t="s">
        <v>26</v>
      </c>
      <c r="E26" s="19">
        <v>45628</v>
      </c>
      <c r="F26" s="16" t="s">
        <v>222</v>
      </c>
      <c r="G26" s="16">
        <v>0</v>
      </c>
      <c r="H26" s="16" t="s">
        <v>22</v>
      </c>
      <c r="I26" s="16" t="s">
        <v>16</v>
      </c>
      <c r="J26" s="16" t="s">
        <v>16</v>
      </c>
      <c r="K26" s="16" t="str">
        <f>VLOOKUP(C26,CheckName!A:B,2,0)</f>
        <v>Emp</v>
      </c>
      <c r="L26">
        <v>0</v>
      </c>
      <c r="M26" s="16">
        <f t="shared" si="0"/>
        <v>2</v>
      </c>
      <c r="N26" t="str">
        <f>TEXT(MTDRejection[[#This Row],[RejectionDate]],"dddd")</f>
        <v>Monday</v>
      </c>
    </row>
    <row r="27" spans="1:14">
      <c r="A27" t="s">
        <v>999</v>
      </c>
      <c r="B27" t="s">
        <v>2832</v>
      </c>
      <c r="C27" t="s">
        <v>12</v>
      </c>
      <c r="D27" t="s">
        <v>26</v>
      </c>
      <c r="E27" s="7">
        <v>45628</v>
      </c>
      <c r="F27" t="s">
        <v>1055</v>
      </c>
      <c r="G27">
        <v>0</v>
      </c>
      <c r="H27" t="s">
        <v>27</v>
      </c>
      <c r="I27" t="s">
        <v>16</v>
      </c>
      <c r="J27" t="s">
        <v>16</v>
      </c>
      <c r="K27" s="16" t="str">
        <f>VLOOKUP(C27,CheckName!A:B,2,0)</f>
        <v>Emp</v>
      </c>
      <c r="L27">
        <v>0</v>
      </c>
      <c r="M27" s="16">
        <f t="shared" si="0"/>
        <v>2</v>
      </c>
      <c r="N27" t="str">
        <f>TEXT(MTDRejection[[#This Row],[RejectionDate]],"dddd")</f>
        <v>Monday</v>
      </c>
    </row>
    <row r="28" spans="1:14">
      <c r="A28" s="16" t="s">
        <v>1056</v>
      </c>
      <c r="B28" s="16" t="s">
        <v>2833</v>
      </c>
      <c r="C28" s="16" t="s">
        <v>12</v>
      </c>
      <c r="D28" s="16" t="s">
        <v>26</v>
      </c>
      <c r="E28" s="19">
        <v>45628</v>
      </c>
      <c r="F28" s="16" t="s">
        <v>222</v>
      </c>
      <c r="G28" s="16">
        <v>0</v>
      </c>
      <c r="H28" s="16" t="s">
        <v>27</v>
      </c>
      <c r="I28" s="16" t="s">
        <v>16</v>
      </c>
      <c r="J28" s="16" t="s">
        <v>16</v>
      </c>
      <c r="K28" s="16" t="str">
        <f>VLOOKUP(C28,CheckName!A:B,2,0)</f>
        <v>Emp</v>
      </c>
      <c r="L28">
        <v>0</v>
      </c>
      <c r="M28" s="16">
        <f t="shared" si="0"/>
        <v>2</v>
      </c>
      <c r="N28" t="str">
        <f>TEXT(MTDRejection[[#This Row],[RejectionDate]],"dddd")</f>
        <v>Monday</v>
      </c>
    </row>
    <row r="29" spans="1:14">
      <c r="A29" t="s">
        <v>934</v>
      </c>
      <c r="B29" t="s">
        <v>2359</v>
      </c>
      <c r="C29" t="s">
        <v>12</v>
      </c>
      <c r="D29" t="s">
        <v>26</v>
      </c>
      <c r="E29" s="7">
        <v>45628</v>
      </c>
      <c r="F29" t="s">
        <v>222</v>
      </c>
      <c r="G29">
        <v>0</v>
      </c>
      <c r="H29" t="s">
        <v>27</v>
      </c>
      <c r="I29" t="s">
        <v>16</v>
      </c>
      <c r="J29" t="s">
        <v>16</v>
      </c>
      <c r="K29" s="16" t="str">
        <f>VLOOKUP(C29,CheckName!A:B,2,0)</f>
        <v>Emp</v>
      </c>
      <c r="L29">
        <v>0</v>
      </c>
      <c r="M29" s="16">
        <f t="shared" si="0"/>
        <v>2</v>
      </c>
      <c r="N29" t="str">
        <f>TEXT(MTDRejection[[#This Row],[RejectionDate]],"dddd")</f>
        <v>Monday</v>
      </c>
    </row>
    <row r="30" spans="1:14">
      <c r="A30" s="16" t="s">
        <v>402</v>
      </c>
      <c r="B30" s="16" t="s">
        <v>2834</v>
      </c>
      <c r="C30" s="16" t="s">
        <v>54</v>
      </c>
      <c r="D30" s="16" t="s">
        <v>26</v>
      </c>
      <c r="E30" s="19">
        <v>45628</v>
      </c>
      <c r="F30" s="16" t="s">
        <v>63</v>
      </c>
      <c r="G30" s="16">
        <v>0</v>
      </c>
      <c r="H30" s="16" t="s">
        <v>22</v>
      </c>
      <c r="I30" s="16" t="s">
        <v>16</v>
      </c>
      <c r="J30" s="16" t="s">
        <v>16</v>
      </c>
      <c r="K30" s="16" t="str">
        <f>VLOOKUP(C30,CheckName!A:B,2,0)</f>
        <v>Edu</v>
      </c>
      <c r="L30">
        <v>0</v>
      </c>
      <c r="M30" s="16">
        <f t="shared" si="0"/>
        <v>2</v>
      </c>
      <c r="N30" t="str">
        <f>TEXT(MTDRejection[[#This Row],[RejectionDate]],"dddd")</f>
        <v>Monday</v>
      </c>
    </row>
    <row r="31" spans="1:14">
      <c r="A31" t="s">
        <v>84</v>
      </c>
      <c r="B31" t="s">
        <v>2835</v>
      </c>
      <c r="C31" t="s">
        <v>19</v>
      </c>
      <c r="D31" t="s">
        <v>26</v>
      </c>
      <c r="E31" s="7">
        <v>45628</v>
      </c>
      <c r="F31" t="s">
        <v>66</v>
      </c>
      <c r="G31">
        <v>0</v>
      </c>
      <c r="H31" t="s">
        <v>27</v>
      </c>
      <c r="I31" t="s">
        <v>16</v>
      </c>
      <c r="J31" t="s">
        <v>16</v>
      </c>
      <c r="K31" s="16" t="str">
        <f>VLOOKUP(C31,CheckName!A:B,2,0)</f>
        <v>Add</v>
      </c>
      <c r="L31">
        <v>0</v>
      </c>
      <c r="M31" s="16">
        <f t="shared" si="0"/>
        <v>2</v>
      </c>
      <c r="N31" t="str">
        <f>TEXT(MTDRejection[[#This Row],[RejectionDate]],"dddd")</f>
        <v>Monday</v>
      </c>
    </row>
    <row r="32" spans="1:14">
      <c r="A32" s="16" t="s">
        <v>84</v>
      </c>
      <c r="B32" s="16" t="s">
        <v>2836</v>
      </c>
      <c r="C32" s="16" t="s">
        <v>54</v>
      </c>
      <c r="D32" s="16" t="s">
        <v>26</v>
      </c>
      <c r="E32" s="19">
        <v>45628</v>
      </c>
      <c r="F32" s="16" t="s">
        <v>2329</v>
      </c>
      <c r="G32" s="16">
        <v>0</v>
      </c>
      <c r="H32" s="16" t="s">
        <v>27</v>
      </c>
      <c r="I32" s="16" t="s">
        <v>16</v>
      </c>
      <c r="J32" s="16" t="s">
        <v>16</v>
      </c>
      <c r="K32" s="16" t="str">
        <f>VLOOKUP(C32,CheckName!A:B,2,0)</f>
        <v>Edu</v>
      </c>
      <c r="L32">
        <v>0</v>
      </c>
      <c r="M32" s="16">
        <f t="shared" si="0"/>
        <v>2</v>
      </c>
      <c r="N32" t="str">
        <f>TEXT(MTDRejection[[#This Row],[RejectionDate]],"dddd")</f>
        <v>Monday</v>
      </c>
    </row>
    <row r="33" spans="1:14">
      <c r="A33" t="s">
        <v>186</v>
      </c>
      <c r="B33" t="s">
        <v>2433</v>
      </c>
      <c r="C33" t="s">
        <v>54</v>
      </c>
      <c r="D33" t="s">
        <v>26</v>
      </c>
      <c r="E33" s="7">
        <v>45628</v>
      </c>
      <c r="F33" t="s">
        <v>63</v>
      </c>
      <c r="G33">
        <v>0</v>
      </c>
      <c r="H33" t="s">
        <v>27</v>
      </c>
      <c r="I33" t="s">
        <v>16</v>
      </c>
      <c r="J33" t="s">
        <v>16</v>
      </c>
      <c r="K33" s="16" t="str">
        <f>VLOOKUP(C33,CheckName!A:B,2,0)</f>
        <v>Edu</v>
      </c>
      <c r="L33">
        <v>0</v>
      </c>
      <c r="M33" s="16">
        <f t="shared" si="0"/>
        <v>2</v>
      </c>
      <c r="N33" t="str">
        <f>TEXT(MTDRejection[[#This Row],[RejectionDate]],"dddd")</f>
        <v>Monday</v>
      </c>
    </row>
    <row r="34" spans="1:14">
      <c r="A34" s="16" t="s">
        <v>203</v>
      </c>
      <c r="B34" s="16" t="s">
        <v>2837</v>
      </c>
      <c r="C34" s="16" t="s">
        <v>19</v>
      </c>
      <c r="D34" s="16" t="s">
        <v>20</v>
      </c>
      <c r="E34" s="19">
        <v>45628</v>
      </c>
      <c r="F34" s="16" t="s">
        <v>2330</v>
      </c>
      <c r="G34" s="16">
        <v>0</v>
      </c>
      <c r="H34" s="16" t="s">
        <v>22</v>
      </c>
      <c r="I34" s="16" t="s">
        <v>16</v>
      </c>
      <c r="J34" s="16" t="s">
        <v>16</v>
      </c>
      <c r="K34" s="16" t="str">
        <f>VLOOKUP(C34,CheckName!A:B,2,0)</f>
        <v>Add</v>
      </c>
      <c r="L34">
        <v>0</v>
      </c>
      <c r="M34" s="16">
        <f t="shared" si="0"/>
        <v>2</v>
      </c>
      <c r="N34" t="str">
        <f>TEXT(MTDRejection[[#This Row],[RejectionDate]],"dddd")</f>
        <v>Monday</v>
      </c>
    </row>
    <row r="35" spans="1:14">
      <c r="A35" t="s">
        <v>45</v>
      </c>
      <c r="B35" t="s">
        <v>2360</v>
      </c>
      <c r="C35" t="s">
        <v>25</v>
      </c>
      <c r="D35" t="s">
        <v>20</v>
      </c>
      <c r="E35" s="7">
        <v>45628</v>
      </c>
      <c r="F35" t="s">
        <v>2330</v>
      </c>
      <c r="G35">
        <v>0</v>
      </c>
      <c r="H35" t="s">
        <v>27</v>
      </c>
      <c r="I35" t="s">
        <v>16</v>
      </c>
      <c r="J35" t="s">
        <v>16</v>
      </c>
      <c r="K35" s="16" t="str">
        <f>VLOOKUP(C35,CheckName!A:B,2,0)</f>
        <v>Add</v>
      </c>
      <c r="L35">
        <v>0</v>
      </c>
      <c r="M35" s="16">
        <f t="shared" si="0"/>
        <v>2</v>
      </c>
      <c r="N35" t="str">
        <f>TEXT(MTDRejection[[#This Row],[RejectionDate]],"dddd")</f>
        <v>Monday</v>
      </c>
    </row>
    <row r="36" spans="1:14">
      <c r="A36" s="16" t="s">
        <v>211</v>
      </c>
      <c r="B36" s="16" t="s">
        <v>2838</v>
      </c>
      <c r="C36" s="16" t="s">
        <v>71</v>
      </c>
      <c r="D36" s="16" t="s">
        <v>51</v>
      </c>
      <c r="E36" s="19">
        <v>45628</v>
      </c>
      <c r="F36" s="16" t="s">
        <v>2331</v>
      </c>
      <c r="G36" s="16">
        <v>0</v>
      </c>
      <c r="H36" s="16" t="s">
        <v>15</v>
      </c>
      <c r="I36" s="16" t="s">
        <v>16</v>
      </c>
      <c r="J36" s="16" t="s">
        <v>16</v>
      </c>
      <c r="K36" s="16" t="str">
        <f>VLOOKUP(C36,CheckName!A:B,2,0)</f>
        <v>CRC</v>
      </c>
      <c r="L36">
        <v>0</v>
      </c>
      <c r="M36" s="16">
        <f t="shared" si="0"/>
        <v>2</v>
      </c>
      <c r="N36" t="str">
        <f>TEXT(MTDRejection[[#This Row],[RejectionDate]],"dddd")</f>
        <v>Monday</v>
      </c>
    </row>
    <row r="37" spans="1:14">
      <c r="A37" t="s">
        <v>211</v>
      </c>
      <c r="B37" t="s">
        <v>2839</v>
      </c>
      <c r="C37" t="s">
        <v>71</v>
      </c>
      <c r="D37" t="s">
        <v>51</v>
      </c>
      <c r="E37" s="7">
        <v>45628</v>
      </c>
      <c r="F37" t="s">
        <v>2331</v>
      </c>
      <c r="G37">
        <v>0</v>
      </c>
      <c r="H37" t="s">
        <v>15</v>
      </c>
      <c r="I37" t="s">
        <v>16</v>
      </c>
      <c r="J37" t="s">
        <v>16</v>
      </c>
      <c r="K37" s="16" t="str">
        <f>VLOOKUP(C37,CheckName!A:B,2,0)</f>
        <v>CRC</v>
      </c>
      <c r="L37">
        <v>0</v>
      </c>
      <c r="M37" s="16">
        <f t="shared" si="0"/>
        <v>2</v>
      </c>
      <c r="N37" t="str">
        <f>TEXT(MTDRejection[[#This Row],[RejectionDate]],"dddd")</f>
        <v>Monday</v>
      </c>
    </row>
    <row r="38" spans="1:14">
      <c r="A38" s="16" t="s">
        <v>45</v>
      </c>
      <c r="B38" s="16" t="s">
        <v>2028</v>
      </c>
      <c r="C38" s="16" t="s">
        <v>1068</v>
      </c>
      <c r="D38" s="16" t="s">
        <v>13</v>
      </c>
      <c r="E38" s="19">
        <v>45628</v>
      </c>
      <c r="F38" s="16" t="s">
        <v>706</v>
      </c>
      <c r="G38" s="16">
        <v>0</v>
      </c>
      <c r="H38" s="16" t="s">
        <v>15</v>
      </c>
      <c r="I38" s="16" t="s">
        <v>16</v>
      </c>
      <c r="J38" s="16" t="s">
        <v>16</v>
      </c>
      <c r="K38" s="16" t="str">
        <f>VLOOKUP(C38,CheckName!A:B,2,0)</f>
        <v>Special Check</v>
      </c>
      <c r="L38">
        <v>0</v>
      </c>
      <c r="M38" s="16">
        <f t="shared" si="0"/>
        <v>2</v>
      </c>
      <c r="N38" t="str">
        <f>TEXT(MTDRejection[[#This Row],[RejectionDate]],"dddd")</f>
        <v>Monday</v>
      </c>
    </row>
    <row r="39" spans="1:14">
      <c r="A39" t="s">
        <v>45</v>
      </c>
      <c r="B39" t="s">
        <v>2840</v>
      </c>
      <c r="C39" t="s">
        <v>12</v>
      </c>
      <c r="D39" t="s">
        <v>13</v>
      </c>
      <c r="E39" s="7">
        <v>45628</v>
      </c>
      <c r="F39" t="s">
        <v>706</v>
      </c>
      <c r="G39">
        <v>0</v>
      </c>
      <c r="H39" t="s">
        <v>15</v>
      </c>
      <c r="I39" t="s">
        <v>16</v>
      </c>
      <c r="J39" t="s">
        <v>16</v>
      </c>
      <c r="K39" s="16" t="str">
        <f>VLOOKUP(C39,CheckName!A:B,2,0)</f>
        <v>Emp</v>
      </c>
      <c r="L39">
        <v>0</v>
      </c>
      <c r="M39" s="16">
        <f t="shared" si="0"/>
        <v>2</v>
      </c>
      <c r="N39" t="str">
        <f>TEXT(MTDRejection[[#This Row],[RejectionDate]],"dddd")</f>
        <v>Monday</v>
      </c>
    </row>
    <row r="40" spans="1:14">
      <c r="A40" s="16" t="s">
        <v>1070</v>
      </c>
      <c r="B40" s="16" t="s">
        <v>2841</v>
      </c>
      <c r="C40" s="16" t="s">
        <v>36</v>
      </c>
      <c r="D40" s="16" t="s">
        <v>13</v>
      </c>
      <c r="E40" s="19">
        <v>45628</v>
      </c>
      <c r="F40" s="16" t="s">
        <v>574</v>
      </c>
      <c r="G40" s="16">
        <v>0</v>
      </c>
      <c r="H40" s="16" t="s">
        <v>130</v>
      </c>
      <c r="I40" s="16" t="s">
        <v>16</v>
      </c>
      <c r="J40" s="16" t="s">
        <v>16</v>
      </c>
      <c r="K40" s="16" t="str">
        <f>VLOOKUP(C40,CheckName!A:B,2,0)</f>
        <v>Emp</v>
      </c>
      <c r="L40">
        <v>0</v>
      </c>
      <c r="M40" s="16">
        <f t="shared" si="0"/>
        <v>2</v>
      </c>
      <c r="N40" t="str">
        <f>TEXT(MTDRejection[[#This Row],[RejectionDate]],"dddd")</f>
        <v>Monday</v>
      </c>
    </row>
    <row r="41" spans="1:14">
      <c r="A41" t="s">
        <v>320</v>
      </c>
      <c r="B41" t="s">
        <v>2842</v>
      </c>
      <c r="C41" t="s">
        <v>55</v>
      </c>
      <c r="D41" t="s">
        <v>26</v>
      </c>
      <c r="E41" s="7">
        <v>45628</v>
      </c>
      <c r="F41" t="s">
        <v>188</v>
      </c>
      <c r="G41">
        <v>0</v>
      </c>
      <c r="H41" t="s">
        <v>27</v>
      </c>
      <c r="I41" t="s">
        <v>16</v>
      </c>
      <c r="J41" t="s">
        <v>16</v>
      </c>
      <c r="K41" s="16" t="str">
        <f>VLOOKUP(C41,CheckName!A:B,2,0)</f>
        <v>Edu</v>
      </c>
      <c r="L41">
        <v>0</v>
      </c>
      <c r="M41" s="16">
        <f t="shared" si="0"/>
        <v>2</v>
      </c>
      <c r="N41" t="str">
        <f>TEXT(MTDRejection[[#This Row],[RejectionDate]],"dddd")</f>
        <v>Monday</v>
      </c>
    </row>
    <row r="42" spans="1:14">
      <c r="A42" s="16" t="s">
        <v>165</v>
      </c>
      <c r="B42" s="16" t="s">
        <v>2843</v>
      </c>
      <c r="C42" s="16" t="s">
        <v>125</v>
      </c>
      <c r="D42" s="16" t="s">
        <v>26</v>
      </c>
      <c r="E42" s="19">
        <v>45628</v>
      </c>
      <c r="F42" s="16" t="s">
        <v>2354</v>
      </c>
      <c r="G42" s="16">
        <v>0</v>
      </c>
      <c r="H42" s="16" t="s">
        <v>27</v>
      </c>
      <c r="I42" s="16" t="s">
        <v>16</v>
      </c>
      <c r="J42" s="16" t="s">
        <v>16</v>
      </c>
      <c r="K42" s="16" t="str">
        <f>VLOOKUP(C42,CheckName!A:B,2,0)</f>
        <v>Emp</v>
      </c>
      <c r="L42">
        <v>0</v>
      </c>
      <c r="M42" s="16">
        <f t="shared" si="0"/>
        <v>2</v>
      </c>
      <c r="N42" t="str">
        <f>TEXT(MTDRejection[[#This Row],[RejectionDate]],"dddd")</f>
        <v>Monday</v>
      </c>
    </row>
    <row r="43" spans="1:14">
      <c r="A43" t="s">
        <v>139</v>
      </c>
      <c r="B43" t="s">
        <v>2844</v>
      </c>
      <c r="C43" t="s">
        <v>12</v>
      </c>
      <c r="D43" t="s">
        <v>26</v>
      </c>
      <c r="E43" s="7">
        <v>45628</v>
      </c>
      <c r="F43" t="s">
        <v>83</v>
      </c>
      <c r="G43">
        <v>0</v>
      </c>
      <c r="H43" t="s">
        <v>27</v>
      </c>
      <c r="I43" t="s">
        <v>16</v>
      </c>
      <c r="J43" t="s">
        <v>16</v>
      </c>
      <c r="K43" s="16" t="str">
        <f>VLOOKUP(C43,CheckName!A:B,2,0)</f>
        <v>Emp</v>
      </c>
      <c r="L43">
        <v>0</v>
      </c>
      <c r="M43" s="16">
        <f t="shared" si="0"/>
        <v>2</v>
      </c>
      <c r="N43" t="str">
        <f>TEXT(MTDRejection[[#This Row],[RejectionDate]],"dddd")</f>
        <v>Monday</v>
      </c>
    </row>
    <row r="44" spans="1:14">
      <c r="A44" s="16" t="s">
        <v>419</v>
      </c>
      <c r="B44" s="16" t="s">
        <v>2845</v>
      </c>
      <c r="C44" s="16" t="s">
        <v>125</v>
      </c>
      <c r="D44" s="16" t="s">
        <v>26</v>
      </c>
      <c r="E44" s="19">
        <v>45628</v>
      </c>
      <c r="F44" s="16" t="s">
        <v>355</v>
      </c>
      <c r="G44" s="16">
        <v>0</v>
      </c>
      <c r="H44" s="16" t="s">
        <v>22</v>
      </c>
      <c r="I44" s="16" t="s">
        <v>16</v>
      </c>
      <c r="J44" s="16" t="s">
        <v>16</v>
      </c>
      <c r="K44" s="16" t="str">
        <f>VLOOKUP(C44,CheckName!A:B,2,0)</f>
        <v>Emp</v>
      </c>
      <c r="L44">
        <v>0</v>
      </c>
      <c r="M44" s="16">
        <f t="shared" si="0"/>
        <v>2</v>
      </c>
      <c r="N44" t="str">
        <f>TEXT(MTDRejection[[#This Row],[RejectionDate]],"dddd")</f>
        <v>Monday</v>
      </c>
    </row>
    <row r="45" spans="1:14">
      <c r="A45" t="s">
        <v>100</v>
      </c>
      <c r="B45" t="s">
        <v>2846</v>
      </c>
      <c r="C45" t="s">
        <v>775</v>
      </c>
      <c r="D45" t="s">
        <v>26</v>
      </c>
      <c r="E45" s="7">
        <v>45628</v>
      </c>
      <c r="F45" t="s">
        <v>380</v>
      </c>
      <c r="G45">
        <v>0</v>
      </c>
      <c r="H45" t="s">
        <v>27</v>
      </c>
      <c r="I45" t="s">
        <v>16</v>
      </c>
      <c r="J45" t="s">
        <v>16</v>
      </c>
      <c r="K45" s="16" t="str">
        <f>VLOOKUP(C45,CheckName!A:B,2,0)</f>
        <v>Emp</v>
      </c>
      <c r="L45">
        <v>0</v>
      </c>
      <c r="M45" s="16">
        <f t="shared" si="0"/>
        <v>2</v>
      </c>
      <c r="N45" t="str">
        <f>TEXT(MTDRejection[[#This Row],[RejectionDate]],"dddd")</f>
        <v>Monday</v>
      </c>
    </row>
    <row r="46" spans="1:14">
      <c r="A46" s="16" t="s">
        <v>100</v>
      </c>
      <c r="B46" s="16" t="s">
        <v>2847</v>
      </c>
      <c r="C46" s="16" t="s">
        <v>775</v>
      </c>
      <c r="D46" s="16" t="s">
        <v>26</v>
      </c>
      <c r="E46" s="19">
        <v>45628</v>
      </c>
      <c r="F46" s="16" t="s">
        <v>380</v>
      </c>
      <c r="G46" s="16">
        <v>0</v>
      </c>
      <c r="H46" s="16" t="s">
        <v>27</v>
      </c>
      <c r="I46" s="16" t="s">
        <v>16</v>
      </c>
      <c r="J46" s="16" t="s">
        <v>16</v>
      </c>
      <c r="K46" s="16" t="str">
        <f>VLOOKUP(C46,CheckName!A:B,2,0)</f>
        <v>Emp</v>
      </c>
      <c r="L46">
        <v>0</v>
      </c>
      <c r="M46" s="16">
        <f t="shared" si="0"/>
        <v>2</v>
      </c>
      <c r="N46" t="str">
        <f>TEXT(MTDRejection[[#This Row],[RejectionDate]],"dddd")</f>
        <v>Monday</v>
      </c>
    </row>
    <row r="47" spans="1:14">
      <c r="A47" t="s">
        <v>100</v>
      </c>
      <c r="B47" t="s">
        <v>2848</v>
      </c>
      <c r="C47" t="s">
        <v>357</v>
      </c>
      <c r="D47" t="s">
        <v>26</v>
      </c>
      <c r="E47" s="7">
        <v>45628</v>
      </c>
      <c r="F47" t="s">
        <v>380</v>
      </c>
      <c r="G47">
        <v>0</v>
      </c>
      <c r="H47" t="s">
        <v>30</v>
      </c>
      <c r="I47" t="s">
        <v>16</v>
      </c>
      <c r="J47" t="s">
        <v>16</v>
      </c>
      <c r="K47" s="16" t="str">
        <f>VLOOKUP(C47,CheckName!A:B,2,0)</f>
        <v>Emp</v>
      </c>
      <c r="L47">
        <v>0</v>
      </c>
      <c r="M47" s="16">
        <f t="shared" si="0"/>
        <v>2</v>
      </c>
      <c r="N47" t="str">
        <f>TEXT(MTDRejection[[#This Row],[RejectionDate]],"dddd")</f>
        <v>Monday</v>
      </c>
    </row>
    <row r="48" spans="1:14">
      <c r="A48" s="16" t="s">
        <v>893</v>
      </c>
      <c r="B48" s="16" t="s">
        <v>2849</v>
      </c>
      <c r="C48" s="16" t="s">
        <v>12</v>
      </c>
      <c r="D48" s="16" t="s">
        <v>26</v>
      </c>
      <c r="E48" s="19">
        <v>45628</v>
      </c>
      <c r="F48" s="16" t="s">
        <v>83</v>
      </c>
      <c r="G48" s="16">
        <v>0</v>
      </c>
      <c r="H48" s="16" t="s">
        <v>27</v>
      </c>
      <c r="I48" s="16" t="s">
        <v>16</v>
      </c>
      <c r="J48" s="16" t="s">
        <v>16</v>
      </c>
      <c r="K48" s="16" t="str">
        <f>VLOOKUP(C48,CheckName!A:B,2,0)</f>
        <v>Emp</v>
      </c>
      <c r="L48">
        <v>0</v>
      </c>
      <c r="M48" s="16">
        <f t="shared" si="0"/>
        <v>2</v>
      </c>
      <c r="N48" t="str">
        <f>TEXT(MTDRejection[[#This Row],[RejectionDate]],"dddd")</f>
        <v>Monday</v>
      </c>
    </row>
    <row r="49" spans="1:14">
      <c r="A49" t="s">
        <v>1080</v>
      </c>
      <c r="B49" t="s">
        <v>2850</v>
      </c>
      <c r="C49" t="s">
        <v>54</v>
      </c>
      <c r="D49" t="s">
        <v>26</v>
      </c>
      <c r="E49" s="7">
        <v>45628</v>
      </c>
      <c r="F49" t="s">
        <v>351</v>
      </c>
      <c r="G49">
        <v>0</v>
      </c>
      <c r="H49" t="s">
        <v>27</v>
      </c>
      <c r="I49" t="s">
        <v>16</v>
      </c>
      <c r="J49" t="s">
        <v>16</v>
      </c>
      <c r="K49" s="16" t="str">
        <f>VLOOKUP(C49,CheckName!A:B,2,0)</f>
        <v>Edu</v>
      </c>
      <c r="L49">
        <v>0</v>
      </c>
      <c r="M49" s="16">
        <f t="shared" si="0"/>
        <v>2</v>
      </c>
      <c r="N49" t="str">
        <f>TEXT(MTDRejection[[#This Row],[RejectionDate]],"dddd")</f>
        <v>Monday</v>
      </c>
    </row>
    <row r="50" spans="1:14">
      <c r="A50" s="16" t="s">
        <v>137</v>
      </c>
      <c r="B50" s="16" t="s">
        <v>2851</v>
      </c>
      <c r="C50" s="16" t="s">
        <v>12</v>
      </c>
      <c r="D50" s="16" t="s">
        <v>26</v>
      </c>
      <c r="E50" s="19">
        <v>45628</v>
      </c>
      <c r="F50" s="16" t="s">
        <v>83</v>
      </c>
      <c r="G50" s="16">
        <v>0</v>
      </c>
      <c r="H50" s="16" t="s">
        <v>27</v>
      </c>
      <c r="I50" s="16" t="s">
        <v>16</v>
      </c>
      <c r="J50" s="16" t="s">
        <v>16</v>
      </c>
      <c r="K50" s="16" t="str">
        <f>VLOOKUP(C50,CheckName!A:B,2,0)</f>
        <v>Emp</v>
      </c>
      <c r="L50">
        <v>0</v>
      </c>
      <c r="M50" s="16">
        <f t="shared" si="0"/>
        <v>2</v>
      </c>
      <c r="N50" t="str">
        <f>TEXT(MTDRejection[[#This Row],[RejectionDate]],"dddd")</f>
        <v>Monday</v>
      </c>
    </row>
    <row r="51" spans="1:14">
      <c r="A51" t="s">
        <v>133</v>
      </c>
      <c r="B51" t="s">
        <v>2852</v>
      </c>
      <c r="C51" t="s">
        <v>36</v>
      </c>
      <c r="D51" t="s">
        <v>26</v>
      </c>
      <c r="E51" s="7">
        <v>45628</v>
      </c>
      <c r="F51" t="s">
        <v>83</v>
      </c>
      <c r="G51">
        <v>0</v>
      </c>
      <c r="H51" t="s">
        <v>27</v>
      </c>
      <c r="I51" t="s">
        <v>16</v>
      </c>
      <c r="J51" t="s">
        <v>16</v>
      </c>
      <c r="K51" s="16" t="str">
        <f>VLOOKUP(C51,CheckName!A:B,2,0)</f>
        <v>Emp</v>
      </c>
      <c r="L51">
        <v>0</v>
      </c>
      <c r="M51" s="16">
        <f t="shared" si="0"/>
        <v>2</v>
      </c>
      <c r="N51" t="str">
        <f>TEXT(MTDRejection[[#This Row],[RejectionDate]],"dddd")</f>
        <v>Monday</v>
      </c>
    </row>
    <row r="52" spans="1:14">
      <c r="A52" s="16" t="s">
        <v>165</v>
      </c>
      <c r="B52" s="16" t="s">
        <v>2853</v>
      </c>
      <c r="C52" s="16" t="s">
        <v>125</v>
      </c>
      <c r="D52" s="16" t="s">
        <v>26</v>
      </c>
      <c r="E52" s="19">
        <v>45628</v>
      </c>
      <c r="F52" s="16" t="s">
        <v>277</v>
      </c>
      <c r="G52" s="16">
        <v>0</v>
      </c>
      <c r="H52" s="16" t="s">
        <v>27</v>
      </c>
      <c r="I52" s="16" t="s">
        <v>16</v>
      </c>
      <c r="J52" s="16" t="s">
        <v>16</v>
      </c>
      <c r="K52" s="16" t="str">
        <f>VLOOKUP(C52,CheckName!A:B,2,0)</f>
        <v>Emp</v>
      </c>
      <c r="L52">
        <v>0</v>
      </c>
      <c r="M52" s="16">
        <f t="shared" si="0"/>
        <v>2</v>
      </c>
      <c r="N52" t="str">
        <f>TEXT(MTDRejection[[#This Row],[RejectionDate]],"dddd")</f>
        <v>Monday</v>
      </c>
    </row>
    <row r="53" spans="1:14">
      <c r="A53" t="s">
        <v>216</v>
      </c>
      <c r="B53" t="s">
        <v>2854</v>
      </c>
      <c r="C53" t="s">
        <v>56</v>
      </c>
      <c r="D53" t="s">
        <v>13</v>
      </c>
      <c r="E53" s="7">
        <v>45628</v>
      </c>
      <c r="F53" t="s">
        <v>844</v>
      </c>
      <c r="G53">
        <v>0</v>
      </c>
      <c r="H53" t="s">
        <v>15</v>
      </c>
      <c r="I53" t="s">
        <v>16</v>
      </c>
      <c r="J53" t="s">
        <v>16</v>
      </c>
      <c r="K53" s="16" t="str">
        <f>VLOOKUP(C53,CheckName!A:B,2,0)</f>
        <v>Special Check</v>
      </c>
      <c r="L53">
        <v>0</v>
      </c>
      <c r="M53" s="16">
        <f t="shared" si="0"/>
        <v>2</v>
      </c>
      <c r="N53" t="str">
        <f>TEXT(MTDRejection[[#This Row],[RejectionDate]],"dddd")</f>
        <v>Monday</v>
      </c>
    </row>
    <row r="54" spans="1:14">
      <c r="A54" s="16" t="s">
        <v>306</v>
      </c>
      <c r="B54" s="16" t="s">
        <v>2855</v>
      </c>
      <c r="C54" s="16" t="s">
        <v>125</v>
      </c>
      <c r="D54" s="16" t="s">
        <v>13</v>
      </c>
      <c r="E54" s="19">
        <v>45628</v>
      </c>
      <c r="F54" s="16" t="s">
        <v>844</v>
      </c>
      <c r="G54" s="16">
        <v>0</v>
      </c>
      <c r="H54" s="16" t="s">
        <v>505</v>
      </c>
      <c r="I54" s="16" t="s">
        <v>16</v>
      </c>
      <c r="J54" s="16" t="s">
        <v>16</v>
      </c>
      <c r="K54" s="16" t="str">
        <f>VLOOKUP(C54,CheckName!A:B,2,0)</f>
        <v>Emp</v>
      </c>
      <c r="L54">
        <v>0</v>
      </c>
      <c r="M54" s="16">
        <f t="shared" si="0"/>
        <v>2</v>
      </c>
      <c r="N54" t="str">
        <f>TEXT(MTDRejection[[#This Row],[RejectionDate]],"dddd")</f>
        <v>Monday</v>
      </c>
    </row>
    <row r="55" spans="1:14">
      <c r="A55" t="s">
        <v>306</v>
      </c>
      <c r="B55" t="s">
        <v>2856</v>
      </c>
      <c r="C55" t="s">
        <v>71</v>
      </c>
      <c r="D55" t="s">
        <v>13</v>
      </c>
      <c r="E55" s="7">
        <v>45628</v>
      </c>
      <c r="F55" t="s">
        <v>844</v>
      </c>
      <c r="G55">
        <v>0</v>
      </c>
      <c r="H55" t="s">
        <v>15</v>
      </c>
      <c r="I55" t="s">
        <v>16</v>
      </c>
      <c r="J55" t="s">
        <v>16</v>
      </c>
      <c r="K55" s="16" t="str">
        <f>VLOOKUP(C55,CheckName!A:B,2,0)</f>
        <v>CRC</v>
      </c>
      <c r="L55">
        <v>0</v>
      </c>
      <c r="M55" s="16">
        <f t="shared" si="0"/>
        <v>2</v>
      </c>
      <c r="N55" t="str">
        <f>TEXT(MTDRejection[[#This Row],[RejectionDate]],"dddd")</f>
        <v>Monday</v>
      </c>
    </row>
    <row r="56" spans="1:14">
      <c r="A56" s="16" t="s">
        <v>306</v>
      </c>
      <c r="B56" s="16" t="s">
        <v>2857</v>
      </c>
      <c r="C56" s="16" t="s">
        <v>59</v>
      </c>
      <c r="D56" s="16" t="s">
        <v>13</v>
      </c>
      <c r="E56" s="19">
        <v>45628</v>
      </c>
      <c r="F56" s="16" t="s">
        <v>844</v>
      </c>
      <c r="G56" s="16">
        <v>0</v>
      </c>
      <c r="H56" s="16" t="s">
        <v>15</v>
      </c>
      <c r="I56" s="16" t="s">
        <v>16</v>
      </c>
      <c r="J56" s="16" t="s">
        <v>16</v>
      </c>
      <c r="K56" s="16" t="str">
        <f>VLOOKUP(C56,CheckName!A:B,2,0)</f>
        <v>Special Check</v>
      </c>
      <c r="L56">
        <v>0</v>
      </c>
      <c r="M56" s="16">
        <f t="shared" si="0"/>
        <v>2</v>
      </c>
      <c r="N56" t="str">
        <f>TEXT(MTDRejection[[#This Row],[RejectionDate]],"dddd")</f>
        <v>Monday</v>
      </c>
    </row>
    <row r="57" spans="1:14">
      <c r="A57" t="s">
        <v>1088</v>
      </c>
      <c r="B57" t="s">
        <v>2858</v>
      </c>
      <c r="C57" t="s">
        <v>12</v>
      </c>
      <c r="D57" t="s">
        <v>13</v>
      </c>
      <c r="E57" s="7">
        <v>45628</v>
      </c>
      <c r="F57" t="s">
        <v>530</v>
      </c>
      <c r="G57">
        <v>0</v>
      </c>
      <c r="H57" t="s">
        <v>15</v>
      </c>
      <c r="I57" t="s">
        <v>16</v>
      </c>
      <c r="J57" t="s">
        <v>16</v>
      </c>
      <c r="K57" s="16" t="str">
        <f>VLOOKUP(C57,CheckName!A:B,2,0)</f>
        <v>Emp</v>
      </c>
      <c r="L57">
        <v>0</v>
      </c>
      <c r="M57" s="16">
        <f t="shared" si="0"/>
        <v>2</v>
      </c>
      <c r="N57" t="str">
        <f>TEXT(MTDRejection[[#This Row],[RejectionDate]],"dddd")</f>
        <v>Monday</v>
      </c>
    </row>
    <row r="58" spans="1:14">
      <c r="A58" s="16" t="s">
        <v>1090</v>
      </c>
      <c r="B58" s="16" t="s">
        <v>2859</v>
      </c>
      <c r="C58" s="16" t="s">
        <v>54</v>
      </c>
      <c r="D58" s="16" t="s">
        <v>26</v>
      </c>
      <c r="E58" s="19">
        <v>45628</v>
      </c>
      <c r="F58" s="16" t="s">
        <v>94</v>
      </c>
      <c r="G58" s="16">
        <v>0</v>
      </c>
      <c r="H58" s="16" t="s">
        <v>27</v>
      </c>
      <c r="I58" s="16" t="s">
        <v>16</v>
      </c>
      <c r="J58" s="16" t="s">
        <v>16</v>
      </c>
      <c r="K58" s="16" t="str">
        <f>VLOOKUP(C58,CheckName!A:B,2,0)</f>
        <v>Edu</v>
      </c>
      <c r="L58">
        <v>0</v>
      </c>
      <c r="M58" s="16">
        <f t="shared" si="0"/>
        <v>2</v>
      </c>
      <c r="N58" t="str">
        <f>TEXT(MTDRejection[[#This Row],[RejectionDate]],"dddd")</f>
        <v>Monday</v>
      </c>
    </row>
    <row r="59" spans="1:14">
      <c r="A59" t="s">
        <v>1092</v>
      </c>
      <c r="B59" t="s">
        <v>2860</v>
      </c>
      <c r="C59" t="s">
        <v>54</v>
      </c>
      <c r="D59" t="s">
        <v>26</v>
      </c>
      <c r="E59" s="7">
        <v>45628</v>
      </c>
      <c r="F59" t="s">
        <v>94</v>
      </c>
      <c r="G59">
        <v>0</v>
      </c>
      <c r="H59" t="s">
        <v>95</v>
      </c>
      <c r="I59" t="s">
        <v>16</v>
      </c>
      <c r="J59" t="s">
        <v>16</v>
      </c>
      <c r="K59" s="16" t="str">
        <f>VLOOKUP(C59,CheckName!A:B,2,0)</f>
        <v>Edu</v>
      </c>
      <c r="L59">
        <v>0</v>
      </c>
      <c r="M59" s="16">
        <f t="shared" si="0"/>
        <v>2</v>
      </c>
      <c r="N59" t="str">
        <f>TEXT(MTDRejection[[#This Row],[RejectionDate]],"dddd")</f>
        <v>Monday</v>
      </c>
    </row>
    <row r="60" spans="1:14">
      <c r="A60" s="16" t="s">
        <v>142</v>
      </c>
      <c r="B60" s="16" t="s">
        <v>2861</v>
      </c>
      <c r="C60" s="16" t="s">
        <v>54</v>
      </c>
      <c r="D60" s="16" t="s">
        <v>13</v>
      </c>
      <c r="E60" s="19">
        <v>45628</v>
      </c>
      <c r="F60" s="16" t="s">
        <v>98</v>
      </c>
      <c r="G60" s="16">
        <v>0</v>
      </c>
      <c r="H60" s="16" t="s">
        <v>15</v>
      </c>
      <c r="I60" s="16" t="s">
        <v>16</v>
      </c>
      <c r="J60" s="16" t="s">
        <v>16</v>
      </c>
      <c r="K60" s="16" t="str">
        <f>VLOOKUP(C60,CheckName!A:B,2,0)</f>
        <v>Edu</v>
      </c>
      <c r="L60">
        <v>0</v>
      </c>
      <c r="M60" s="16">
        <f t="shared" si="0"/>
        <v>2</v>
      </c>
      <c r="N60" t="str">
        <f>TEXT(MTDRejection[[#This Row],[RejectionDate]],"dddd")</f>
        <v>Monday</v>
      </c>
    </row>
    <row r="61" spans="1:14">
      <c r="A61" t="s">
        <v>142</v>
      </c>
      <c r="B61" t="s">
        <v>2862</v>
      </c>
      <c r="C61" t="s">
        <v>54</v>
      </c>
      <c r="D61" t="s">
        <v>13</v>
      </c>
      <c r="E61" s="7">
        <v>45628</v>
      </c>
      <c r="F61" t="s">
        <v>98</v>
      </c>
      <c r="G61">
        <v>0</v>
      </c>
      <c r="H61" t="s">
        <v>15</v>
      </c>
      <c r="I61" t="s">
        <v>16</v>
      </c>
      <c r="J61" t="s">
        <v>16</v>
      </c>
      <c r="K61" s="16" t="str">
        <f>VLOOKUP(C61,CheckName!A:B,2,0)</f>
        <v>Edu</v>
      </c>
      <c r="L61">
        <v>0</v>
      </c>
      <c r="M61" s="16">
        <f t="shared" si="0"/>
        <v>2</v>
      </c>
      <c r="N61" t="str">
        <f>TEXT(MTDRejection[[#This Row],[RejectionDate]],"dddd")</f>
        <v>Monday</v>
      </c>
    </row>
    <row r="62" spans="1:14">
      <c r="A62" s="16" t="s">
        <v>45</v>
      </c>
      <c r="B62" s="16" t="s">
        <v>545</v>
      </c>
      <c r="C62" s="16" t="s">
        <v>12</v>
      </c>
      <c r="D62" s="16" t="s">
        <v>13</v>
      </c>
      <c r="E62" s="19">
        <v>45628</v>
      </c>
      <c r="F62" s="16" t="s">
        <v>98</v>
      </c>
      <c r="G62" s="16">
        <v>0</v>
      </c>
      <c r="H62" s="16" t="s">
        <v>15</v>
      </c>
      <c r="I62" s="16" t="s">
        <v>16</v>
      </c>
      <c r="J62" s="16" t="s">
        <v>16</v>
      </c>
      <c r="K62" s="16" t="str">
        <f>VLOOKUP(C62,CheckName!A:B,2,0)</f>
        <v>Emp</v>
      </c>
      <c r="L62">
        <v>0</v>
      </c>
      <c r="M62" s="16">
        <f t="shared" si="0"/>
        <v>2</v>
      </c>
      <c r="N62" t="str">
        <f>TEXT(MTDRejection[[#This Row],[RejectionDate]],"dddd")</f>
        <v>Monday</v>
      </c>
    </row>
    <row r="63" spans="1:14">
      <c r="A63" t="s">
        <v>996</v>
      </c>
      <c r="B63" t="s">
        <v>2863</v>
      </c>
      <c r="C63" t="s">
        <v>1098</v>
      </c>
      <c r="D63" t="s">
        <v>26</v>
      </c>
      <c r="E63" s="7">
        <v>45628</v>
      </c>
      <c r="F63" t="s">
        <v>538</v>
      </c>
      <c r="G63">
        <v>0</v>
      </c>
      <c r="H63" t="s">
        <v>27</v>
      </c>
      <c r="I63" t="s">
        <v>16</v>
      </c>
      <c r="J63" t="s">
        <v>16</v>
      </c>
      <c r="K63" s="16" t="str">
        <f>VLOOKUP(C63,CheckName!A:B,2,0)</f>
        <v>Edu</v>
      </c>
      <c r="L63">
        <v>0</v>
      </c>
      <c r="M63" s="16">
        <f t="shared" si="0"/>
        <v>2</v>
      </c>
      <c r="N63" t="str">
        <f>TEXT(MTDRejection[[#This Row],[RejectionDate]],"dddd")</f>
        <v>Monday</v>
      </c>
    </row>
    <row r="64" spans="1:14">
      <c r="A64" s="16" t="s">
        <v>81</v>
      </c>
      <c r="B64" s="16" t="s">
        <v>2864</v>
      </c>
      <c r="C64" s="16" t="s">
        <v>54</v>
      </c>
      <c r="D64" s="16" t="s">
        <v>13</v>
      </c>
      <c r="E64" s="19">
        <v>45628</v>
      </c>
      <c r="F64" s="16" t="s">
        <v>2332</v>
      </c>
      <c r="G64" s="16">
        <v>0</v>
      </c>
      <c r="H64" s="16" t="s">
        <v>130</v>
      </c>
      <c r="I64" s="16" t="s">
        <v>16</v>
      </c>
      <c r="J64" s="16" t="s">
        <v>16</v>
      </c>
      <c r="K64" s="16" t="str">
        <f>VLOOKUP(C64,CheckName!A:B,2,0)</f>
        <v>Edu</v>
      </c>
      <c r="L64">
        <v>0</v>
      </c>
      <c r="M64" s="16">
        <f t="shared" si="0"/>
        <v>2</v>
      </c>
      <c r="N64" t="str">
        <f>TEXT(MTDRejection[[#This Row],[RejectionDate]],"dddd")</f>
        <v>Monday</v>
      </c>
    </row>
    <row r="65" spans="1:14">
      <c r="A65" t="s">
        <v>510</v>
      </c>
      <c r="B65" t="s">
        <v>2865</v>
      </c>
      <c r="C65" t="s">
        <v>54</v>
      </c>
      <c r="D65" t="s">
        <v>13</v>
      </c>
      <c r="E65" s="7">
        <v>45628</v>
      </c>
      <c r="F65" t="s">
        <v>819</v>
      </c>
      <c r="G65">
        <v>0</v>
      </c>
      <c r="H65" t="s">
        <v>15</v>
      </c>
      <c r="I65" t="s">
        <v>16</v>
      </c>
      <c r="J65" t="s">
        <v>16</v>
      </c>
      <c r="K65" s="16" t="str">
        <f>VLOOKUP(C65,CheckName!A:B,2,0)</f>
        <v>Edu</v>
      </c>
      <c r="L65">
        <v>0</v>
      </c>
      <c r="M65" s="16">
        <f t="shared" si="0"/>
        <v>2</v>
      </c>
      <c r="N65" t="str">
        <f>TEXT(MTDRejection[[#This Row],[RejectionDate]],"dddd")</f>
        <v>Monday</v>
      </c>
    </row>
    <row r="66" spans="1:14">
      <c r="A66" s="16" t="s">
        <v>73</v>
      </c>
      <c r="B66" s="16" t="s">
        <v>2866</v>
      </c>
      <c r="C66" s="16" t="s">
        <v>54</v>
      </c>
      <c r="D66" s="16" t="s">
        <v>13</v>
      </c>
      <c r="E66" s="19">
        <v>45628</v>
      </c>
      <c r="F66" s="16" t="s">
        <v>2332</v>
      </c>
      <c r="G66" s="16">
        <v>0</v>
      </c>
      <c r="H66" s="16" t="s">
        <v>15</v>
      </c>
      <c r="I66" s="16" t="s">
        <v>16</v>
      </c>
      <c r="J66" s="16" t="s">
        <v>16</v>
      </c>
      <c r="K66" s="16" t="str">
        <f>VLOOKUP(C66,CheckName!A:B,2,0)</f>
        <v>Edu</v>
      </c>
      <c r="L66">
        <v>0</v>
      </c>
      <c r="M66" s="16">
        <f t="shared" si="0"/>
        <v>2</v>
      </c>
      <c r="N66" t="str">
        <f>TEXT(MTDRejection[[#This Row],[RejectionDate]],"dddd")</f>
        <v>Monday</v>
      </c>
    </row>
    <row r="67" spans="1:14">
      <c r="A67" t="s">
        <v>216</v>
      </c>
      <c r="B67" t="s">
        <v>2867</v>
      </c>
      <c r="C67" t="s">
        <v>1103</v>
      </c>
      <c r="D67" t="s">
        <v>38</v>
      </c>
      <c r="E67" s="7">
        <v>45628</v>
      </c>
      <c r="F67" t="s">
        <v>108</v>
      </c>
      <c r="G67">
        <v>0</v>
      </c>
      <c r="H67" t="s">
        <v>42</v>
      </c>
      <c r="I67" t="s">
        <v>16</v>
      </c>
      <c r="J67" t="s">
        <v>16</v>
      </c>
      <c r="K67" s="16" t="str">
        <f>VLOOKUP(C67,CheckName!A:B,2,0)</f>
        <v>CRC</v>
      </c>
      <c r="L67">
        <v>0</v>
      </c>
      <c r="M67" s="16">
        <f t="shared" ref="M67:M130" si="1">DAY(E67)</f>
        <v>2</v>
      </c>
      <c r="N67" t="str">
        <f>TEXT(MTDRejection[[#This Row],[RejectionDate]],"dddd")</f>
        <v>Monday</v>
      </c>
    </row>
    <row r="68" spans="1:14">
      <c r="A68" s="16" t="s">
        <v>216</v>
      </c>
      <c r="B68" s="16" t="s">
        <v>2868</v>
      </c>
      <c r="C68" s="16" t="s">
        <v>1104</v>
      </c>
      <c r="D68" s="16" t="s">
        <v>38</v>
      </c>
      <c r="E68" s="19">
        <v>45628</v>
      </c>
      <c r="F68" s="16" t="s">
        <v>108</v>
      </c>
      <c r="G68" s="16">
        <v>0</v>
      </c>
      <c r="H68" s="16" t="s">
        <v>42</v>
      </c>
      <c r="I68" s="16" t="s">
        <v>16</v>
      </c>
      <c r="J68" s="16" t="s">
        <v>16</v>
      </c>
      <c r="K68" s="16" t="str">
        <f>VLOOKUP(C68,CheckName!A:B,2,0)</f>
        <v>CRC</v>
      </c>
      <c r="L68">
        <v>0</v>
      </c>
      <c r="M68" s="16">
        <f t="shared" si="1"/>
        <v>2</v>
      </c>
      <c r="N68" t="str">
        <f>TEXT(MTDRejection[[#This Row],[RejectionDate]],"dddd")</f>
        <v>Monday</v>
      </c>
    </row>
    <row r="69" spans="1:14">
      <c r="A69" t="s">
        <v>216</v>
      </c>
      <c r="B69" t="s">
        <v>2869</v>
      </c>
      <c r="C69" t="s">
        <v>49</v>
      </c>
      <c r="D69" t="s">
        <v>38</v>
      </c>
      <c r="E69" s="7">
        <v>45628</v>
      </c>
      <c r="F69" t="s">
        <v>108</v>
      </c>
      <c r="G69">
        <v>0</v>
      </c>
      <c r="H69" t="s">
        <v>42</v>
      </c>
      <c r="I69" t="s">
        <v>16</v>
      </c>
      <c r="J69" t="s">
        <v>16</v>
      </c>
      <c r="K69" s="16" t="str">
        <f>VLOOKUP(C69,CheckName!A:B,2,0)</f>
        <v>CRC</v>
      </c>
      <c r="L69">
        <v>0</v>
      </c>
      <c r="M69" s="16">
        <f t="shared" si="1"/>
        <v>2</v>
      </c>
      <c r="N69" t="str">
        <f>TEXT(MTDRejection[[#This Row],[RejectionDate]],"dddd")</f>
        <v>Monday</v>
      </c>
    </row>
    <row r="70" spans="1:14">
      <c r="A70" s="16" t="s">
        <v>299</v>
      </c>
      <c r="B70" s="16" t="s">
        <v>2870</v>
      </c>
      <c r="C70" s="16" t="s">
        <v>93</v>
      </c>
      <c r="D70" s="16" t="s">
        <v>13</v>
      </c>
      <c r="E70" s="19">
        <v>45628</v>
      </c>
      <c r="F70" s="16" t="s">
        <v>156</v>
      </c>
      <c r="G70" s="16">
        <v>0</v>
      </c>
      <c r="H70" s="16" t="s">
        <v>15</v>
      </c>
      <c r="I70" s="16" t="s">
        <v>16</v>
      </c>
      <c r="J70" s="16" t="s">
        <v>16</v>
      </c>
      <c r="K70" s="16" t="str">
        <f>VLOOKUP(C70,CheckName!A:B,2,0)</f>
        <v>Edu</v>
      </c>
      <c r="L70">
        <v>0</v>
      </c>
      <c r="M70" s="16">
        <f t="shared" si="1"/>
        <v>2</v>
      </c>
      <c r="N70" t="str">
        <f>TEXT(MTDRejection[[#This Row],[RejectionDate]],"dddd")</f>
        <v>Monday</v>
      </c>
    </row>
    <row r="71" spans="1:14">
      <c r="A71" t="s">
        <v>84</v>
      </c>
      <c r="B71" t="s">
        <v>2361</v>
      </c>
      <c r="C71" t="s">
        <v>12</v>
      </c>
      <c r="D71" t="s">
        <v>26</v>
      </c>
      <c r="E71" s="7">
        <v>45628</v>
      </c>
      <c r="F71" t="s">
        <v>2333</v>
      </c>
      <c r="G71">
        <v>0</v>
      </c>
      <c r="H71" t="s">
        <v>130</v>
      </c>
      <c r="I71" t="s">
        <v>16</v>
      </c>
      <c r="J71" t="s">
        <v>16</v>
      </c>
      <c r="K71" s="16" t="str">
        <f>VLOOKUP(C71,CheckName!A:B,2,0)</f>
        <v>Emp</v>
      </c>
      <c r="L71">
        <v>0</v>
      </c>
      <c r="M71" s="16">
        <f t="shared" si="1"/>
        <v>2</v>
      </c>
      <c r="N71" t="str">
        <f>TEXT(MTDRejection[[#This Row],[RejectionDate]],"dddd")</f>
        <v>Monday</v>
      </c>
    </row>
    <row r="72" spans="1:14">
      <c r="A72" s="16" t="s">
        <v>1107</v>
      </c>
      <c r="B72" s="16" t="s">
        <v>2871</v>
      </c>
      <c r="C72" s="16" t="s">
        <v>12</v>
      </c>
      <c r="D72" s="16" t="s">
        <v>26</v>
      </c>
      <c r="E72" s="19">
        <v>45628</v>
      </c>
      <c r="F72" s="16" t="s">
        <v>2333</v>
      </c>
      <c r="G72" s="16">
        <v>0</v>
      </c>
      <c r="H72" s="16" t="s">
        <v>27</v>
      </c>
      <c r="I72" s="16" t="s">
        <v>16</v>
      </c>
      <c r="J72" s="16" t="s">
        <v>16</v>
      </c>
      <c r="K72" s="16" t="str">
        <f>VLOOKUP(C72,CheckName!A:B,2,0)</f>
        <v>Emp</v>
      </c>
      <c r="L72">
        <v>0</v>
      </c>
      <c r="M72" s="16">
        <f t="shared" si="1"/>
        <v>2</v>
      </c>
      <c r="N72" t="str">
        <f>TEXT(MTDRejection[[#This Row],[RejectionDate]],"dddd")</f>
        <v>Monday</v>
      </c>
    </row>
    <row r="73" spans="1:14">
      <c r="A73" t="s">
        <v>749</v>
      </c>
      <c r="B73" t="s">
        <v>2872</v>
      </c>
      <c r="C73" t="s">
        <v>19</v>
      </c>
      <c r="D73" t="s">
        <v>26</v>
      </c>
      <c r="E73" s="7">
        <v>45628</v>
      </c>
      <c r="F73" t="s">
        <v>129</v>
      </c>
      <c r="G73">
        <v>0</v>
      </c>
      <c r="H73" t="s">
        <v>27</v>
      </c>
      <c r="I73" t="s">
        <v>16</v>
      </c>
      <c r="J73" t="s">
        <v>16</v>
      </c>
      <c r="K73" s="16" t="str">
        <f>VLOOKUP(C73,CheckName!A:B,2,0)</f>
        <v>Add</v>
      </c>
      <c r="L73">
        <v>0</v>
      </c>
      <c r="M73" s="16">
        <f t="shared" si="1"/>
        <v>2</v>
      </c>
      <c r="N73" t="str">
        <f>TEXT(MTDRejection[[#This Row],[RejectionDate]],"dddd")</f>
        <v>Monday</v>
      </c>
    </row>
    <row r="74" spans="1:14">
      <c r="A74" s="16" t="s">
        <v>1110</v>
      </c>
      <c r="B74" s="16" t="s">
        <v>2873</v>
      </c>
      <c r="C74" s="16" t="s">
        <v>965</v>
      </c>
      <c r="D74" s="16" t="s">
        <v>26</v>
      </c>
      <c r="E74" s="19">
        <v>45628</v>
      </c>
      <c r="F74" s="16" t="s">
        <v>129</v>
      </c>
      <c r="G74" s="16">
        <v>0</v>
      </c>
      <c r="H74" s="16" t="s">
        <v>27</v>
      </c>
      <c r="I74" s="16" t="s">
        <v>16</v>
      </c>
      <c r="J74" s="16" t="s">
        <v>16</v>
      </c>
      <c r="K74" s="16" t="str">
        <f>VLOOKUP(C74,CheckName!A:B,2,0)</f>
        <v>Add</v>
      </c>
      <c r="L74">
        <v>0</v>
      </c>
      <c r="M74" s="16">
        <f t="shared" si="1"/>
        <v>2</v>
      </c>
      <c r="N74" t="str">
        <f>TEXT(MTDRejection[[#This Row],[RejectionDate]],"dddd")</f>
        <v>Monday</v>
      </c>
    </row>
    <row r="75" spans="1:14">
      <c r="A75" t="s">
        <v>878</v>
      </c>
      <c r="B75" t="s">
        <v>2874</v>
      </c>
      <c r="C75" t="s">
        <v>19</v>
      </c>
      <c r="D75" t="s">
        <v>13</v>
      </c>
      <c r="E75" s="7">
        <v>45629</v>
      </c>
      <c r="F75" t="s">
        <v>2326</v>
      </c>
      <c r="G75">
        <v>0</v>
      </c>
      <c r="H75" t="s">
        <v>15</v>
      </c>
      <c r="I75" t="s">
        <v>16</v>
      </c>
      <c r="J75" t="s">
        <v>16</v>
      </c>
      <c r="K75" s="16" t="str">
        <f>VLOOKUP(C75,CheckName!A:B,2,0)</f>
        <v>Add</v>
      </c>
      <c r="L75">
        <v>0</v>
      </c>
      <c r="M75" s="16">
        <f t="shared" si="1"/>
        <v>3</v>
      </c>
      <c r="N75" t="str">
        <f>TEXT(MTDRejection[[#This Row],[RejectionDate]],"dddd")</f>
        <v>Tuesday</v>
      </c>
    </row>
    <row r="76" spans="1:14">
      <c r="A76" s="16" t="s">
        <v>360</v>
      </c>
      <c r="B76" s="16" t="s">
        <v>2875</v>
      </c>
      <c r="C76" s="16" t="s">
        <v>980</v>
      </c>
      <c r="D76" s="16" t="s">
        <v>20</v>
      </c>
      <c r="E76" s="19">
        <v>45629</v>
      </c>
      <c r="F76" s="16" t="s">
        <v>2327</v>
      </c>
      <c r="G76" s="16">
        <v>0</v>
      </c>
      <c r="H76" s="16" t="s">
        <v>27</v>
      </c>
      <c r="I76" s="16" t="s">
        <v>16</v>
      </c>
      <c r="J76" s="16" t="s">
        <v>16</v>
      </c>
      <c r="K76" s="16" t="str">
        <f>VLOOKUP(C76,CheckName!A:B,2,0)</f>
        <v>Add</v>
      </c>
      <c r="L76">
        <v>0</v>
      </c>
      <c r="M76" s="16">
        <f t="shared" si="1"/>
        <v>3</v>
      </c>
      <c r="N76" t="str">
        <f>TEXT(MTDRejection[[#This Row],[RejectionDate]],"dddd")</f>
        <v>Tuesday</v>
      </c>
    </row>
    <row r="77" spans="1:14">
      <c r="A77" t="s">
        <v>360</v>
      </c>
      <c r="B77" t="s">
        <v>2362</v>
      </c>
      <c r="C77" t="s">
        <v>980</v>
      </c>
      <c r="D77" t="s">
        <v>20</v>
      </c>
      <c r="E77" s="7">
        <v>45629</v>
      </c>
      <c r="F77" t="s">
        <v>2327</v>
      </c>
      <c r="G77">
        <v>0</v>
      </c>
      <c r="H77" t="s">
        <v>27</v>
      </c>
      <c r="I77" t="s">
        <v>16</v>
      </c>
      <c r="J77" t="s">
        <v>16</v>
      </c>
      <c r="K77" s="16" t="str">
        <f>VLOOKUP(C77,CheckName!A:B,2,0)</f>
        <v>Add</v>
      </c>
      <c r="L77">
        <v>0</v>
      </c>
      <c r="M77" s="16">
        <f t="shared" si="1"/>
        <v>3</v>
      </c>
      <c r="N77" t="str">
        <f>TEXT(MTDRejection[[#This Row],[RejectionDate]],"dddd")</f>
        <v>Tuesday</v>
      </c>
    </row>
    <row r="78" spans="1:14">
      <c r="A78" s="16" t="s">
        <v>963</v>
      </c>
      <c r="B78" s="16" t="s">
        <v>2876</v>
      </c>
      <c r="C78" s="16" t="s">
        <v>965</v>
      </c>
      <c r="D78" s="16" t="s">
        <v>20</v>
      </c>
      <c r="E78" s="19">
        <v>45629</v>
      </c>
      <c r="F78" s="16" t="s">
        <v>2327</v>
      </c>
      <c r="G78" s="16">
        <v>0</v>
      </c>
      <c r="H78" s="16" t="s">
        <v>22</v>
      </c>
      <c r="I78" s="16" t="s">
        <v>16</v>
      </c>
      <c r="J78" s="16" t="s">
        <v>16</v>
      </c>
      <c r="K78" s="16" t="str">
        <f>VLOOKUP(C78,CheckName!A:B,2,0)</f>
        <v>Add</v>
      </c>
      <c r="L78">
        <v>0</v>
      </c>
      <c r="M78" s="16">
        <f t="shared" si="1"/>
        <v>3</v>
      </c>
      <c r="N78" t="str">
        <f>TEXT(MTDRejection[[#This Row],[RejectionDate]],"dddd")</f>
        <v>Tuesday</v>
      </c>
    </row>
    <row r="79" spans="1:14">
      <c r="A79" t="s">
        <v>1018</v>
      </c>
      <c r="B79" t="s">
        <v>2363</v>
      </c>
      <c r="C79" t="s">
        <v>25</v>
      </c>
      <c r="D79" t="s">
        <v>20</v>
      </c>
      <c r="E79" s="7">
        <v>45629</v>
      </c>
      <c r="F79" t="s">
        <v>2327</v>
      </c>
      <c r="G79">
        <v>0</v>
      </c>
      <c r="H79" t="s">
        <v>22</v>
      </c>
      <c r="I79" t="s">
        <v>16</v>
      </c>
      <c r="J79" t="s">
        <v>16</v>
      </c>
      <c r="K79" s="16" t="str">
        <f>VLOOKUP(C79,CheckName!A:B,2,0)</f>
        <v>Add</v>
      </c>
      <c r="L79">
        <v>0</v>
      </c>
      <c r="M79" s="16">
        <f t="shared" si="1"/>
        <v>3</v>
      </c>
      <c r="N79" t="str">
        <f>TEXT(MTDRejection[[#This Row],[RejectionDate]],"dddd")</f>
        <v>Tuesday</v>
      </c>
    </row>
    <row r="80" spans="1:14">
      <c r="A80" s="16" t="s">
        <v>245</v>
      </c>
      <c r="B80" s="16" t="s">
        <v>2877</v>
      </c>
      <c r="C80" s="16" t="s">
        <v>19</v>
      </c>
      <c r="D80" s="16" t="s">
        <v>20</v>
      </c>
      <c r="E80" s="19">
        <v>45629</v>
      </c>
      <c r="F80" s="16" t="s">
        <v>2327</v>
      </c>
      <c r="G80" s="16">
        <v>0</v>
      </c>
      <c r="H80" s="16" t="s">
        <v>130</v>
      </c>
      <c r="I80" s="16" t="s">
        <v>16</v>
      </c>
      <c r="J80" s="16" t="s">
        <v>16</v>
      </c>
      <c r="K80" s="16" t="str">
        <f>VLOOKUP(C80,CheckName!A:B,2,0)</f>
        <v>Add</v>
      </c>
      <c r="L80">
        <v>0</v>
      </c>
      <c r="M80" s="16">
        <f t="shared" si="1"/>
        <v>3</v>
      </c>
      <c r="N80" t="str">
        <f>TEXT(MTDRejection[[#This Row],[RejectionDate]],"dddd")</f>
        <v>Tuesday</v>
      </c>
    </row>
    <row r="81" spans="1:14">
      <c r="A81" t="s">
        <v>165</v>
      </c>
      <c r="B81" t="s">
        <v>2365</v>
      </c>
      <c r="C81" t="s">
        <v>689</v>
      </c>
      <c r="D81" t="s">
        <v>26</v>
      </c>
      <c r="E81" s="7">
        <v>45629</v>
      </c>
      <c r="F81" t="s">
        <v>236</v>
      </c>
      <c r="G81">
        <v>0</v>
      </c>
      <c r="H81" t="s">
        <v>27</v>
      </c>
      <c r="I81" t="s">
        <v>16</v>
      </c>
      <c r="J81" t="s">
        <v>16</v>
      </c>
      <c r="K81" s="16" t="str">
        <f>VLOOKUP(C81,CheckName!A:B,2,0)</f>
        <v>Special Check</v>
      </c>
      <c r="L81">
        <v>0</v>
      </c>
      <c r="M81" s="16">
        <f t="shared" si="1"/>
        <v>3</v>
      </c>
      <c r="N81" t="str">
        <f>TEXT(MTDRejection[[#This Row],[RejectionDate]],"dddd")</f>
        <v>Tuesday</v>
      </c>
    </row>
    <row r="82" spans="1:14">
      <c r="A82" s="16" t="s">
        <v>165</v>
      </c>
      <c r="B82" s="16" t="s">
        <v>2878</v>
      </c>
      <c r="C82" s="16" t="s">
        <v>689</v>
      </c>
      <c r="D82" s="16" t="s">
        <v>26</v>
      </c>
      <c r="E82" s="19">
        <v>45629</v>
      </c>
      <c r="F82" s="16" t="s">
        <v>236</v>
      </c>
      <c r="G82" s="16">
        <v>0</v>
      </c>
      <c r="H82" s="16" t="s">
        <v>27</v>
      </c>
      <c r="I82" s="16" t="s">
        <v>16</v>
      </c>
      <c r="J82" s="16" t="s">
        <v>16</v>
      </c>
      <c r="K82" s="16" t="str">
        <f>VLOOKUP(C82,CheckName!A:B,2,0)</f>
        <v>Special Check</v>
      </c>
      <c r="L82">
        <v>0</v>
      </c>
      <c r="M82" s="16">
        <f t="shared" si="1"/>
        <v>3</v>
      </c>
      <c r="N82" t="str">
        <f>TEXT(MTDRejection[[#This Row],[RejectionDate]],"dddd")</f>
        <v>Tuesday</v>
      </c>
    </row>
    <row r="83" spans="1:14">
      <c r="A83" t="s">
        <v>242</v>
      </c>
      <c r="B83" t="s">
        <v>2879</v>
      </c>
      <c r="C83" t="s">
        <v>25</v>
      </c>
      <c r="D83" t="s">
        <v>26</v>
      </c>
      <c r="E83" s="7">
        <v>45629</v>
      </c>
      <c r="F83" t="s">
        <v>273</v>
      </c>
      <c r="G83">
        <v>0</v>
      </c>
      <c r="H83" t="s">
        <v>27</v>
      </c>
      <c r="I83" t="s">
        <v>16</v>
      </c>
      <c r="J83" t="s">
        <v>16</v>
      </c>
      <c r="K83" s="16" t="str">
        <f>VLOOKUP(C83,CheckName!A:B,2,0)</f>
        <v>Add</v>
      </c>
      <c r="L83">
        <v>0</v>
      </c>
      <c r="M83" s="16">
        <f t="shared" si="1"/>
        <v>3</v>
      </c>
      <c r="N83" t="str">
        <f>TEXT(MTDRejection[[#This Row],[RejectionDate]],"dddd")</f>
        <v>Tuesday</v>
      </c>
    </row>
    <row r="84" spans="1:14">
      <c r="A84" s="16" t="s">
        <v>1110</v>
      </c>
      <c r="B84" s="16" t="s">
        <v>2366</v>
      </c>
      <c r="C84" s="16" t="s">
        <v>965</v>
      </c>
      <c r="D84" s="16" t="s">
        <v>20</v>
      </c>
      <c r="E84" s="19">
        <v>45629</v>
      </c>
      <c r="F84" s="16" t="s">
        <v>2327</v>
      </c>
      <c r="G84" s="16">
        <v>0</v>
      </c>
      <c r="H84" s="16" t="s">
        <v>22</v>
      </c>
      <c r="I84" s="16" t="s">
        <v>16</v>
      </c>
      <c r="J84" s="16" t="s">
        <v>16</v>
      </c>
      <c r="K84" s="16" t="str">
        <f>VLOOKUP(C84,CheckName!A:B,2,0)</f>
        <v>Add</v>
      </c>
      <c r="L84">
        <v>0</v>
      </c>
      <c r="M84" s="16">
        <f t="shared" si="1"/>
        <v>3</v>
      </c>
      <c r="N84" t="str">
        <f>TEXT(MTDRejection[[#This Row],[RejectionDate]],"dddd")</f>
        <v>Tuesday</v>
      </c>
    </row>
    <row r="85" spans="1:14">
      <c r="A85" t="s">
        <v>1110</v>
      </c>
      <c r="B85" t="s">
        <v>2880</v>
      </c>
      <c r="C85" t="s">
        <v>965</v>
      </c>
      <c r="D85" t="s">
        <v>20</v>
      </c>
      <c r="E85" s="7">
        <v>45629</v>
      </c>
      <c r="F85" t="s">
        <v>2327</v>
      </c>
      <c r="G85">
        <v>0</v>
      </c>
      <c r="H85" t="s">
        <v>22</v>
      </c>
      <c r="I85" t="s">
        <v>16</v>
      </c>
      <c r="J85" t="s">
        <v>16</v>
      </c>
      <c r="K85" s="16" t="str">
        <f>VLOOKUP(C85,CheckName!A:B,2,0)</f>
        <v>Add</v>
      </c>
      <c r="L85">
        <v>0</v>
      </c>
      <c r="M85" s="16">
        <f t="shared" si="1"/>
        <v>3</v>
      </c>
      <c r="N85" t="str">
        <f>TEXT(MTDRejection[[#This Row],[RejectionDate]],"dddd")</f>
        <v>Tuesday</v>
      </c>
    </row>
    <row r="86" spans="1:14">
      <c r="A86" s="16" t="s">
        <v>263</v>
      </c>
      <c r="B86" s="16" t="s">
        <v>2881</v>
      </c>
      <c r="C86" s="16" t="s">
        <v>19</v>
      </c>
      <c r="D86" s="16" t="s">
        <v>20</v>
      </c>
      <c r="E86" s="19">
        <v>45629</v>
      </c>
      <c r="F86" s="16" t="s">
        <v>2327</v>
      </c>
      <c r="G86" s="16">
        <v>0</v>
      </c>
      <c r="H86" s="16" t="s">
        <v>22</v>
      </c>
      <c r="I86" s="16" t="s">
        <v>16</v>
      </c>
      <c r="J86" s="16" t="s">
        <v>16</v>
      </c>
      <c r="K86" s="16" t="str">
        <f>VLOOKUP(C86,CheckName!A:B,2,0)</f>
        <v>Add</v>
      </c>
      <c r="L86">
        <v>0</v>
      </c>
      <c r="M86" s="16">
        <f t="shared" si="1"/>
        <v>3</v>
      </c>
      <c r="N86" t="str">
        <f>TEXT(MTDRejection[[#This Row],[RejectionDate]],"dddd")</f>
        <v>Tuesday</v>
      </c>
    </row>
    <row r="87" spans="1:14">
      <c r="A87" t="s">
        <v>100</v>
      </c>
      <c r="B87" t="s">
        <v>2882</v>
      </c>
      <c r="C87" t="s">
        <v>357</v>
      </c>
      <c r="D87" t="s">
        <v>51</v>
      </c>
      <c r="E87" s="7">
        <v>45629</v>
      </c>
      <c r="F87" t="s">
        <v>555</v>
      </c>
      <c r="G87">
        <v>0</v>
      </c>
      <c r="H87" t="s">
        <v>53</v>
      </c>
      <c r="I87" t="s">
        <v>16</v>
      </c>
      <c r="J87" t="s">
        <v>16</v>
      </c>
      <c r="K87" s="16" t="str">
        <f>VLOOKUP(C87,CheckName!A:B,2,0)</f>
        <v>Emp</v>
      </c>
      <c r="L87">
        <v>0</v>
      </c>
      <c r="M87" s="16">
        <f t="shared" si="1"/>
        <v>3</v>
      </c>
      <c r="N87" t="str">
        <f>TEXT(MTDRejection[[#This Row],[RejectionDate]],"dddd")</f>
        <v>Tuesday</v>
      </c>
    </row>
    <row r="88" spans="1:14">
      <c r="A88" s="16" t="s">
        <v>1160</v>
      </c>
      <c r="B88" s="16" t="s">
        <v>2883</v>
      </c>
      <c r="C88" s="16" t="s">
        <v>12</v>
      </c>
      <c r="D88" s="16" t="s">
        <v>38</v>
      </c>
      <c r="E88" s="19">
        <v>45629</v>
      </c>
      <c r="F88" s="16" t="s">
        <v>39</v>
      </c>
      <c r="G88" s="16">
        <v>0</v>
      </c>
      <c r="H88" s="16" t="s">
        <v>42</v>
      </c>
      <c r="I88" s="16" t="s">
        <v>16</v>
      </c>
      <c r="J88" s="16" t="s">
        <v>16</v>
      </c>
      <c r="K88" s="16" t="str">
        <f>VLOOKUP(C88,CheckName!A:B,2,0)</f>
        <v>Emp</v>
      </c>
      <c r="L88">
        <v>0</v>
      </c>
      <c r="M88" s="16">
        <f t="shared" si="1"/>
        <v>3</v>
      </c>
      <c r="N88" t="str">
        <f>TEXT(MTDRejection[[#This Row],[RejectionDate]],"dddd")</f>
        <v>Tuesday</v>
      </c>
    </row>
    <row r="89" spans="1:14">
      <c r="A89" t="s">
        <v>131</v>
      </c>
      <c r="B89" t="s">
        <v>2884</v>
      </c>
      <c r="C89" t="s">
        <v>269</v>
      </c>
      <c r="D89" t="s">
        <v>13</v>
      </c>
      <c r="E89" s="7">
        <v>45629</v>
      </c>
      <c r="F89" t="s">
        <v>2334</v>
      </c>
      <c r="G89">
        <v>0</v>
      </c>
      <c r="H89" t="s">
        <v>15</v>
      </c>
      <c r="I89" t="s">
        <v>16</v>
      </c>
      <c r="J89" t="s">
        <v>16</v>
      </c>
      <c r="K89" s="16" t="str">
        <f>VLOOKUP(C89,CheckName!A:B,2,0)</f>
        <v>Emp</v>
      </c>
      <c r="L89">
        <v>0</v>
      </c>
      <c r="M89" s="16">
        <f t="shared" si="1"/>
        <v>3</v>
      </c>
      <c r="N89" t="str">
        <f>TEXT(MTDRejection[[#This Row],[RejectionDate]],"dddd")</f>
        <v>Tuesday</v>
      </c>
    </row>
    <row r="90" spans="1:14">
      <c r="A90" s="16" t="s">
        <v>88</v>
      </c>
      <c r="B90" s="16" t="s">
        <v>2885</v>
      </c>
      <c r="C90" s="16" t="s">
        <v>25</v>
      </c>
      <c r="D90" s="16" t="s">
        <v>26</v>
      </c>
      <c r="E90" s="19">
        <v>45629</v>
      </c>
      <c r="F90" s="16" t="s">
        <v>66</v>
      </c>
      <c r="G90" s="16">
        <v>0</v>
      </c>
      <c r="H90" s="16" t="s">
        <v>22</v>
      </c>
      <c r="I90" s="16" t="s">
        <v>16</v>
      </c>
      <c r="J90" s="16" t="s">
        <v>16</v>
      </c>
      <c r="K90" s="16" t="str">
        <f>VLOOKUP(C90,CheckName!A:B,2,0)</f>
        <v>Add</v>
      </c>
      <c r="L90">
        <v>0</v>
      </c>
      <c r="M90" s="16">
        <f t="shared" si="1"/>
        <v>3</v>
      </c>
      <c r="N90" t="str">
        <f>TEXT(MTDRejection[[#This Row],[RejectionDate]],"dddd")</f>
        <v>Tuesday</v>
      </c>
    </row>
    <row r="91" spans="1:14">
      <c r="A91" t="s">
        <v>88</v>
      </c>
      <c r="B91" t="s">
        <v>2886</v>
      </c>
      <c r="C91" t="s">
        <v>25</v>
      </c>
      <c r="D91" t="s">
        <v>26</v>
      </c>
      <c r="E91" s="7">
        <v>45629</v>
      </c>
      <c r="F91" t="s">
        <v>66</v>
      </c>
      <c r="G91">
        <v>0</v>
      </c>
      <c r="H91" t="s">
        <v>22</v>
      </c>
      <c r="I91" t="s">
        <v>16</v>
      </c>
      <c r="J91" t="s">
        <v>16</v>
      </c>
      <c r="K91" s="16" t="str">
        <f>VLOOKUP(C91,CheckName!A:B,2,0)</f>
        <v>Add</v>
      </c>
      <c r="L91">
        <v>0</v>
      </c>
      <c r="M91" s="16">
        <f t="shared" si="1"/>
        <v>3</v>
      </c>
      <c r="N91" t="str">
        <f>TEXT(MTDRejection[[#This Row],[RejectionDate]],"dddd")</f>
        <v>Tuesday</v>
      </c>
    </row>
    <row r="92" spans="1:14">
      <c r="A92" s="16" t="s">
        <v>627</v>
      </c>
      <c r="B92" s="16" t="s">
        <v>2887</v>
      </c>
      <c r="C92" s="16" t="s">
        <v>25</v>
      </c>
      <c r="D92" s="16" t="s">
        <v>26</v>
      </c>
      <c r="E92" s="19">
        <v>45629</v>
      </c>
      <c r="F92" s="16" t="s">
        <v>66</v>
      </c>
      <c r="G92" s="16">
        <v>0</v>
      </c>
      <c r="H92" s="16" t="s">
        <v>27</v>
      </c>
      <c r="I92" s="16" t="s">
        <v>16</v>
      </c>
      <c r="J92" s="16" t="s">
        <v>16</v>
      </c>
      <c r="K92" s="16" t="str">
        <f>VLOOKUP(C92,CheckName!A:B,2,0)</f>
        <v>Add</v>
      </c>
      <c r="L92">
        <v>0</v>
      </c>
      <c r="M92" s="16">
        <f t="shared" si="1"/>
        <v>3</v>
      </c>
      <c r="N92" t="str">
        <f>TEXT(MTDRejection[[#This Row],[RejectionDate]],"dddd")</f>
        <v>Tuesday</v>
      </c>
    </row>
    <row r="93" spans="1:14">
      <c r="A93" t="s">
        <v>1110</v>
      </c>
      <c r="B93" t="s">
        <v>1390</v>
      </c>
      <c r="C93" t="s">
        <v>965</v>
      </c>
      <c r="D93" t="s">
        <v>26</v>
      </c>
      <c r="E93" s="7">
        <v>45629</v>
      </c>
      <c r="F93" t="s">
        <v>66</v>
      </c>
      <c r="G93">
        <v>0</v>
      </c>
      <c r="H93" t="s">
        <v>27</v>
      </c>
      <c r="I93" t="s">
        <v>16</v>
      </c>
      <c r="J93" t="s">
        <v>16</v>
      </c>
      <c r="K93" s="16" t="str">
        <f>VLOOKUP(C93,CheckName!A:B,2,0)</f>
        <v>Add</v>
      </c>
      <c r="L93">
        <v>0</v>
      </c>
      <c r="M93" s="16">
        <f t="shared" si="1"/>
        <v>3</v>
      </c>
      <c r="N93" t="str">
        <f>TEXT(MTDRejection[[#This Row],[RejectionDate]],"dddd")</f>
        <v>Tuesday</v>
      </c>
    </row>
    <row r="94" spans="1:14">
      <c r="A94" s="16" t="s">
        <v>1110</v>
      </c>
      <c r="B94" s="16" t="s">
        <v>2888</v>
      </c>
      <c r="C94" s="16" t="s">
        <v>965</v>
      </c>
      <c r="D94" s="16" t="s">
        <v>26</v>
      </c>
      <c r="E94" s="19">
        <v>45629</v>
      </c>
      <c r="F94" s="16" t="s">
        <v>2330</v>
      </c>
      <c r="G94" s="16">
        <v>0</v>
      </c>
      <c r="H94" s="16" t="s">
        <v>27</v>
      </c>
      <c r="I94" s="16" t="s">
        <v>16</v>
      </c>
      <c r="J94" s="16" t="s">
        <v>16</v>
      </c>
      <c r="K94" s="16" t="str">
        <f>VLOOKUP(C94,CheckName!A:B,2,0)</f>
        <v>Add</v>
      </c>
      <c r="L94">
        <v>0</v>
      </c>
      <c r="M94" s="16">
        <f t="shared" si="1"/>
        <v>3</v>
      </c>
      <c r="N94" t="str">
        <f>TEXT(MTDRejection[[#This Row],[RejectionDate]],"dddd")</f>
        <v>Tuesday</v>
      </c>
    </row>
    <row r="95" spans="1:14">
      <c r="A95" t="s">
        <v>362</v>
      </c>
      <c r="B95" t="s">
        <v>2889</v>
      </c>
      <c r="C95" t="s">
        <v>25</v>
      </c>
      <c r="D95" t="s">
        <v>26</v>
      </c>
      <c r="E95" s="7">
        <v>45629</v>
      </c>
      <c r="F95" t="s">
        <v>66</v>
      </c>
      <c r="G95">
        <v>0</v>
      </c>
      <c r="H95" t="s">
        <v>1169</v>
      </c>
      <c r="I95" t="s">
        <v>16</v>
      </c>
      <c r="J95" t="s">
        <v>16</v>
      </c>
      <c r="K95" s="16" t="str">
        <f>VLOOKUP(C95,CheckName!A:B,2,0)</f>
        <v>Add</v>
      </c>
      <c r="L95">
        <v>0</v>
      </c>
      <c r="M95" s="16">
        <f t="shared" si="1"/>
        <v>3</v>
      </c>
      <c r="N95" t="str">
        <f>TEXT(MTDRejection[[#This Row],[RejectionDate]],"dddd")</f>
        <v>Tuesday</v>
      </c>
    </row>
    <row r="96" spans="1:14">
      <c r="A96" s="16" t="s">
        <v>362</v>
      </c>
      <c r="B96" s="16" t="s">
        <v>2890</v>
      </c>
      <c r="C96" s="16" t="s">
        <v>25</v>
      </c>
      <c r="D96" s="16" t="s">
        <v>26</v>
      </c>
      <c r="E96" s="19">
        <v>45629</v>
      </c>
      <c r="F96" s="16" t="s">
        <v>66</v>
      </c>
      <c r="G96" s="16">
        <v>0</v>
      </c>
      <c r="H96" s="16" t="s">
        <v>27</v>
      </c>
      <c r="I96" s="16" t="s">
        <v>16</v>
      </c>
      <c r="J96" s="16" t="s">
        <v>16</v>
      </c>
      <c r="K96" s="16" t="str">
        <f>VLOOKUP(C96,CheckName!A:B,2,0)</f>
        <v>Add</v>
      </c>
      <c r="L96">
        <v>0</v>
      </c>
      <c r="M96" s="16">
        <f t="shared" si="1"/>
        <v>3</v>
      </c>
      <c r="N96" t="str">
        <f>TEXT(MTDRejection[[#This Row],[RejectionDate]],"dddd")</f>
        <v>Tuesday</v>
      </c>
    </row>
    <row r="97" spans="1:14">
      <c r="A97" t="s">
        <v>362</v>
      </c>
      <c r="B97" t="s">
        <v>2891</v>
      </c>
      <c r="C97" t="s">
        <v>25</v>
      </c>
      <c r="D97" t="s">
        <v>26</v>
      </c>
      <c r="E97" s="7">
        <v>45629</v>
      </c>
      <c r="F97" t="s">
        <v>66</v>
      </c>
      <c r="G97">
        <v>0</v>
      </c>
      <c r="H97" t="s">
        <v>27</v>
      </c>
      <c r="I97" t="s">
        <v>16</v>
      </c>
      <c r="J97" t="s">
        <v>16</v>
      </c>
      <c r="K97" s="16" t="str">
        <f>VLOOKUP(C97,CheckName!A:B,2,0)</f>
        <v>Add</v>
      </c>
      <c r="L97">
        <v>0</v>
      </c>
      <c r="M97" s="16">
        <f t="shared" si="1"/>
        <v>3</v>
      </c>
      <c r="N97" t="str">
        <f>TEXT(MTDRejection[[#This Row],[RejectionDate]],"dddd")</f>
        <v>Tuesday</v>
      </c>
    </row>
    <row r="98" spans="1:14">
      <c r="A98" s="16" t="s">
        <v>100</v>
      </c>
      <c r="B98" s="16" t="s">
        <v>2892</v>
      </c>
      <c r="C98" s="16" t="s">
        <v>102</v>
      </c>
      <c r="D98" s="16" t="s">
        <v>13</v>
      </c>
      <c r="E98" s="19">
        <v>45629</v>
      </c>
      <c r="F98" s="16" t="s">
        <v>98</v>
      </c>
      <c r="G98" s="16">
        <v>0</v>
      </c>
      <c r="H98" s="16" t="s">
        <v>15</v>
      </c>
      <c r="I98" s="16" t="s">
        <v>16</v>
      </c>
      <c r="J98" s="16" t="s">
        <v>16</v>
      </c>
      <c r="K98" s="16" t="str">
        <f>VLOOKUP(C98,CheckName!A:B,2,0)</f>
        <v>Edu</v>
      </c>
      <c r="L98">
        <v>0</v>
      </c>
      <c r="M98" s="16">
        <f t="shared" si="1"/>
        <v>3</v>
      </c>
      <c r="N98" t="str">
        <f>TEXT(MTDRejection[[#This Row],[RejectionDate]],"dddd")</f>
        <v>Tuesday</v>
      </c>
    </row>
    <row r="99" spans="1:14">
      <c r="A99" t="s">
        <v>1173</v>
      </c>
      <c r="B99" t="s">
        <v>2893</v>
      </c>
      <c r="C99" t="s">
        <v>106</v>
      </c>
      <c r="D99" t="s">
        <v>26</v>
      </c>
      <c r="E99" s="7">
        <v>45629</v>
      </c>
      <c r="F99" t="s">
        <v>330</v>
      </c>
      <c r="G99">
        <v>0</v>
      </c>
      <c r="H99" t="s">
        <v>27</v>
      </c>
      <c r="I99" t="s">
        <v>16</v>
      </c>
      <c r="J99" t="s">
        <v>16</v>
      </c>
      <c r="K99" s="16" t="str">
        <f>VLOOKUP(C99,CheckName!A:B,2,0)</f>
        <v>Ref</v>
      </c>
      <c r="L99">
        <v>0</v>
      </c>
      <c r="M99" s="16">
        <f t="shared" si="1"/>
        <v>3</v>
      </c>
      <c r="N99" t="str">
        <f>TEXT(MTDRejection[[#This Row],[RejectionDate]],"dddd")</f>
        <v>Tuesday</v>
      </c>
    </row>
    <row r="100" spans="1:14">
      <c r="A100" s="16" t="s">
        <v>510</v>
      </c>
      <c r="B100" s="16" t="s">
        <v>2894</v>
      </c>
      <c r="C100" s="16" t="s">
        <v>54</v>
      </c>
      <c r="D100" s="16" t="s">
        <v>26</v>
      </c>
      <c r="E100" s="19">
        <v>45629</v>
      </c>
      <c r="F100" s="16" t="s">
        <v>103</v>
      </c>
      <c r="G100" s="16">
        <v>0</v>
      </c>
      <c r="H100" s="16" t="s">
        <v>27</v>
      </c>
      <c r="I100" s="16" t="s">
        <v>16</v>
      </c>
      <c r="J100" s="16" t="s">
        <v>16</v>
      </c>
      <c r="K100" s="16" t="str">
        <f>VLOOKUP(C100,CheckName!A:B,2,0)</f>
        <v>Edu</v>
      </c>
      <c r="L100">
        <v>0</v>
      </c>
      <c r="M100" s="16">
        <f t="shared" si="1"/>
        <v>3</v>
      </c>
      <c r="N100" t="str">
        <f>TEXT(MTDRejection[[#This Row],[RejectionDate]],"dddd")</f>
        <v>Tuesday</v>
      </c>
    </row>
    <row r="101" spans="1:14">
      <c r="A101" t="s">
        <v>116</v>
      </c>
      <c r="B101" t="s">
        <v>1176</v>
      </c>
      <c r="C101" t="s">
        <v>49</v>
      </c>
      <c r="D101" t="s">
        <v>13</v>
      </c>
      <c r="E101" s="7">
        <v>45629</v>
      </c>
      <c r="F101" t="s">
        <v>819</v>
      </c>
      <c r="G101">
        <v>0</v>
      </c>
      <c r="H101" t="s">
        <v>30</v>
      </c>
      <c r="I101" t="s">
        <v>16</v>
      </c>
      <c r="J101" t="s">
        <v>16</v>
      </c>
      <c r="K101" s="16" t="str">
        <f>VLOOKUP(C101,CheckName!A:B,2,0)</f>
        <v>CRC</v>
      </c>
      <c r="L101">
        <v>0</v>
      </c>
      <c r="M101" s="16">
        <f t="shared" si="1"/>
        <v>3</v>
      </c>
      <c r="N101" t="str">
        <f>TEXT(MTDRejection[[#This Row],[RejectionDate]],"dddd")</f>
        <v>Tuesday</v>
      </c>
    </row>
    <row r="102" spans="1:14">
      <c r="A102" s="16" t="s">
        <v>216</v>
      </c>
      <c r="B102" s="16" t="s">
        <v>2895</v>
      </c>
      <c r="C102" s="16" t="s">
        <v>71</v>
      </c>
      <c r="D102" s="16" t="s">
        <v>13</v>
      </c>
      <c r="E102" s="19">
        <v>45629</v>
      </c>
      <c r="F102" s="16" t="s">
        <v>819</v>
      </c>
      <c r="G102" s="16">
        <v>0</v>
      </c>
      <c r="H102" s="16" t="s">
        <v>15</v>
      </c>
      <c r="I102" s="16" t="s">
        <v>16</v>
      </c>
      <c r="J102" s="16" t="s">
        <v>16</v>
      </c>
      <c r="K102" s="16" t="str">
        <f>VLOOKUP(C102,CheckName!A:B,2,0)</f>
        <v>CRC</v>
      </c>
      <c r="L102">
        <v>0</v>
      </c>
      <c r="M102" s="16">
        <f t="shared" si="1"/>
        <v>3</v>
      </c>
      <c r="N102" t="str">
        <f>TEXT(MTDRejection[[#This Row],[RejectionDate]],"dddd")</f>
        <v>Tuesday</v>
      </c>
    </row>
    <row r="103" spans="1:14">
      <c r="A103" t="s">
        <v>160</v>
      </c>
      <c r="B103" t="s">
        <v>2896</v>
      </c>
      <c r="C103" t="s">
        <v>36</v>
      </c>
      <c r="D103" t="s">
        <v>26</v>
      </c>
      <c r="E103" s="7">
        <v>45629</v>
      </c>
      <c r="F103" t="s">
        <v>2335</v>
      </c>
      <c r="G103">
        <v>0</v>
      </c>
      <c r="H103" t="s">
        <v>27</v>
      </c>
      <c r="I103" t="s">
        <v>16</v>
      </c>
      <c r="J103" t="s">
        <v>16</v>
      </c>
      <c r="K103" s="16" t="str">
        <f>VLOOKUP(C103,CheckName!A:B,2,0)</f>
        <v>Emp</v>
      </c>
      <c r="L103">
        <v>0</v>
      </c>
      <c r="M103" s="16">
        <f t="shared" si="1"/>
        <v>3</v>
      </c>
      <c r="N103" t="str">
        <f>TEXT(MTDRejection[[#This Row],[RejectionDate]],"dddd")</f>
        <v>Tuesday</v>
      </c>
    </row>
    <row r="104" spans="1:14">
      <c r="A104" s="16" t="s">
        <v>84</v>
      </c>
      <c r="B104" s="16" t="s">
        <v>2368</v>
      </c>
      <c r="C104" s="16" t="s">
        <v>112</v>
      </c>
      <c r="D104" s="16" t="s">
        <v>26</v>
      </c>
      <c r="E104" s="19">
        <v>45629</v>
      </c>
      <c r="F104" s="16" t="s">
        <v>2333</v>
      </c>
      <c r="G104" s="16">
        <v>0</v>
      </c>
      <c r="H104" s="16" t="s">
        <v>22</v>
      </c>
      <c r="I104" s="16" t="s">
        <v>16</v>
      </c>
      <c r="J104" s="16" t="s">
        <v>16</v>
      </c>
      <c r="K104" s="16" t="str">
        <f>VLOOKUP(C104,CheckName!A:B,2,0)</f>
        <v>Emp</v>
      </c>
      <c r="L104">
        <v>0</v>
      </c>
      <c r="M104" s="16">
        <f t="shared" si="1"/>
        <v>3</v>
      </c>
      <c r="N104" t="str">
        <f>TEXT(MTDRejection[[#This Row],[RejectionDate]],"dddd")</f>
        <v>Tuesday</v>
      </c>
    </row>
    <row r="105" spans="1:14">
      <c r="A105" t="s">
        <v>84</v>
      </c>
      <c r="B105" t="s">
        <v>2897</v>
      </c>
      <c r="C105" t="s">
        <v>125</v>
      </c>
      <c r="D105" t="s">
        <v>26</v>
      </c>
      <c r="E105" s="7">
        <v>45629</v>
      </c>
      <c r="F105" t="s">
        <v>2333</v>
      </c>
      <c r="G105">
        <v>0</v>
      </c>
      <c r="H105" t="s">
        <v>22</v>
      </c>
      <c r="I105" t="s">
        <v>16</v>
      </c>
      <c r="J105" t="s">
        <v>16</v>
      </c>
      <c r="K105" s="16" t="str">
        <f>VLOOKUP(C105,CheckName!A:B,2,0)</f>
        <v>Emp</v>
      </c>
      <c r="L105">
        <v>0</v>
      </c>
      <c r="M105" s="16">
        <f t="shared" si="1"/>
        <v>3</v>
      </c>
      <c r="N105" t="str">
        <f>TEXT(MTDRejection[[#This Row],[RejectionDate]],"dddd")</f>
        <v>Tuesday</v>
      </c>
    </row>
    <row r="106" spans="1:14">
      <c r="A106" s="16" t="s">
        <v>415</v>
      </c>
      <c r="B106" s="16" t="s">
        <v>2898</v>
      </c>
      <c r="C106" s="16" t="s">
        <v>12</v>
      </c>
      <c r="D106" s="16" t="s">
        <v>13</v>
      </c>
      <c r="E106" s="19">
        <v>45629</v>
      </c>
      <c r="F106" s="16" t="s">
        <v>540</v>
      </c>
      <c r="G106" s="16">
        <v>0</v>
      </c>
      <c r="H106" s="16" t="s">
        <v>15</v>
      </c>
      <c r="I106" s="16" t="s">
        <v>16</v>
      </c>
      <c r="J106" s="16" t="s">
        <v>16</v>
      </c>
      <c r="K106" s="16" t="str">
        <f>VLOOKUP(C106,CheckName!A:B,2,0)</f>
        <v>Emp</v>
      </c>
      <c r="L106">
        <v>0</v>
      </c>
      <c r="M106" s="16">
        <f t="shared" si="1"/>
        <v>3</v>
      </c>
      <c r="N106" t="str">
        <f>TEXT(MTDRejection[[#This Row],[RejectionDate]],"dddd")</f>
        <v>Tuesday</v>
      </c>
    </row>
    <row r="107" spans="1:14">
      <c r="A107" t="s">
        <v>306</v>
      </c>
      <c r="B107" t="s">
        <v>2899</v>
      </c>
      <c r="C107" t="s">
        <v>71</v>
      </c>
      <c r="D107" t="s">
        <v>26</v>
      </c>
      <c r="E107" s="7">
        <v>45629</v>
      </c>
      <c r="F107" t="s">
        <v>118</v>
      </c>
      <c r="G107">
        <v>0</v>
      </c>
      <c r="H107" t="s">
        <v>27</v>
      </c>
      <c r="I107" t="s">
        <v>16</v>
      </c>
      <c r="J107" t="s">
        <v>16</v>
      </c>
      <c r="K107" s="16" t="str">
        <f>VLOOKUP(C107,CheckName!A:B,2,0)</f>
        <v>CRC</v>
      </c>
      <c r="L107">
        <v>0</v>
      </c>
      <c r="M107" s="16">
        <f t="shared" si="1"/>
        <v>3</v>
      </c>
      <c r="N107" t="str">
        <f>TEXT(MTDRejection[[#This Row],[RejectionDate]],"dddd")</f>
        <v>Tuesday</v>
      </c>
    </row>
    <row r="108" spans="1:14">
      <c r="A108" s="16" t="s">
        <v>1181</v>
      </c>
      <c r="B108" s="16" t="s">
        <v>2900</v>
      </c>
      <c r="C108" s="16" t="s">
        <v>12</v>
      </c>
      <c r="D108" s="16" t="s">
        <v>26</v>
      </c>
      <c r="E108" s="19">
        <v>45629</v>
      </c>
      <c r="F108" s="16" t="s">
        <v>115</v>
      </c>
      <c r="G108" s="16">
        <v>0</v>
      </c>
      <c r="H108" s="16" t="s">
        <v>27</v>
      </c>
      <c r="I108" s="16" t="s">
        <v>16</v>
      </c>
      <c r="J108" s="16" t="s">
        <v>16</v>
      </c>
      <c r="K108" s="16" t="str">
        <f>VLOOKUP(C108,CheckName!A:B,2,0)</f>
        <v>Emp</v>
      </c>
      <c r="L108">
        <v>0</v>
      </c>
      <c r="M108" s="16">
        <f t="shared" si="1"/>
        <v>3</v>
      </c>
      <c r="N108" t="str">
        <f>TEXT(MTDRejection[[#This Row],[RejectionDate]],"dddd")</f>
        <v>Tuesday</v>
      </c>
    </row>
    <row r="109" spans="1:14">
      <c r="A109" t="s">
        <v>100</v>
      </c>
      <c r="B109" t="s">
        <v>2901</v>
      </c>
      <c r="C109" t="s">
        <v>1184</v>
      </c>
      <c r="D109" t="s">
        <v>38</v>
      </c>
      <c r="E109" s="7">
        <v>45629</v>
      </c>
      <c r="F109" t="s">
        <v>118</v>
      </c>
      <c r="G109">
        <v>0</v>
      </c>
      <c r="H109" t="s">
        <v>42</v>
      </c>
      <c r="I109" t="s">
        <v>16</v>
      </c>
      <c r="J109" t="s">
        <v>16</v>
      </c>
      <c r="K109" s="16" t="str">
        <f>VLOOKUP(C109,CheckName!A:B,2,0)</f>
        <v>Investigation</v>
      </c>
      <c r="L109">
        <v>0</v>
      </c>
      <c r="M109" s="16">
        <f t="shared" si="1"/>
        <v>3</v>
      </c>
      <c r="N109" t="str">
        <f>TEXT(MTDRejection[[#This Row],[RejectionDate]],"dddd")</f>
        <v>Tuesday</v>
      </c>
    </row>
    <row r="110" spans="1:14">
      <c r="A110" s="16" t="s">
        <v>100</v>
      </c>
      <c r="B110" s="16" t="s">
        <v>2902</v>
      </c>
      <c r="C110" s="16" t="s">
        <v>929</v>
      </c>
      <c r="D110" s="16" t="s">
        <v>38</v>
      </c>
      <c r="E110" s="19">
        <v>45629</v>
      </c>
      <c r="F110" s="16" t="s">
        <v>118</v>
      </c>
      <c r="G110" s="16">
        <v>0</v>
      </c>
      <c r="H110" s="16" t="s">
        <v>42</v>
      </c>
      <c r="I110" s="16" t="s">
        <v>16</v>
      </c>
      <c r="J110" s="16" t="s">
        <v>16</v>
      </c>
      <c r="K110" s="16" t="str">
        <f>VLOOKUP(C110,CheckName!A:B,2,0)</f>
        <v>Investigation</v>
      </c>
      <c r="L110">
        <v>0</v>
      </c>
      <c r="M110" s="16">
        <f t="shared" si="1"/>
        <v>3</v>
      </c>
      <c r="N110" t="str">
        <f>TEXT(MTDRejection[[#This Row],[RejectionDate]],"dddd")</f>
        <v>Tuesday</v>
      </c>
    </row>
    <row r="111" spans="1:14">
      <c r="A111" t="s">
        <v>283</v>
      </c>
      <c r="B111" t="s">
        <v>2903</v>
      </c>
      <c r="C111" t="s">
        <v>12</v>
      </c>
      <c r="D111" t="s">
        <v>26</v>
      </c>
      <c r="E111" s="7">
        <v>45628</v>
      </c>
      <c r="F111" t="s">
        <v>2336</v>
      </c>
      <c r="G111">
        <v>1</v>
      </c>
      <c r="H111" t="s">
        <v>22</v>
      </c>
      <c r="I111" t="s">
        <v>16</v>
      </c>
      <c r="J111" t="s">
        <v>16</v>
      </c>
      <c r="K111" s="16" t="str">
        <f>VLOOKUP(C111,CheckName!A:B,2,0)</f>
        <v>Emp</v>
      </c>
      <c r="L111">
        <v>0</v>
      </c>
      <c r="M111" s="16">
        <f t="shared" si="1"/>
        <v>2</v>
      </c>
      <c r="N111" t="str">
        <f>TEXT(MTDRejection[[#This Row],[RejectionDate]],"dddd")</f>
        <v>Monday</v>
      </c>
    </row>
    <row r="112" spans="1:14">
      <c r="A112" s="16" t="s">
        <v>263</v>
      </c>
      <c r="B112" s="16" t="s">
        <v>2904</v>
      </c>
      <c r="C112" s="16" t="s">
        <v>36</v>
      </c>
      <c r="D112" s="16" t="s">
        <v>26</v>
      </c>
      <c r="E112" s="19">
        <v>45628</v>
      </c>
      <c r="F112" s="16" t="s">
        <v>2337</v>
      </c>
      <c r="G112" s="16">
        <v>1</v>
      </c>
      <c r="H112" s="16" t="s">
        <v>22</v>
      </c>
      <c r="I112" s="16" t="s">
        <v>16</v>
      </c>
      <c r="J112" s="16" t="s">
        <v>16</v>
      </c>
      <c r="K112" s="16" t="str">
        <f>VLOOKUP(C112,CheckName!A:B,2,0)</f>
        <v>Emp</v>
      </c>
      <c r="L112">
        <v>0</v>
      </c>
      <c r="M112" s="16">
        <f t="shared" si="1"/>
        <v>2</v>
      </c>
      <c r="N112" t="str">
        <f>TEXT(MTDRejection[[#This Row],[RejectionDate]],"dddd")</f>
        <v>Monday</v>
      </c>
    </row>
    <row r="113" spans="1:14">
      <c r="A113" t="s">
        <v>1110</v>
      </c>
      <c r="B113" t="s">
        <v>2905</v>
      </c>
      <c r="C113" t="s">
        <v>965</v>
      </c>
      <c r="D113" t="s">
        <v>26</v>
      </c>
      <c r="E113" s="7">
        <v>45628</v>
      </c>
      <c r="F113" t="s">
        <v>2338</v>
      </c>
      <c r="G113">
        <v>1</v>
      </c>
      <c r="H113" t="s">
        <v>27</v>
      </c>
      <c r="I113" t="s">
        <v>16</v>
      </c>
      <c r="J113" t="s">
        <v>16</v>
      </c>
      <c r="K113" s="16" t="str">
        <f>VLOOKUP(C113,CheckName!A:B,2,0)</f>
        <v>Add</v>
      </c>
      <c r="L113">
        <v>0</v>
      </c>
      <c r="M113" s="16">
        <f t="shared" si="1"/>
        <v>2</v>
      </c>
      <c r="N113" t="str">
        <f>TEXT(MTDRejection[[#This Row],[RejectionDate]],"dddd")</f>
        <v>Monday</v>
      </c>
    </row>
    <row r="114" spans="1:14">
      <c r="A114" s="16" t="s">
        <v>499</v>
      </c>
      <c r="B114" s="16" t="s">
        <v>2906</v>
      </c>
      <c r="C114" s="16" t="s">
        <v>125</v>
      </c>
      <c r="D114" s="16" t="s">
        <v>26</v>
      </c>
      <c r="E114" s="19">
        <v>45628</v>
      </c>
      <c r="F114" s="16" t="s">
        <v>2339</v>
      </c>
      <c r="G114" s="16">
        <v>1</v>
      </c>
      <c r="H114" s="16" t="s">
        <v>27</v>
      </c>
      <c r="I114" s="16" t="s">
        <v>16</v>
      </c>
      <c r="J114" s="16" t="s">
        <v>16</v>
      </c>
      <c r="K114" s="16" t="str">
        <f>VLOOKUP(C114,CheckName!A:B,2,0)</f>
        <v>Emp</v>
      </c>
      <c r="L114">
        <v>0</v>
      </c>
      <c r="M114" s="16">
        <f t="shared" si="1"/>
        <v>2</v>
      </c>
      <c r="N114" t="str">
        <f>TEXT(MTDRejection[[#This Row],[RejectionDate]],"dddd")</f>
        <v>Monday</v>
      </c>
    </row>
    <row r="115" spans="1:14">
      <c r="A115" t="s">
        <v>1192</v>
      </c>
      <c r="B115" t="s">
        <v>2907</v>
      </c>
      <c r="C115" t="s">
        <v>12</v>
      </c>
      <c r="D115" t="s">
        <v>26</v>
      </c>
      <c r="E115" s="7">
        <v>45628</v>
      </c>
      <c r="F115" t="s">
        <v>2337</v>
      </c>
      <c r="G115">
        <v>1</v>
      </c>
      <c r="H115" t="s">
        <v>22</v>
      </c>
      <c r="I115" t="s">
        <v>16</v>
      </c>
      <c r="J115" t="s">
        <v>16</v>
      </c>
      <c r="K115" s="16" t="str">
        <f>VLOOKUP(C115,CheckName!A:B,2,0)</f>
        <v>Emp</v>
      </c>
      <c r="L115">
        <v>0</v>
      </c>
      <c r="M115" s="16">
        <f t="shared" si="1"/>
        <v>2</v>
      </c>
      <c r="N115" t="str">
        <f>TEXT(MTDRejection[[#This Row],[RejectionDate]],"dddd")</f>
        <v>Monday</v>
      </c>
    </row>
    <row r="116" spans="1:14">
      <c r="A116" s="16" t="s">
        <v>45</v>
      </c>
      <c r="B116" s="16" t="s">
        <v>2908</v>
      </c>
      <c r="C116" s="16" t="s">
        <v>54</v>
      </c>
      <c r="D116" s="16" t="s">
        <v>13</v>
      </c>
      <c r="E116" s="19">
        <v>45628</v>
      </c>
      <c r="F116" s="16" t="s">
        <v>1013</v>
      </c>
      <c r="G116" s="16">
        <v>1</v>
      </c>
      <c r="H116" s="16" t="s">
        <v>15</v>
      </c>
      <c r="I116" s="16" t="s">
        <v>16</v>
      </c>
      <c r="J116" s="16" t="s">
        <v>16</v>
      </c>
      <c r="K116" s="16" t="str">
        <f>VLOOKUP(C116,CheckName!A:B,2,0)</f>
        <v>Edu</v>
      </c>
      <c r="L116">
        <v>0</v>
      </c>
      <c r="M116" s="16">
        <f t="shared" si="1"/>
        <v>2</v>
      </c>
      <c r="N116" t="str">
        <f>TEXT(MTDRejection[[#This Row],[RejectionDate]],"dddd")</f>
        <v>Monday</v>
      </c>
    </row>
    <row r="117" spans="1:14">
      <c r="A117" t="s">
        <v>967</v>
      </c>
      <c r="B117" t="s">
        <v>2909</v>
      </c>
      <c r="C117" t="s">
        <v>965</v>
      </c>
      <c r="D117" t="s">
        <v>20</v>
      </c>
      <c r="E117" s="7">
        <v>45628</v>
      </c>
      <c r="F117" t="s">
        <v>129</v>
      </c>
      <c r="G117">
        <v>1</v>
      </c>
      <c r="H117" t="s">
        <v>22</v>
      </c>
      <c r="I117" t="s">
        <v>16</v>
      </c>
      <c r="J117" t="s">
        <v>16</v>
      </c>
      <c r="K117" s="16" t="str">
        <f>VLOOKUP(C117,CheckName!A:B,2,0)</f>
        <v>Add</v>
      </c>
      <c r="L117">
        <v>0</v>
      </c>
      <c r="M117" s="16">
        <f t="shared" si="1"/>
        <v>2</v>
      </c>
      <c r="N117" t="str">
        <f>TEXT(MTDRejection[[#This Row],[RejectionDate]],"dddd")</f>
        <v>Monday</v>
      </c>
    </row>
    <row r="118" spans="1:14">
      <c r="A118" s="16" t="s">
        <v>131</v>
      </c>
      <c r="B118" s="16" t="s">
        <v>2369</v>
      </c>
      <c r="C118" s="16" t="s">
        <v>19</v>
      </c>
      <c r="D118" s="16" t="s">
        <v>20</v>
      </c>
      <c r="E118" s="19">
        <v>45628</v>
      </c>
      <c r="F118" s="16" t="s">
        <v>129</v>
      </c>
      <c r="G118" s="16">
        <v>1</v>
      </c>
      <c r="H118" s="16" t="s">
        <v>22</v>
      </c>
      <c r="I118" s="16" t="s">
        <v>16</v>
      </c>
      <c r="J118" s="16" t="s">
        <v>16</v>
      </c>
      <c r="K118" s="16" t="str">
        <f>VLOOKUP(C118,CheckName!A:B,2,0)</f>
        <v>Add</v>
      </c>
      <c r="L118">
        <v>0</v>
      </c>
      <c r="M118" s="16">
        <f t="shared" si="1"/>
        <v>2</v>
      </c>
      <c r="N118" t="str">
        <f>TEXT(MTDRejection[[#This Row],[RejectionDate]],"dddd")</f>
        <v>Monday</v>
      </c>
    </row>
    <row r="119" spans="1:14">
      <c r="A119" t="s">
        <v>1197</v>
      </c>
      <c r="B119" t="s">
        <v>2910</v>
      </c>
      <c r="C119" t="s">
        <v>19</v>
      </c>
      <c r="D119" t="s">
        <v>20</v>
      </c>
      <c r="E119" s="7">
        <v>45628</v>
      </c>
      <c r="F119" t="s">
        <v>129</v>
      </c>
      <c r="G119">
        <v>1</v>
      </c>
      <c r="H119" t="s">
        <v>22</v>
      </c>
      <c r="I119" t="s">
        <v>16</v>
      </c>
      <c r="J119" t="s">
        <v>16</v>
      </c>
      <c r="K119" s="16" t="str">
        <f>VLOOKUP(C119,CheckName!A:B,2,0)</f>
        <v>Add</v>
      </c>
      <c r="L119">
        <v>0</v>
      </c>
      <c r="M119" s="16">
        <f t="shared" si="1"/>
        <v>2</v>
      </c>
      <c r="N119" t="str">
        <f>TEXT(MTDRejection[[#This Row],[RejectionDate]],"dddd")</f>
        <v>Monday</v>
      </c>
    </row>
    <row r="120" spans="1:14">
      <c r="A120" s="16" t="s">
        <v>45</v>
      </c>
      <c r="B120" s="16" t="s">
        <v>2911</v>
      </c>
      <c r="C120" s="16" t="s">
        <v>36</v>
      </c>
      <c r="D120" s="16" t="s">
        <v>26</v>
      </c>
      <c r="E120" s="19">
        <v>45628</v>
      </c>
      <c r="F120" s="16" t="s">
        <v>2355</v>
      </c>
      <c r="G120" s="16">
        <v>1</v>
      </c>
      <c r="H120" s="16" t="s">
        <v>27</v>
      </c>
      <c r="I120" s="16" t="s">
        <v>16</v>
      </c>
      <c r="J120" s="16" t="s">
        <v>16</v>
      </c>
      <c r="K120" s="16" t="str">
        <f>VLOOKUP(C120,CheckName!A:B,2,0)</f>
        <v>Emp</v>
      </c>
      <c r="L120">
        <v>0</v>
      </c>
      <c r="M120" s="16">
        <f t="shared" si="1"/>
        <v>2</v>
      </c>
      <c r="N120" t="str">
        <f>TEXT(MTDRejection[[#This Row],[RejectionDate]],"dddd")</f>
        <v>Monday</v>
      </c>
    </row>
    <row r="121" spans="1:14">
      <c r="A121" t="s">
        <v>446</v>
      </c>
      <c r="B121" t="s">
        <v>2912</v>
      </c>
      <c r="C121" t="s">
        <v>36</v>
      </c>
      <c r="D121" t="s">
        <v>26</v>
      </c>
      <c r="E121" s="7">
        <v>45628</v>
      </c>
      <c r="F121" t="s">
        <v>159</v>
      </c>
      <c r="G121">
        <v>1</v>
      </c>
      <c r="H121" t="s">
        <v>27</v>
      </c>
      <c r="I121" t="s">
        <v>16</v>
      </c>
      <c r="J121" t="s">
        <v>16</v>
      </c>
      <c r="K121" s="16" t="str">
        <f>VLOOKUP(C121,CheckName!A:B,2,0)</f>
        <v>Emp</v>
      </c>
      <c r="L121">
        <v>0</v>
      </c>
      <c r="M121" s="16">
        <f t="shared" si="1"/>
        <v>2</v>
      </c>
      <c r="N121" t="str">
        <f>TEXT(MTDRejection[[#This Row],[RejectionDate]],"dddd")</f>
        <v>Monday</v>
      </c>
    </row>
    <row r="122" spans="1:14">
      <c r="A122" s="16" t="s">
        <v>306</v>
      </c>
      <c r="B122" s="16" t="s">
        <v>2913</v>
      </c>
      <c r="C122" s="16" t="s">
        <v>25</v>
      </c>
      <c r="D122" s="16" t="s">
        <v>13</v>
      </c>
      <c r="E122" s="19">
        <v>45628</v>
      </c>
      <c r="F122" s="16" t="s">
        <v>844</v>
      </c>
      <c r="G122" s="16">
        <v>1</v>
      </c>
      <c r="H122" s="16" t="s">
        <v>15</v>
      </c>
      <c r="I122" s="16" t="s">
        <v>16</v>
      </c>
      <c r="J122" s="16" t="s">
        <v>16</v>
      </c>
      <c r="K122" s="16" t="str">
        <f>VLOOKUP(C122,CheckName!A:B,2,0)</f>
        <v>Add</v>
      </c>
      <c r="L122">
        <v>0</v>
      </c>
      <c r="M122" s="16">
        <f t="shared" si="1"/>
        <v>2</v>
      </c>
      <c r="N122" t="str">
        <f>TEXT(MTDRejection[[#This Row],[RejectionDate]],"dddd")</f>
        <v>Monday</v>
      </c>
    </row>
    <row r="123" spans="1:14">
      <c r="A123" t="s">
        <v>306</v>
      </c>
      <c r="B123" t="s">
        <v>2914</v>
      </c>
      <c r="C123" t="s">
        <v>19</v>
      </c>
      <c r="D123" t="s">
        <v>13</v>
      </c>
      <c r="E123" s="7">
        <v>45628</v>
      </c>
      <c r="F123" t="s">
        <v>844</v>
      </c>
      <c r="G123">
        <v>1</v>
      </c>
      <c r="H123" t="s">
        <v>15</v>
      </c>
      <c r="I123" t="s">
        <v>16</v>
      </c>
      <c r="J123" t="s">
        <v>16</v>
      </c>
      <c r="K123" s="16" t="str">
        <f>VLOOKUP(C123,CheckName!A:B,2,0)</f>
        <v>Add</v>
      </c>
      <c r="L123">
        <v>0</v>
      </c>
      <c r="M123" s="16">
        <f t="shared" si="1"/>
        <v>2</v>
      </c>
      <c r="N123" t="str">
        <f>TEXT(MTDRejection[[#This Row],[RejectionDate]],"dddd")</f>
        <v>Monday</v>
      </c>
    </row>
    <row r="124" spans="1:14">
      <c r="A124" s="16" t="s">
        <v>306</v>
      </c>
      <c r="B124" s="16" t="s">
        <v>1203</v>
      </c>
      <c r="C124" s="16" t="s">
        <v>49</v>
      </c>
      <c r="D124" s="16" t="s">
        <v>13</v>
      </c>
      <c r="E124" s="19">
        <v>45628</v>
      </c>
      <c r="F124" s="16" t="s">
        <v>844</v>
      </c>
      <c r="G124" s="16">
        <v>1</v>
      </c>
      <c r="H124" s="16" t="s">
        <v>15</v>
      </c>
      <c r="I124" s="16" t="s">
        <v>16</v>
      </c>
      <c r="J124" s="16" t="s">
        <v>16</v>
      </c>
      <c r="K124" s="16" t="str">
        <f>VLOOKUP(C124,CheckName!A:B,2,0)</f>
        <v>CRC</v>
      </c>
      <c r="L124">
        <v>0</v>
      </c>
      <c r="M124" s="16">
        <f t="shared" si="1"/>
        <v>2</v>
      </c>
      <c r="N124" t="str">
        <f>TEXT(MTDRejection[[#This Row],[RejectionDate]],"dddd")</f>
        <v>Monday</v>
      </c>
    </row>
    <row r="125" spans="1:14">
      <c r="A125" t="s">
        <v>306</v>
      </c>
      <c r="B125" t="s">
        <v>2915</v>
      </c>
      <c r="C125" t="s">
        <v>531</v>
      </c>
      <c r="D125" t="s">
        <v>13</v>
      </c>
      <c r="E125" s="7">
        <v>45628</v>
      </c>
      <c r="F125" t="s">
        <v>844</v>
      </c>
      <c r="G125">
        <v>1</v>
      </c>
      <c r="H125" t="s">
        <v>15</v>
      </c>
      <c r="I125" t="s">
        <v>16</v>
      </c>
      <c r="J125" t="s">
        <v>16</v>
      </c>
      <c r="K125" s="16" t="str">
        <f>VLOOKUP(C125,CheckName!A:B,2,0)</f>
        <v>Special Check</v>
      </c>
      <c r="L125">
        <v>0</v>
      </c>
      <c r="M125" s="16">
        <f t="shared" si="1"/>
        <v>2</v>
      </c>
      <c r="N125" t="str">
        <f>TEXT(MTDRejection[[#This Row],[RejectionDate]],"dddd")</f>
        <v>Monday</v>
      </c>
    </row>
    <row r="126" spans="1:14">
      <c r="A126" s="16" t="s">
        <v>306</v>
      </c>
      <c r="B126" s="16" t="s">
        <v>2425</v>
      </c>
      <c r="C126" s="16" t="s">
        <v>533</v>
      </c>
      <c r="D126" s="16" t="s">
        <v>13</v>
      </c>
      <c r="E126" s="19">
        <v>45628</v>
      </c>
      <c r="F126" s="16" t="s">
        <v>844</v>
      </c>
      <c r="G126" s="16">
        <v>1</v>
      </c>
      <c r="H126" s="16" t="s">
        <v>15</v>
      </c>
      <c r="I126" s="16" t="s">
        <v>16</v>
      </c>
      <c r="J126" s="16" t="s">
        <v>16</v>
      </c>
      <c r="K126" s="16" t="str">
        <f>VLOOKUP(C126,CheckName!A:B,2,0)</f>
        <v>CRC</v>
      </c>
      <c r="L126">
        <v>0</v>
      </c>
      <c r="M126" s="16">
        <f t="shared" si="1"/>
        <v>2</v>
      </c>
      <c r="N126" t="str">
        <f>TEXT(MTDRejection[[#This Row],[RejectionDate]],"dddd")</f>
        <v>Monday</v>
      </c>
    </row>
    <row r="127" spans="1:14">
      <c r="A127" t="s">
        <v>1204</v>
      </c>
      <c r="B127" t="s">
        <v>2916</v>
      </c>
      <c r="C127" t="s">
        <v>36</v>
      </c>
      <c r="D127" t="s">
        <v>51</v>
      </c>
      <c r="E127" s="7">
        <v>45628</v>
      </c>
      <c r="F127" t="s">
        <v>2331</v>
      </c>
      <c r="G127">
        <v>1</v>
      </c>
      <c r="H127" t="s">
        <v>53</v>
      </c>
      <c r="I127" t="s">
        <v>16</v>
      </c>
      <c r="J127" t="s">
        <v>16</v>
      </c>
      <c r="K127" s="16" t="str">
        <f>VLOOKUP(C127,CheckName!A:B,2,0)</f>
        <v>Emp</v>
      </c>
      <c r="L127">
        <v>0</v>
      </c>
      <c r="M127" s="16">
        <f t="shared" si="1"/>
        <v>2</v>
      </c>
      <c r="N127" t="str">
        <f>TEXT(MTDRejection[[#This Row],[RejectionDate]],"dddd")</f>
        <v>Monday</v>
      </c>
    </row>
    <row r="128" spans="1:14">
      <c r="A128" s="16" t="s">
        <v>1204</v>
      </c>
      <c r="B128" s="16" t="s">
        <v>2917</v>
      </c>
      <c r="C128" s="16" t="s">
        <v>12</v>
      </c>
      <c r="D128" s="16" t="s">
        <v>51</v>
      </c>
      <c r="E128" s="19">
        <v>45628</v>
      </c>
      <c r="F128" s="16" t="s">
        <v>2331</v>
      </c>
      <c r="G128" s="16">
        <v>1</v>
      </c>
      <c r="H128" s="16" t="s">
        <v>53</v>
      </c>
      <c r="I128" s="16" t="s">
        <v>16</v>
      </c>
      <c r="J128" s="16" t="s">
        <v>16</v>
      </c>
      <c r="K128" s="16" t="str">
        <f>VLOOKUP(C128,CheckName!A:B,2,0)</f>
        <v>Emp</v>
      </c>
      <c r="L128">
        <v>0</v>
      </c>
      <c r="M128" s="16">
        <f t="shared" si="1"/>
        <v>2</v>
      </c>
      <c r="N128" t="str">
        <f>TEXT(MTDRejection[[#This Row],[RejectionDate]],"dddd")</f>
        <v>Monday</v>
      </c>
    </row>
    <row r="129" spans="1:14">
      <c r="A129" t="s">
        <v>216</v>
      </c>
      <c r="B129" t="s">
        <v>864</v>
      </c>
      <c r="C129" t="s">
        <v>19</v>
      </c>
      <c r="D129" t="s">
        <v>26</v>
      </c>
      <c r="E129" s="7">
        <v>45628</v>
      </c>
      <c r="F129" t="s">
        <v>2340</v>
      </c>
      <c r="G129">
        <v>1</v>
      </c>
      <c r="H129" t="s">
        <v>15</v>
      </c>
      <c r="I129" t="s">
        <v>16</v>
      </c>
      <c r="J129" t="s">
        <v>16</v>
      </c>
      <c r="K129" s="16" t="str">
        <f>VLOOKUP(C129,CheckName!A:B,2,0)</f>
        <v>Add</v>
      </c>
      <c r="L129">
        <v>0</v>
      </c>
      <c r="M129" s="16">
        <f t="shared" si="1"/>
        <v>2</v>
      </c>
      <c r="N129" t="str">
        <f>TEXT(MTDRejection[[#This Row],[RejectionDate]],"dddd")</f>
        <v>Monday</v>
      </c>
    </row>
    <row r="130" spans="1:14">
      <c r="A130" s="16" t="s">
        <v>180</v>
      </c>
      <c r="B130" s="16" t="s">
        <v>2918</v>
      </c>
      <c r="C130" s="16" t="s">
        <v>12</v>
      </c>
      <c r="D130" s="16" t="s">
        <v>26</v>
      </c>
      <c r="E130" s="19">
        <v>45628</v>
      </c>
      <c r="F130" s="16" t="s">
        <v>2341</v>
      </c>
      <c r="G130" s="16">
        <v>1</v>
      </c>
      <c r="H130" s="16" t="s">
        <v>27</v>
      </c>
      <c r="I130" s="16" t="s">
        <v>16</v>
      </c>
      <c r="J130" s="16" t="s">
        <v>16</v>
      </c>
      <c r="K130" s="16" t="str">
        <f>VLOOKUP(C130,CheckName!A:B,2,0)</f>
        <v>Emp</v>
      </c>
      <c r="L130">
        <v>0</v>
      </c>
      <c r="M130" s="16">
        <f t="shared" si="1"/>
        <v>2</v>
      </c>
      <c r="N130" t="str">
        <f>TEXT(MTDRejection[[#This Row],[RejectionDate]],"dddd")</f>
        <v>Monday</v>
      </c>
    </row>
    <row r="131" spans="1:14">
      <c r="A131" t="s">
        <v>306</v>
      </c>
      <c r="B131" t="s">
        <v>2919</v>
      </c>
      <c r="C131" t="s">
        <v>12</v>
      </c>
      <c r="D131" t="s">
        <v>26</v>
      </c>
      <c r="E131" s="7">
        <v>45628</v>
      </c>
      <c r="F131" t="s">
        <v>277</v>
      </c>
      <c r="G131">
        <v>1</v>
      </c>
      <c r="H131" t="s">
        <v>27</v>
      </c>
      <c r="I131" t="s">
        <v>16</v>
      </c>
      <c r="J131" t="s">
        <v>16</v>
      </c>
      <c r="K131" s="16" t="str">
        <f>VLOOKUP(C131,CheckName!A:B,2,0)</f>
        <v>Emp</v>
      </c>
      <c r="L131">
        <v>0</v>
      </c>
      <c r="M131" s="16">
        <f t="shared" ref="M131:M194" si="2">DAY(E131)</f>
        <v>2</v>
      </c>
      <c r="N131" t="str">
        <f>TEXT(MTDRejection[[#This Row],[RejectionDate]],"dddd")</f>
        <v>Monday</v>
      </c>
    </row>
    <row r="132" spans="1:14">
      <c r="A132" s="16" t="s">
        <v>176</v>
      </c>
      <c r="B132" s="16" t="s">
        <v>2920</v>
      </c>
      <c r="C132" s="16" t="s">
        <v>12</v>
      </c>
      <c r="D132" s="16" t="s">
        <v>26</v>
      </c>
      <c r="E132" s="19">
        <v>45628</v>
      </c>
      <c r="F132" s="16" t="s">
        <v>83</v>
      </c>
      <c r="G132" s="16">
        <v>1</v>
      </c>
      <c r="H132" s="16" t="s">
        <v>27</v>
      </c>
      <c r="I132" s="16" t="s">
        <v>16</v>
      </c>
      <c r="J132" s="16" t="s">
        <v>16</v>
      </c>
      <c r="K132" s="16" t="str">
        <f>VLOOKUP(C132,CheckName!A:B,2,0)</f>
        <v>Emp</v>
      </c>
      <c r="L132">
        <v>0</v>
      </c>
      <c r="M132" s="16">
        <f t="shared" si="2"/>
        <v>2</v>
      </c>
      <c r="N132" t="str">
        <f>TEXT(MTDRejection[[#This Row],[RejectionDate]],"dddd")</f>
        <v>Monday</v>
      </c>
    </row>
    <row r="133" spans="1:14">
      <c r="A133" t="s">
        <v>100</v>
      </c>
      <c r="B133" t="s">
        <v>1209</v>
      </c>
      <c r="C133" t="s">
        <v>359</v>
      </c>
      <c r="D133" t="s">
        <v>26</v>
      </c>
      <c r="E133" s="7">
        <v>45628</v>
      </c>
      <c r="F133" t="s">
        <v>380</v>
      </c>
      <c r="G133">
        <v>1</v>
      </c>
      <c r="H133" t="s">
        <v>30</v>
      </c>
      <c r="I133" t="s">
        <v>16</v>
      </c>
      <c r="J133" t="s">
        <v>16</v>
      </c>
      <c r="K133" s="16" t="str">
        <f>VLOOKUP(C133,CheckName!A:B,2,0)</f>
        <v>Emp</v>
      </c>
      <c r="L133">
        <v>0</v>
      </c>
      <c r="M133" s="16">
        <f t="shared" si="2"/>
        <v>2</v>
      </c>
      <c r="N133" t="str">
        <f>TEXT(MTDRejection[[#This Row],[RejectionDate]],"dddd")</f>
        <v>Monday</v>
      </c>
    </row>
    <row r="134" spans="1:14">
      <c r="A134" s="16" t="s">
        <v>228</v>
      </c>
      <c r="B134" s="16" t="s">
        <v>2921</v>
      </c>
      <c r="C134" s="16" t="s">
        <v>12</v>
      </c>
      <c r="D134" s="16" t="s">
        <v>26</v>
      </c>
      <c r="E134" s="19">
        <v>45628</v>
      </c>
      <c r="F134" s="16" t="s">
        <v>83</v>
      </c>
      <c r="G134" s="16">
        <v>1</v>
      </c>
      <c r="H134" s="16" t="s">
        <v>27</v>
      </c>
      <c r="I134" s="16" t="s">
        <v>16</v>
      </c>
      <c r="J134" s="16" t="s">
        <v>16</v>
      </c>
      <c r="K134" s="16" t="str">
        <f>VLOOKUP(C134,CheckName!A:B,2,0)</f>
        <v>Emp</v>
      </c>
      <c r="L134">
        <v>0</v>
      </c>
      <c r="M134" s="16">
        <f t="shared" si="2"/>
        <v>2</v>
      </c>
      <c r="N134" t="str">
        <f>TEXT(MTDRejection[[#This Row],[RejectionDate]],"dddd")</f>
        <v>Monday</v>
      </c>
    </row>
    <row r="135" spans="1:14">
      <c r="A135" t="s">
        <v>697</v>
      </c>
      <c r="B135" t="s">
        <v>2371</v>
      </c>
      <c r="C135" t="s">
        <v>125</v>
      </c>
      <c r="D135" t="s">
        <v>26</v>
      </c>
      <c r="E135" s="7">
        <v>45628</v>
      </c>
      <c r="F135" t="s">
        <v>614</v>
      </c>
      <c r="G135">
        <v>1</v>
      </c>
      <c r="H135" t="s">
        <v>27</v>
      </c>
      <c r="I135" t="s">
        <v>16</v>
      </c>
      <c r="J135" t="s">
        <v>16</v>
      </c>
      <c r="K135" s="16" t="str">
        <f>VLOOKUP(C135,CheckName!A:B,2,0)</f>
        <v>Emp</v>
      </c>
      <c r="L135">
        <v>0</v>
      </c>
      <c r="M135" s="16">
        <f t="shared" si="2"/>
        <v>2</v>
      </c>
      <c r="N135" t="str">
        <f>TEXT(MTDRejection[[#This Row],[RejectionDate]],"dddd")</f>
        <v>Monday</v>
      </c>
    </row>
    <row r="136" spans="1:14">
      <c r="A136" s="16" t="s">
        <v>599</v>
      </c>
      <c r="B136" s="16" t="s">
        <v>2922</v>
      </c>
      <c r="C136" s="16" t="s">
        <v>12</v>
      </c>
      <c r="D136" s="16" t="s">
        <v>26</v>
      </c>
      <c r="E136" s="19">
        <v>45628</v>
      </c>
      <c r="F136" s="16" t="s">
        <v>182</v>
      </c>
      <c r="G136" s="16">
        <v>1</v>
      </c>
      <c r="H136" s="16" t="s">
        <v>27</v>
      </c>
      <c r="I136" s="16" t="s">
        <v>16</v>
      </c>
      <c r="J136" s="16" t="s">
        <v>16</v>
      </c>
      <c r="K136" s="16" t="str">
        <f>VLOOKUP(C136,CheckName!A:B,2,0)</f>
        <v>Emp</v>
      </c>
      <c r="L136">
        <v>0</v>
      </c>
      <c r="M136" s="16">
        <f t="shared" si="2"/>
        <v>2</v>
      </c>
      <c r="N136" t="str">
        <f>TEXT(MTDRejection[[#This Row],[RejectionDate]],"dddd")</f>
        <v>Monday</v>
      </c>
    </row>
    <row r="137" spans="1:14">
      <c r="A137" t="s">
        <v>461</v>
      </c>
      <c r="B137" t="s">
        <v>2923</v>
      </c>
      <c r="C137" t="s">
        <v>36</v>
      </c>
      <c r="D137" t="s">
        <v>26</v>
      </c>
      <c r="E137" s="7">
        <v>45628</v>
      </c>
      <c r="F137" t="s">
        <v>614</v>
      </c>
      <c r="G137">
        <v>1</v>
      </c>
      <c r="H137" t="s">
        <v>27</v>
      </c>
      <c r="I137" t="s">
        <v>16</v>
      </c>
      <c r="J137" t="s">
        <v>16</v>
      </c>
      <c r="K137" s="16" t="str">
        <f>VLOOKUP(C137,CheckName!A:B,2,0)</f>
        <v>Emp</v>
      </c>
      <c r="L137">
        <v>0</v>
      </c>
      <c r="M137" s="16">
        <f t="shared" si="2"/>
        <v>2</v>
      </c>
      <c r="N137" t="str">
        <f>TEXT(MTDRejection[[#This Row],[RejectionDate]],"dddd")</f>
        <v>Monday</v>
      </c>
    </row>
    <row r="138" spans="1:14">
      <c r="A138" s="16" t="s">
        <v>45</v>
      </c>
      <c r="B138" s="16" t="s">
        <v>2924</v>
      </c>
      <c r="C138" s="16" t="s">
        <v>112</v>
      </c>
      <c r="D138" s="16" t="s">
        <v>26</v>
      </c>
      <c r="E138" s="19">
        <v>45628</v>
      </c>
      <c r="F138" s="16" t="s">
        <v>83</v>
      </c>
      <c r="G138" s="16">
        <v>1</v>
      </c>
      <c r="H138" s="16" t="s">
        <v>22</v>
      </c>
      <c r="I138" s="16" t="s">
        <v>16</v>
      </c>
      <c r="J138" s="16" t="s">
        <v>16</v>
      </c>
      <c r="K138" s="16" t="str">
        <f>VLOOKUP(C138,CheckName!A:B,2,0)</f>
        <v>Emp</v>
      </c>
      <c r="L138">
        <v>0</v>
      </c>
      <c r="M138" s="16">
        <f t="shared" si="2"/>
        <v>2</v>
      </c>
      <c r="N138" t="str">
        <f>TEXT(MTDRejection[[#This Row],[RejectionDate]],"dddd")</f>
        <v>Monday</v>
      </c>
    </row>
    <row r="139" spans="1:14">
      <c r="A139" t="s">
        <v>362</v>
      </c>
      <c r="B139" t="s">
        <v>2925</v>
      </c>
      <c r="C139" t="s">
        <v>25</v>
      </c>
      <c r="D139" t="s">
        <v>26</v>
      </c>
      <c r="E139" s="7">
        <v>45628</v>
      </c>
      <c r="F139" t="s">
        <v>2330</v>
      </c>
      <c r="G139">
        <v>1</v>
      </c>
      <c r="H139" t="s">
        <v>27</v>
      </c>
      <c r="I139" t="s">
        <v>16</v>
      </c>
      <c r="J139" t="s">
        <v>16</v>
      </c>
      <c r="K139" s="16" t="str">
        <f>VLOOKUP(C139,CheckName!A:B,2,0)</f>
        <v>Add</v>
      </c>
      <c r="L139">
        <v>0</v>
      </c>
      <c r="M139" s="16">
        <f t="shared" si="2"/>
        <v>2</v>
      </c>
      <c r="N139" t="str">
        <f>TEXT(MTDRejection[[#This Row],[RejectionDate]],"dddd")</f>
        <v>Monday</v>
      </c>
    </row>
    <row r="140" spans="1:14">
      <c r="A140" s="16" t="s">
        <v>84</v>
      </c>
      <c r="B140" s="16" t="s">
        <v>2926</v>
      </c>
      <c r="C140" s="16" t="s">
        <v>25</v>
      </c>
      <c r="D140" s="16" t="s">
        <v>26</v>
      </c>
      <c r="E140" s="19">
        <v>45628</v>
      </c>
      <c r="F140" s="16" t="s">
        <v>66</v>
      </c>
      <c r="G140" s="16">
        <v>1</v>
      </c>
      <c r="H140" s="16" t="s">
        <v>27</v>
      </c>
      <c r="I140" s="16" t="s">
        <v>16</v>
      </c>
      <c r="J140" s="16" t="s">
        <v>16</v>
      </c>
      <c r="K140" s="16" t="str">
        <f>VLOOKUP(C140,CheckName!A:B,2,0)</f>
        <v>Add</v>
      </c>
      <c r="L140">
        <v>0</v>
      </c>
      <c r="M140" s="16">
        <f t="shared" si="2"/>
        <v>2</v>
      </c>
      <c r="N140" t="str">
        <f>TEXT(MTDRejection[[#This Row],[RejectionDate]],"dddd")</f>
        <v>Monday</v>
      </c>
    </row>
    <row r="141" spans="1:14">
      <c r="A141" t="s">
        <v>45</v>
      </c>
      <c r="B141" t="s">
        <v>2927</v>
      </c>
      <c r="C141" t="s">
        <v>1218</v>
      </c>
      <c r="D141" t="s">
        <v>13</v>
      </c>
      <c r="E141" s="7">
        <v>45628</v>
      </c>
      <c r="F141" t="s">
        <v>1219</v>
      </c>
      <c r="G141">
        <v>1</v>
      </c>
      <c r="H141" t="s">
        <v>15</v>
      </c>
      <c r="I141" t="s">
        <v>16</v>
      </c>
      <c r="J141" t="s">
        <v>16</v>
      </c>
      <c r="K141" s="16" t="str">
        <f>VLOOKUP(C141,CheckName!A:B,2,0)</f>
        <v>Special Check</v>
      </c>
      <c r="L141">
        <v>0</v>
      </c>
      <c r="M141" s="16">
        <f t="shared" si="2"/>
        <v>2</v>
      </c>
      <c r="N141" t="str">
        <f>TEXT(MTDRejection[[#This Row],[RejectionDate]],"dddd")</f>
        <v>Monday</v>
      </c>
    </row>
    <row r="142" spans="1:14">
      <c r="A142" s="16" t="s">
        <v>306</v>
      </c>
      <c r="B142" s="16" t="s">
        <v>2928</v>
      </c>
      <c r="C142" s="16" t="s">
        <v>25</v>
      </c>
      <c r="D142" s="16" t="s">
        <v>26</v>
      </c>
      <c r="E142" s="19">
        <v>45628</v>
      </c>
      <c r="F142" s="16" t="s">
        <v>66</v>
      </c>
      <c r="G142" s="16">
        <v>1</v>
      </c>
      <c r="H142" s="16" t="s">
        <v>30</v>
      </c>
      <c r="I142" s="16" t="s">
        <v>16</v>
      </c>
      <c r="J142" s="16" t="s">
        <v>16</v>
      </c>
      <c r="K142" s="16" t="str">
        <f>VLOOKUP(C142,CheckName!A:B,2,0)</f>
        <v>Add</v>
      </c>
      <c r="L142">
        <v>0</v>
      </c>
      <c r="M142" s="16">
        <f t="shared" si="2"/>
        <v>2</v>
      </c>
      <c r="N142" t="str">
        <f>TEXT(MTDRejection[[#This Row],[RejectionDate]],"dddd")</f>
        <v>Monday</v>
      </c>
    </row>
    <row r="143" spans="1:14">
      <c r="A143" t="s">
        <v>1221</v>
      </c>
      <c r="B143" t="s">
        <v>2929</v>
      </c>
      <c r="C143" t="s">
        <v>19</v>
      </c>
      <c r="D143" t="s">
        <v>20</v>
      </c>
      <c r="E143" s="7">
        <v>45628</v>
      </c>
      <c r="F143" t="s">
        <v>66</v>
      </c>
      <c r="G143">
        <v>1</v>
      </c>
      <c r="H143" t="s">
        <v>22</v>
      </c>
      <c r="I143" t="s">
        <v>16</v>
      </c>
      <c r="J143" t="s">
        <v>16</v>
      </c>
      <c r="K143" s="16" t="str">
        <f>VLOOKUP(C143,CheckName!A:B,2,0)</f>
        <v>Add</v>
      </c>
      <c r="L143">
        <v>0</v>
      </c>
      <c r="M143" s="16">
        <f t="shared" si="2"/>
        <v>2</v>
      </c>
      <c r="N143" t="str">
        <f>TEXT(MTDRejection[[#This Row],[RejectionDate]],"dddd")</f>
        <v>Monday</v>
      </c>
    </row>
    <row r="144" spans="1:14">
      <c r="A144" s="16" t="s">
        <v>119</v>
      </c>
      <c r="B144" s="16" t="s">
        <v>2930</v>
      </c>
      <c r="C144" s="16" t="s">
        <v>25</v>
      </c>
      <c r="D144" s="16" t="s">
        <v>20</v>
      </c>
      <c r="E144" s="19">
        <v>45628</v>
      </c>
      <c r="F144" s="16" t="s">
        <v>2330</v>
      </c>
      <c r="G144" s="16">
        <v>1</v>
      </c>
      <c r="H144" s="16" t="s">
        <v>27</v>
      </c>
      <c r="I144" s="16" t="s">
        <v>16</v>
      </c>
      <c r="J144" s="16" t="s">
        <v>16</v>
      </c>
      <c r="K144" s="16" t="str">
        <f>VLOOKUP(C144,CheckName!A:B,2,0)</f>
        <v>Add</v>
      </c>
      <c r="L144">
        <v>0</v>
      </c>
      <c r="M144" s="16">
        <f t="shared" si="2"/>
        <v>2</v>
      </c>
      <c r="N144" t="str">
        <f>TEXT(MTDRejection[[#This Row],[RejectionDate]],"dddd")</f>
        <v>Monday</v>
      </c>
    </row>
    <row r="145" spans="1:14">
      <c r="A145" t="s">
        <v>133</v>
      </c>
      <c r="B145" t="s">
        <v>2931</v>
      </c>
      <c r="C145" t="s">
        <v>25</v>
      </c>
      <c r="D145" t="s">
        <v>20</v>
      </c>
      <c r="E145" s="7">
        <v>45628</v>
      </c>
      <c r="F145" t="s">
        <v>2330</v>
      </c>
      <c r="G145">
        <v>1</v>
      </c>
      <c r="H145" t="s">
        <v>22</v>
      </c>
      <c r="I145" t="s">
        <v>16</v>
      </c>
      <c r="J145" t="s">
        <v>16</v>
      </c>
      <c r="K145" s="16" t="str">
        <f>VLOOKUP(C145,CheckName!A:B,2,0)</f>
        <v>Add</v>
      </c>
      <c r="L145">
        <v>0</v>
      </c>
      <c r="M145" s="16">
        <f t="shared" si="2"/>
        <v>2</v>
      </c>
      <c r="N145" t="str">
        <f>TEXT(MTDRejection[[#This Row],[RejectionDate]],"dddd")</f>
        <v>Monday</v>
      </c>
    </row>
    <row r="146" spans="1:14">
      <c r="A146" s="16" t="s">
        <v>1225</v>
      </c>
      <c r="B146" s="16" t="s">
        <v>2932</v>
      </c>
      <c r="C146" s="16" t="s">
        <v>25</v>
      </c>
      <c r="D146" s="16" t="s">
        <v>20</v>
      </c>
      <c r="E146" s="19">
        <v>45628</v>
      </c>
      <c r="F146" s="16" t="s">
        <v>2330</v>
      </c>
      <c r="G146" s="16">
        <v>1</v>
      </c>
      <c r="H146" s="16" t="s">
        <v>22</v>
      </c>
      <c r="I146" s="16" t="s">
        <v>16</v>
      </c>
      <c r="J146" s="16" t="s">
        <v>16</v>
      </c>
      <c r="K146" s="16" t="str">
        <f>VLOOKUP(C146,CheckName!A:B,2,0)</f>
        <v>Add</v>
      </c>
      <c r="L146">
        <v>0</v>
      </c>
      <c r="M146" s="16">
        <f t="shared" si="2"/>
        <v>2</v>
      </c>
      <c r="N146" t="str">
        <f>TEXT(MTDRejection[[#This Row],[RejectionDate]],"dddd")</f>
        <v>Monday</v>
      </c>
    </row>
    <row r="147" spans="1:14">
      <c r="A147" t="s">
        <v>47</v>
      </c>
      <c r="B147" t="s">
        <v>2933</v>
      </c>
      <c r="C147" t="s">
        <v>71</v>
      </c>
      <c r="D147" t="s">
        <v>13</v>
      </c>
      <c r="E147" s="7">
        <v>45628</v>
      </c>
      <c r="F147" t="s">
        <v>2328</v>
      </c>
      <c r="G147">
        <v>1</v>
      </c>
      <c r="H147" t="s">
        <v>15</v>
      </c>
      <c r="I147" t="s">
        <v>16</v>
      </c>
      <c r="J147" t="s">
        <v>16</v>
      </c>
      <c r="K147" s="16" t="str">
        <f>VLOOKUP(C147,CheckName!A:B,2,0)</f>
        <v>CRC</v>
      </c>
      <c r="L147">
        <v>0</v>
      </c>
      <c r="M147" s="16">
        <f t="shared" si="2"/>
        <v>2</v>
      </c>
      <c r="N147" t="str">
        <f>TEXT(MTDRejection[[#This Row],[RejectionDate]],"dddd")</f>
        <v>Monday</v>
      </c>
    </row>
    <row r="148" spans="1:14">
      <c r="A148" s="16" t="s">
        <v>353</v>
      </c>
      <c r="B148" s="16" t="s">
        <v>2934</v>
      </c>
      <c r="C148" s="16" t="s">
        <v>36</v>
      </c>
      <c r="D148" s="16" t="s">
        <v>13</v>
      </c>
      <c r="E148" s="19">
        <v>45628</v>
      </c>
      <c r="F148" s="16" t="s">
        <v>2342</v>
      </c>
      <c r="G148" s="16">
        <v>1</v>
      </c>
      <c r="H148" s="16" t="s">
        <v>15</v>
      </c>
      <c r="I148" s="16" t="s">
        <v>16</v>
      </c>
      <c r="J148" s="16" t="s">
        <v>16</v>
      </c>
      <c r="K148" s="16" t="str">
        <f>VLOOKUP(C148,CheckName!A:B,2,0)</f>
        <v>Emp</v>
      </c>
      <c r="L148">
        <v>0</v>
      </c>
      <c r="M148" s="16">
        <f t="shared" si="2"/>
        <v>2</v>
      </c>
      <c r="N148" t="str">
        <f>TEXT(MTDRejection[[#This Row],[RejectionDate]],"dddd")</f>
        <v>Monday</v>
      </c>
    </row>
    <row r="149" spans="1:14">
      <c r="A149" t="s">
        <v>211</v>
      </c>
      <c r="B149" t="s">
        <v>2935</v>
      </c>
      <c r="C149" t="s">
        <v>54</v>
      </c>
      <c r="D149" t="s">
        <v>26</v>
      </c>
      <c r="E149" s="7">
        <v>45628</v>
      </c>
      <c r="F149" t="s">
        <v>458</v>
      </c>
      <c r="G149">
        <v>1</v>
      </c>
      <c r="H149" t="s">
        <v>27</v>
      </c>
      <c r="I149" t="s">
        <v>16</v>
      </c>
      <c r="J149" t="s">
        <v>16</v>
      </c>
      <c r="K149" s="16" t="str">
        <f>VLOOKUP(C149,CheckName!A:B,2,0)</f>
        <v>Edu</v>
      </c>
      <c r="L149">
        <v>0</v>
      </c>
      <c r="M149" s="16">
        <f t="shared" si="2"/>
        <v>2</v>
      </c>
      <c r="N149" t="str">
        <f>TEXT(MTDRejection[[#This Row],[RejectionDate]],"dddd")</f>
        <v>Monday</v>
      </c>
    </row>
    <row r="150" spans="1:14">
      <c r="A150" s="16" t="s">
        <v>84</v>
      </c>
      <c r="B150" s="16" t="s">
        <v>2936</v>
      </c>
      <c r="C150" s="16" t="s">
        <v>467</v>
      </c>
      <c r="D150" s="16" t="s">
        <v>26</v>
      </c>
      <c r="E150" s="19">
        <v>45628</v>
      </c>
      <c r="F150" s="16" t="s">
        <v>236</v>
      </c>
      <c r="G150" s="16">
        <v>1</v>
      </c>
      <c r="H150" s="16" t="s">
        <v>27</v>
      </c>
      <c r="I150" s="16" t="s">
        <v>16</v>
      </c>
      <c r="J150" s="16" t="s">
        <v>16</v>
      </c>
      <c r="K150" s="16" t="str">
        <f>VLOOKUP(C150,CheckName!A:B,2,0)</f>
        <v>Special Check</v>
      </c>
      <c r="L150">
        <v>0</v>
      </c>
      <c r="M150" s="16">
        <f t="shared" si="2"/>
        <v>2</v>
      </c>
      <c r="N150" t="str">
        <f>TEXT(MTDRejection[[#This Row],[RejectionDate]],"dddd")</f>
        <v>Monday</v>
      </c>
    </row>
    <row r="151" spans="1:14">
      <c r="A151" t="s">
        <v>432</v>
      </c>
      <c r="B151" t="s">
        <v>2937</v>
      </c>
      <c r="C151" t="s">
        <v>467</v>
      </c>
      <c r="D151" t="s">
        <v>26</v>
      </c>
      <c r="E151" s="7">
        <v>45628</v>
      </c>
      <c r="F151" t="s">
        <v>236</v>
      </c>
      <c r="G151">
        <v>1</v>
      </c>
      <c r="H151" t="s">
        <v>27</v>
      </c>
      <c r="I151" t="s">
        <v>16</v>
      </c>
      <c r="J151" t="s">
        <v>16</v>
      </c>
      <c r="K151" s="16" t="str">
        <f>VLOOKUP(C151,CheckName!A:B,2,0)</f>
        <v>Special Check</v>
      </c>
      <c r="L151">
        <v>0</v>
      </c>
      <c r="M151" s="16">
        <f t="shared" si="2"/>
        <v>2</v>
      </c>
      <c r="N151" t="str">
        <f>TEXT(MTDRejection[[#This Row],[RejectionDate]],"dddd")</f>
        <v>Monday</v>
      </c>
    </row>
    <row r="152" spans="1:14">
      <c r="A152" s="16" t="s">
        <v>432</v>
      </c>
      <c r="B152" s="16" t="s">
        <v>2372</v>
      </c>
      <c r="C152" s="16" t="s">
        <v>467</v>
      </c>
      <c r="D152" s="16" t="s">
        <v>26</v>
      </c>
      <c r="E152" s="19">
        <v>45628</v>
      </c>
      <c r="F152" s="16" t="s">
        <v>236</v>
      </c>
      <c r="G152" s="16">
        <v>1</v>
      </c>
      <c r="H152" s="16" t="s">
        <v>27</v>
      </c>
      <c r="I152" s="16" t="s">
        <v>16</v>
      </c>
      <c r="J152" s="16" t="s">
        <v>16</v>
      </c>
      <c r="K152" s="16" t="str">
        <f>VLOOKUP(C152,CheckName!A:B,2,0)</f>
        <v>Special Check</v>
      </c>
      <c r="L152">
        <v>0</v>
      </c>
      <c r="M152" s="16">
        <f t="shared" si="2"/>
        <v>2</v>
      </c>
      <c r="N152" t="str">
        <f>TEXT(MTDRejection[[#This Row],[RejectionDate]],"dddd")</f>
        <v>Monday</v>
      </c>
    </row>
    <row r="153" spans="1:14">
      <c r="A153" t="s">
        <v>465</v>
      </c>
      <c r="B153" t="s">
        <v>2938</v>
      </c>
      <c r="C153" t="s">
        <v>467</v>
      </c>
      <c r="D153" t="s">
        <v>26</v>
      </c>
      <c r="E153" s="7">
        <v>45628</v>
      </c>
      <c r="F153" t="s">
        <v>236</v>
      </c>
      <c r="G153">
        <v>1</v>
      </c>
      <c r="H153" t="s">
        <v>22</v>
      </c>
      <c r="I153" t="s">
        <v>16</v>
      </c>
      <c r="J153" t="s">
        <v>16</v>
      </c>
      <c r="K153" s="16" t="str">
        <f>VLOOKUP(C153,CheckName!A:B,2,0)</f>
        <v>Special Check</v>
      </c>
      <c r="L153">
        <v>0</v>
      </c>
      <c r="M153" s="16">
        <f t="shared" si="2"/>
        <v>2</v>
      </c>
      <c r="N153" t="str">
        <f>TEXT(MTDRejection[[#This Row],[RejectionDate]],"dddd")</f>
        <v>Monday</v>
      </c>
    </row>
    <row r="154" spans="1:14">
      <c r="A154" s="16" t="s">
        <v>1110</v>
      </c>
      <c r="B154" s="16" t="s">
        <v>2939</v>
      </c>
      <c r="C154" s="16" t="s">
        <v>965</v>
      </c>
      <c r="D154" s="16" t="s">
        <v>26</v>
      </c>
      <c r="E154" s="19">
        <v>45628</v>
      </c>
      <c r="F154" s="16" t="s">
        <v>2327</v>
      </c>
      <c r="G154" s="16">
        <v>1</v>
      </c>
      <c r="H154" s="16" t="s">
        <v>27</v>
      </c>
      <c r="I154" s="16" t="s">
        <v>16</v>
      </c>
      <c r="J154" s="16" t="s">
        <v>16</v>
      </c>
      <c r="K154" s="16" t="str">
        <f>VLOOKUP(C154,CheckName!A:B,2,0)</f>
        <v>Add</v>
      </c>
      <c r="L154">
        <v>0</v>
      </c>
      <c r="M154" s="16">
        <f t="shared" si="2"/>
        <v>2</v>
      </c>
      <c r="N154" t="str">
        <f>TEXT(MTDRejection[[#This Row],[RejectionDate]],"dddd")</f>
        <v>Monday</v>
      </c>
    </row>
    <row r="155" spans="1:14">
      <c r="A155" t="s">
        <v>64</v>
      </c>
      <c r="B155" t="s">
        <v>2940</v>
      </c>
      <c r="C155" t="s">
        <v>25</v>
      </c>
      <c r="D155" t="s">
        <v>26</v>
      </c>
      <c r="E155" s="7">
        <v>45628</v>
      </c>
      <c r="F155" t="s">
        <v>273</v>
      </c>
      <c r="G155">
        <v>1</v>
      </c>
      <c r="H155" t="s">
        <v>27</v>
      </c>
      <c r="I155" t="s">
        <v>16</v>
      </c>
      <c r="J155" t="s">
        <v>16</v>
      </c>
      <c r="K155" s="16" t="str">
        <f>VLOOKUP(C155,CheckName!A:B,2,0)</f>
        <v>Add</v>
      </c>
      <c r="L155">
        <v>0</v>
      </c>
      <c r="M155" s="16">
        <f t="shared" si="2"/>
        <v>2</v>
      </c>
      <c r="N155" t="str">
        <f>TEXT(MTDRejection[[#This Row],[RejectionDate]],"dddd")</f>
        <v>Monday</v>
      </c>
    </row>
    <row r="156" spans="1:14">
      <c r="A156" s="16" t="s">
        <v>203</v>
      </c>
      <c r="B156" s="16" t="s">
        <v>2373</v>
      </c>
      <c r="C156" s="16" t="s">
        <v>36</v>
      </c>
      <c r="D156" s="16" t="s">
        <v>26</v>
      </c>
      <c r="E156" s="19">
        <v>45628</v>
      </c>
      <c r="F156" s="16" t="s">
        <v>325</v>
      </c>
      <c r="G156" s="16">
        <v>1</v>
      </c>
      <c r="H156" s="16" t="s">
        <v>27</v>
      </c>
      <c r="I156" s="16" t="s">
        <v>16</v>
      </c>
      <c r="J156" s="16" t="s">
        <v>16</v>
      </c>
      <c r="K156" s="16" t="str">
        <f>VLOOKUP(C156,CheckName!A:B,2,0)</f>
        <v>Emp</v>
      </c>
      <c r="L156">
        <v>0</v>
      </c>
      <c r="M156" s="16">
        <f t="shared" si="2"/>
        <v>2</v>
      </c>
      <c r="N156" t="str">
        <f>TEXT(MTDRejection[[#This Row],[RejectionDate]],"dddd")</f>
        <v>Monday</v>
      </c>
    </row>
    <row r="157" spans="1:14">
      <c r="A157" t="s">
        <v>1237</v>
      </c>
      <c r="B157" t="s">
        <v>2374</v>
      </c>
      <c r="C157" t="s">
        <v>49</v>
      </c>
      <c r="D157" t="s">
        <v>13</v>
      </c>
      <c r="E157" s="7">
        <v>45628</v>
      </c>
      <c r="F157" t="s">
        <v>2326</v>
      </c>
      <c r="G157">
        <v>1</v>
      </c>
      <c r="H157" t="s">
        <v>15</v>
      </c>
      <c r="I157" t="s">
        <v>16</v>
      </c>
      <c r="J157" t="s">
        <v>16</v>
      </c>
      <c r="K157" s="16" t="str">
        <f>VLOOKUP(C157,CheckName!A:B,2,0)</f>
        <v>CRC</v>
      </c>
      <c r="L157">
        <v>0</v>
      </c>
      <c r="M157" s="16">
        <f t="shared" si="2"/>
        <v>2</v>
      </c>
      <c r="N157" t="str">
        <f>TEXT(MTDRejection[[#This Row],[RejectionDate]],"dddd")</f>
        <v>Monday</v>
      </c>
    </row>
    <row r="158" spans="1:14">
      <c r="A158" s="16" t="s">
        <v>1237</v>
      </c>
      <c r="B158" s="16" t="s">
        <v>2941</v>
      </c>
      <c r="C158" s="16" t="s">
        <v>71</v>
      </c>
      <c r="D158" s="16" t="s">
        <v>13</v>
      </c>
      <c r="E158" s="19">
        <v>45628</v>
      </c>
      <c r="F158" s="16" t="s">
        <v>2326</v>
      </c>
      <c r="G158" s="16">
        <v>1</v>
      </c>
      <c r="H158" s="16" t="s">
        <v>15</v>
      </c>
      <c r="I158" s="16" t="s">
        <v>16</v>
      </c>
      <c r="J158" s="16" t="s">
        <v>16</v>
      </c>
      <c r="K158" s="16" t="str">
        <f>VLOOKUP(C158,CheckName!A:B,2,0)</f>
        <v>CRC</v>
      </c>
      <c r="L158">
        <v>0</v>
      </c>
      <c r="M158" s="16">
        <f t="shared" si="2"/>
        <v>2</v>
      </c>
      <c r="N158" t="str">
        <f>TEXT(MTDRejection[[#This Row],[RejectionDate]],"dddd")</f>
        <v>Monday</v>
      </c>
    </row>
    <row r="159" spans="1:14">
      <c r="A159" t="s">
        <v>47</v>
      </c>
      <c r="B159" t="s">
        <v>2942</v>
      </c>
      <c r="C159" t="s">
        <v>71</v>
      </c>
      <c r="D159" t="s">
        <v>13</v>
      </c>
      <c r="E159" s="7">
        <v>45629</v>
      </c>
      <c r="F159" t="s">
        <v>2326</v>
      </c>
      <c r="G159">
        <v>0</v>
      </c>
      <c r="H159" t="s">
        <v>15</v>
      </c>
      <c r="I159" t="s">
        <v>16</v>
      </c>
      <c r="J159" t="s">
        <v>16</v>
      </c>
      <c r="K159" s="16" t="str">
        <f>VLOOKUP(C159,CheckName!A:B,2,0)</f>
        <v>CRC</v>
      </c>
      <c r="L159">
        <v>0</v>
      </c>
      <c r="M159" s="16">
        <f t="shared" si="2"/>
        <v>3</v>
      </c>
      <c r="N159" t="str">
        <f>TEXT(MTDRejection[[#This Row],[RejectionDate]],"dddd")</f>
        <v>Tuesday</v>
      </c>
    </row>
    <row r="160" spans="1:14">
      <c r="A160" s="16" t="s">
        <v>1246</v>
      </c>
      <c r="B160" s="16" t="s">
        <v>2943</v>
      </c>
      <c r="C160" s="16" t="s">
        <v>12</v>
      </c>
      <c r="D160" s="16" t="s">
        <v>13</v>
      </c>
      <c r="E160" s="19">
        <v>45629</v>
      </c>
      <c r="F160" s="16" t="s">
        <v>2343</v>
      </c>
      <c r="G160" s="16">
        <v>0</v>
      </c>
      <c r="H160" s="16" t="s">
        <v>15</v>
      </c>
      <c r="I160" s="16" t="s">
        <v>16</v>
      </c>
      <c r="J160" s="16" t="s">
        <v>16</v>
      </c>
      <c r="K160" s="16" t="str">
        <f>VLOOKUP(C160,CheckName!A:B,2,0)</f>
        <v>Emp</v>
      </c>
      <c r="L160">
        <v>0</v>
      </c>
      <c r="M160" s="16">
        <f t="shared" si="2"/>
        <v>3</v>
      </c>
      <c r="N160" t="str">
        <f>TEXT(MTDRejection[[#This Row],[RejectionDate]],"dddd")</f>
        <v>Tuesday</v>
      </c>
    </row>
    <row r="161" spans="1:14">
      <c r="A161" t="s">
        <v>1110</v>
      </c>
      <c r="B161" t="s">
        <v>2944</v>
      </c>
      <c r="C161" t="s">
        <v>965</v>
      </c>
      <c r="D161" t="s">
        <v>20</v>
      </c>
      <c r="E161" s="7">
        <v>45629</v>
      </c>
      <c r="F161" t="s">
        <v>2327</v>
      </c>
      <c r="G161">
        <v>0</v>
      </c>
      <c r="H161" t="s">
        <v>22</v>
      </c>
      <c r="I161" t="s">
        <v>16</v>
      </c>
      <c r="J161" t="s">
        <v>16</v>
      </c>
      <c r="K161" s="16" t="str">
        <f>VLOOKUP(C161,CheckName!A:B,2,0)</f>
        <v>Add</v>
      </c>
      <c r="L161">
        <v>0</v>
      </c>
      <c r="M161" s="16">
        <f t="shared" si="2"/>
        <v>3</v>
      </c>
      <c r="N161" t="str">
        <f>TEXT(MTDRejection[[#This Row],[RejectionDate]],"dddd")</f>
        <v>Tuesday</v>
      </c>
    </row>
    <row r="162" spans="1:14">
      <c r="A162" s="16" t="s">
        <v>1110</v>
      </c>
      <c r="B162" s="16" t="s">
        <v>2945</v>
      </c>
      <c r="C162" s="16" t="s">
        <v>965</v>
      </c>
      <c r="D162" s="16" t="s">
        <v>20</v>
      </c>
      <c r="E162" s="19">
        <v>45629</v>
      </c>
      <c r="F162" s="16" t="s">
        <v>2327</v>
      </c>
      <c r="G162" s="16">
        <v>0</v>
      </c>
      <c r="H162" s="16" t="s">
        <v>22</v>
      </c>
      <c r="I162" s="16" t="s">
        <v>16</v>
      </c>
      <c r="J162" s="16" t="s">
        <v>16</v>
      </c>
      <c r="K162" s="16" t="str">
        <f>VLOOKUP(C162,CheckName!A:B,2,0)</f>
        <v>Add</v>
      </c>
      <c r="L162">
        <v>0</v>
      </c>
      <c r="M162" s="16">
        <f t="shared" si="2"/>
        <v>3</v>
      </c>
      <c r="N162" t="str">
        <f>TEXT(MTDRejection[[#This Row],[RejectionDate]],"dddd")</f>
        <v>Tuesday</v>
      </c>
    </row>
    <row r="163" spans="1:14">
      <c r="A163" t="s">
        <v>1110</v>
      </c>
      <c r="B163" t="s">
        <v>2946</v>
      </c>
      <c r="C163" t="s">
        <v>965</v>
      </c>
      <c r="D163" t="s">
        <v>20</v>
      </c>
      <c r="E163" s="7">
        <v>45629</v>
      </c>
      <c r="F163" t="s">
        <v>2327</v>
      </c>
      <c r="G163">
        <v>0</v>
      </c>
      <c r="H163" t="s">
        <v>22</v>
      </c>
      <c r="I163" t="s">
        <v>16</v>
      </c>
      <c r="J163" t="s">
        <v>16</v>
      </c>
      <c r="K163" s="16" t="str">
        <f>VLOOKUP(C163,CheckName!A:B,2,0)</f>
        <v>Add</v>
      </c>
      <c r="L163">
        <v>0</v>
      </c>
      <c r="M163" s="16">
        <f t="shared" si="2"/>
        <v>3</v>
      </c>
      <c r="N163" t="str">
        <f>TEXT(MTDRejection[[#This Row],[RejectionDate]],"dddd")</f>
        <v>Tuesday</v>
      </c>
    </row>
    <row r="164" spans="1:14">
      <c r="A164" s="16" t="s">
        <v>1110</v>
      </c>
      <c r="B164" s="16" t="s">
        <v>2947</v>
      </c>
      <c r="C164" s="16" t="s">
        <v>965</v>
      </c>
      <c r="D164" s="16" t="s">
        <v>20</v>
      </c>
      <c r="E164" s="19">
        <v>45629</v>
      </c>
      <c r="F164" s="16" t="s">
        <v>2327</v>
      </c>
      <c r="G164" s="16">
        <v>0</v>
      </c>
      <c r="H164" s="16" t="s">
        <v>22</v>
      </c>
      <c r="I164" s="16" t="s">
        <v>16</v>
      </c>
      <c r="J164" s="16" t="s">
        <v>16</v>
      </c>
      <c r="K164" s="16" t="str">
        <f>VLOOKUP(C164,CheckName!A:B,2,0)</f>
        <v>Add</v>
      </c>
      <c r="L164">
        <v>0</v>
      </c>
      <c r="M164" s="16">
        <f t="shared" si="2"/>
        <v>3</v>
      </c>
      <c r="N164" t="str">
        <f>TEXT(MTDRejection[[#This Row],[RejectionDate]],"dddd")</f>
        <v>Tuesday</v>
      </c>
    </row>
    <row r="165" spans="1:14">
      <c r="A165" t="s">
        <v>64</v>
      </c>
      <c r="B165" t="s">
        <v>2948</v>
      </c>
      <c r="C165" t="s">
        <v>25</v>
      </c>
      <c r="D165" t="s">
        <v>20</v>
      </c>
      <c r="E165" s="7">
        <v>45629</v>
      </c>
      <c r="F165" t="s">
        <v>2327</v>
      </c>
      <c r="G165">
        <v>0</v>
      </c>
      <c r="H165" t="s">
        <v>130</v>
      </c>
      <c r="I165" t="s">
        <v>16</v>
      </c>
      <c r="J165" t="s">
        <v>16</v>
      </c>
      <c r="K165" s="16" t="str">
        <f>VLOOKUP(C165,CheckName!A:B,2,0)</f>
        <v>Add</v>
      </c>
      <c r="L165">
        <v>0</v>
      </c>
      <c r="M165" s="16">
        <f t="shared" si="2"/>
        <v>3</v>
      </c>
      <c r="N165" t="str">
        <f>TEXT(MTDRejection[[#This Row],[RejectionDate]],"dddd")</f>
        <v>Tuesday</v>
      </c>
    </row>
    <row r="166" spans="1:14">
      <c r="A166" s="16" t="s">
        <v>1253</v>
      </c>
      <c r="B166" s="16" t="s">
        <v>2949</v>
      </c>
      <c r="C166" s="16" t="s">
        <v>12</v>
      </c>
      <c r="D166" s="16" t="s">
        <v>26</v>
      </c>
      <c r="E166" s="19">
        <v>45629</v>
      </c>
      <c r="F166" s="16" t="s">
        <v>37</v>
      </c>
      <c r="G166" s="16">
        <v>0</v>
      </c>
      <c r="H166" s="16" t="s">
        <v>27</v>
      </c>
      <c r="I166" s="16" t="s">
        <v>16</v>
      </c>
      <c r="J166" s="16" t="s">
        <v>16</v>
      </c>
      <c r="K166" s="16" t="str">
        <f>VLOOKUP(C166,CheckName!A:B,2,0)</f>
        <v>Emp</v>
      </c>
      <c r="L166">
        <v>0</v>
      </c>
      <c r="M166" s="16">
        <f t="shared" si="2"/>
        <v>3</v>
      </c>
      <c r="N166" t="str">
        <f>TEXT(MTDRejection[[#This Row],[RejectionDate]],"dddd")</f>
        <v>Tuesday</v>
      </c>
    </row>
    <row r="167" spans="1:14">
      <c r="A167" t="s">
        <v>163</v>
      </c>
      <c r="B167" t="s">
        <v>2950</v>
      </c>
      <c r="C167" t="s">
        <v>12</v>
      </c>
      <c r="D167" t="s">
        <v>38</v>
      </c>
      <c r="E167" s="7">
        <v>45629</v>
      </c>
      <c r="F167" t="s">
        <v>39</v>
      </c>
      <c r="G167">
        <v>0</v>
      </c>
      <c r="H167" t="s">
        <v>42</v>
      </c>
      <c r="I167" t="s">
        <v>16</v>
      </c>
      <c r="J167" t="s">
        <v>16</v>
      </c>
      <c r="K167" s="16" t="str">
        <f>VLOOKUP(C167,CheckName!A:B,2,0)</f>
        <v>Emp</v>
      </c>
      <c r="L167">
        <v>0</v>
      </c>
      <c r="M167" s="16">
        <f t="shared" si="2"/>
        <v>3</v>
      </c>
      <c r="N167" t="str">
        <f>TEXT(MTDRejection[[#This Row],[RejectionDate]],"dddd")</f>
        <v>Tuesday</v>
      </c>
    </row>
    <row r="168" spans="1:14">
      <c r="A168" s="16" t="s">
        <v>299</v>
      </c>
      <c r="B168" s="16" t="s">
        <v>2951</v>
      </c>
      <c r="C168" s="16" t="s">
        <v>36</v>
      </c>
      <c r="D168" s="16" t="s">
        <v>38</v>
      </c>
      <c r="E168" s="19">
        <v>45629</v>
      </c>
      <c r="F168" s="16" t="s">
        <v>39</v>
      </c>
      <c r="G168" s="16">
        <v>0</v>
      </c>
      <c r="H168" s="16" t="s">
        <v>42</v>
      </c>
      <c r="I168" s="16" t="s">
        <v>16</v>
      </c>
      <c r="J168" s="16" t="s">
        <v>16</v>
      </c>
      <c r="K168" s="16" t="str">
        <f>VLOOKUP(C168,CheckName!A:B,2,0)</f>
        <v>Emp</v>
      </c>
      <c r="L168">
        <v>0</v>
      </c>
      <c r="M168" s="16">
        <f t="shared" si="2"/>
        <v>3</v>
      </c>
      <c r="N168" t="str">
        <f>TEXT(MTDRejection[[#This Row],[RejectionDate]],"dddd")</f>
        <v>Tuesday</v>
      </c>
    </row>
    <row r="169" spans="1:14">
      <c r="A169" t="s">
        <v>45</v>
      </c>
      <c r="B169" t="s">
        <v>1256</v>
      </c>
      <c r="C169" t="s">
        <v>125</v>
      </c>
      <c r="D169" t="s">
        <v>38</v>
      </c>
      <c r="E169" s="7">
        <v>45629</v>
      </c>
      <c r="F169" t="s">
        <v>39</v>
      </c>
      <c r="G169">
        <v>0</v>
      </c>
      <c r="H169" t="s">
        <v>42</v>
      </c>
      <c r="I169" t="s">
        <v>16</v>
      </c>
      <c r="J169" t="s">
        <v>16</v>
      </c>
      <c r="K169" s="16" t="str">
        <f>VLOOKUP(C169,CheckName!A:B,2,0)</f>
        <v>Emp</v>
      </c>
      <c r="L169">
        <v>0</v>
      </c>
      <c r="M169" s="16">
        <f t="shared" si="2"/>
        <v>3</v>
      </c>
      <c r="N169" t="str">
        <f>TEXT(MTDRejection[[#This Row],[RejectionDate]],"dddd")</f>
        <v>Tuesday</v>
      </c>
    </row>
    <row r="170" spans="1:14">
      <c r="A170" s="16" t="s">
        <v>45</v>
      </c>
      <c r="B170" s="16" t="s">
        <v>2952</v>
      </c>
      <c r="C170" s="16" t="s">
        <v>125</v>
      </c>
      <c r="D170" s="16" t="s">
        <v>38</v>
      </c>
      <c r="E170" s="19">
        <v>45629</v>
      </c>
      <c r="F170" s="16" t="s">
        <v>39</v>
      </c>
      <c r="G170" s="16">
        <v>0</v>
      </c>
      <c r="H170" s="16" t="s">
        <v>42</v>
      </c>
      <c r="I170" s="16" t="s">
        <v>16</v>
      </c>
      <c r="J170" s="16" t="s">
        <v>16</v>
      </c>
      <c r="K170" s="16" t="str">
        <f>VLOOKUP(C170,CheckName!A:B,2,0)</f>
        <v>Emp</v>
      </c>
      <c r="L170">
        <v>0</v>
      </c>
      <c r="M170" s="16">
        <f t="shared" si="2"/>
        <v>3</v>
      </c>
      <c r="N170" t="str">
        <f>TEXT(MTDRejection[[#This Row],[RejectionDate]],"dddd")</f>
        <v>Tuesday</v>
      </c>
    </row>
    <row r="171" spans="1:14">
      <c r="A171" t="s">
        <v>47</v>
      </c>
      <c r="B171" t="s">
        <v>2953</v>
      </c>
      <c r="C171" t="s">
        <v>71</v>
      </c>
      <c r="D171" t="s">
        <v>13</v>
      </c>
      <c r="E171" s="7">
        <v>45629</v>
      </c>
      <c r="F171" t="s">
        <v>2334</v>
      </c>
      <c r="G171">
        <v>0</v>
      </c>
      <c r="H171" t="s">
        <v>15</v>
      </c>
      <c r="I171" t="s">
        <v>16</v>
      </c>
      <c r="J171" t="s">
        <v>16</v>
      </c>
      <c r="K171" s="16" t="str">
        <f>VLOOKUP(C171,CheckName!A:B,2,0)</f>
        <v>CRC</v>
      </c>
      <c r="L171">
        <v>0</v>
      </c>
      <c r="M171" s="16">
        <f t="shared" si="2"/>
        <v>3</v>
      </c>
      <c r="N171" t="str">
        <f>TEXT(MTDRejection[[#This Row],[RejectionDate]],"dddd")</f>
        <v>Tuesday</v>
      </c>
    </row>
    <row r="172" spans="1:14">
      <c r="A172" s="16" t="s">
        <v>160</v>
      </c>
      <c r="B172" s="16" t="s">
        <v>2954</v>
      </c>
      <c r="C172" s="16" t="s">
        <v>36</v>
      </c>
      <c r="D172" s="16" t="s">
        <v>26</v>
      </c>
      <c r="E172" s="19">
        <v>45629</v>
      </c>
      <c r="F172" s="16" t="s">
        <v>222</v>
      </c>
      <c r="G172" s="16">
        <v>0</v>
      </c>
      <c r="H172" s="16" t="s">
        <v>27</v>
      </c>
      <c r="I172" s="16" t="s">
        <v>16</v>
      </c>
      <c r="J172" s="16" t="s">
        <v>16</v>
      </c>
      <c r="K172" s="16" t="str">
        <f>VLOOKUP(C172,CheckName!A:B,2,0)</f>
        <v>Emp</v>
      </c>
      <c r="L172">
        <v>0</v>
      </c>
      <c r="M172" s="16">
        <f t="shared" si="2"/>
        <v>3</v>
      </c>
      <c r="N172" t="str">
        <f>TEXT(MTDRejection[[#This Row],[RejectionDate]],"dddd")</f>
        <v>Tuesday</v>
      </c>
    </row>
    <row r="173" spans="1:14">
      <c r="A173" t="s">
        <v>1259</v>
      </c>
      <c r="B173" t="s">
        <v>2955</v>
      </c>
      <c r="C173" t="s">
        <v>12</v>
      </c>
      <c r="D173" t="s">
        <v>26</v>
      </c>
      <c r="E173" s="7">
        <v>45629</v>
      </c>
      <c r="F173" t="s">
        <v>1055</v>
      </c>
      <c r="G173">
        <v>0</v>
      </c>
      <c r="H173" t="s">
        <v>22</v>
      </c>
      <c r="I173" t="s">
        <v>16</v>
      </c>
      <c r="J173" t="s">
        <v>16</v>
      </c>
      <c r="K173" s="16" t="str">
        <f>VLOOKUP(C173,CheckName!A:B,2,0)</f>
        <v>Emp</v>
      </c>
      <c r="L173">
        <v>0</v>
      </c>
      <c r="M173" s="16">
        <f t="shared" si="2"/>
        <v>3</v>
      </c>
      <c r="N173" t="str">
        <f>TEXT(MTDRejection[[#This Row],[RejectionDate]],"dddd")</f>
        <v>Tuesday</v>
      </c>
    </row>
    <row r="174" spans="1:14">
      <c r="A174" s="16" t="s">
        <v>216</v>
      </c>
      <c r="B174" s="16" t="s">
        <v>2956</v>
      </c>
      <c r="C174" s="16" t="s">
        <v>54</v>
      </c>
      <c r="D174" s="16" t="s">
        <v>26</v>
      </c>
      <c r="E174" s="19">
        <v>45629</v>
      </c>
      <c r="F174" s="16" t="s">
        <v>63</v>
      </c>
      <c r="G174" s="16">
        <v>0</v>
      </c>
      <c r="H174" s="16" t="s">
        <v>27</v>
      </c>
      <c r="I174" s="16" t="s">
        <v>16</v>
      </c>
      <c r="J174" s="16" t="s">
        <v>16</v>
      </c>
      <c r="K174" s="16" t="str">
        <f>VLOOKUP(C174,CheckName!A:B,2,0)</f>
        <v>Edu</v>
      </c>
      <c r="L174">
        <v>0</v>
      </c>
      <c r="M174" s="16">
        <f t="shared" si="2"/>
        <v>3</v>
      </c>
      <c r="N174" t="str">
        <f>TEXT(MTDRejection[[#This Row],[RejectionDate]],"dddd")</f>
        <v>Tuesday</v>
      </c>
    </row>
    <row r="175" spans="1:14">
      <c r="A175" t="s">
        <v>165</v>
      </c>
      <c r="B175" t="s">
        <v>2957</v>
      </c>
      <c r="C175" t="s">
        <v>54</v>
      </c>
      <c r="D175" t="s">
        <v>26</v>
      </c>
      <c r="E175" s="7">
        <v>45629</v>
      </c>
      <c r="F175" t="s">
        <v>2344</v>
      </c>
      <c r="G175">
        <v>0</v>
      </c>
      <c r="H175" t="s">
        <v>95</v>
      </c>
      <c r="I175" t="s">
        <v>16</v>
      </c>
      <c r="J175" t="s">
        <v>16</v>
      </c>
      <c r="K175" s="16" t="str">
        <f>VLOOKUP(C175,CheckName!A:B,2,0)</f>
        <v>Edu</v>
      </c>
      <c r="L175">
        <v>0</v>
      </c>
      <c r="M175" s="16">
        <f t="shared" si="2"/>
        <v>3</v>
      </c>
      <c r="N175" t="str">
        <f>TEXT(MTDRejection[[#This Row],[RejectionDate]],"dddd")</f>
        <v>Tuesday</v>
      </c>
    </row>
    <row r="176" spans="1:14">
      <c r="A176" s="16" t="s">
        <v>317</v>
      </c>
      <c r="B176" s="16" t="s">
        <v>2958</v>
      </c>
      <c r="C176" s="16" t="s">
        <v>19</v>
      </c>
      <c r="D176" s="16" t="s">
        <v>20</v>
      </c>
      <c r="E176" s="19">
        <v>45629</v>
      </c>
      <c r="F176" s="16" t="s">
        <v>2330</v>
      </c>
      <c r="G176" s="16">
        <v>0</v>
      </c>
      <c r="H176" s="16" t="s">
        <v>22</v>
      </c>
      <c r="I176" s="16" t="s">
        <v>16</v>
      </c>
      <c r="J176" s="16" t="s">
        <v>16</v>
      </c>
      <c r="K176" s="16" t="str">
        <f>VLOOKUP(C176,CheckName!A:B,2,0)</f>
        <v>Add</v>
      </c>
      <c r="L176">
        <v>0</v>
      </c>
      <c r="M176" s="16">
        <f t="shared" si="2"/>
        <v>3</v>
      </c>
      <c r="N176" t="str">
        <f>TEXT(MTDRejection[[#This Row],[RejectionDate]],"dddd")</f>
        <v>Tuesday</v>
      </c>
    </row>
    <row r="177" spans="1:14">
      <c r="A177" t="s">
        <v>362</v>
      </c>
      <c r="B177" t="s">
        <v>2959</v>
      </c>
      <c r="C177" t="s">
        <v>25</v>
      </c>
      <c r="D177" t="s">
        <v>26</v>
      </c>
      <c r="E177" s="7">
        <v>45629</v>
      </c>
      <c r="F177" t="s">
        <v>66</v>
      </c>
      <c r="G177">
        <v>0</v>
      </c>
      <c r="H177" t="s">
        <v>95</v>
      </c>
      <c r="I177" t="s">
        <v>16</v>
      </c>
      <c r="J177" t="s">
        <v>16</v>
      </c>
      <c r="K177" s="16" t="str">
        <f>VLOOKUP(C177,CheckName!A:B,2,0)</f>
        <v>Add</v>
      </c>
      <c r="L177">
        <v>0</v>
      </c>
      <c r="M177" s="16">
        <f t="shared" si="2"/>
        <v>3</v>
      </c>
      <c r="N177" t="str">
        <f>TEXT(MTDRejection[[#This Row],[RejectionDate]],"dddd")</f>
        <v>Tuesday</v>
      </c>
    </row>
    <row r="178" spans="1:14">
      <c r="A178" s="16" t="s">
        <v>88</v>
      </c>
      <c r="B178" s="16" t="s">
        <v>2960</v>
      </c>
      <c r="C178" s="16" t="s">
        <v>25</v>
      </c>
      <c r="D178" s="16" t="s">
        <v>26</v>
      </c>
      <c r="E178" s="19">
        <v>45629</v>
      </c>
      <c r="F178" s="16" t="s">
        <v>66</v>
      </c>
      <c r="G178" s="16">
        <v>0</v>
      </c>
      <c r="H178" s="16" t="s">
        <v>95</v>
      </c>
      <c r="I178" s="16" t="s">
        <v>16</v>
      </c>
      <c r="J178" s="16" t="s">
        <v>16</v>
      </c>
      <c r="K178" s="16" t="str">
        <f>VLOOKUP(C178,CheckName!A:B,2,0)</f>
        <v>Add</v>
      </c>
      <c r="L178">
        <v>0</v>
      </c>
      <c r="M178" s="16">
        <f t="shared" si="2"/>
        <v>3</v>
      </c>
      <c r="N178" t="str">
        <f>TEXT(MTDRejection[[#This Row],[RejectionDate]],"dddd")</f>
        <v>Tuesday</v>
      </c>
    </row>
    <row r="179" spans="1:14">
      <c r="A179" t="s">
        <v>88</v>
      </c>
      <c r="B179" t="s">
        <v>2961</v>
      </c>
      <c r="C179" t="s">
        <v>25</v>
      </c>
      <c r="D179" t="s">
        <v>26</v>
      </c>
      <c r="E179" s="7">
        <v>45629</v>
      </c>
      <c r="F179" t="s">
        <v>66</v>
      </c>
      <c r="G179">
        <v>0</v>
      </c>
      <c r="H179" t="s">
        <v>22</v>
      </c>
      <c r="I179" t="s">
        <v>16</v>
      </c>
      <c r="J179" t="s">
        <v>16</v>
      </c>
      <c r="K179" s="16" t="str">
        <f>VLOOKUP(C179,CheckName!A:B,2,0)</f>
        <v>Add</v>
      </c>
      <c r="L179">
        <v>0</v>
      </c>
      <c r="M179" s="16">
        <f t="shared" si="2"/>
        <v>3</v>
      </c>
      <c r="N179" t="str">
        <f>TEXT(MTDRejection[[#This Row],[RejectionDate]],"dddd")</f>
        <v>Tuesday</v>
      </c>
    </row>
    <row r="180" spans="1:14">
      <c r="A180" s="16" t="s">
        <v>1267</v>
      </c>
      <c r="B180" s="16" t="s">
        <v>2962</v>
      </c>
      <c r="C180" s="16" t="s">
        <v>54</v>
      </c>
      <c r="D180" s="16" t="s">
        <v>26</v>
      </c>
      <c r="E180" s="19">
        <v>45629</v>
      </c>
      <c r="F180" s="16" t="s">
        <v>63</v>
      </c>
      <c r="G180" s="16">
        <v>0</v>
      </c>
      <c r="H180" s="16" t="s">
        <v>27</v>
      </c>
      <c r="I180" s="16" t="s">
        <v>16</v>
      </c>
      <c r="J180" s="16" t="s">
        <v>16</v>
      </c>
      <c r="K180" s="16" t="str">
        <f>VLOOKUP(C180,CheckName!A:B,2,0)</f>
        <v>Edu</v>
      </c>
      <c r="L180">
        <v>0</v>
      </c>
      <c r="M180" s="16">
        <f t="shared" si="2"/>
        <v>3</v>
      </c>
      <c r="N180" t="str">
        <f>TEXT(MTDRejection[[#This Row],[RejectionDate]],"dddd")</f>
        <v>Tuesday</v>
      </c>
    </row>
    <row r="181" spans="1:14">
      <c r="A181" t="s">
        <v>556</v>
      </c>
      <c r="B181" t="s">
        <v>2963</v>
      </c>
      <c r="C181" t="s">
        <v>54</v>
      </c>
      <c r="D181" t="s">
        <v>26</v>
      </c>
      <c r="E181" s="7">
        <v>45629</v>
      </c>
      <c r="F181" t="s">
        <v>2344</v>
      </c>
      <c r="G181">
        <v>0</v>
      </c>
      <c r="H181" t="s">
        <v>27</v>
      </c>
      <c r="I181" t="s">
        <v>16</v>
      </c>
      <c r="J181" t="s">
        <v>16</v>
      </c>
      <c r="K181" s="16" t="str">
        <f>VLOOKUP(C181,CheckName!A:B,2,0)</f>
        <v>Edu</v>
      </c>
      <c r="L181">
        <v>0</v>
      </c>
      <c r="M181" s="16">
        <f t="shared" si="2"/>
        <v>3</v>
      </c>
      <c r="N181" t="str">
        <f>TEXT(MTDRejection[[#This Row],[RejectionDate]],"dddd")</f>
        <v>Tuesday</v>
      </c>
    </row>
    <row r="182" spans="1:14">
      <c r="A182" s="16" t="s">
        <v>461</v>
      </c>
      <c r="B182" s="16" t="s">
        <v>2964</v>
      </c>
      <c r="C182" s="16" t="s">
        <v>54</v>
      </c>
      <c r="D182" s="16" t="s">
        <v>26</v>
      </c>
      <c r="E182" s="19">
        <v>45629</v>
      </c>
      <c r="F182" s="16" t="s">
        <v>2344</v>
      </c>
      <c r="G182" s="16">
        <v>0</v>
      </c>
      <c r="H182" s="16" t="s">
        <v>27</v>
      </c>
      <c r="I182" s="16" t="s">
        <v>16</v>
      </c>
      <c r="J182" s="16" t="s">
        <v>16</v>
      </c>
      <c r="K182" s="16" t="str">
        <f>VLOOKUP(C182,CheckName!A:B,2,0)</f>
        <v>Edu</v>
      </c>
      <c r="L182">
        <v>0</v>
      </c>
      <c r="M182" s="16">
        <f t="shared" si="2"/>
        <v>3</v>
      </c>
      <c r="N182" t="str">
        <f>TEXT(MTDRejection[[#This Row],[RejectionDate]],"dddd")</f>
        <v>Tuesday</v>
      </c>
    </row>
    <row r="183" spans="1:14">
      <c r="A183" t="s">
        <v>1271</v>
      </c>
      <c r="B183" t="s">
        <v>2965</v>
      </c>
      <c r="C183" t="s">
        <v>54</v>
      </c>
      <c r="D183" t="s">
        <v>26</v>
      </c>
      <c r="E183" s="7">
        <v>45629</v>
      </c>
      <c r="F183" t="s">
        <v>2344</v>
      </c>
      <c r="G183">
        <v>0</v>
      </c>
      <c r="H183" t="s">
        <v>22</v>
      </c>
      <c r="I183" t="s">
        <v>16</v>
      </c>
      <c r="J183" t="s">
        <v>16</v>
      </c>
      <c r="K183" s="16" t="str">
        <f>VLOOKUP(C183,CheckName!A:B,2,0)</f>
        <v>Edu</v>
      </c>
      <c r="L183">
        <v>0</v>
      </c>
      <c r="M183" s="16">
        <f t="shared" si="2"/>
        <v>3</v>
      </c>
      <c r="N183" t="str">
        <f>TEXT(MTDRejection[[#This Row],[RejectionDate]],"dddd")</f>
        <v>Tuesday</v>
      </c>
    </row>
    <row r="184" spans="1:14">
      <c r="A184" s="16" t="s">
        <v>1273</v>
      </c>
      <c r="B184" s="16" t="s">
        <v>2966</v>
      </c>
      <c r="C184" s="16" t="s">
        <v>59</v>
      </c>
      <c r="D184" s="16" t="s">
        <v>13</v>
      </c>
      <c r="E184" s="19">
        <v>45629</v>
      </c>
      <c r="F184" s="16" t="s">
        <v>72</v>
      </c>
      <c r="G184" s="16">
        <v>0</v>
      </c>
      <c r="H184" s="16" t="s">
        <v>15</v>
      </c>
      <c r="I184" s="16" t="s">
        <v>16</v>
      </c>
      <c r="J184" s="16" t="s">
        <v>16</v>
      </c>
      <c r="K184" s="16" t="str">
        <f>VLOOKUP(C184,CheckName!A:B,2,0)</f>
        <v>Special Check</v>
      </c>
      <c r="L184">
        <v>0</v>
      </c>
      <c r="M184" s="16">
        <f t="shared" si="2"/>
        <v>3</v>
      </c>
      <c r="N184" t="str">
        <f>TEXT(MTDRejection[[#This Row],[RejectionDate]],"dddd")</f>
        <v>Tuesday</v>
      </c>
    </row>
    <row r="185" spans="1:14">
      <c r="A185" t="s">
        <v>281</v>
      </c>
      <c r="B185" t="s">
        <v>2967</v>
      </c>
      <c r="C185" t="s">
        <v>54</v>
      </c>
      <c r="D185" t="s">
        <v>13</v>
      </c>
      <c r="E185" s="7">
        <v>45629</v>
      </c>
      <c r="F185" t="s">
        <v>706</v>
      </c>
      <c r="G185">
        <v>0</v>
      </c>
      <c r="H185" t="s">
        <v>15</v>
      </c>
      <c r="I185" t="s">
        <v>16</v>
      </c>
      <c r="J185" t="s">
        <v>16</v>
      </c>
      <c r="K185" s="16" t="str">
        <f>VLOOKUP(C185,CheckName!A:B,2,0)</f>
        <v>Edu</v>
      </c>
      <c r="L185">
        <v>0</v>
      </c>
      <c r="M185" s="16">
        <f t="shared" si="2"/>
        <v>3</v>
      </c>
      <c r="N185" t="str">
        <f>TEXT(MTDRejection[[#This Row],[RejectionDate]],"dddd")</f>
        <v>Tuesday</v>
      </c>
    </row>
    <row r="186" spans="1:14">
      <c r="A186" s="16" t="s">
        <v>1276</v>
      </c>
      <c r="B186" s="16" t="s">
        <v>2968</v>
      </c>
      <c r="C186" s="16" t="s">
        <v>36</v>
      </c>
      <c r="D186" s="16" t="s">
        <v>13</v>
      </c>
      <c r="E186" s="19">
        <v>45629</v>
      </c>
      <c r="F186" s="16" t="s">
        <v>72</v>
      </c>
      <c r="G186" s="16">
        <v>0</v>
      </c>
      <c r="H186" s="16" t="s">
        <v>15</v>
      </c>
      <c r="I186" s="16" t="s">
        <v>16</v>
      </c>
      <c r="J186" s="16" t="s">
        <v>16</v>
      </c>
      <c r="K186" s="16" t="str">
        <f>VLOOKUP(C186,CheckName!A:B,2,0)</f>
        <v>Emp</v>
      </c>
      <c r="L186">
        <v>0</v>
      </c>
      <c r="M186" s="16">
        <f t="shared" si="2"/>
        <v>3</v>
      </c>
      <c r="N186" t="str">
        <f>TEXT(MTDRejection[[#This Row],[RejectionDate]],"dddd")</f>
        <v>Tuesday</v>
      </c>
    </row>
    <row r="187" spans="1:14">
      <c r="A187" t="s">
        <v>866</v>
      </c>
      <c r="B187" t="s">
        <v>2969</v>
      </c>
      <c r="C187" t="s">
        <v>54</v>
      </c>
      <c r="D187" t="s">
        <v>13</v>
      </c>
      <c r="E187" s="7">
        <v>45629</v>
      </c>
      <c r="F187" t="s">
        <v>72</v>
      </c>
      <c r="G187">
        <v>0</v>
      </c>
      <c r="H187" t="s">
        <v>15</v>
      </c>
      <c r="I187" t="s">
        <v>16</v>
      </c>
      <c r="J187" t="s">
        <v>16</v>
      </c>
      <c r="K187" s="16" t="str">
        <f>VLOOKUP(C187,CheckName!A:B,2,0)</f>
        <v>Edu</v>
      </c>
      <c r="L187">
        <v>0</v>
      </c>
      <c r="M187" s="16">
        <f t="shared" si="2"/>
        <v>3</v>
      </c>
      <c r="N187" t="str">
        <f>TEXT(MTDRejection[[#This Row],[RejectionDate]],"dddd")</f>
        <v>Tuesday</v>
      </c>
    </row>
    <row r="188" spans="1:14">
      <c r="A188" s="16" t="s">
        <v>69</v>
      </c>
      <c r="B188" s="16" t="s">
        <v>2970</v>
      </c>
      <c r="C188" s="16" t="s">
        <v>54</v>
      </c>
      <c r="D188" s="16" t="s">
        <v>26</v>
      </c>
      <c r="E188" s="19">
        <v>45629</v>
      </c>
      <c r="F188" s="16" t="s">
        <v>504</v>
      </c>
      <c r="G188" s="16">
        <v>0</v>
      </c>
      <c r="H188" s="16" t="s">
        <v>22</v>
      </c>
      <c r="I188" s="16" t="s">
        <v>16</v>
      </c>
      <c r="J188" s="16" t="s">
        <v>16</v>
      </c>
      <c r="K188" s="16" t="str">
        <f>VLOOKUP(C188,CheckName!A:B,2,0)</f>
        <v>Edu</v>
      </c>
      <c r="L188">
        <v>0</v>
      </c>
      <c r="M188" s="16">
        <f t="shared" si="2"/>
        <v>3</v>
      </c>
      <c r="N188" t="str">
        <f>TEXT(MTDRejection[[#This Row],[RejectionDate]],"dddd")</f>
        <v>Tuesday</v>
      </c>
    </row>
    <row r="189" spans="1:14">
      <c r="A189" t="s">
        <v>96</v>
      </c>
      <c r="B189" t="s">
        <v>2971</v>
      </c>
      <c r="C189" t="s">
        <v>12</v>
      </c>
      <c r="D189" t="s">
        <v>26</v>
      </c>
      <c r="E189" s="7">
        <v>45629</v>
      </c>
      <c r="F189" t="s">
        <v>2341</v>
      </c>
      <c r="G189">
        <v>0</v>
      </c>
      <c r="H189" t="s">
        <v>425</v>
      </c>
      <c r="I189" t="s">
        <v>16</v>
      </c>
      <c r="J189" t="s">
        <v>16</v>
      </c>
      <c r="K189" s="16" t="str">
        <f>VLOOKUP(C189,CheckName!A:B,2,0)</f>
        <v>Emp</v>
      </c>
      <c r="L189">
        <v>0</v>
      </c>
      <c r="M189" s="16">
        <f t="shared" si="2"/>
        <v>3</v>
      </c>
      <c r="N189" t="str">
        <f>TEXT(MTDRejection[[#This Row],[RejectionDate]],"dddd")</f>
        <v>Tuesday</v>
      </c>
    </row>
    <row r="190" spans="1:14">
      <c r="A190" s="16" t="s">
        <v>96</v>
      </c>
      <c r="B190" s="16" t="s">
        <v>2972</v>
      </c>
      <c r="C190" s="16" t="s">
        <v>12</v>
      </c>
      <c r="D190" s="16" t="s">
        <v>26</v>
      </c>
      <c r="E190" s="19">
        <v>45629</v>
      </c>
      <c r="F190" s="16" t="s">
        <v>2341</v>
      </c>
      <c r="G190" s="16">
        <v>0</v>
      </c>
      <c r="H190" s="16" t="s">
        <v>27</v>
      </c>
      <c r="I190" s="16" t="s">
        <v>16</v>
      </c>
      <c r="J190" s="16" t="s">
        <v>16</v>
      </c>
      <c r="K190" s="16" t="str">
        <f>VLOOKUP(C190,CheckName!A:B,2,0)</f>
        <v>Emp</v>
      </c>
      <c r="L190">
        <v>0</v>
      </c>
      <c r="M190" s="16">
        <f t="shared" si="2"/>
        <v>3</v>
      </c>
      <c r="N190" t="str">
        <f>TEXT(MTDRejection[[#This Row],[RejectionDate]],"dddd")</f>
        <v>Tuesday</v>
      </c>
    </row>
    <row r="191" spans="1:14">
      <c r="A191" t="s">
        <v>45</v>
      </c>
      <c r="B191" t="s">
        <v>2973</v>
      </c>
      <c r="C191" t="s">
        <v>54</v>
      </c>
      <c r="D191" t="s">
        <v>26</v>
      </c>
      <c r="E191" s="7">
        <v>45629</v>
      </c>
      <c r="F191" t="s">
        <v>852</v>
      </c>
      <c r="G191">
        <v>0</v>
      </c>
      <c r="H191" t="s">
        <v>27</v>
      </c>
      <c r="I191" t="s">
        <v>16</v>
      </c>
      <c r="J191" t="s">
        <v>16</v>
      </c>
      <c r="K191" s="16" t="str">
        <f>VLOOKUP(C191,CheckName!A:B,2,0)</f>
        <v>Edu</v>
      </c>
      <c r="L191">
        <v>0</v>
      </c>
      <c r="M191" s="16">
        <f t="shared" si="2"/>
        <v>3</v>
      </c>
      <c r="N191" t="str">
        <f>TEXT(MTDRejection[[#This Row],[RejectionDate]],"dddd")</f>
        <v>Tuesday</v>
      </c>
    </row>
    <row r="192" spans="1:14">
      <c r="A192" s="16" t="s">
        <v>45</v>
      </c>
      <c r="B192" s="16" t="s">
        <v>2376</v>
      </c>
      <c r="C192" s="16" t="s">
        <v>12</v>
      </c>
      <c r="D192" s="16" t="s">
        <v>26</v>
      </c>
      <c r="E192" s="19">
        <v>45629</v>
      </c>
      <c r="F192" s="16" t="s">
        <v>83</v>
      </c>
      <c r="G192" s="16">
        <v>0</v>
      </c>
      <c r="H192" s="16" t="s">
        <v>27</v>
      </c>
      <c r="I192" s="16" t="s">
        <v>16</v>
      </c>
      <c r="J192" s="16" t="s">
        <v>16</v>
      </c>
      <c r="K192" s="16" t="str">
        <f>VLOOKUP(C192,CheckName!A:B,2,0)</f>
        <v>Emp</v>
      </c>
      <c r="L192">
        <v>0</v>
      </c>
      <c r="M192" s="16">
        <f t="shared" si="2"/>
        <v>3</v>
      </c>
      <c r="N192" t="str">
        <f>TEXT(MTDRejection[[#This Row],[RejectionDate]],"dddd")</f>
        <v>Tuesday</v>
      </c>
    </row>
    <row r="193" spans="1:14">
      <c r="A193" t="s">
        <v>285</v>
      </c>
      <c r="B193" t="s">
        <v>2974</v>
      </c>
      <c r="C193" t="s">
        <v>125</v>
      </c>
      <c r="D193" t="s">
        <v>26</v>
      </c>
      <c r="E193" s="7">
        <v>45629</v>
      </c>
      <c r="F193" t="s">
        <v>355</v>
      </c>
      <c r="G193">
        <v>0</v>
      </c>
      <c r="H193" t="s">
        <v>27</v>
      </c>
      <c r="I193" t="s">
        <v>16</v>
      </c>
      <c r="J193" t="s">
        <v>16</v>
      </c>
      <c r="K193" s="16" t="str">
        <f>VLOOKUP(C193,CheckName!A:B,2,0)</f>
        <v>Emp</v>
      </c>
      <c r="L193">
        <v>0</v>
      </c>
      <c r="M193" s="16">
        <f t="shared" si="2"/>
        <v>3</v>
      </c>
      <c r="N193" t="str">
        <f>TEXT(MTDRejection[[#This Row],[RejectionDate]],"dddd")</f>
        <v>Tuesday</v>
      </c>
    </row>
    <row r="194" spans="1:14">
      <c r="A194" s="16" t="s">
        <v>285</v>
      </c>
      <c r="B194" s="16" t="s">
        <v>2975</v>
      </c>
      <c r="C194" s="16" t="s">
        <v>12</v>
      </c>
      <c r="D194" s="16" t="s">
        <v>26</v>
      </c>
      <c r="E194" s="19">
        <v>45629</v>
      </c>
      <c r="F194" s="16" t="s">
        <v>355</v>
      </c>
      <c r="G194" s="16">
        <v>0</v>
      </c>
      <c r="H194" s="16" t="s">
        <v>27</v>
      </c>
      <c r="I194" s="16" t="s">
        <v>16</v>
      </c>
      <c r="J194" s="16" t="s">
        <v>16</v>
      </c>
      <c r="K194" s="16" t="str">
        <f>VLOOKUP(C194,CheckName!A:B,2,0)</f>
        <v>Emp</v>
      </c>
      <c r="L194">
        <v>0</v>
      </c>
      <c r="M194" s="16">
        <f t="shared" si="2"/>
        <v>3</v>
      </c>
      <c r="N194" t="str">
        <f>TEXT(MTDRejection[[#This Row],[RejectionDate]],"dddd")</f>
        <v>Tuesday</v>
      </c>
    </row>
    <row r="195" spans="1:14">
      <c r="A195" t="s">
        <v>306</v>
      </c>
      <c r="B195" t="s">
        <v>2976</v>
      </c>
      <c r="C195" t="s">
        <v>59</v>
      </c>
      <c r="D195" t="s">
        <v>13</v>
      </c>
      <c r="E195" s="7">
        <v>45629</v>
      </c>
      <c r="F195" t="s">
        <v>2345</v>
      </c>
      <c r="G195">
        <v>0</v>
      </c>
      <c r="H195" t="s">
        <v>15</v>
      </c>
      <c r="I195" t="s">
        <v>16</v>
      </c>
      <c r="J195" t="s">
        <v>16</v>
      </c>
      <c r="K195" s="16" t="str">
        <f>VLOOKUP(C195,CheckName!A:B,2,0)</f>
        <v>Special Check</v>
      </c>
      <c r="L195">
        <v>0</v>
      </c>
      <c r="M195" s="16">
        <f t="shared" ref="M195:M258" si="3">DAY(E195)</f>
        <v>3</v>
      </c>
      <c r="N195" t="str">
        <f>TEXT(MTDRejection[[#This Row],[RejectionDate]],"dddd")</f>
        <v>Tuesday</v>
      </c>
    </row>
    <row r="196" spans="1:14">
      <c r="A196" s="16" t="s">
        <v>1092</v>
      </c>
      <c r="B196" s="16" t="s">
        <v>2977</v>
      </c>
      <c r="C196" s="16" t="s">
        <v>36</v>
      </c>
      <c r="D196" s="16" t="s">
        <v>26</v>
      </c>
      <c r="E196" s="19">
        <v>45629</v>
      </c>
      <c r="F196" s="16" t="s">
        <v>1139</v>
      </c>
      <c r="G196" s="16">
        <v>0</v>
      </c>
      <c r="H196" s="16" t="s">
        <v>27</v>
      </c>
      <c r="I196" s="16" t="s">
        <v>16</v>
      </c>
      <c r="J196" s="16" t="s">
        <v>16</v>
      </c>
      <c r="K196" s="16" t="str">
        <f>VLOOKUP(C196,CheckName!A:B,2,0)</f>
        <v>Emp</v>
      </c>
      <c r="L196">
        <v>0</v>
      </c>
      <c r="M196" s="16">
        <f t="shared" si="3"/>
        <v>3</v>
      </c>
      <c r="N196" t="str">
        <f>TEXT(MTDRejection[[#This Row],[RejectionDate]],"dddd")</f>
        <v>Tuesday</v>
      </c>
    </row>
    <row r="197" spans="1:14">
      <c r="A197" t="s">
        <v>45</v>
      </c>
      <c r="B197" t="s">
        <v>2978</v>
      </c>
      <c r="C197" t="s">
        <v>112</v>
      </c>
      <c r="D197" t="s">
        <v>26</v>
      </c>
      <c r="E197" s="7">
        <v>45629</v>
      </c>
      <c r="F197" t="s">
        <v>175</v>
      </c>
      <c r="G197">
        <v>0</v>
      </c>
      <c r="H197" t="s">
        <v>27</v>
      </c>
      <c r="I197" t="s">
        <v>16</v>
      </c>
      <c r="J197" t="s">
        <v>16</v>
      </c>
      <c r="K197" s="16" t="str">
        <f>VLOOKUP(C197,CheckName!A:B,2,0)</f>
        <v>Emp</v>
      </c>
      <c r="L197">
        <v>0</v>
      </c>
      <c r="M197" s="16">
        <f t="shared" si="3"/>
        <v>3</v>
      </c>
      <c r="N197" t="str">
        <f>TEXT(MTDRejection[[#This Row],[RejectionDate]],"dddd")</f>
        <v>Tuesday</v>
      </c>
    </row>
    <row r="198" spans="1:14">
      <c r="A198" s="16" t="s">
        <v>510</v>
      </c>
      <c r="B198" s="16" t="s">
        <v>2979</v>
      </c>
      <c r="C198" s="16" t="s">
        <v>54</v>
      </c>
      <c r="D198" s="16" t="s">
        <v>13</v>
      </c>
      <c r="E198" s="19">
        <v>45629</v>
      </c>
      <c r="F198" s="16" t="s">
        <v>98</v>
      </c>
      <c r="G198" s="16">
        <v>0</v>
      </c>
      <c r="H198" s="16" t="s">
        <v>15</v>
      </c>
      <c r="I198" s="16" t="s">
        <v>16</v>
      </c>
      <c r="J198" s="16" t="s">
        <v>16</v>
      </c>
      <c r="K198" s="16" t="str">
        <f>VLOOKUP(C198,CheckName!A:B,2,0)</f>
        <v>Edu</v>
      </c>
      <c r="L198">
        <v>0</v>
      </c>
      <c r="M198" s="16">
        <f t="shared" si="3"/>
        <v>3</v>
      </c>
      <c r="N198" t="str">
        <f>TEXT(MTDRejection[[#This Row],[RejectionDate]],"dddd")</f>
        <v>Tuesday</v>
      </c>
    </row>
    <row r="199" spans="1:14">
      <c r="A199" t="s">
        <v>144</v>
      </c>
      <c r="B199" t="s">
        <v>2980</v>
      </c>
      <c r="C199" t="s">
        <v>54</v>
      </c>
      <c r="D199" t="s">
        <v>26</v>
      </c>
      <c r="E199" s="7">
        <v>45629</v>
      </c>
      <c r="F199" t="s">
        <v>538</v>
      </c>
      <c r="G199">
        <v>0</v>
      </c>
      <c r="H199" t="s">
        <v>290</v>
      </c>
      <c r="I199" t="s">
        <v>16</v>
      </c>
      <c r="J199" t="s">
        <v>16</v>
      </c>
      <c r="K199" s="16" t="str">
        <f>VLOOKUP(C199,CheckName!A:B,2,0)</f>
        <v>Edu</v>
      </c>
      <c r="L199">
        <v>0</v>
      </c>
      <c r="M199" s="16">
        <f t="shared" si="3"/>
        <v>3</v>
      </c>
      <c r="N199" t="str">
        <f>TEXT(MTDRejection[[#This Row],[RejectionDate]],"dddd")</f>
        <v>Tuesday</v>
      </c>
    </row>
    <row r="200" spans="1:14">
      <c r="A200" s="16" t="s">
        <v>144</v>
      </c>
      <c r="B200" s="16" t="s">
        <v>2981</v>
      </c>
      <c r="C200" s="16" t="s">
        <v>54</v>
      </c>
      <c r="D200" s="16" t="s">
        <v>26</v>
      </c>
      <c r="E200" s="19">
        <v>45629</v>
      </c>
      <c r="F200" s="16" t="s">
        <v>538</v>
      </c>
      <c r="G200" s="16">
        <v>0</v>
      </c>
      <c r="H200" s="16" t="s">
        <v>95</v>
      </c>
      <c r="I200" s="16" t="s">
        <v>16</v>
      </c>
      <c r="J200" s="16" t="s">
        <v>16</v>
      </c>
      <c r="K200" s="16" t="str">
        <f>VLOOKUP(C200,CheckName!A:B,2,0)</f>
        <v>Edu</v>
      </c>
      <c r="L200">
        <v>0</v>
      </c>
      <c r="M200" s="16">
        <f t="shared" si="3"/>
        <v>3</v>
      </c>
      <c r="N200" t="str">
        <f>TEXT(MTDRejection[[#This Row],[RejectionDate]],"dddd")</f>
        <v>Tuesday</v>
      </c>
    </row>
    <row r="201" spans="1:14">
      <c r="A201" t="s">
        <v>144</v>
      </c>
      <c r="B201" t="s">
        <v>2982</v>
      </c>
      <c r="C201" t="s">
        <v>54</v>
      </c>
      <c r="D201" t="s">
        <v>26</v>
      </c>
      <c r="E201" s="7">
        <v>45629</v>
      </c>
      <c r="F201" t="s">
        <v>538</v>
      </c>
      <c r="G201">
        <v>0</v>
      </c>
      <c r="H201" t="s">
        <v>95</v>
      </c>
      <c r="I201" t="s">
        <v>16</v>
      </c>
      <c r="J201" t="s">
        <v>16</v>
      </c>
      <c r="K201" s="16" t="str">
        <f>VLOOKUP(C201,CheckName!A:B,2,0)</f>
        <v>Edu</v>
      </c>
      <c r="L201">
        <v>0</v>
      </c>
      <c r="M201" s="16">
        <f t="shared" si="3"/>
        <v>3</v>
      </c>
      <c r="N201" t="str">
        <f>TEXT(MTDRejection[[#This Row],[RejectionDate]],"dddd")</f>
        <v>Tuesday</v>
      </c>
    </row>
    <row r="202" spans="1:14">
      <c r="A202" s="16" t="s">
        <v>519</v>
      </c>
      <c r="B202" s="16" t="s">
        <v>2983</v>
      </c>
      <c r="C202" s="16" t="s">
        <v>1293</v>
      </c>
      <c r="D202" s="16" t="s">
        <v>26</v>
      </c>
      <c r="E202" s="19">
        <v>45629</v>
      </c>
      <c r="F202" s="16" t="s">
        <v>103</v>
      </c>
      <c r="G202" s="16">
        <v>0</v>
      </c>
      <c r="H202" s="16" t="s">
        <v>27</v>
      </c>
      <c r="I202" s="16" t="s">
        <v>16</v>
      </c>
      <c r="J202" s="16" t="s">
        <v>16</v>
      </c>
      <c r="K202" s="16" t="str">
        <f>VLOOKUP(C202,CheckName!A:B,2,0)</f>
        <v>Edu</v>
      </c>
      <c r="L202">
        <v>0</v>
      </c>
      <c r="M202" s="16">
        <f t="shared" si="3"/>
        <v>3</v>
      </c>
      <c r="N202" t="str">
        <f>TEXT(MTDRejection[[#This Row],[RejectionDate]],"dddd")</f>
        <v>Tuesday</v>
      </c>
    </row>
    <row r="203" spans="1:14">
      <c r="A203" t="s">
        <v>391</v>
      </c>
      <c r="B203" t="s">
        <v>2984</v>
      </c>
      <c r="C203" t="s">
        <v>12</v>
      </c>
      <c r="D203" t="s">
        <v>26</v>
      </c>
      <c r="E203" s="7">
        <v>45629</v>
      </c>
      <c r="F203" t="s">
        <v>159</v>
      </c>
      <c r="G203">
        <v>0</v>
      </c>
      <c r="H203" t="s">
        <v>27</v>
      </c>
      <c r="I203" t="s">
        <v>16</v>
      </c>
      <c r="J203" t="s">
        <v>16</v>
      </c>
      <c r="K203" s="16" t="str">
        <f>VLOOKUP(C203,CheckName!A:B,2,0)</f>
        <v>Emp</v>
      </c>
      <c r="L203">
        <v>0</v>
      </c>
      <c r="M203" s="16">
        <f t="shared" si="3"/>
        <v>3</v>
      </c>
      <c r="N203" t="str">
        <f>TEXT(MTDRejection[[#This Row],[RejectionDate]],"dddd")</f>
        <v>Tuesday</v>
      </c>
    </row>
    <row r="204" spans="1:14">
      <c r="A204" s="16" t="s">
        <v>1197</v>
      </c>
      <c r="B204" s="16" t="s">
        <v>2985</v>
      </c>
      <c r="C204" s="16" t="s">
        <v>1068</v>
      </c>
      <c r="D204" s="16" t="s">
        <v>38</v>
      </c>
      <c r="E204" s="19">
        <v>45629</v>
      </c>
      <c r="F204" s="16" t="s">
        <v>108</v>
      </c>
      <c r="G204" s="16">
        <v>0</v>
      </c>
      <c r="H204" s="16" t="s">
        <v>42</v>
      </c>
      <c r="I204" s="16" t="s">
        <v>16</v>
      </c>
      <c r="J204" s="16" t="s">
        <v>16</v>
      </c>
      <c r="K204" s="16" t="str">
        <f>VLOOKUP(C204,CheckName!A:B,2,0)</f>
        <v>Special Check</v>
      </c>
      <c r="L204">
        <v>0</v>
      </c>
      <c r="M204" s="16">
        <f t="shared" si="3"/>
        <v>3</v>
      </c>
      <c r="N204" t="str">
        <f>TEXT(MTDRejection[[#This Row],[RejectionDate]],"dddd")</f>
        <v>Tuesday</v>
      </c>
    </row>
    <row r="205" spans="1:14">
      <c r="A205" t="s">
        <v>160</v>
      </c>
      <c r="B205" t="s">
        <v>2986</v>
      </c>
      <c r="C205" t="s">
        <v>36</v>
      </c>
      <c r="D205" t="s">
        <v>26</v>
      </c>
      <c r="E205" s="7">
        <v>45629</v>
      </c>
      <c r="F205" t="s">
        <v>141</v>
      </c>
      <c r="G205">
        <v>0</v>
      </c>
      <c r="H205" t="s">
        <v>27</v>
      </c>
      <c r="I205" t="s">
        <v>16</v>
      </c>
      <c r="J205" t="s">
        <v>16</v>
      </c>
      <c r="K205" s="16" t="str">
        <f>VLOOKUP(C205,CheckName!A:B,2,0)</f>
        <v>Emp</v>
      </c>
      <c r="L205">
        <v>0</v>
      </c>
      <c r="M205" s="16">
        <f t="shared" si="3"/>
        <v>3</v>
      </c>
      <c r="N205" t="str">
        <f>TEXT(MTDRejection[[#This Row],[RejectionDate]],"dddd")</f>
        <v>Tuesday</v>
      </c>
    </row>
    <row r="206" spans="1:14">
      <c r="A206" s="16" t="s">
        <v>685</v>
      </c>
      <c r="B206" s="16" t="s">
        <v>2987</v>
      </c>
      <c r="C206" s="16" t="s">
        <v>71</v>
      </c>
      <c r="D206" s="16" t="s">
        <v>26</v>
      </c>
      <c r="E206" s="19">
        <v>45629</v>
      </c>
      <c r="F206" s="16" t="s">
        <v>118</v>
      </c>
      <c r="G206" s="16">
        <v>0</v>
      </c>
      <c r="H206" s="16" t="s">
        <v>130</v>
      </c>
      <c r="I206" s="16" t="s">
        <v>16</v>
      </c>
      <c r="J206" s="16" t="s">
        <v>16</v>
      </c>
      <c r="K206" s="16" t="str">
        <f>VLOOKUP(C206,CheckName!A:B,2,0)</f>
        <v>CRC</v>
      </c>
      <c r="L206">
        <v>0</v>
      </c>
      <c r="M206" s="16">
        <f t="shared" si="3"/>
        <v>3</v>
      </c>
      <c r="N206" t="str">
        <f>TEXT(MTDRejection[[#This Row],[RejectionDate]],"dddd")</f>
        <v>Tuesday</v>
      </c>
    </row>
    <row r="207" spans="1:14">
      <c r="A207" t="s">
        <v>1298</v>
      </c>
      <c r="B207" t="s">
        <v>2988</v>
      </c>
      <c r="C207" t="s">
        <v>12</v>
      </c>
      <c r="D207" t="s">
        <v>26</v>
      </c>
      <c r="E207" s="7">
        <v>45629</v>
      </c>
      <c r="F207" t="s">
        <v>2337</v>
      </c>
      <c r="G207">
        <v>0</v>
      </c>
      <c r="H207" t="s">
        <v>27</v>
      </c>
      <c r="I207" t="s">
        <v>16</v>
      </c>
      <c r="J207" t="s">
        <v>16</v>
      </c>
      <c r="K207" s="16" t="str">
        <f>VLOOKUP(C207,CheckName!A:B,2,0)</f>
        <v>Emp</v>
      </c>
      <c r="L207">
        <v>0</v>
      </c>
      <c r="M207" s="16">
        <f t="shared" si="3"/>
        <v>3</v>
      </c>
      <c r="N207" t="str">
        <f>TEXT(MTDRejection[[#This Row],[RejectionDate]],"dddd")</f>
        <v>Tuesday</v>
      </c>
    </row>
    <row r="208" spans="1:14">
      <c r="A208" s="16" t="s">
        <v>510</v>
      </c>
      <c r="B208" s="16" t="s">
        <v>2989</v>
      </c>
      <c r="C208" s="16" t="s">
        <v>19</v>
      </c>
      <c r="D208" s="16" t="s">
        <v>20</v>
      </c>
      <c r="E208" s="19">
        <v>45629</v>
      </c>
      <c r="F208" s="16" t="s">
        <v>129</v>
      </c>
      <c r="G208" s="16">
        <v>0</v>
      </c>
      <c r="H208" s="16" t="s">
        <v>22</v>
      </c>
      <c r="I208" s="16" t="s">
        <v>16</v>
      </c>
      <c r="J208" s="16" t="s">
        <v>16</v>
      </c>
      <c r="K208" s="16" t="str">
        <f>VLOOKUP(C208,CheckName!A:B,2,0)</f>
        <v>Add</v>
      </c>
      <c r="L208">
        <v>0</v>
      </c>
      <c r="M208" s="16">
        <f t="shared" si="3"/>
        <v>3</v>
      </c>
      <c r="N208" t="str">
        <f>TEXT(MTDRejection[[#This Row],[RejectionDate]],"dddd")</f>
        <v>Tuesday</v>
      </c>
    </row>
    <row r="209" spans="1:14">
      <c r="A209" t="s">
        <v>137</v>
      </c>
      <c r="B209" t="s">
        <v>2990</v>
      </c>
      <c r="C209" t="s">
        <v>25</v>
      </c>
      <c r="D209" t="s">
        <v>20</v>
      </c>
      <c r="E209" s="7">
        <v>45629</v>
      </c>
      <c r="F209" t="s">
        <v>129</v>
      </c>
      <c r="G209">
        <v>0</v>
      </c>
      <c r="H209" t="s">
        <v>22</v>
      </c>
      <c r="I209" t="s">
        <v>16</v>
      </c>
      <c r="J209" t="s">
        <v>16</v>
      </c>
      <c r="K209" s="16" t="str">
        <f>VLOOKUP(C209,CheckName!A:B,2,0)</f>
        <v>Add</v>
      </c>
      <c r="L209">
        <v>0</v>
      </c>
      <c r="M209" s="16">
        <f t="shared" si="3"/>
        <v>3</v>
      </c>
      <c r="N209" t="str">
        <f>TEXT(MTDRejection[[#This Row],[RejectionDate]],"dddd")</f>
        <v>Tuesday</v>
      </c>
    </row>
    <row r="210" spans="1:14">
      <c r="A210" s="16" t="s">
        <v>1302</v>
      </c>
      <c r="B210" s="16" t="s">
        <v>2991</v>
      </c>
      <c r="C210" s="16" t="s">
        <v>54</v>
      </c>
      <c r="D210" s="16" t="s">
        <v>26</v>
      </c>
      <c r="E210" s="19">
        <v>45628</v>
      </c>
      <c r="F210" s="16" t="s">
        <v>1304</v>
      </c>
      <c r="G210" s="16">
        <v>1</v>
      </c>
      <c r="H210" s="16" t="s">
        <v>95</v>
      </c>
      <c r="I210" s="16" t="s">
        <v>16</v>
      </c>
      <c r="J210" s="16" t="s">
        <v>16</v>
      </c>
      <c r="K210" s="16" t="str">
        <f>VLOOKUP(C210,CheckName!A:B,2,0)</f>
        <v>Edu</v>
      </c>
      <c r="L210">
        <v>0</v>
      </c>
      <c r="M210" s="16">
        <f t="shared" si="3"/>
        <v>2</v>
      </c>
      <c r="N210" t="str">
        <f>TEXT(MTDRejection[[#This Row],[RejectionDate]],"dddd")</f>
        <v>Monday</v>
      </c>
    </row>
    <row r="211" spans="1:14">
      <c r="A211" t="s">
        <v>100</v>
      </c>
      <c r="B211" t="s">
        <v>2377</v>
      </c>
      <c r="C211" t="s">
        <v>775</v>
      </c>
      <c r="D211" t="s">
        <v>26</v>
      </c>
      <c r="E211" s="7">
        <v>45628</v>
      </c>
      <c r="F211" t="s">
        <v>380</v>
      </c>
      <c r="G211">
        <v>1</v>
      </c>
      <c r="H211" t="s">
        <v>27</v>
      </c>
      <c r="I211" t="s">
        <v>16</v>
      </c>
      <c r="J211" t="s">
        <v>16</v>
      </c>
      <c r="K211" s="16" t="str">
        <f>VLOOKUP(C211,CheckName!A:B,2,0)</f>
        <v>Emp</v>
      </c>
      <c r="L211">
        <v>0</v>
      </c>
      <c r="M211" s="16">
        <f t="shared" si="3"/>
        <v>2</v>
      </c>
      <c r="N211" t="str">
        <f>TEXT(MTDRejection[[#This Row],[RejectionDate]],"dddd")</f>
        <v>Monday</v>
      </c>
    </row>
    <row r="212" spans="1:14">
      <c r="A212" s="16" t="s">
        <v>119</v>
      </c>
      <c r="B212" s="16" t="s">
        <v>2992</v>
      </c>
      <c r="C212" s="16" t="s">
        <v>93</v>
      </c>
      <c r="D212" s="16" t="s">
        <v>13</v>
      </c>
      <c r="E212" s="19">
        <v>45630</v>
      </c>
      <c r="F212" s="16" t="s">
        <v>1310</v>
      </c>
      <c r="G212" s="16">
        <v>0</v>
      </c>
      <c r="H212" s="16" t="s">
        <v>30</v>
      </c>
      <c r="I212" s="16" t="s">
        <v>16</v>
      </c>
      <c r="J212" s="16" t="s">
        <v>16</v>
      </c>
      <c r="K212" s="16" t="str">
        <f>VLOOKUP(C212,CheckName!A:B,2,0)</f>
        <v>Edu</v>
      </c>
      <c r="L212">
        <v>0</v>
      </c>
      <c r="M212" s="16">
        <f t="shared" si="3"/>
        <v>4</v>
      </c>
      <c r="N212" t="str">
        <f>TEXT(MTDRejection[[#This Row],[RejectionDate]],"dddd")</f>
        <v>Wednesday</v>
      </c>
    </row>
    <row r="213" spans="1:14">
      <c r="A213" t="s">
        <v>878</v>
      </c>
      <c r="B213" t="s">
        <v>2993</v>
      </c>
      <c r="C213" t="s">
        <v>54</v>
      </c>
      <c r="D213" t="s">
        <v>51</v>
      </c>
      <c r="E213" s="7">
        <v>45630</v>
      </c>
      <c r="F213" t="s">
        <v>52</v>
      </c>
      <c r="G213">
        <v>0</v>
      </c>
      <c r="H213" t="s">
        <v>53</v>
      </c>
      <c r="I213" t="s">
        <v>16</v>
      </c>
      <c r="J213" t="s">
        <v>16</v>
      </c>
      <c r="K213" s="16" t="str">
        <f>VLOOKUP(C213,CheckName!A:B,2,0)</f>
        <v>Edu</v>
      </c>
      <c r="L213">
        <v>0</v>
      </c>
      <c r="M213" s="16">
        <f t="shared" si="3"/>
        <v>4</v>
      </c>
      <c r="N213" t="str">
        <f>TEXT(MTDRejection[[#This Row],[RejectionDate]],"dddd")</f>
        <v>Wednesday</v>
      </c>
    </row>
    <row r="214" spans="1:14">
      <c r="A214" s="16" t="s">
        <v>142</v>
      </c>
      <c r="B214" s="16" t="s">
        <v>2994</v>
      </c>
      <c r="C214" s="16" t="s">
        <v>54</v>
      </c>
      <c r="D214" s="16" t="s">
        <v>26</v>
      </c>
      <c r="E214" s="19">
        <v>45630</v>
      </c>
      <c r="F214" s="16" t="s">
        <v>2329</v>
      </c>
      <c r="G214" s="16">
        <v>0</v>
      </c>
      <c r="H214" s="16" t="s">
        <v>27</v>
      </c>
      <c r="I214" s="16" t="s">
        <v>16</v>
      </c>
      <c r="J214" s="16" t="s">
        <v>16</v>
      </c>
      <c r="K214" s="16" t="str">
        <f>VLOOKUP(C214,CheckName!A:B,2,0)</f>
        <v>Edu</v>
      </c>
      <c r="L214">
        <v>0</v>
      </c>
      <c r="M214" s="16">
        <f t="shared" si="3"/>
        <v>4</v>
      </c>
      <c r="N214" t="str">
        <f>TEXT(MTDRejection[[#This Row],[RejectionDate]],"dddd")</f>
        <v>Wednesday</v>
      </c>
    </row>
    <row r="215" spans="1:14">
      <c r="A215" t="s">
        <v>1313</v>
      </c>
      <c r="B215" t="s">
        <v>2995</v>
      </c>
      <c r="C215" t="s">
        <v>71</v>
      </c>
      <c r="D215" t="s">
        <v>13</v>
      </c>
      <c r="E215" s="7">
        <v>45630</v>
      </c>
      <c r="F215" t="s">
        <v>574</v>
      </c>
      <c r="G215">
        <v>0</v>
      </c>
      <c r="H215" t="s">
        <v>15</v>
      </c>
      <c r="I215" t="s">
        <v>16</v>
      </c>
      <c r="J215" t="s">
        <v>16</v>
      </c>
      <c r="K215" s="16" t="str">
        <f>VLOOKUP(C215,CheckName!A:B,2,0)</f>
        <v>CRC</v>
      </c>
      <c r="L215">
        <v>0</v>
      </c>
      <c r="M215" s="16">
        <f t="shared" si="3"/>
        <v>4</v>
      </c>
      <c r="N215" t="str">
        <f>TEXT(MTDRejection[[#This Row],[RejectionDate]],"dddd")</f>
        <v>Wednesday</v>
      </c>
    </row>
    <row r="216" spans="1:14">
      <c r="A216" s="16" t="s">
        <v>119</v>
      </c>
      <c r="B216" s="16" t="s">
        <v>1836</v>
      </c>
      <c r="C216" s="16" t="s">
        <v>54</v>
      </c>
      <c r="D216" s="16" t="s">
        <v>13</v>
      </c>
      <c r="E216" s="19">
        <v>45630</v>
      </c>
      <c r="F216" s="16" t="s">
        <v>530</v>
      </c>
      <c r="G216" s="16">
        <v>0</v>
      </c>
      <c r="H216" s="16" t="s">
        <v>30</v>
      </c>
      <c r="I216" s="16" t="s">
        <v>16</v>
      </c>
      <c r="J216" s="16" t="s">
        <v>16</v>
      </c>
      <c r="K216" s="16" t="str">
        <f>VLOOKUP(C216,CheckName!A:B,2,0)</f>
        <v>Edu</v>
      </c>
      <c r="L216">
        <v>0</v>
      </c>
      <c r="M216" s="16">
        <f t="shared" si="3"/>
        <v>4</v>
      </c>
      <c r="N216" t="str">
        <f>TEXT(MTDRejection[[#This Row],[RejectionDate]],"dddd")</f>
        <v>Wednesday</v>
      </c>
    </row>
    <row r="217" spans="1:14">
      <c r="A217" t="s">
        <v>1316</v>
      </c>
      <c r="B217" t="s">
        <v>2996</v>
      </c>
      <c r="C217" t="s">
        <v>54</v>
      </c>
      <c r="D217" t="s">
        <v>26</v>
      </c>
      <c r="E217" s="7">
        <v>45630</v>
      </c>
      <c r="F217" t="s">
        <v>94</v>
      </c>
      <c r="G217">
        <v>0</v>
      </c>
      <c r="H217" t="s">
        <v>27</v>
      </c>
      <c r="I217" t="s">
        <v>16</v>
      </c>
      <c r="J217" t="s">
        <v>16</v>
      </c>
      <c r="K217" s="16" t="str">
        <f>VLOOKUP(C217,CheckName!A:B,2,0)</f>
        <v>Edu</v>
      </c>
      <c r="L217">
        <v>0</v>
      </c>
      <c r="M217" s="16">
        <f t="shared" si="3"/>
        <v>4</v>
      </c>
      <c r="N217" t="str">
        <f>TEXT(MTDRejection[[#This Row],[RejectionDate]],"dddd")</f>
        <v>Wednesday</v>
      </c>
    </row>
    <row r="218" spans="1:14">
      <c r="A218" s="16" t="s">
        <v>73</v>
      </c>
      <c r="B218" s="16" t="s">
        <v>2997</v>
      </c>
      <c r="C218" s="16" t="s">
        <v>12</v>
      </c>
      <c r="D218" s="16" t="s">
        <v>26</v>
      </c>
      <c r="E218" s="19">
        <v>45630</v>
      </c>
      <c r="F218" s="16" t="s">
        <v>1139</v>
      </c>
      <c r="G218" s="16">
        <v>0</v>
      </c>
      <c r="H218" s="16" t="s">
        <v>27</v>
      </c>
      <c r="I218" s="16" t="s">
        <v>16</v>
      </c>
      <c r="J218" s="16" t="s">
        <v>16</v>
      </c>
      <c r="K218" s="16" t="str">
        <f>VLOOKUP(C218,CheckName!A:B,2,0)</f>
        <v>Emp</v>
      </c>
      <c r="L218">
        <v>0</v>
      </c>
      <c r="M218" s="16">
        <f t="shared" si="3"/>
        <v>4</v>
      </c>
      <c r="N218" t="str">
        <f>TEXT(MTDRejection[[#This Row],[RejectionDate]],"dddd")</f>
        <v>Wednesday</v>
      </c>
    </row>
    <row r="219" spans="1:14">
      <c r="A219" t="s">
        <v>432</v>
      </c>
      <c r="B219" t="s">
        <v>2998</v>
      </c>
      <c r="C219" t="s">
        <v>467</v>
      </c>
      <c r="D219" t="s">
        <v>13</v>
      </c>
      <c r="E219" s="7">
        <v>45630</v>
      </c>
      <c r="F219" t="s">
        <v>107</v>
      </c>
      <c r="G219">
        <v>0</v>
      </c>
      <c r="H219" t="s">
        <v>15</v>
      </c>
      <c r="I219" t="s">
        <v>16</v>
      </c>
      <c r="J219" t="s">
        <v>16</v>
      </c>
      <c r="K219" s="16" t="str">
        <f>VLOOKUP(C219,CheckName!A:B,2,0)</f>
        <v>Special Check</v>
      </c>
      <c r="L219">
        <v>0</v>
      </c>
      <c r="M219" s="16">
        <f t="shared" si="3"/>
        <v>4</v>
      </c>
      <c r="N219" t="str">
        <f>TEXT(MTDRejection[[#This Row],[RejectionDate]],"dddd")</f>
        <v>Wednesday</v>
      </c>
    </row>
    <row r="220" spans="1:14">
      <c r="A220" s="16" t="s">
        <v>67</v>
      </c>
      <c r="B220" s="16" t="s">
        <v>2999</v>
      </c>
      <c r="C220" s="16" t="s">
        <v>1321</v>
      </c>
      <c r="D220" s="16" t="s">
        <v>13</v>
      </c>
      <c r="E220" s="19">
        <v>45630</v>
      </c>
      <c r="F220" s="16" t="s">
        <v>540</v>
      </c>
      <c r="G220" s="16">
        <v>0</v>
      </c>
      <c r="H220" s="16" t="s">
        <v>15</v>
      </c>
      <c r="I220" s="16" t="s">
        <v>16</v>
      </c>
      <c r="J220" s="16" t="s">
        <v>16</v>
      </c>
      <c r="K220" s="16" t="str">
        <f>VLOOKUP(C220,CheckName!A:B,2,0)</f>
        <v>Special Check</v>
      </c>
      <c r="L220">
        <v>0</v>
      </c>
      <c r="M220" s="16">
        <f t="shared" si="3"/>
        <v>4</v>
      </c>
      <c r="N220" t="str">
        <f>TEXT(MTDRejection[[#This Row],[RejectionDate]],"dddd")</f>
        <v>Wednesday</v>
      </c>
    </row>
    <row r="221" spans="1:14">
      <c r="A221" t="s">
        <v>67</v>
      </c>
      <c r="B221" t="s">
        <v>3000</v>
      </c>
      <c r="C221" t="s">
        <v>1321</v>
      </c>
      <c r="D221" t="s">
        <v>13</v>
      </c>
      <c r="E221" s="7">
        <v>45630</v>
      </c>
      <c r="F221" t="s">
        <v>540</v>
      </c>
      <c r="G221">
        <v>0</v>
      </c>
      <c r="H221" t="s">
        <v>15</v>
      </c>
      <c r="I221" t="s">
        <v>16</v>
      </c>
      <c r="J221" t="s">
        <v>16</v>
      </c>
      <c r="K221" s="16" t="str">
        <f>VLOOKUP(C221,CheckName!A:B,2,0)</f>
        <v>Special Check</v>
      </c>
      <c r="L221">
        <v>0</v>
      </c>
      <c r="M221" s="16">
        <f t="shared" si="3"/>
        <v>4</v>
      </c>
      <c r="N221" t="str">
        <f>TEXT(MTDRejection[[#This Row],[RejectionDate]],"dddd")</f>
        <v>Wednesday</v>
      </c>
    </row>
    <row r="222" spans="1:14">
      <c r="A222" s="16" t="s">
        <v>45</v>
      </c>
      <c r="B222" s="16" t="s">
        <v>3001</v>
      </c>
      <c r="C222" s="16" t="s">
        <v>12</v>
      </c>
      <c r="D222" s="16" t="s">
        <v>26</v>
      </c>
      <c r="E222" s="19">
        <v>45630</v>
      </c>
      <c r="F222" s="16" t="s">
        <v>2355</v>
      </c>
      <c r="G222" s="16">
        <v>0</v>
      </c>
      <c r="H222" s="16" t="s">
        <v>27</v>
      </c>
      <c r="I222" s="16" t="s">
        <v>16</v>
      </c>
      <c r="J222" s="16" t="s">
        <v>16</v>
      </c>
      <c r="K222" s="16" t="str">
        <f>VLOOKUP(C222,CheckName!A:B,2,0)</f>
        <v>Emp</v>
      </c>
      <c r="L222">
        <v>0</v>
      </c>
      <c r="M222" s="16">
        <f t="shared" si="3"/>
        <v>4</v>
      </c>
      <c r="N222" t="str">
        <f>TEXT(MTDRejection[[#This Row],[RejectionDate]],"dddd")</f>
        <v>Wednesday</v>
      </c>
    </row>
    <row r="223" spans="1:14">
      <c r="A223" t="s">
        <v>84</v>
      </c>
      <c r="B223" t="s">
        <v>3002</v>
      </c>
      <c r="C223" t="s">
        <v>125</v>
      </c>
      <c r="D223" t="s">
        <v>26</v>
      </c>
      <c r="E223" s="7">
        <v>45629</v>
      </c>
      <c r="F223" t="s">
        <v>2355</v>
      </c>
      <c r="G223">
        <v>1</v>
      </c>
      <c r="H223" t="s">
        <v>130</v>
      </c>
      <c r="I223" t="s">
        <v>16</v>
      </c>
      <c r="J223" t="s">
        <v>16</v>
      </c>
      <c r="K223" s="16" t="str">
        <f>VLOOKUP(C223,CheckName!A:B,2,0)</f>
        <v>Emp</v>
      </c>
      <c r="L223">
        <v>0</v>
      </c>
      <c r="M223" s="16">
        <f t="shared" si="3"/>
        <v>3</v>
      </c>
      <c r="N223" t="str">
        <f>TEXT(MTDRejection[[#This Row],[RejectionDate]],"dddd")</f>
        <v>Tuesday</v>
      </c>
    </row>
    <row r="224" spans="1:14">
      <c r="A224" s="16" t="s">
        <v>45</v>
      </c>
      <c r="B224" s="16" t="s">
        <v>3003</v>
      </c>
      <c r="C224" s="16" t="s">
        <v>54</v>
      </c>
      <c r="D224" s="16" t="s">
        <v>13</v>
      </c>
      <c r="E224" s="19">
        <v>45629</v>
      </c>
      <c r="F224" s="16" t="s">
        <v>1013</v>
      </c>
      <c r="G224" s="16">
        <v>1</v>
      </c>
      <c r="H224" s="16" t="s">
        <v>15</v>
      </c>
      <c r="I224" s="16" t="s">
        <v>16</v>
      </c>
      <c r="J224" s="16" t="s">
        <v>16</v>
      </c>
      <c r="K224" s="16" t="str">
        <f>VLOOKUP(C224,CheckName!A:B,2,0)</f>
        <v>Edu</v>
      </c>
      <c r="L224">
        <v>0</v>
      </c>
      <c r="M224" s="16">
        <f t="shared" si="3"/>
        <v>3</v>
      </c>
      <c r="N224" t="str">
        <f>TEXT(MTDRejection[[#This Row],[RejectionDate]],"dddd")</f>
        <v>Tuesday</v>
      </c>
    </row>
    <row r="225" spans="1:14">
      <c r="A225" t="s">
        <v>100</v>
      </c>
      <c r="B225" t="s">
        <v>3004</v>
      </c>
      <c r="C225" t="s">
        <v>359</v>
      </c>
      <c r="D225" t="s">
        <v>13</v>
      </c>
      <c r="E225" s="7">
        <v>45629</v>
      </c>
      <c r="F225" t="s">
        <v>1013</v>
      </c>
      <c r="G225">
        <v>1</v>
      </c>
      <c r="H225" t="s">
        <v>505</v>
      </c>
      <c r="I225" t="s">
        <v>16</v>
      </c>
      <c r="J225" t="s">
        <v>16</v>
      </c>
      <c r="K225" s="16" t="str">
        <f>VLOOKUP(C225,CheckName!A:B,2,0)</f>
        <v>Emp</v>
      </c>
      <c r="L225">
        <v>0</v>
      </c>
      <c r="M225" s="16">
        <f t="shared" si="3"/>
        <v>3</v>
      </c>
      <c r="N225" t="str">
        <f>TEXT(MTDRejection[[#This Row],[RejectionDate]],"dddd")</f>
        <v>Tuesday</v>
      </c>
    </row>
    <row r="226" spans="1:14">
      <c r="A226" s="16" t="s">
        <v>96</v>
      </c>
      <c r="B226" s="16" t="s">
        <v>3005</v>
      </c>
      <c r="C226" s="16" t="s">
        <v>54</v>
      </c>
      <c r="D226" s="16" t="s">
        <v>26</v>
      </c>
      <c r="E226" s="19">
        <v>45629</v>
      </c>
      <c r="F226" s="16" t="s">
        <v>1304</v>
      </c>
      <c r="G226" s="16">
        <v>1</v>
      </c>
      <c r="H226" s="16" t="s">
        <v>22</v>
      </c>
      <c r="I226" s="16" t="s">
        <v>16</v>
      </c>
      <c r="J226" s="16" t="s">
        <v>16</v>
      </c>
      <c r="K226" s="16" t="str">
        <f>VLOOKUP(C226,CheckName!A:B,2,0)</f>
        <v>Edu</v>
      </c>
      <c r="L226">
        <v>0</v>
      </c>
      <c r="M226" s="16">
        <f t="shared" si="3"/>
        <v>3</v>
      </c>
      <c r="N226" t="str">
        <f>TEXT(MTDRejection[[#This Row],[RejectionDate]],"dddd")</f>
        <v>Tuesday</v>
      </c>
    </row>
    <row r="227" spans="1:14">
      <c r="A227" t="s">
        <v>133</v>
      </c>
      <c r="B227" t="s">
        <v>3006</v>
      </c>
      <c r="C227" t="s">
        <v>25</v>
      </c>
      <c r="D227" t="s">
        <v>20</v>
      </c>
      <c r="E227" s="7">
        <v>45629</v>
      </c>
      <c r="F227" t="s">
        <v>129</v>
      </c>
      <c r="G227">
        <v>1</v>
      </c>
      <c r="H227" t="s">
        <v>22</v>
      </c>
      <c r="I227" t="s">
        <v>16</v>
      </c>
      <c r="J227" t="s">
        <v>16</v>
      </c>
      <c r="K227" s="16" t="str">
        <f>VLOOKUP(C227,CheckName!A:B,2,0)</f>
        <v>Add</v>
      </c>
      <c r="L227">
        <v>0</v>
      </c>
      <c r="M227" s="16">
        <f t="shared" si="3"/>
        <v>3</v>
      </c>
      <c r="N227" t="str">
        <f>TEXT(MTDRejection[[#This Row],[RejectionDate]],"dddd")</f>
        <v>Tuesday</v>
      </c>
    </row>
    <row r="228" spans="1:14">
      <c r="A228" s="16" t="s">
        <v>312</v>
      </c>
      <c r="B228" s="16" t="s">
        <v>3007</v>
      </c>
      <c r="C228" s="16" t="s">
        <v>12</v>
      </c>
      <c r="D228" s="16" t="s">
        <v>38</v>
      </c>
      <c r="E228" s="19">
        <v>45629</v>
      </c>
      <c r="F228" s="16"/>
      <c r="G228" s="16">
        <v>1</v>
      </c>
      <c r="H228" s="16" t="s">
        <v>42</v>
      </c>
      <c r="I228" s="16" t="s">
        <v>16</v>
      </c>
      <c r="J228" s="16" t="s">
        <v>16</v>
      </c>
      <c r="K228" s="16" t="str">
        <f>VLOOKUP(C228,CheckName!A:B,2,0)</f>
        <v>Emp</v>
      </c>
      <c r="L228">
        <v>0</v>
      </c>
      <c r="M228" s="16">
        <f t="shared" si="3"/>
        <v>3</v>
      </c>
      <c r="N228" t="str">
        <f>TEXT(MTDRejection[[#This Row],[RejectionDate]],"dddd")</f>
        <v>Tuesday</v>
      </c>
    </row>
    <row r="229" spans="1:14">
      <c r="A229" t="s">
        <v>47</v>
      </c>
      <c r="B229" t="s">
        <v>3008</v>
      </c>
      <c r="C229" t="s">
        <v>71</v>
      </c>
      <c r="D229" t="s">
        <v>13</v>
      </c>
      <c r="E229" s="7">
        <v>45629</v>
      </c>
      <c r="F229" t="s">
        <v>831</v>
      </c>
      <c r="G229">
        <v>1</v>
      </c>
      <c r="H229" t="s">
        <v>15</v>
      </c>
      <c r="I229" t="s">
        <v>16</v>
      </c>
      <c r="J229" t="s">
        <v>16</v>
      </c>
      <c r="K229" s="16" t="str">
        <f>VLOOKUP(C229,CheckName!A:B,2,0)</f>
        <v>CRC</v>
      </c>
      <c r="L229">
        <v>0</v>
      </c>
      <c r="M229" s="16">
        <f t="shared" si="3"/>
        <v>3</v>
      </c>
      <c r="N229" t="str">
        <f>TEXT(MTDRejection[[#This Row],[RejectionDate]],"dddd")</f>
        <v>Tuesday</v>
      </c>
    </row>
    <row r="230" spans="1:14">
      <c r="A230" s="16" t="s">
        <v>203</v>
      </c>
      <c r="B230" s="16" t="s">
        <v>3009</v>
      </c>
      <c r="C230" s="16" t="s">
        <v>36</v>
      </c>
      <c r="D230" s="16" t="s">
        <v>26</v>
      </c>
      <c r="E230" s="19">
        <v>45629</v>
      </c>
      <c r="F230" s="16" t="s">
        <v>151</v>
      </c>
      <c r="G230" s="16">
        <v>1</v>
      </c>
      <c r="H230" s="16" t="s">
        <v>22</v>
      </c>
      <c r="I230" s="16" t="s">
        <v>16</v>
      </c>
      <c r="J230" s="16" t="s">
        <v>16</v>
      </c>
      <c r="K230" s="16" t="str">
        <f>VLOOKUP(C230,CheckName!A:B,2,0)</f>
        <v>Emp</v>
      </c>
      <c r="L230">
        <v>0</v>
      </c>
      <c r="M230" s="16">
        <f t="shared" si="3"/>
        <v>3</v>
      </c>
      <c r="N230" t="str">
        <f>TEXT(MTDRejection[[#This Row],[RejectionDate]],"dddd")</f>
        <v>Tuesday</v>
      </c>
    </row>
    <row r="231" spans="1:14">
      <c r="A231" t="s">
        <v>100</v>
      </c>
      <c r="B231" t="s">
        <v>3010</v>
      </c>
      <c r="C231" t="s">
        <v>1333</v>
      </c>
      <c r="D231" t="s">
        <v>26</v>
      </c>
      <c r="E231" s="7">
        <v>45629</v>
      </c>
      <c r="F231" t="s">
        <v>118</v>
      </c>
      <c r="G231">
        <v>1</v>
      </c>
      <c r="H231" t="s">
        <v>27</v>
      </c>
      <c r="I231" t="s">
        <v>16</v>
      </c>
      <c r="J231" t="s">
        <v>16</v>
      </c>
      <c r="K231" s="16" t="str">
        <f>VLOOKUP(C231,CheckName!A:B,2,0)</f>
        <v>CRC</v>
      </c>
      <c r="L231">
        <v>0</v>
      </c>
      <c r="M231" s="16">
        <f t="shared" si="3"/>
        <v>3</v>
      </c>
      <c r="N231" t="str">
        <f>TEXT(MTDRejection[[#This Row],[RejectionDate]],"dddd")</f>
        <v>Tuesday</v>
      </c>
    </row>
    <row r="232" spans="1:14">
      <c r="A232" s="16" t="s">
        <v>100</v>
      </c>
      <c r="B232" s="16" t="s">
        <v>2378</v>
      </c>
      <c r="C232" s="16" t="s">
        <v>1334</v>
      </c>
      <c r="D232" s="16" t="s">
        <v>26</v>
      </c>
      <c r="E232" s="19">
        <v>45629</v>
      </c>
      <c r="F232" s="16" t="s">
        <v>118</v>
      </c>
      <c r="G232" s="16">
        <v>1</v>
      </c>
      <c r="H232" s="16" t="s">
        <v>27</v>
      </c>
      <c r="I232" s="16" t="s">
        <v>16</v>
      </c>
      <c r="J232" s="16" t="s">
        <v>16</v>
      </c>
      <c r="K232" s="16" t="str">
        <f>VLOOKUP(C232,CheckName!A:B,2,0)</f>
        <v>CRC</v>
      </c>
      <c r="L232">
        <v>0</v>
      </c>
      <c r="M232" s="16">
        <f t="shared" si="3"/>
        <v>3</v>
      </c>
      <c r="N232" t="str">
        <f>TEXT(MTDRejection[[#This Row],[RejectionDate]],"dddd")</f>
        <v>Tuesday</v>
      </c>
    </row>
    <row r="233" spans="1:14">
      <c r="A233" t="s">
        <v>100</v>
      </c>
      <c r="B233" t="s">
        <v>3011</v>
      </c>
      <c r="C233" t="s">
        <v>1335</v>
      </c>
      <c r="D233" t="s">
        <v>26</v>
      </c>
      <c r="E233" s="7">
        <v>45629</v>
      </c>
      <c r="F233" t="s">
        <v>118</v>
      </c>
      <c r="G233">
        <v>1</v>
      </c>
      <c r="H233" t="s">
        <v>27</v>
      </c>
      <c r="I233" t="s">
        <v>16</v>
      </c>
      <c r="J233" t="s">
        <v>16</v>
      </c>
      <c r="K233" s="16" t="str">
        <f>VLOOKUP(C233,CheckName!A:B,2,0)</f>
        <v>CRC</v>
      </c>
      <c r="L233">
        <v>0</v>
      </c>
      <c r="M233" s="16">
        <f t="shared" si="3"/>
        <v>3</v>
      </c>
      <c r="N233" t="str">
        <f>TEXT(MTDRejection[[#This Row],[RejectionDate]],"dddd")</f>
        <v>Tuesday</v>
      </c>
    </row>
    <row r="234" spans="1:14">
      <c r="A234" s="16" t="s">
        <v>160</v>
      </c>
      <c r="B234" s="16" t="s">
        <v>3012</v>
      </c>
      <c r="C234" s="16" t="s">
        <v>125</v>
      </c>
      <c r="D234" s="16" t="s">
        <v>26</v>
      </c>
      <c r="E234" s="19">
        <v>45629</v>
      </c>
      <c r="F234" s="16" t="s">
        <v>141</v>
      </c>
      <c r="G234" s="16">
        <v>1</v>
      </c>
      <c r="H234" s="16" t="s">
        <v>27</v>
      </c>
      <c r="I234" s="16" t="s">
        <v>16</v>
      </c>
      <c r="J234" s="16" t="s">
        <v>16</v>
      </c>
      <c r="K234" s="16" t="str">
        <f>VLOOKUP(C234,CheckName!A:B,2,0)</f>
        <v>Emp</v>
      </c>
      <c r="L234">
        <v>0</v>
      </c>
      <c r="M234" s="16">
        <f t="shared" si="3"/>
        <v>3</v>
      </c>
      <c r="N234" t="str">
        <f>TEXT(MTDRejection[[#This Row],[RejectionDate]],"dddd")</f>
        <v>Tuesday</v>
      </c>
    </row>
    <row r="235" spans="1:14">
      <c r="A235" t="s">
        <v>81</v>
      </c>
      <c r="B235" t="s">
        <v>3013</v>
      </c>
      <c r="C235" t="s">
        <v>12</v>
      </c>
      <c r="D235" t="s">
        <v>26</v>
      </c>
      <c r="E235" s="7">
        <v>45629</v>
      </c>
      <c r="F235" t="s">
        <v>141</v>
      </c>
      <c r="G235">
        <v>1</v>
      </c>
      <c r="H235" t="s">
        <v>27</v>
      </c>
      <c r="I235" t="s">
        <v>16</v>
      </c>
      <c r="J235" t="s">
        <v>16</v>
      </c>
      <c r="K235" s="16" t="str">
        <f>VLOOKUP(C235,CheckName!A:B,2,0)</f>
        <v>Emp</v>
      </c>
      <c r="L235">
        <v>0</v>
      </c>
      <c r="M235" s="16">
        <f t="shared" si="3"/>
        <v>3</v>
      </c>
      <c r="N235" t="str">
        <f>TEXT(MTDRejection[[#This Row],[RejectionDate]],"dddd")</f>
        <v>Tuesday</v>
      </c>
    </row>
    <row r="236" spans="1:14">
      <c r="A236" s="16" t="s">
        <v>45</v>
      </c>
      <c r="B236" s="16" t="s">
        <v>3014</v>
      </c>
      <c r="C236" s="16" t="s">
        <v>36</v>
      </c>
      <c r="D236" s="16" t="s">
        <v>26</v>
      </c>
      <c r="E236" s="19">
        <v>45629</v>
      </c>
      <c r="F236" s="16" t="s">
        <v>2346</v>
      </c>
      <c r="G236" s="16">
        <v>1</v>
      </c>
      <c r="H236" s="16" t="s">
        <v>27</v>
      </c>
      <c r="I236" s="16" t="s">
        <v>16</v>
      </c>
      <c r="J236" s="16" t="s">
        <v>16</v>
      </c>
      <c r="K236" s="16" t="str">
        <f>VLOOKUP(C236,CheckName!A:B,2,0)</f>
        <v>Emp</v>
      </c>
      <c r="L236">
        <v>0</v>
      </c>
      <c r="M236" s="16">
        <f t="shared" si="3"/>
        <v>3</v>
      </c>
      <c r="N236" t="str">
        <f>TEXT(MTDRejection[[#This Row],[RejectionDate]],"dddd")</f>
        <v>Tuesday</v>
      </c>
    </row>
    <row r="237" spans="1:14">
      <c r="A237" t="s">
        <v>133</v>
      </c>
      <c r="B237" t="s">
        <v>2379</v>
      </c>
      <c r="C237" t="s">
        <v>19</v>
      </c>
      <c r="D237" t="s">
        <v>13</v>
      </c>
      <c r="E237" s="7">
        <v>45629</v>
      </c>
      <c r="F237" t="s">
        <v>540</v>
      </c>
      <c r="G237">
        <v>1</v>
      </c>
      <c r="H237" t="s">
        <v>15</v>
      </c>
      <c r="I237" t="s">
        <v>16</v>
      </c>
      <c r="J237" t="s">
        <v>16</v>
      </c>
      <c r="K237" s="16" t="str">
        <f>VLOOKUP(C237,CheckName!A:B,2,0)</f>
        <v>Add</v>
      </c>
      <c r="L237">
        <v>0</v>
      </c>
      <c r="M237" s="16">
        <f t="shared" si="3"/>
        <v>3</v>
      </c>
      <c r="N237" t="str">
        <f>TEXT(MTDRejection[[#This Row],[RejectionDate]],"dddd")</f>
        <v>Tuesday</v>
      </c>
    </row>
    <row r="238" spans="1:14">
      <c r="A238" s="16" t="s">
        <v>100</v>
      </c>
      <c r="B238" s="16" t="s">
        <v>3015</v>
      </c>
      <c r="C238" s="16" t="s">
        <v>255</v>
      </c>
      <c r="D238" s="16" t="s">
        <v>38</v>
      </c>
      <c r="E238" s="19">
        <v>45629</v>
      </c>
      <c r="F238" s="16" t="s">
        <v>118</v>
      </c>
      <c r="G238" s="16">
        <v>1</v>
      </c>
      <c r="H238" s="16" t="s">
        <v>42</v>
      </c>
      <c r="I238" s="16" t="s">
        <v>16</v>
      </c>
      <c r="J238" s="16" t="s">
        <v>16</v>
      </c>
      <c r="K238" s="16" t="str">
        <f>VLOOKUP(C238,CheckName!A:B,2,0)</f>
        <v>Special Check</v>
      </c>
      <c r="L238">
        <v>0</v>
      </c>
      <c r="M238" s="16">
        <f t="shared" si="3"/>
        <v>3</v>
      </c>
      <c r="N238" t="str">
        <f>TEXT(MTDRejection[[#This Row],[RejectionDate]],"dddd")</f>
        <v>Tuesday</v>
      </c>
    </row>
    <row r="239" spans="1:14">
      <c r="A239" t="s">
        <v>100</v>
      </c>
      <c r="B239" t="s">
        <v>3016</v>
      </c>
      <c r="C239" t="s">
        <v>235</v>
      </c>
      <c r="D239" t="s">
        <v>38</v>
      </c>
      <c r="E239" s="7">
        <v>45629</v>
      </c>
      <c r="F239" t="s">
        <v>118</v>
      </c>
      <c r="G239">
        <v>1</v>
      </c>
      <c r="H239" t="s">
        <v>42</v>
      </c>
      <c r="I239" t="s">
        <v>16</v>
      </c>
      <c r="J239" t="s">
        <v>16</v>
      </c>
      <c r="K239" s="16" t="str">
        <f>VLOOKUP(C239,CheckName!A:B,2,0)</f>
        <v>Special Check</v>
      </c>
      <c r="L239">
        <v>0</v>
      </c>
      <c r="M239" s="16">
        <f t="shared" si="3"/>
        <v>3</v>
      </c>
      <c r="N239" t="str">
        <f>TEXT(MTDRejection[[#This Row],[RejectionDate]],"dddd")</f>
        <v>Tuesday</v>
      </c>
    </row>
    <row r="240" spans="1:14">
      <c r="A240" s="16" t="s">
        <v>413</v>
      </c>
      <c r="B240" s="16" t="s">
        <v>3017</v>
      </c>
      <c r="C240" s="16" t="s">
        <v>220</v>
      </c>
      <c r="D240" s="16" t="s">
        <v>26</v>
      </c>
      <c r="E240" s="19">
        <v>45629</v>
      </c>
      <c r="F240" s="16" t="s">
        <v>294</v>
      </c>
      <c r="G240" s="16">
        <v>1</v>
      </c>
      <c r="H240" s="16" t="s">
        <v>27</v>
      </c>
      <c r="I240" s="16" t="s">
        <v>16</v>
      </c>
      <c r="J240" s="16" t="s">
        <v>16</v>
      </c>
      <c r="K240" s="16" t="str">
        <f>VLOOKUP(C240,CheckName!A:B,2,0)</f>
        <v>Ref</v>
      </c>
      <c r="L240">
        <v>0</v>
      </c>
      <c r="M240" s="16">
        <f t="shared" si="3"/>
        <v>3</v>
      </c>
      <c r="N240" t="str">
        <f>TEXT(MTDRejection[[#This Row],[RejectionDate]],"dddd")</f>
        <v>Tuesday</v>
      </c>
    </row>
    <row r="241" spans="1:14">
      <c r="A241" t="s">
        <v>281</v>
      </c>
      <c r="B241" t="s">
        <v>3018</v>
      </c>
      <c r="C241" t="s">
        <v>12</v>
      </c>
      <c r="D241" t="s">
        <v>26</v>
      </c>
      <c r="E241" s="7">
        <v>45629</v>
      </c>
      <c r="F241" t="s">
        <v>162</v>
      </c>
      <c r="G241">
        <v>1</v>
      </c>
      <c r="H241" t="s">
        <v>27</v>
      </c>
      <c r="I241" t="s">
        <v>16</v>
      </c>
      <c r="J241" t="s">
        <v>16</v>
      </c>
      <c r="K241" s="16" t="str">
        <f>VLOOKUP(C241,CheckName!A:B,2,0)</f>
        <v>Emp</v>
      </c>
      <c r="L241">
        <v>0</v>
      </c>
      <c r="M241" s="16">
        <f t="shared" si="3"/>
        <v>3</v>
      </c>
      <c r="N241" t="str">
        <f>TEXT(MTDRejection[[#This Row],[RejectionDate]],"dddd")</f>
        <v>Tuesday</v>
      </c>
    </row>
    <row r="242" spans="1:14">
      <c r="A242" s="16" t="s">
        <v>893</v>
      </c>
      <c r="B242" s="16" t="s">
        <v>3019</v>
      </c>
      <c r="C242" s="16" t="s">
        <v>123</v>
      </c>
      <c r="D242" s="16" t="s">
        <v>13</v>
      </c>
      <c r="E242" s="19">
        <v>45629</v>
      </c>
      <c r="F242" s="16" t="s">
        <v>107</v>
      </c>
      <c r="G242" s="16">
        <v>1</v>
      </c>
      <c r="H242" s="16" t="s">
        <v>15</v>
      </c>
      <c r="I242" s="16" t="s">
        <v>16</v>
      </c>
      <c r="J242" s="16" t="s">
        <v>16</v>
      </c>
      <c r="K242" s="16" t="str">
        <f>VLOOKUP(C242,CheckName!A:B,2,0)</f>
        <v>Special Check</v>
      </c>
      <c r="L242">
        <v>0</v>
      </c>
      <c r="M242" s="16">
        <f t="shared" si="3"/>
        <v>3</v>
      </c>
      <c r="N242" t="str">
        <f>TEXT(MTDRejection[[#This Row],[RejectionDate]],"dddd")</f>
        <v>Tuesday</v>
      </c>
    </row>
    <row r="243" spans="1:14">
      <c r="A243" t="s">
        <v>84</v>
      </c>
      <c r="B243" t="s">
        <v>3020</v>
      </c>
      <c r="C243" t="s">
        <v>49</v>
      </c>
      <c r="D243" t="s">
        <v>38</v>
      </c>
      <c r="E243" s="7">
        <v>45629</v>
      </c>
      <c r="F243" t="s">
        <v>108</v>
      </c>
      <c r="G243">
        <v>1</v>
      </c>
      <c r="H243" t="s">
        <v>42</v>
      </c>
      <c r="I243" t="s">
        <v>16</v>
      </c>
      <c r="J243" t="s">
        <v>16</v>
      </c>
      <c r="K243" s="16" t="str">
        <f>VLOOKUP(C243,CheckName!A:B,2,0)</f>
        <v>CRC</v>
      </c>
      <c r="L243">
        <v>0</v>
      </c>
      <c r="M243" s="16">
        <f t="shared" si="3"/>
        <v>3</v>
      </c>
      <c r="N243" t="str">
        <f>TEXT(MTDRejection[[#This Row],[RejectionDate]],"dddd")</f>
        <v>Tuesday</v>
      </c>
    </row>
    <row r="244" spans="1:14">
      <c r="A244" s="16" t="s">
        <v>383</v>
      </c>
      <c r="B244" s="16" t="s">
        <v>2380</v>
      </c>
      <c r="C244" s="16" t="s">
        <v>12</v>
      </c>
      <c r="D244" s="16" t="s">
        <v>26</v>
      </c>
      <c r="E244" s="19">
        <v>45629</v>
      </c>
      <c r="F244" s="16" t="s">
        <v>721</v>
      </c>
      <c r="G244" s="16">
        <v>1</v>
      </c>
      <c r="H244" s="16" t="s">
        <v>27</v>
      </c>
      <c r="I244" s="16" t="s">
        <v>16</v>
      </c>
      <c r="J244" s="16" t="s">
        <v>16</v>
      </c>
      <c r="K244" s="16" t="str">
        <f>VLOOKUP(C244,CheckName!A:B,2,0)</f>
        <v>Emp</v>
      </c>
      <c r="L244">
        <v>0</v>
      </c>
      <c r="M244" s="16">
        <f t="shared" si="3"/>
        <v>3</v>
      </c>
      <c r="N244" t="str">
        <f>TEXT(MTDRejection[[#This Row],[RejectionDate]],"dddd")</f>
        <v>Tuesday</v>
      </c>
    </row>
    <row r="245" spans="1:14">
      <c r="A245" t="s">
        <v>977</v>
      </c>
      <c r="B245" t="s">
        <v>3021</v>
      </c>
      <c r="C245" t="s">
        <v>1347</v>
      </c>
      <c r="D245" t="s">
        <v>13</v>
      </c>
      <c r="E245" s="7">
        <v>45629</v>
      </c>
      <c r="F245" t="s">
        <v>530</v>
      </c>
      <c r="G245">
        <v>1</v>
      </c>
      <c r="H245" t="s">
        <v>15</v>
      </c>
      <c r="I245" t="s">
        <v>16</v>
      </c>
      <c r="J245" t="s">
        <v>16</v>
      </c>
      <c r="K245" s="16" t="str">
        <f>VLOOKUP(C245,CheckName!A:B,2,0)</f>
        <v>CRC</v>
      </c>
      <c r="L245">
        <v>0</v>
      </c>
      <c r="M245" s="16">
        <f t="shared" si="3"/>
        <v>3</v>
      </c>
      <c r="N245" t="str">
        <f>TEXT(MTDRejection[[#This Row],[RejectionDate]],"dddd")</f>
        <v>Tuesday</v>
      </c>
    </row>
    <row r="246" spans="1:14">
      <c r="A246" s="16" t="s">
        <v>1348</v>
      </c>
      <c r="B246" s="16" t="s">
        <v>2381</v>
      </c>
      <c r="C246" s="16" t="s">
        <v>54</v>
      </c>
      <c r="D246" s="16" t="s">
        <v>26</v>
      </c>
      <c r="E246" s="19">
        <v>45629</v>
      </c>
      <c r="F246" s="16" t="s">
        <v>94</v>
      </c>
      <c r="G246" s="16">
        <v>1</v>
      </c>
      <c r="H246" s="16" t="s">
        <v>27</v>
      </c>
      <c r="I246" s="16" t="s">
        <v>16</v>
      </c>
      <c r="J246" s="16" t="s">
        <v>16</v>
      </c>
      <c r="K246" s="16" t="str">
        <f>VLOOKUP(C246,CheckName!A:B,2,0)</f>
        <v>Edu</v>
      </c>
      <c r="L246">
        <v>0</v>
      </c>
      <c r="M246" s="16">
        <f t="shared" si="3"/>
        <v>3</v>
      </c>
      <c r="N246" t="str">
        <f>TEXT(MTDRejection[[#This Row],[RejectionDate]],"dddd")</f>
        <v>Tuesday</v>
      </c>
    </row>
    <row r="247" spans="1:14">
      <c r="A247" t="s">
        <v>216</v>
      </c>
      <c r="B247" t="s">
        <v>3022</v>
      </c>
      <c r="C247" t="s">
        <v>25</v>
      </c>
      <c r="D247" t="s">
        <v>13</v>
      </c>
      <c r="E247" s="7">
        <v>45629</v>
      </c>
      <c r="F247" t="s">
        <v>844</v>
      </c>
      <c r="G247">
        <v>1</v>
      </c>
      <c r="H247" t="s">
        <v>15</v>
      </c>
      <c r="I247" t="s">
        <v>16</v>
      </c>
      <c r="J247" t="s">
        <v>16</v>
      </c>
      <c r="K247" s="16" t="str">
        <f>VLOOKUP(C247,CheckName!A:B,2,0)</f>
        <v>Add</v>
      </c>
      <c r="L247">
        <v>0</v>
      </c>
      <c r="M247" s="16">
        <f t="shared" si="3"/>
        <v>3</v>
      </c>
      <c r="N247" t="str">
        <f>TEXT(MTDRejection[[#This Row],[RejectionDate]],"dddd")</f>
        <v>Tuesday</v>
      </c>
    </row>
    <row r="248" spans="1:14">
      <c r="A248" s="16" t="s">
        <v>216</v>
      </c>
      <c r="B248" s="16" t="s">
        <v>3023</v>
      </c>
      <c r="C248" s="16" t="s">
        <v>71</v>
      </c>
      <c r="D248" s="16" t="s">
        <v>13</v>
      </c>
      <c r="E248" s="19">
        <v>45629</v>
      </c>
      <c r="F248" s="16" t="s">
        <v>844</v>
      </c>
      <c r="G248" s="16">
        <v>1</v>
      </c>
      <c r="H248" s="16" t="s">
        <v>15</v>
      </c>
      <c r="I248" s="16" t="s">
        <v>16</v>
      </c>
      <c r="J248" s="16" t="s">
        <v>16</v>
      </c>
      <c r="K248" s="16" t="str">
        <f>VLOOKUP(C248,CheckName!A:B,2,0)</f>
        <v>CRC</v>
      </c>
      <c r="L248">
        <v>0</v>
      </c>
      <c r="M248" s="16">
        <f t="shared" si="3"/>
        <v>3</v>
      </c>
      <c r="N248" t="str">
        <f>TEXT(MTDRejection[[#This Row],[RejectionDate]],"dddd")</f>
        <v>Tuesday</v>
      </c>
    </row>
    <row r="249" spans="1:14">
      <c r="A249" t="s">
        <v>47</v>
      </c>
      <c r="B249" t="s">
        <v>3024</v>
      </c>
      <c r="C249" t="s">
        <v>56</v>
      </c>
      <c r="D249" t="s">
        <v>13</v>
      </c>
      <c r="E249" s="7">
        <v>45629</v>
      </c>
      <c r="F249" t="s">
        <v>606</v>
      </c>
      <c r="G249">
        <v>1</v>
      </c>
      <c r="H249" t="s">
        <v>15</v>
      </c>
      <c r="I249" t="s">
        <v>16</v>
      </c>
      <c r="J249" t="s">
        <v>16</v>
      </c>
      <c r="K249" s="16" t="str">
        <f>VLOOKUP(C249,CheckName!A:B,2,0)</f>
        <v>Special Check</v>
      </c>
      <c r="L249">
        <v>0</v>
      </c>
      <c r="M249" s="16">
        <f t="shared" si="3"/>
        <v>3</v>
      </c>
      <c r="N249" t="str">
        <f>TEXT(MTDRejection[[#This Row],[RejectionDate]],"dddd")</f>
        <v>Tuesday</v>
      </c>
    </row>
    <row r="250" spans="1:14">
      <c r="A250" s="16" t="s">
        <v>47</v>
      </c>
      <c r="B250" s="16" t="s">
        <v>3025</v>
      </c>
      <c r="C250" s="16" t="s">
        <v>71</v>
      </c>
      <c r="D250" s="16" t="s">
        <v>13</v>
      </c>
      <c r="E250" s="19">
        <v>45629</v>
      </c>
      <c r="F250" s="16" t="s">
        <v>606</v>
      </c>
      <c r="G250" s="16">
        <v>1</v>
      </c>
      <c r="H250" s="16" t="s">
        <v>15</v>
      </c>
      <c r="I250" s="16" t="s">
        <v>16</v>
      </c>
      <c r="J250" s="16" t="s">
        <v>16</v>
      </c>
      <c r="K250" s="16" t="str">
        <f>VLOOKUP(C250,CheckName!A:B,2,0)</f>
        <v>CRC</v>
      </c>
      <c r="L250">
        <v>0</v>
      </c>
      <c r="M250" s="16">
        <f t="shared" si="3"/>
        <v>3</v>
      </c>
      <c r="N250" t="str">
        <f>TEXT(MTDRejection[[#This Row],[RejectionDate]],"dddd")</f>
        <v>Tuesday</v>
      </c>
    </row>
    <row r="251" spans="1:14">
      <c r="A251" t="s">
        <v>1353</v>
      </c>
      <c r="B251" t="s">
        <v>3026</v>
      </c>
      <c r="C251" t="s">
        <v>12</v>
      </c>
      <c r="D251" t="s">
        <v>26</v>
      </c>
      <c r="E251" s="7">
        <v>45629</v>
      </c>
      <c r="F251" t="s">
        <v>721</v>
      </c>
      <c r="G251">
        <v>1</v>
      </c>
      <c r="H251" t="s">
        <v>27</v>
      </c>
      <c r="I251" t="s">
        <v>16</v>
      </c>
      <c r="J251" t="s">
        <v>16</v>
      </c>
      <c r="K251" s="16" t="str">
        <f>VLOOKUP(C251,CheckName!A:B,2,0)</f>
        <v>Emp</v>
      </c>
      <c r="L251">
        <v>0</v>
      </c>
      <c r="M251" s="16">
        <f t="shared" si="3"/>
        <v>3</v>
      </c>
      <c r="N251" t="str">
        <f>TEXT(MTDRejection[[#This Row],[RejectionDate]],"dddd")</f>
        <v>Tuesday</v>
      </c>
    </row>
    <row r="252" spans="1:14">
      <c r="A252" s="16" t="s">
        <v>1197</v>
      </c>
      <c r="B252" s="16" t="s">
        <v>3027</v>
      </c>
      <c r="C252" s="16" t="s">
        <v>54</v>
      </c>
      <c r="D252" s="16" t="s">
        <v>26</v>
      </c>
      <c r="E252" s="19">
        <v>45629</v>
      </c>
      <c r="F252" s="16" t="s">
        <v>94</v>
      </c>
      <c r="G252" s="16">
        <v>1</v>
      </c>
      <c r="H252" s="16" t="s">
        <v>290</v>
      </c>
      <c r="I252" s="16" t="s">
        <v>16</v>
      </c>
      <c r="J252" s="16" t="s">
        <v>16</v>
      </c>
      <c r="K252" s="16" t="str">
        <f>VLOOKUP(C252,CheckName!A:B,2,0)</f>
        <v>Edu</v>
      </c>
      <c r="L252">
        <v>0</v>
      </c>
      <c r="M252" s="16">
        <f t="shared" si="3"/>
        <v>3</v>
      </c>
      <c r="N252" t="str">
        <f>TEXT(MTDRejection[[#This Row],[RejectionDate]],"dddd")</f>
        <v>Tuesday</v>
      </c>
    </row>
    <row r="253" spans="1:14">
      <c r="A253" t="s">
        <v>465</v>
      </c>
      <c r="B253" t="s">
        <v>2382</v>
      </c>
      <c r="C253" t="s">
        <v>12</v>
      </c>
      <c r="D253" t="s">
        <v>26</v>
      </c>
      <c r="E253" s="7">
        <v>45629</v>
      </c>
      <c r="F253" t="s">
        <v>721</v>
      </c>
      <c r="G253">
        <v>1</v>
      </c>
      <c r="H253" t="s">
        <v>27</v>
      </c>
      <c r="I253" t="s">
        <v>16</v>
      </c>
      <c r="J253" t="s">
        <v>16</v>
      </c>
      <c r="K253" s="16" t="str">
        <f>VLOOKUP(C253,CheckName!A:B,2,0)</f>
        <v>Emp</v>
      </c>
      <c r="L253">
        <v>0</v>
      </c>
      <c r="M253" s="16">
        <f t="shared" si="3"/>
        <v>3</v>
      </c>
      <c r="N253" t="str">
        <f>TEXT(MTDRejection[[#This Row],[RejectionDate]],"dddd")</f>
        <v>Tuesday</v>
      </c>
    </row>
    <row r="254" spans="1:14">
      <c r="A254" s="16" t="s">
        <v>362</v>
      </c>
      <c r="B254" s="16" t="s">
        <v>3028</v>
      </c>
      <c r="C254" s="16" t="s">
        <v>12</v>
      </c>
      <c r="D254" s="16" t="s">
        <v>26</v>
      </c>
      <c r="E254" s="19">
        <v>45629</v>
      </c>
      <c r="F254" s="16" t="s">
        <v>721</v>
      </c>
      <c r="G254" s="16">
        <v>1</v>
      </c>
      <c r="H254" s="16" t="s">
        <v>27</v>
      </c>
      <c r="I254" s="16" t="s">
        <v>16</v>
      </c>
      <c r="J254" s="16" t="s">
        <v>16</v>
      </c>
      <c r="K254" s="16" t="str">
        <f>VLOOKUP(C254,CheckName!A:B,2,0)</f>
        <v>Emp</v>
      </c>
      <c r="L254">
        <v>0</v>
      </c>
      <c r="M254" s="16">
        <f t="shared" si="3"/>
        <v>3</v>
      </c>
      <c r="N254" t="str">
        <f>TEXT(MTDRejection[[#This Row],[RejectionDate]],"dddd")</f>
        <v>Tuesday</v>
      </c>
    </row>
    <row r="255" spans="1:14">
      <c r="A255" t="s">
        <v>1358</v>
      </c>
      <c r="B255" t="s">
        <v>3029</v>
      </c>
      <c r="C255" t="s">
        <v>36</v>
      </c>
      <c r="D255" t="s">
        <v>26</v>
      </c>
      <c r="E255" s="7">
        <v>45629</v>
      </c>
      <c r="F255" t="s">
        <v>169</v>
      </c>
      <c r="G255">
        <v>1</v>
      </c>
      <c r="H255" t="s">
        <v>27</v>
      </c>
      <c r="I255" t="s">
        <v>16</v>
      </c>
      <c r="J255" t="s">
        <v>16</v>
      </c>
      <c r="K255" s="16" t="str">
        <f>VLOOKUP(C255,CheckName!A:B,2,0)</f>
        <v>Emp</v>
      </c>
      <c r="L255">
        <v>0</v>
      </c>
      <c r="M255" s="16">
        <f t="shared" si="3"/>
        <v>3</v>
      </c>
      <c r="N255" t="str">
        <f>TEXT(MTDRejection[[#This Row],[RejectionDate]],"dddd")</f>
        <v>Tuesday</v>
      </c>
    </row>
    <row r="256" spans="1:14">
      <c r="A256" s="16" t="s">
        <v>119</v>
      </c>
      <c r="B256" s="16" t="s">
        <v>2383</v>
      </c>
      <c r="C256" s="16" t="s">
        <v>12</v>
      </c>
      <c r="D256" s="16" t="s">
        <v>26</v>
      </c>
      <c r="E256" s="19">
        <v>45629</v>
      </c>
      <c r="F256" s="16" t="s">
        <v>80</v>
      </c>
      <c r="G256" s="16">
        <v>1</v>
      </c>
      <c r="H256" s="16" t="s">
        <v>27</v>
      </c>
      <c r="I256" s="16" t="s">
        <v>16</v>
      </c>
      <c r="J256" s="16" t="s">
        <v>16</v>
      </c>
      <c r="K256" s="16" t="str">
        <f>VLOOKUP(C256,CheckName!A:B,2,0)</f>
        <v>Emp</v>
      </c>
      <c r="L256">
        <v>0</v>
      </c>
      <c r="M256" s="16">
        <f t="shared" si="3"/>
        <v>3</v>
      </c>
      <c r="N256" t="str">
        <f>TEXT(MTDRejection[[#This Row],[RejectionDate]],"dddd")</f>
        <v>Tuesday</v>
      </c>
    </row>
    <row r="257" spans="1:14">
      <c r="A257" t="s">
        <v>353</v>
      </c>
      <c r="B257" t="s">
        <v>3030</v>
      </c>
      <c r="C257" t="s">
        <v>12</v>
      </c>
      <c r="D257" t="s">
        <v>26</v>
      </c>
      <c r="E257" s="7">
        <v>45629</v>
      </c>
      <c r="F257" t="s">
        <v>80</v>
      </c>
      <c r="G257">
        <v>1</v>
      </c>
      <c r="H257" t="s">
        <v>27</v>
      </c>
      <c r="I257" t="s">
        <v>16</v>
      </c>
      <c r="J257" t="s">
        <v>16</v>
      </c>
      <c r="K257" s="16" t="str">
        <f>VLOOKUP(C257,CheckName!A:B,2,0)</f>
        <v>Emp</v>
      </c>
      <c r="L257">
        <v>0</v>
      </c>
      <c r="M257" s="16">
        <f t="shared" si="3"/>
        <v>3</v>
      </c>
      <c r="N257" t="str">
        <f>TEXT(MTDRejection[[#This Row],[RejectionDate]],"dddd")</f>
        <v>Tuesday</v>
      </c>
    </row>
    <row r="258" spans="1:14">
      <c r="A258" s="16" t="s">
        <v>119</v>
      </c>
      <c r="B258" s="16" t="s">
        <v>3031</v>
      </c>
      <c r="C258" s="16" t="s">
        <v>12</v>
      </c>
      <c r="D258" s="16" t="s">
        <v>51</v>
      </c>
      <c r="E258" s="19">
        <v>45629</v>
      </c>
      <c r="F258" s="16" t="s">
        <v>2331</v>
      </c>
      <c r="G258" s="16">
        <v>1</v>
      </c>
      <c r="H258" s="16" t="s">
        <v>53</v>
      </c>
      <c r="I258" s="16" t="s">
        <v>16</v>
      </c>
      <c r="J258" s="16" t="s">
        <v>16</v>
      </c>
      <c r="K258" s="16" t="str">
        <f>VLOOKUP(C258,CheckName!A:B,2,0)</f>
        <v>Emp</v>
      </c>
      <c r="L258">
        <v>0</v>
      </c>
      <c r="M258" s="16">
        <f t="shared" si="3"/>
        <v>3</v>
      </c>
      <c r="N258" t="str">
        <f>TEXT(MTDRejection[[#This Row],[RejectionDate]],"dddd")</f>
        <v>Tuesday</v>
      </c>
    </row>
    <row r="259" spans="1:14">
      <c r="A259" t="s">
        <v>119</v>
      </c>
      <c r="B259" t="s">
        <v>3032</v>
      </c>
      <c r="C259" t="s">
        <v>36</v>
      </c>
      <c r="D259" t="s">
        <v>51</v>
      </c>
      <c r="E259" s="7">
        <v>45629</v>
      </c>
      <c r="F259" t="s">
        <v>2331</v>
      </c>
      <c r="G259">
        <v>1</v>
      </c>
      <c r="H259" t="s">
        <v>53</v>
      </c>
      <c r="I259" t="s">
        <v>16</v>
      </c>
      <c r="J259" t="s">
        <v>16</v>
      </c>
      <c r="K259" s="16" t="str">
        <f>VLOOKUP(C259,CheckName!A:B,2,0)</f>
        <v>Emp</v>
      </c>
      <c r="L259">
        <v>0</v>
      </c>
      <c r="M259" s="16">
        <f t="shared" ref="M259:M322" si="4">DAY(E259)</f>
        <v>3</v>
      </c>
      <c r="N259" t="str">
        <f>TEXT(MTDRejection[[#This Row],[RejectionDate]],"dddd")</f>
        <v>Tuesday</v>
      </c>
    </row>
    <row r="260" spans="1:14">
      <c r="A260" s="16" t="s">
        <v>45</v>
      </c>
      <c r="B260" s="16" t="s">
        <v>3033</v>
      </c>
      <c r="C260" s="16" t="s">
        <v>36</v>
      </c>
      <c r="D260" s="16" t="s">
        <v>26</v>
      </c>
      <c r="E260" s="19">
        <v>45629</v>
      </c>
      <c r="F260" s="16" t="s">
        <v>2354</v>
      </c>
      <c r="G260" s="16">
        <v>1</v>
      </c>
      <c r="H260" s="16" t="s">
        <v>22</v>
      </c>
      <c r="I260" s="16" t="s">
        <v>16</v>
      </c>
      <c r="J260" s="16" t="s">
        <v>16</v>
      </c>
      <c r="K260" s="16" t="str">
        <f>VLOOKUP(C260,CheckName!A:B,2,0)</f>
        <v>Emp</v>
      </c>
      <c r="L260">
        <v>0</v>
      </c>
      <c r="M260" s="16">
        <f t="shared" si="4"/>
        <v>3</v>
      </c>
      <c r="N260" t="str">
        <f>TEXT(MTDRejection[[#This Row],[RejectionDate]],"dddd")</f>
        <v>Tuesday</v>
      </c>
    </row>
    <row r="261" spans="1:14">
      <c r="A261" t="s">
        <v>510</v>
      </c>
      <c r="B261" t="s">
        <v>3034</v>
      </c>
      <c r="C261" t="s">
        <v>54</v>
      </c>
      <c r="D261" t="s">
        <v>26</v>
      </c>
      <c r="E261" s="7">
        <v>45629</v>
      </c>
      <c r="F261" t="s">
        <v>504</v>
      </c>
      <c r="G261">
        <v>1</v>
      </c>
      <c r="H261" t="s">
        <v>27</v>
      </c>
      <c r="I261" t="s">
        <v>16</v>
      </c>
      <c r="J261" t="s">
        <v>16</v>
      </c>
      <c r="K261" s="16" t="str">
        <f>VLOOKUP(C261,CheckName!A:B,2,0)</f>
        <v>Edu</v>
      </c>
      <c r="L261">
        <v>0</v>
      </c>
      <c r="M261" s="16">
        <f t="shared" si="4"/>
        <v>3</v>
      </c>
      <c r="N261" t="str">
        <f>TEXT(MTDRejection[[#This Row],[RejectionDate]],"dddd")</f>
        <v>Tuesday</v>
      </c>
    </row>
    <row r="262" spans="1:14">
      <c r="A262" s="16" t="s">
        <v>934</v>
      </c>
      <c r="B262" s="16" t="s">
        <v>3035</v>
      </c>
      <c r="C262" s="16" t="s">
        <v>12</v>
      </c>
      <c r="D262" s="16" t="s">
        <v>26</v>
      </c>
      <c r="E262" s="19">
        <v>45629</v>
      </c>
      <c r="F262" s="16" t="s">
        <v>2347</v>
      </c>
      <c r="G262" s="16">
        <v>1</v>
      </c>
      <c r="H262" s="16" t="s">
        <v>27</v>
      </c>
      <c r="I262" s="16" t="s">
        <v>16</v>
      </c>
      <c r="J262" s="16" t="s">
        <v>16</v>
      </c>
      <c r="K262" s="16" t="str">
        <f>VLOOKUP(C262,CheckName!A:B,2,0)</f>
        <v>Emp</v>
      </c>
      <c r="L262">
        <v>0</v>
      </c>
      <c r="M262" s="16">
        <f t="shared" si="4"/>
        <v>3</v>
      </c>
      <c r="N262" t="str">
        <f>TEXT(MTDRejection[[#This Row],[RejectionDate]],"dddd")</f>
        <v>Tuesday</v>
      </c>
    </row>
    <row r="263" spans="1:14">
      <c r="A263" t="s">
        <v>337</v>
      </c>
      <c r="B263" t="s">
        <v>3036</v>
      </c>
      <c r="C263" t="s">
        <v>36</v>
      </c>
      <c r="D263" t="s">
        <v>26</v>
      </c>
      <c r="E263" s="7">
        <v>45629</v>
      </c>
      <c r="F263" t="s">
        <v>182</v>
      </c>
      <c r="G263">
        <v>1</v>
      </c>
      <c r="H263" t="s">
        <v>27</v>
      </c>
      <c r="I263" t="s">
        <v>16</v>
      </c>
      <c r="J263" t="s">
        <v>16</v>
      </c>
      <c r="K263" s="16" t="str">
        <f>VLOOKUP(C263,CheckName!A:B,2,0)</f>
        <v>Emp</v>
      </c>
      <c r="L263">
        <v>0</v>
      </c>
      <c r="M263" s="16">
        <f t="shared" si="4"/>
        <v>3</v>
      </c>
      <c r="N263" t="str">
        <f>TEXT(MTDRejection[[#This Row],[RejectionDate]],"dddd")</f>
        <v>Tuesday</v>
      </c>
    </row>
    <row r="264" spans="1:14">
      <c r="A264" s="16" t="s">
        <v>391</v>
      </c>
      <c r="B264" s="16" t="s">
        <v>3037</v>
      </c>
      <c r="C264" s="16" t="s">
        <v>12</v>
      </c>
      <c r="D264" s="16" t="s">
        <v>26</v>
      </c>
      <c r="E264" s="19">
        <v>45629</v>
      </c>
      <c r="F264" s="16" t="s">
        <v>2347</v>
      </c>
      <c r="G264" s="16">
        <v>1</v>
      </c>
      <c r="H264" s="16" t="s">
        <v>27</v>
      </c>
      <c r="I264" s="16" t="s">
        <v>16</v>
      </c>
      <c r="J264" s="16" t="s">
        <v>16</v>
      </c>
      <c r="K264" s="16" t="str">
        <f>VLOOKUP(C264,CheckName!A:B,2,0)</f>
        <v>Emp</v>
      </c>
      <c r="L264">
        <v>0</v>
      </c>
      <c r="M264" s="16">
        <f t="shared" si="4"/>
        <v>3</v>
      </c>
      <c r="N264" t="str">
        <f>TEXT(MTDRejection[[#This Row],[RejectionDate]],"dddd")</f>
        <v>Tuesday</v>
      </c>
    </row>
    <row r="265" spans="1:14">
      <c r="A265" t="s">
        <v>697</v>
      </c>
      <c r="B265" t="s">
        <v>3038</v>
      </c>
      <c r="C265" t="s">
        <v>125</v>
      </c>
      <c r="D265" t="s">
        <v>26</v>
      </c>
      <c r="E265" s="7">
        <v>45629</v>
      </c>
      <c r="F265" t="s">
        <v>614</v>
      </c>
      <c r="G265">
        <v>1</v>
      </c>
      <c r="H265" t="s">
        <v>27</v>
      </c>
      <c r="I265" t="s">
        <v>16</v>
      </c>
      <c r="J265" t="s">
        <v>16</v>
      </c>
      <c r="K265" s="16" t="str">
        <f>VLOOKUP(C265,CheckName!A:B,2,0)</f>
        <v>Emp</v>
      </c>
      <c r="L265">
        <v>0</v>
      </c>
      <c r="M265" s="16">
        <f t="shared" si="4"/>
        <v>3</v>
      </c>
      <c r="N265" t="str">
        <f>TEXT(MTDRejection[[#This Row],[RejectionDate]],"dddd")</f>
        <v>Tuesday</v>
      </c>
    </row>
    <row r="266" spans="1:14">
      <c r="A266" s="16" t="s">
        <v>697</v>
      </c>
      <c r="B266" s="16" t="s">
        <v>2384</v>
      </c>
      <c r="C266" s="16" t="s">
        <v>125</v>
      </c>
      <c r="D266" s="16" t="s">
        <v>26</v>
      </c>
      <c r="E266" s="19">
        <v>45629</v>
      </c>
      <c r="F266" s="16" t="s">
        <v>614</v>
      </c>
      <c r="G266" s="16">
        <v>1</v>
      </c>
      <c r="H266" s="16" t="s">
        <v>27</v>
      </c>
      <c r="I266" s="16" t="s">
        <v>16</v>
      </c>
      <c r="J266" s="16" t="s">
        <v>16</v>
      </c>
      <c r="K266" s="16" t="str">
        <f>VLOOKUP(C266,CheckName!A:B,2,0)</f>
        <v>Emp</v>
      </c>
      <c r="L266">
        <v>0</v>
      </c>
      <c r="M266" s="16">
        <f t="shared" si="4"/>
        <v>3</v>
      </c>
      <c r="N266" t="str">
        <f>TEXT(MTDRejection[[#This Row],[RejectionDate]],"dddd")</f>
        <v>Tuesday</v>
      </c>
    </row>
    <row r="267" spans="1:14">
      <c r="A267" t="s">
        <v>228</v>
      </c>
      <c r="B267" t="s">
        <v>3039</v>
      </c>
      <c r="C267" t="s">
        <v>125</v>
      </c>
      <c r="D267" t="s">
        <v>26</v>
      </c>
      <c r="E267" s="7">
        <v>45629</v>
      </c>
      <c r="F267" t="s">
        <v>182</v>
      </c>
      <c r="G267">
        <v>1</v>
      </c>
      <c r="H267" t="s">
        <v>27</v>
      </c>
      <c r="I267" t="s">
        <v>16</v>
      </c>
      <c r="J267" t="s">
        <v>16</v>
      </c>
      <c r="K267" s="16" t="str">
        <f>VLOOKUP(C267,CheckName!A:B,2,0)</f>
        <v>Emp</v>
      </c>
      <c r="L267">
        <v>0</v>
      </c>
      <c r="M267" s="16">
        <f t="shared" si="4"/>
        <v>3</v>
      </c>
      <c r="N267" t="str">
        <f>TEXT(MTDRejection[[#This Row],[RejectionDate]],"dddd")</f>
        <v>Tuesday</v>
      </c>
    </row>
    <row r="268" spans="1:14">
      <c r="A268" s="16" t="s">
        <v>45</v>
      </c>
      <c r="B268" s="16" t="s">
        <v>2385</v>
      </c>
      <c r="C268" s="16" t="s">
        <v>36</v>
      </c>
      <c r="D268" s="16" t="s">
        <v>26</v>
      </c>
      <c r="E268" s="19">
        <v>45629</v>
      </c>
      <c r="F268" s="16" t="s">
        <v>179</v>
      </c>
      <c r="G268" s="16">
        <v>1</v>
      </c>
      <c r="H268" s="16" t="s">
        <v>27</v>
      </c>
      <c r="I268" s="16" t="s">
        <v>16</v>
      </c>
      <c r="J268" s="16" t="s">
        <v>16</v>
      </c>
      <c r="K268" s="16" t="str">
        <f>VLOOKUP(C268,CheckName!A:B,2,0)</f>
        <v>Emp</v>
      </c>
      <c r="L268">
        <v>0</v>
      </c>
      <c r="M268" s="16">
        <f t="shared" si="4"/>
        <v>3</v>
      </c>
      <c r="N268" t="str">
        <f>TEXT(MTDRejection[[#This Row],[RejectionDate]],"dddd")</f>
        <v>Tuesday</v>
      </c>
    </row>
    <row r="269" spans="1:14">
      <c r="A269" t="s">
        <v>45</v>
      </c>
      <c r="B269" t="s">
        <v>3040</v>
      </c>
      <c r="C269" t="s">
        <v>12</v>
      </c>
      <c r="D269" t="s">
        <v>26</v>
      </c>
      <c r="E269" s="7">
        <v>45629</v>
      </c>
      <c r="F269" t="s">
        <v>179</v>
      </c>
      <c r="G269">
        <v>1</v>
      </c>
      <c r="H269" t="s">
        <v>27</v>
      </c>
      <c r="I269" t="s">
        <v>16</v>
      </c>
      <c r="J269" t="s">
        <v>16</v>
      </c>
      <c r="K269" s="16" t="str">
        <f>VLOOKUP(C269,CheckName!A:B,2,0)</f>
        <v>Emp</v>
      </c>
      <c r="L269">
        <v>0</v>
      </c>
      <c r="M269" s="16">
        <f t="shared" si="4"/>
        <v>3</v>
      </c>
      <c r="N269" t="str">
        <f>TEXT(MTDRejection[[#This Row],[RejectionDate]],"dddd")</f>
        <v>Tuesday</v>
      </c>
    </row>
    <row r="270" spans="1:14">
      <c r="A270" s="16" t="s">
        <v>84</v>
      </c>
      <c r="B270" s="16" t="s">
        <v>3041</v>
      </c>
      <c r="C270" s="16" t="s">
        <v>12</v>
      </c>
      <c r="D270" s="16" t="s">
        <v>26</v>
      </c>
      <c r="E270" s="19">
        <v>45629</v>
      </c>
      <c r="F270" s="16" t="s">
        <v>184</v>
      </c>
      <c r="G270" s="16">
        <v>1</v>
      </c>
      <c r="H270" s="16" t="s">
        <v>27</v>
      </c>
      <c r="I270" s="16" t="s">
        <v>16</v>
      </c>
      <c r="J270" s="16" t="s">
        <v>16</v>
      </c>
      <c r="K270" s="16" t="str">
        <f>VLOOKUP(C270,CheckName!A:B,2,0)</f>
        <v>Emp</v>
      </c>
      <c r="L270">
        <v>0</v>
      </c>
      <c r="M270" s="16">
        <f t="shared" si="4"/>
        <v>3</v>
      </c>
      <c r="N270" t="str">
        <f>TEXT(MTDRejection[[#This Row],[RejectionDate]],"dddd")</f>
        <v>Tuesday</v>
      </c>
    </row>
    <row r="271" spans="1:14">
      <c r="A271" t="s">
        <v>461</v>
      </c>
      <c r="B271" t="s">
        <v>3042</v>
      </c>
      <c r="C271" t="s">
        <v>125</v>
      </c>
      <c r="D271" t="s">
        <v>26</v>
      </c>
      <c r="E271" s="7">
        <v>45629</v>
      </c>
      <c r="F271" t="s">
        <v>277</v>
      </c>
      <c r="G271">
        <v>1</v>
      </c>
      <c r="H271" t="s">
        <v>27</v>
      </c>
      <c r="I271" t="s">
        <v>16</v>
      </c>
      <c r="J271" t="s">
        <v>16</v>
      </c>
      <c r="K271" s="16" t="str">
        <f>VLOOKUP(C271,CheckName!A:B,2,0)</f>
        <v>Emp</v>
      </c>
      <c r="L271">
        <v>0</v>
      </c>
      <c r="M271" s="16">
        <f t="shared" si="4"/>
        <v>3</v>
      </c>
      <c r="N271" t="str">
        <f>TEXT(MTDRejection[[#This Row],[RejectionDate]],"dddd")</f>
        <v>Tuesday</v>
      </c>
    </row>
    <row r="272" spans="1:14">
      <c r="A272" s="16" t="s">
        <v>461</v>
      </c>
      <c r="B272" s="16" t="s">
        <v>3043</v>
      </c>
      <c r="C272" s="16" t="s">
        <v>125</v>
      </c>
      <c r="D272" s="16" t="s">
        <v>26</v>
      </c>
      <c r="E272" s="19">
        <v>45629</v>
      </c>
      <c r="F272" s="16" t="s">
        <v>277</v>
      </c>
      <c r="G272" s="16">
        <v>1</v>
      </c>
      <c r="H272" s="16" t="s">
        <v>27</v>
      </c>
      <c r="I272" s="16" t="s">
        <v>16</v>
      </c>
      <c r="J272" s="16" t="s">
        <v>16</v>
      </c>
      <c r="K272" s="16" t="str">
        <f>VLOOKUP(C272,CheckName!A:B,2,0)</f>
        <v>Emp</v>
      </c>
      <c r="L272">
        <v>0</v>
      </c>
      <c r="M272" s="16">
        <f t="shared" si="4"/>
        <v>3</v>
      </c>
      <c r="N272" t="str">
        <f>TEXT(MTDRejection[[#This Row],[RejectionDate]],"dddd")</f>
        <v>Tuesday</v>
      </c>
    </row>
    <row r="273" spans="1:14">
      <c r="A273" t="s">
        <v>84</v>
      </c>
      <c r="B273" t="s">
        <v>2386</v>
      </c>
      <c r="C273" t="s">
        <v>12</v>
      </c>
      <c r="D273" t="s">
        <v>26</v>
      </c>
      <c r="E273" s="7">
        <v>45629</v>
      </c>
      <c r="F273" t="s">
        <v>184</v>
      </c>
      <c r="G273">
        <v>1</v>
      </c>
      <c r="H273" t="s">
        <v>27</v>
      </c>
      <c r="I273" t="s">
        <v>16</v>
      </c>
      <c r="J273" t="s">
        <v>16</v>
      </c>
      <c r="K273" s="16" t="str">
        <f>VLOOKUP(C273,CheckName!A:B,2,0)</f>
        <v>Emp</v>
      </c>
      <c r="L273">
        <v>0</v>
      </c>
      <c r="M273" s="16">
        <f t="shared" si="4"/>
        <v>3</v>
      </c>
      <c r="N273" t="str">
        <f>TEXT(MTDRejection[[#This Row],[RejectionDate]],"dddd")</f>
        <v>Tuesday</v>
      </c>
    </row>
    <row r="274" spans="1:14">
      <c r="A274" s="16" t="s">
        <v>1376</v>
      </c>
      <c r="B274" s="16" t="s">
        <v>3044</v>
      </c>
      <c r="C274" s="16" t="s">
        <v>12</v>
      </c>
      <c r="D274" s="16" t="s">
        <v>26</v>
      </c>
      <c r="E274" s="19">
        <v>45629</v>
      </c>
      <c r="F274" s="16" t="s">
        <v>608</v>
      </c>
      <c r="G274" s="16">
        <v>1</v>
      </c>
      <c r="H274" s="16" t="s">
        <v>27</v>
      </c>
      <c r="I274" s="16" t="s">
        <v>16</v>
      </c>
      <c r="J274" s="16" t="s">
        <v>16</v>
      </c>
      <c r="K274" s="16" t="str">
        <f>VLOOKUP(C274,CheckName!A:B,2,0)</f>
        <v>Emp</v>
      </c>
      <c r="L274">
        <v>0</v>
      </c>
      <c r="M274" s="16">
        <f t="shared" si="4"/>
        <v>3</v>
      </c>
      <c r="N274" t="str">
        <f>TEXT(MTDRejection[[#This Row],[RejectionDate]],"dddd")</f>
        <v>Tuesday</v>
      </c>
    </row>
    <row r="275" spans="1:14">
      <c r="A275" t="s">
        <v>142</v>
      </c>
      <c r="B275" t="s">
        <v>2387</v>
      </c>
      <c r="C275" t="s">
        <v>19</v>
      </c>
      <c r="D275" t="s">
        <v>26</v>
      </c>
      <c r="E275" s="7">
        <v>45629</v>
      </c>
      <c r="F275" t="s">
        <v>66</v>
      </c>
      <c r="G275">
        <v>1</v>
      </c>
      <c r="H275" t="s">
        <v>27</v>
      </c>
      <c r="I275" t="s">
        <v>16</v>
      </c>
      <c r="J275" t="s">
        <v>16</v>
      </c>
      <c r="K275" s="16" t="str">
        <f>VLOOKUP(C275,CheckName!A:B,2,0)</f>
        <v>Add</v>
      </c>
      <c r="L275">
        <v>0</v>
      </c>
      <c r="M275" s="16">
        <f t="shared" si="4"/>
        <v>3</v>
      </c>
      <c r="N275" t="str">
        <f>TEXT(MTDRejection[[#This Row],[RejectionDate]],"dddd")</f>
        <v>Tuesday</v>
      </c>
    </row>
    <row r="276" spans="1:14">
      <c r="A276" s="16" t="s">
        <v>137</v>
      </c>
      <c r="B276" s="16" t="s">
        <v>2388</v>
      </c>
      <c r="C276" s="16" t="s">
        <v>25</v>
      </c>
      <c r="D276" s="16" t="s">
        <v>20</v>
      </c>
      <c r="E276" s="19">
        <v>45629</v>
      </c>
      <c r="F276" s="16" t="s">
        <v>2330</v>
      </c>
      <c r="G276" s="16">
        <v>1</v>
      </c>
      <c r="H276" s="16" t="s">
        <v>22</v>
      </c>
      <c r="I276" s="16" t="s">
        <v>16</v>
      </c>
      <c r="J276" s="16" t="s">
        <v>16</v>
      </c>
      <c r="K276" s="16" t="str">
        <f>VLOOKUP(C276,CheckName!A:B,2,0)</f>
        <v>Add</v>
      </c>
      <c r="L276">
        <v>0</v>
      </c>
      <c r="M276" s="16">
        <f t="shared" si="4"/>
        <v>3</v>
      </c>
      <c r="N276" t="str">
        <f>TEXT(MTDRejection[[#This Row],[RejectionDate]],"dddd")</f>
        <v>Tuesday</v>
      </c>
    </row>
    <row r="277" spans="1:14">
      <c r="A277" t="s">
        <v>205</v>
      </c>
      <c r="B277" t="s">
        <v>2389</v>
      </c>
      <c r="C277" t="s">
        <v>25</v>
      </c>
      <c r="D277" t="s">
        <v>26</v>
      </c>
      <c r="E277" s="7">
        <v>45629</v>
      </c>
      <c r="F277" t="s">
        <v>2330</v>
      </c>
      <c r="G277">
        <v>1</v>
      </c>
      <c r="H277" t="s">
        <v>27</v>
      </c>
      <c r="I277" t="s">
        <v>16</v>
      </c>
      <c r="J277" t="s">
        <v>16</v>
      </c>
      <c r="K277" s="16" t="str">
        <f>VLOOKUP(C277,CheckName!A:B,2,0)</f>
        <v>Add</v>
      </c>
      <c r="L277">
        <v>0</v>
      </c>
      <c r="M277" s="16">
        <f t="shared" si="4"/>
        <v>3</v>
      </c>
      <c r="N277" t="str">
        <f>TEXT(MTDRejection[[#This Row],[RejectionDate]],"dddd")</f>
        <v>Tuesday</v>
      </c>
    </row>
    <row r="278" spans="1:14">
      <c r="A278" s="16" t="s">
        <v>419</v>
      </c>
      <c r="B278" s="16" t="s">
        <v>3045</v>
      </c>
      <c r="C278" s="16" t="s">
        <v>54</v>
      </c>
      <c r="D278" s="16" t="s">
        <v>13</v>
      </c>
      <c r="E278" s="19">
        <v>45629</v>
      </c>
      <c r="F278" s="16" t="s">
        <v>1219</v>
      </c>
      <c r="G278" s="16">
        <v>1</v>
      </c>
      <c r="H278" s="16" t="s">
        <v>15</v>
      </c>
      <c r="I278" s="16" t="s">
        <v>16</v>
      </c>
      <c r="J278" s="16" t="s">
        <v>16</v>
      </c>
      <c r="K278" s="16" t="str">
        <f>VLOOKUP(C278,CheckName!A:B,2,0)</f>
        <v>Edu</v>
      </c>
      <c r="L278">
        <v>0</v>
      </c>
      <c r="M278" s="16">
        <f t="shared" si="4"/>
        <v>3</v>
      </c>
      <c r="N278" t="str">
        <f>TEXT(MTDRejection[[#This Row],[RejectionDate]],"dddd")</f>
        <v>Tuesday</v>
      </c>
    </row>
    <row r="279" spans="1:14">
      <c r="A279" t="s">
        <v>228</v>
      </c>
      <c r="B279" t="s">
        <v>3046</v>
      </c>
      <c r="C279" t="s">
        <v>12</v>
      </c>
      <c r="D279" t="s">
        <v>13</v>
      </c>
      <c r="E279" s="7">
        <v>45629</v>
      </c>
      <c r="F279" t="s">
        <v>1219</v>
      </c>
      <c r="G279">
        <v>1</v>
      </c>
      <c r="H279" t="s">
        <v>15</v>
      </c>
      <c r="I279" t="s">
        <v>16</v>
      </c>
      <c r="J279" t="s">
        <v>16</v>
      </c>
      <c r="K279" s="16" t="str">
        <f>VLOOKUP(C279,CheckName!A:B,2,0)</f>
        <v>Emp</v>
      </c>
      <c r="L279">
        <v>0</v>
      </c>
      <c r="M279" s="16">
        <f t="shared" si="4"/>
        <v>3</v>
      </c>
      <c r="N279" t="str">
        <f>TEXT(MTDRejection[[#This Row],[RejectionDate]],"dddd")</f>
        <v>Tuesday</v>
      </c>
    </row>
    <row r="280" spans="1:14">
      <c r="A280" s="16" t="s">
        <v>100</v>
      </c>
      <c r="B280" s="16" t="s">
        <v>3047</v>
      </c>
      <c r="C280" s="16" t="s">
        <v>1334</v>
      </c>
      <c r="D280" s="16" t="s">
        <v>13</v>
      </c>
      <c r="E280" s="19">
        <v>45629</v>
      </c>
      <c r="F280" s="16" t="s">
        <v>1219</v>
      </c>
      <c r="G280" s="16">
        <v>1</v>
      </c>
      <c r="H280" s="16" t="s">
        <v>15</v>
      </c>
      <c r="I280" s="16" t="s">
        <v>16</v>
      </c>
      <c r="J280" s="16" t="s">
        <v>16</v>
      </c>
      <c r="K280" s="16" t="str">
        <f>VLOOKUP(C280,CheckName!A:B,2,0)</f>
        <v>CRC</v>
      </c>
      <c r="L280">
        <v>0</v>
      </c>
      <c r="M280" s="16">
        <f t="shared" si="4"/>
        <v>3</v>
      </c>
      <c r="N280" t="str">
        <f>TEXT(MTDRejection[[#This Row],[RejectionDate]],"dddd")</f>
        <v>Tuesday</v>
      </c>
    </row>
    <row r="281" spans="1:14">
      <c r="A281" t="s">
        <v>28</v>
      </c>
      <c r="B281" t="s">
        <v>3048</v>
      </c>
      <c r="C281" t="s">
        <v>19</v>
      </c>
      <c r="D281" t="s">
        <v>20</v>
      </c>
      <c r="E281" s="7">
        <v>45629</v>
      </c>
      <c r="F281" t="s">
        <v>2330</v>
      </c>
      <c r="G281">
        <v>1</v>
      </c>
      <c r="H281" t="s">
        <v>30</v>
      </c>
      <c r="I281" t="s">
        <v>16</v>
      </c>
      <c r="J281" t="s">
        <v>16</v>
      </c>
      <c r="K281" s="16" t="str">
        <f>VLOOKUP(C281,CheckName!A:B,2,0)</f>
        <v>Add</v>
      </c>
      <c r="L281">
        <v>0</v>
      </c>
      <c r="M281" s="16">
        <f t="shared" si="4"/>
        <v>3</v>
      </c>
      <c r="N281" t="str">
        <f>TEXT(MTDRejection[[#This Row],[RejectionDate]],"dddd")</f>
        <v>Tuesday</v>
      </c>
    </row>
    <row r="282" spans="1:14">
      <c r="A282" s="16" t="s">
        <v>64</v>
      </c>
      <c r="B282" s="16" t="s">
        <v>3049</v>
      </c>
      <c r="C282" s="16" t="s">
        <v>25</v>
      </c>
      <c r="D282" s="16" t="s">
        <v>26</v>
      </c>
      <c r="E282" s="19">
        <v>45629</v>
      </c>
      <c r="F282" s="16" t="s">
        <v>66</v>
      </c>
      <c r="G282" s="16">
        <v>1</v>
      </c>
      <c r="H282" s="16" t="s">
        <v>27</v>
      </c>
      <c r="I282" s="16" t="s">
        <v>16</v>
      </c>
      <c r="J282" s="16" t="s">
        <v>16</v>
      </c>
      <c r="K282" s="16" t="str">
        <f>VLOOKUP(C282,CheckName!A:B,2,0)</f>
        <v>Add</v>
      </c>
      <c r="L282">
        <v>0</v>
      </c>
      <c r="M282" s="16">
        <f t="shared" si="4"/>
        <v>3</v>
      </c>
      <c r="N282" t="str">
        <f>TEXT(MTDRejection[[#This Row],[RejectionDate]],"dddd")</f>
        <v>Tuesday</v>
      </c>
    </row>
    <row r="283" spans="1:14">
      <c r="A283" t="s">
        <v>893</v>
      </c>
      <c r="B283" t="s">
        <v>3050</v>
      </c>
      <c r="C283" t="s">
        <v>25</v>
      </c>
      <c r="D283" t="s">
        <v>20</v>
      </c>
      <c r="E283" s="7">
        <v>45629</v>
      </c>
      <c r="F283" t="s">
        <v>2330</v>
      </c>
      <c r="G283">
        <v>1</v>
      </c>
      <c r="H283" t="s">
        <v>22</v>
      </c>
      <c r="I283" t="s">
        <v>16</v>
      </c>
      <c r="J283" t="s">
        <v>16</v>
      </c>
      <c r="K283" s="16" t="str">
        <f>VLOOKUP(C283,CheckName!A:B,2,0)</f>
        <v>Add</v>
      </c>
      <c r="L283">
        <v>0</v>
      </c>
      <c r="M283" s="16">
        <f t="shared" si="4"/>
        <v>3</v>
      </c>
      <c r="N283" t="str">
        <f>TEXT(MTDRejection[[#This Row],[RejectionDate]],"dddd")</f>
        <v>Tuesday</v>
      </c>
    </row>
    <row r="284" spans="1:14">
      <c r="A284" s="16" t="s">
        <v>893</v>
      </c>
      <c r="B284" s="16" t="s">
        <v>3051</v>
      </c>
      <c r="C284" s="16" t="s">
        <v>25</v>
      </c>
      <c r="D284" s="16" t="s">
        <v>20</v>
      </c>
      <c r="E284" s="19">
        <v>45629</v>
      </c>
      <c r="F284" s="16" t="s">
        <v>2330</v>
      </c>
      <c r="G284" s="16">
        <v>1</v>
      </c>
      <c r="H284" s="16" t="s">
        <v>22</v>
      </c>
      <c r="I284" s="16" t="s">
        <v>16</v>
      </c>
      <c r="J284" s="16" t="s">
        <v>16</v>
      </c>
      <c r="K284" s="16" t="str">
        <f>VLOOKUP(C284,CheckName!A:B,2,0)</f>
        <v>Add</v>
      </c>
      <c r="L284">
        <v>0</v>
      </c>
      <c r="M284" s="16">
        <f t="shared" si="4"/>
        <v>3</v>
      </c>
      <c r="N284" t="str">
        <f>TEXT(MTDRejection[[#This Row],[RejectionDate]],"dddd")</f>
        <v>Tuesday</v>
      </c>
    </row>
    <row r="285" spans="1:14">
      <c r="A285" t="s">
        <v>1110</v>
      </c>
      <c r="B285" t="s">
        <v>3052</v>
      </c>
      <c r="C285" t="s">
        <v>965</v>
      </c>
      <c r="D285" t="s">
        <v>20</v>
      </c>
      <c r="E285" s="7">
        <v>45629</v>
      </c>
      <c r="F285" t="s">
        <v>2330</v>
      </c>
      <c r="G285">
        <v>1</v>
      </c>
      <c r="H285" t="s">
        <v>22</v>
      </c>
      <c r="I285" t="s">
        <v>16</v>
      </c>
      <c r="J285" t="s">
        <v>16</v>
      </c>
      <c r="K285" s="16" t="str">
        <f>VLOOKUP(C285,CheckName!A:B,2,0)</f>
        <v>Add</v>
      </c>
      <c r="L285">
        <v>0</v>
      </c>
      <c r="M285" s="16">
        <f t="shared" si="4"/>
        <v>3</v>
      </c>
      <c r="N285" t="str">
        <f>TEXT(MTDRejection[[#This Row],[RejectionDate]],"dddd")</f>
        <v>Tuesday</v>
      </c>
    </row>
    <row r="286" spans="1:14">
      <c r="A286" s="16" t="s">
        <v>1110</v>
      </c>
      <c r="B286" s="16" t="s">
        <v>3053</v>
      </c>
      <c r="C286" s="16" t="s">
        <v>965</v>
      </c>
      <c r="D286" s="16" t="s">
        <v>20</v>
      </c>
      <c r="E286" s="19">
        <v>45629</v>
      </c>
      <c r="F286" s="16" t="s">
        <v>2330</v>
      </c>
      <c r="G286" s="16">
        <v>1</v>
      </c>
      <c r="H286" s="16" t="s">
        <v>22</v>
      </c>
      <c r="I286" s="16" t="s">
        <v>16</v>
      </c>
      <c r="J286" s="16" t="s">
        <v>16</v>
      </c>
      <c r="K286" s="16" t="str">
        <f>VLOOKUP(C286,CheckName!A:B,2,0)</f>
        <v>Add</v>
      </c>
      <c r="L286">
        <v>0</v>
      </c>
      <c r="M286" s="16">
        <f t="shared" si="4"/>
        <v>3</v>
      </c>
      <c r="N286" t="str">
        <f>TEXT(MTDRejection[[#This Row],[RejectionDate]],"dddd")</f>
        <v>Tuesday</v>
      </c>
    </row>
    <row r="287" spans="1:14">
      <c r="A287" t="s">
        <v>1110</v>
      </c>
      <c r="B287" t="s">
        <v>2390</v>
      </c>
      <c r="C287" t="s">
        <v>965</v>
      </c>
      <c r="D287" t="s">
        <v>20</v>
      </c>
      <c r="E287" s="7">
        <v>45629</v>
      </c>
      <c r="F287" t="s">
        <v>2330</v>
      </c>
      <c r="G287">
        <v>1</v>
      </c>
      <c r="H287" t="s">
        <v>22</v>
      </c>
      <c r="I287" t="s">
        <v>16</v>
      </c>
      <c r="J287" t="s">
        <v>16</v>
      </c>
      <c r="K287" s="16" t="str">
        <f>VLOOKUP(C287,CheckName!A:B,2,0)</f>
        <v>Add</v>
      </c>
      <c r="L287">
        <v>0</v>
      </c>
      <c r="M287" s="16">
        <f t="shared" si="4"/>
        <v>3</v>
      </c>
      <c r="N287" t="str">
        <f>TEXT(MTDRejection[[#This Row],[RejectionDate]],"dddd")</f>
        <v>Tuesday</v>
      </c>
    </row>
    <row r="288" spans="1:14">
      <c r="A288" s="16" t="s">
        <v>84</v>
      </c>
      <c r="B288" s="16" t="s">
        <v>3054</v>
      </c>
      <c r="C288" s="16" t="s">
        <v>54</v>
      </c>
      <c r="D288" s="16" t="s">
        <v>26</v>
      </c>
      <c r="E288" s="19">
        <v>45629</v>
      </c>
      <c r="F288" s="16" t="s">
        <v>2329</v>
      </c>
      <c r="G288" s="16">
        <v>1</v>
      </c>
      <c r="H288" s="16" t="s">
        <v>27</v>
      </c>
      <c r="I288" s="16" t="s">
        <v>16</v>
      </c>
      <c r="J288" s="16" t="s">
        <v>16</v>
      </c>
      <c r="K288" s="16" t="str">
        <f>VLOOKUP(C288,CheckName!A:B,2,0)</f>
        <v>Edu</v>
      </c>
      <c r="L288">
        <v>0</v>
      </c>
      <c r="M288" s="16">
        <f t="shared" si="4"/>
        <v>3</v>
      </c>
      <c r="N288" t="str">
        <f>TEXT(MTDRejection[[#This Row],[RejectionDate]],"dddd")</f>
        <v>Tuesday</v>
      </c>
    </row>
    <row r="289" spans="1:14">
      <c r="A289" t="s">
        <v>84</v>
      </c>
      <c r="B289" t="s">
        <v>3055</v>
      </c>
      <c r="C289" t="s">
        <v>19</v>
      </c>
      <c r="D289" t="s">
        <v>26</v>
      </c>
      <c r="E289" s="7">
        <v>45629</v>
      </c>
      <c r="F289" t="s">
        <v>66</v>
      </c>
      <c r="G289">
        <v>1</v>
      </c>
      <c r="H289" t="s">
        <v>22</v>
      </c>
      <c r="I289" t="s">
        <v>16</v>
      </c>
      <c r="J289" t="s">
        <v>16</v>
      </c>
      <c r="K289" s="16" t="str">
        <f>VLOOKUP(C289,CheckName!A:B,2,0)</f>
        <v>Add</v>
      </c>
      <c r="L289">
        <v>0</v>
      </c>
      <c r="M289" s="16">
        <f t="shared" si="4"/>
        <v>3</v>
      </c>
      <c r="N289" t="str">
        <f>TEXT(MTDRejection[[#This Row],[RejectionDate]],"dddd")</f>
        <v>Tuesday</v>
      </c>
    </row>
    <row r="290" spans="1:14">
      <c r="A290" s="16" t="s">
        <v>47</v>
      </c>
      <c r="B290" s="16" t="s">
        <v>2953</v>
      </c>
      <c r="C290" s="16" t="s">
        <v>54</v>
      </c>
      <c r="D290" s="16" t="s">
        <v>13</v>
      </c>
      <c r="E290" s="19">
        <v>45629</v>
      </c>
      <c r="F290" s="16" t="s">
        <v>2334</v>
      </c>
      <c r="G290" s="16">
        <v>1</v>
      </c>
      <c r="H290" s="16" t="s">
        <v>15</v>
      </c>
      <c r="I290" s="16" t="s">
        <v>16</v>
      </c>
      <c r="J290" s="16" t="s">
        <v>16</v>
      </c>
      <c r="K290" s="16" t="str">
        <f>VLOOKUP(C290,CheckName!A:B,2,0)</f>
        <v>Edu</v>
      </c>
      <c r="L290">
        <v>0</v>
      </c>
      <c r="M290" s="16">
        <f t="shared" si="4"/>
        <v>3</v>
      </c>
      <c r="N290" t="str">
        <f>TEXT(MTDRejection[[#This Row],[RejectionDate]],"dddd")</f>
        <v>Tuesday</v>
      </c>
    </row>
    <row r="291" spans="1:14">
      <c r="A291" t="s">
        <v>47</v>
      </c>
      <c r="B291" t="s">
        <v>3056</v>
      </c>
      <c r="C291" t="s">
        <v>56</v>
      </c>
      <c r="D291" t="s">
        <v>13</v>
      </c>
      <c r="E291" s="7">
        <v>45629</v>
      </c>
      <c r="F291" t="s">
        <v>2334</v>
      </c>
      <c r="G291">
        <v>1</v>
      </c>
      <c r="H291" t="s">
        <v>15</v>
      </c>
      <c r="I291" t="s">
        <v>16</v>
      </c>
      <c r="J291" t="s">
        <v>16</v>
      </c>
      <c r="K291" s="16" t="str">
        <f>VLOOKUP(C291,CheckName!A:B,2,0)</f>
        <v>Special Check</v>
      </c>
      <c r="L291">
        <v>0</v>
      </c>
      <c r="M291" s="16">
        <f t="shared" si="4"/>
        <v>3</v>
      </c>
      <c r="N291" t="str">
        <f>TEXT(MTDRejection[[#This Row],[RejectionDate]],"dddd")</f>
        <v>Tuesday</v>
      </c>
    </row>
    <row r="292" spans="1:14">
      <c r="A292" s="16" t="s">
        <v>1393</v>
      </c>
      <c r="B292" s="16" t="s">
        <v>3057</v>
      </c>
      <c r="C292" s="16" t="s">
        <v>12</v>
      </c>
      <c r="D292" s="16" t="s">
        <v>26</v>
      </c>
      <c r="E292" s="19">
        <v>45629</v>
      </c>
      <c r="F292" s="16" t="s">
        <v>1055</v>
      </c>
      <c r="G292" s="16">
        <v>1</v>
      </c>
      <c r="H292" s="16" t="s">
        <v>27</v>
      </c>
      <c r="I292" s="16" t="s">
        <v>16</v>
      </c>
      <c r="J292" s="16" t="s">
        <v>16</v>
      </c>
      <c r="K292" s="16" t="str">
        <f>VLOOKUP(C292,CheckName!A:B,2,0)</f>
        <v>Emp</v>
      </c>
      <c r="L292">
        <v>0</v>
      </c>
      <c r="M292" s="16">
        <f t="shared" si="4"/>
        <v>3</v>
      </c>
      <c r="N292" t="str">
        <f>TEXT(MTDRejection[[#This Row],[RejectionDate]],"dddd")</f>
        <v>Tuesday</v>
      </c>
    </row>
    <row r="293" spans="1:14">
      <c r="A293" t="s">
        <v>119</v>
      </c>
      <c r="B293" t="s">
        <v>3058</v>
      </c>
      <c r="C293" t="s">
        <v>12</v>
      </c>
      <c r="D293" t="s">
        <v>26</v>
      </c>
      <c r="E293" s="7">
        <v>45629</v>
      </c>
      <c r="F293" t="s">
        <v>222</v>
      </c>
      <c r="G293">
        <v>1</v>
      </c>
      <c r="H293" t="s">
        <v>27</v>
      </c>
      <c r="I293" t="s">
        <v>16</v>
      </c>
      <c r="J293" t="s">
        <v>16</v>
      </c>
      <c r="K293" s="16" t="str">
        <f>VLOOKUP(C293,CheckName!A:B,2,0)</f>
        <v>Emp</v>
      </c>
      <c r="L293">
        <v>0</v>
      </c>
      <c r="M293" s="16">
        <f t="shared" si="4"/>
        <v>3</v>
      </c>
      <c r="N293" t="str">
        <f>TEXT(MTDRejection[[#This Row],[RejectionDate]],"dddd")</f>
        <v>Tuesday</v>
      </c>
    </row>
    <row r="294" spans="1:14">
      <c r="A294" s="16" t="s">
        <v>84</v>
      </c>
      <c r="B294" s="16" t="s">
        <v>3059</v>
      </c>
      <c r="C294" s="16" t="s">
        <v>12</v>
      </c>
      <c r="D294" s="16" t="s">
        <v>26</v>
      </c>
      <c r="E294" s="19">
        <v>45629</v>
      </c>
      <c r="F294" s="16" t="s">
        <v>222</v>
      </c>
      <c r="G294" s="16">
        <v>1</v>
      </c>
      <c r="H294" s="16" t="s">
        <v>27</v>
      </c>
      <c r="I294" s="16" t="s">
        <v>16</v>
      </c>
      <c r="J294" s="16" t="s">
        <v>16</v>
      </c>
      <c r="K294" s="16" t="str">
        <f>VLOOKUP(C294,CheckName!A:B,2,0)</f>
        <v>Emp</v>
      </c>
      <c r="L294">
        <v>0</v>
      </c>
      <c r="M294" s="16">
        <f t="shared" si="4"/>
        <v>3</v>
      </c>
      <c r="N294" t="str">
        <f>TEXT(MTDRejection[[#This Row],[RejectionDate]],"dddd")</f>
        <v>Tuesday</v>
      </c>
    </row>
    <row r="295" spans="1:14">
      <c r="A295" t="s">
        <v>142</v>
      </c>
      <c r="B295" t="s">
        <v>3060</v>
      </c>
      <c r="C295" t="s">
        <v>36</v>
      </c>
      <c r="D295" t="s">
        <v>26</v>
      </c>
      <c r="E295" s="7">
        <v>45629</v>
      </c>
      <c r="F295" t="s">
        <v>222</v>
      </c>
      <c r="G295">
        <v>1</v>
      </c>
      <c r="H295" t="s">
        <v>22</v>
      </c>
      <c r="I295" t="s">
        <v>16</v>
      </c>
      <c r="J295" t="s">
        <v>16</v>
      </c>
      <c r="K295" s="16" t="str">
        <f>VLOOKUP(C295,CheckName!A:B,2,0)</f>
        <v>Emp</v>
      </c>
      <c r="L295">
        <v>0</v>
      </c>
      <c r="M295" s="16">
        <f t="shared" si="4"/>
        <v>3</v>
      </c>
      <c r="N295" t="str">
        <f>TEXT(MTDRejection[[#This Row],[RejectionDate]],"dddd")</f>
        <v>Tuesday</v>
      </c>
    </row>
    <row r="296" spans="1:14">
      <c r="A296" s="16" t="s">
        <v>144</v>
      </c>
      <c r="B296" s="16" t="s">
        <v>3061</v>
      </c>
      <c r="C296" s="16" t="s">
        <v>19</v>
      </c>
      <c r="D296" s="16" t="s">
        <v>20</v>
      </c>
      <c r="E296" s="19">
        <v>45629</v>
      </c>
      <c r="F296" s="16" t="s">
        <v>2327</v>
      </c>
      <c r="G296" s="16">
        <v>1</v>
      </c>
      <c r="H296" s="16" t="s">
        <v>27</v>
      </c>
      <c r="I296" s="16" t="s">
        <v>16</v>
      </c>
      <c r="J296" s="16" t="s">
        <v>16</v>
      </c>
      <c r="K296" s="16" t="str">
        <f>VLOOKUP(C296,CheckName!A:B,2,0)</f>
        <v>Add</v>
      </c>
      <c r="L296">
        <v>0</v>
      </c>
      <c r="M296" s="16">
        <f t="shared" si="4"/>
        <v>3</v>
      </c>
      <c r="N296" t="str">
        <f>TEXT(MTDRejection[[#This Row],[RejectionDate]],"dddd")</f>
        <v>Tuesday</v>
      </c>
    </row>
    <row r="297" spans="1:14">
      <c r="A297" t="s">
        <v>360</v>
      </c>
      <c r="B297" t="s">
        <v>3062</v>
      </c>
      <c r="C297" t="s">
        <v>980</v>
      </c>
      <c r="D297" t="s">
        <v>20</v>
      </c>
      <c r="E297" s="7">
        <v>45629</v>
      </c>
      <c r="F297" t="s">
        <v>2327</v>
      </c>
      <c r="G297">
        <v>1</v>
      </c>
      <c r="H297" t="s">
        <v>22</v>
      </c>
      <c r="I297" t="s">
        <v>16</v>
      </c>
      <c r="J297" t="s">
        <v>16</v>
      </c>
      <c r="K297" s="16" t="str">
        <f>VLOOKUP(C297,CheckName!A:B,2,0)</f>
        <v>Add</v>
      </c>
      <c r="L297">
        <v>0</v>
      </c>
      <c r="M297" s="16">
        <f t="shared" si="4"/>
        <v>3</v>
      </c>
      <c r="N297" t="str">
        <f>TEXT(MTDRejection[[#This Row],[RejectionDate]],"dddd")</f>
        <v>Tuesday</v>
      </c>
    </row>
    <row r="298" spans="1:14">
      <c r="A298" s="16" t="s">
        <v>1110</v>
      </c>
      <c r="B298" s="16" t="s">
        <v>2410</v>
      </c>
      <c r="C298" s="16" t="s">
        <v>965</v>
      </c>
      <c r="D298" s="16" t="s">
        <v>26</v>
      </c>
      <c r="E298" s="19">
        <v>45629</v>
      </c>
      <c r="F298" s="16" t="s">
        <v>2327</v>
      </c>
      <c r="G298" s="16">
        <v>1</v>
      </c>
      <c r="H298" s="16" t="s">
        <v>27</v>
      </c>
      <c r="I298" s="16" t="s">
        <v>16</v>
      </c>
      <c r="J298" s="16" t="s">
        <v>16</v>
      </c>
      <c r="K298" s="16" t="str">
        <f>VLOOKUP(C298,CheckName!A:B,2,0)</f>
        <v>Add</v>
      </c>
      <c r="L298">
        <v>0</v>
      </c>
      <c r="M298" s="16">
        <f t="shared" si="4"/>
        <v>3</v>
      </c>
      <c r="N298" t="str">
        <f>TEXT(MTDRejection[[#This Row],[RejectionDate]],"dddd")</f>
        <v>Tuesday</v>
      </c>
    </row>
    <row r="299" spans="1:14">
      <c r="A299" t="s">
        <v>1070</v>
      </c>
      <c r="B299" t="s">
        <v>3063</v>
      </c>
      <c r="C299" t="s">
        <v>25</v>
      </c>
      <c r="D299" t="s">
        <v>20</v>
      </c>
      <c r="E299" s="7">
        <v>45629</v>
      </c>
      <c r="F299" t="s">
        <v>2327</v>
      </c>
      <c r="G299">
        <v>1</v>
      </c>
      <c r="H299" t="s">
        <v>22</v>
      </c>
      <c r="I299" t="s">
        <v>16</v>
      </c>
      <c r="J299" t="s">
        <v>16</v>
      </c>
      <c r="K299" s="16" t="str">
        <f>VLOOKUP(C299,CheckName!A:B,2,0)</f>
        <v>Add</v>
      </c>
      <c r="L299">
        <v>0</v>
      </c>
      <c r="M299" s="16">
        <f t="shared" si="4"/>
        <v>3</v>
      </c>
      <c r="N299" t="str">
        <f>TEXT(MTDRejection[[#This Row],[RejectionDate]],"dddd")</f>
        <v>Tuesday</v>
      </c>
    </row>
    <row r="300" spans="1:14">
      <c r="A300" s="16" t="s">
        <v>945</v>
      </c>
      <c r="B300" s="16" t="s">
        <v>3064</v>
      </c>
      <c r="C300" s="16" t="s">
        <v>25</v>
      </c>
      <c r="D300" s="16" t="s">
        <v>20</v>
      </c>
      <c r="E300" s="19">
        <v>45629</v>
      </c>
      <c r="F300" s="16" t="s">
        <v>2327</v>
      </c>
      <c r="G300" s="16">
        <v>1</v>
      </c>
      <c r="H300" s="16" t="s">
        <v>22</v>
      </c>
      <c r="I300" s="16" t="s">
        <v>16</v>
      </c>
      <c r="J300" s="16" t="s">
        <v>16</v>
      </c>
      <c r="K300" s="16" t="str">
        <f>VLOOKUP(C300,CheckName!A:B,2,0)</f>
        <v>Add</v>
      </c>
      <c r="L300">
        <v>0</v>
      </c>
      <c r="M300" s="16">
        <f t="shared" si="4"/>
        <v>3</v>
      </c>
      <c r="N300" t="str">
        <f>TEXT(MTDRejection[[#This Row],[RejectionDate]],"dddd")</f>
        <v>Tuesday</v>
      </c>
    </row>
    <row r="301" spans="1:14">
      <c r="A301" t="s">
        <v>165</v>
      </c>
      <c r="B301" t="s">
        <v>2391</v>
      </c>
      <c r="C301" t="s">
        <v>689</v>
      </c>
      <c r="D301" t="s">
        <v>26</v>
      </c>
      <c r="E301" s="7">
        <v>45629</v>
      </c>
      <c r="F301" t="s">
        <v>236</v>
      </c>
      <c r="G301">
        <v>1</v>
      </c>
      <c r="H301" t="s">
        <v>27</v>
      </c>
      <c r="I301" t="s">
        <v>16</v>
      </c>
      <c r="J301" t="s">
        <v>16</v>
      </c>
      <c r="K301" s="16" t="str">
        <f>VLOOKUP(C301,CheckName!A:B,2,0)</f>
        <v>Special Check</v>
      </c>
      <c r="L301">
        <v>0</v>
      </c>
      <c r="M301" s="16">
        <f t="shared" si="4"/>
        <v>3</v>
      </c>
      <c r="N301" t="str">
        <f>TEXT(MTDRejection[[#This Row],[RejectionDate]],"dddd")</f>
        <v>Tuesday</v>
      </c>
    </row>
    <row r="302" spans="1:14">
      <c r="A302" s="16" t="s">
        <v>91</v>
      </c>
      <c r="B302" s="16" t="s">
        <v>3065</v>
      </c>
      <c r="C302" s="16" t="s">
        <v>587</v>
      </c>
      <c r="D302" s="16" t="s">
        <v>13</v>
      </c>
      <c r="E302" s="19">
        <v>45629</v>
      </c>
      <c r="F302" s="16" t="s">
        <v>33</v>
      </c>
      <c r="G302" s="16">
        <v>1</v>
      </c>
      <c r="H302" s="16" t="s">
        <v>30</v>
      </c>
      <c r="I302" s="16" t="s">
        <v>16</v>
      </c>
      <c r="J302" s="16" t="s">
        <v>16</v>
      </c>
      <c r="K302" s="16" t="str">
        <f>VLOOKUP(C302,CheckName!A:B,2,0)</f>
        <v>Add</v>
      </c>
      <c r="L302">
        <v>0</v>
      </c>
      <c r="M302" s="16">
        <f t="shared" si="4"/>
        <v>3</v>
      </c>
      <c r="N302" t="str">
        <f>TEXT(MTDRejection[[#This Row],[RejectionDate]],"dddd")</f>
        <v>Tuesday</v>
      </c>
    </row>
    <row r="303" spans="1:14">
      <c r="A303" t="s">
        <v>47</v>
      </c>
      <c r="B303" t="s">
        <v>3066</v>
      </c>
      <c r="C303" t="s">
        <v>56</v>
      </c>
      <c r="D303" t="s">
        <v>13</v>
      </c>
      <c r="E303" s="7">
        <v>45629</v>
      </c>
      <c r="F303" t="s">
        <v>2342</v>
      </c>
      <c r="G303">
        <v>1</v>
      </c>
      <c r="H303" t="s">
        <v>15</v>
      </c>
      <c r="I303" t="s">
        <v>16</v>
      </c>
      <c r="J303" t="s">
        <v>16</v>
      </c>
      <c r="K303" s="16" t="str">
        <f>VLOOKUP(C303,CheckName!A:B,2,0)</f>
        <v>Special Check</v>
      </c>
      <c r="L303">
        <v>0</v>
      </c>
      <c r="M303" s="16">
        <f t="shared" si="4"/>
        <v>3</v>
      </c>
      <c r="N303" t="str">
        <f>TEXT(MTDRejection[[#This Row],[RejectionDate]],"dddd")</f>
        <v>Tuesday</v>
      </c>
    </row>
    <row r="304" spans="1:14">
      <c r="A304" s="16" t="s">
        <v>432</v>
      </c>
      <c r="B304" s="16" t="s">
        <v>3067</v>
      </c>
      <c r="C304" s="16" t="s">
        <v>36</v>
      </c>
      <c r="D304" s="16" t="s">
        <v>26</v>
      </c>
      <c r="E304" s="19">
        <v>45629</v>
      </c>
      <c r="F304" s="16" t="s">
        <v>37</v>
      </c>
      <c r="G304" s="16">
        <v>1</v>
      </c>
      <c r="H304" s="16" t="s">
        <v>27</v>
      </c>
      <c r="I304" s="16" t="s">
        <v>16</v>
      </c>
      <c r="J304" s="16" t="s">
        <v>16</v>
      </c>
      <c r="K304" s="16" t="str">
        <f>VLOOKUP(C304,CheckName!A:B,2,0)</f>
        <v>Emp</v>
      </c>
      <c r="L304">
        <v>0</v>
      </c>
      <c r="M304" s="16">
        <f t="shared" si="4"/>
        <v>3</v>
      </c>
      <c r="N304" t="str">
        <f>TEXT(MTDRejection[[#This Row],[RejectionDate]],"dddd")</f>
        <v>Tuesday</v>
      </c>
    </row>
    <row r="305" spans="1:14">
      <c r="A305" t="s">
        <v>281</v>
      </c>
      <c r="B305" t="s">
        <v>3068</v>
      </c>
      <c r="C305" t="s">
        <v>36</v>
      </c>
      <c r="D305" t="s">
        <v>26</v>
      </c>
      <c r="E305" s="7">
        <v>45629</v>
      </c>
      <c r="F305" t="s">
        <v>37</v>
      </c>
      <c r="G305">
        <v>1</v>
      </c>
      <c r="H305" t="s">
        <v>27</v>
      </c>
      <c r="I305" t="s">
        <v>16</v>
      </c>
      <c r="J305" t="s">
        <v>16</v>
      </c>
      <c r="K305" s="16" t="str">
        <f>VLOOKUP(C305,CheckName!A:B,2,0)</f>
        <v>Emp</v>
      </c>
      <c r="L305">
        <v>0</v>
      </c>
      <c r="M305" s="16">
        <f t="shared" si="4"/>
        <v>3</v>
      </c>
      <c r="N305" t="str">
        <f>TEXT(MTDRejection[[#This Row],[RejectionDate]],"dddd")</f>
        <v>Tuesday</v>
      </c>
    </row>
    <row r="306" spans="1:14">
      <c r="A306" s="16" t="s">
        <v>306</v>
      </c>
      <c r="B306" s="16" t="s">
        <v>2392</v>
      </c>
      <c r="C306" s="16" t="s">
        <v>56</v>
      </c>
      <c r="D306" s="16" t="s">
        <v>13</v>
      </c>
      <c r="E306" s="19">
        <v>45628</v>
      </c>
      <c r="F306" s="16" t="s">
        <v>844</v>
      </c>
      <c r="G306" s="16">
        <v>2</v>
      </c>
      <c r="H306" s="16" t="s">
        <v>130</v>
      </c>
      <c r="I306" s="16" t="s">
        <v>16</v>
      </c>
      <c r="J306" s="16" t="s">
        <v>16</v>
      </c>
      <c r="K306" s="16" t="str">
        <f>VLOOKUP(C306,CheckName!A:B,2,0)</f>
        <v>Special Check</v>
      </c>
      <c r="L306">
        <v>0</v>
      </c>
      <c r="M306" s="16">
        <f t="shared" si="4"/>
        <v>2</v>
      </c>
      <c r="N306" t="str">
        <f>TEXT(MTDRejection[[#This Row],[RejectionDate]],"dddd")</f>
        <v>Monday</v>
      </c>
    </row>
    <row r="307" spans="1:14">
      <c r="A307" t="s">
        <v>45</v>
      </c>
      <c r="B307" t="s">
        <v>3069</v>
      </c>
      <c r="C307" t="s">
        <v>36</v>
      </c>
      <c r="D307" t="s">
        <v>38</v>
      </c>
      <c r="E307" s="7">
        <v>45630</v>
      </c>
      <c r="F307" t="s">
        <v>39</v>
      </c>
      <c r="G307">
        <v>0</v>
      </c>
      <c r="H307" t="s">
        <v>42</v>
      </c>
      <c r="I307" t="s">
        <v>16</v>
      </c>
      <c r="J307" t="s">
        <v>16</v>
      </c>
      <c r="K307" s="16" t="str">
        <f>VLOOKUP(C307,CheckName!A:B,2,0)</f>
        <v>Emp</v>
      </c>
      <c r="L307">
        <v>0</v>
      </c>
      <c r="M307" s="16">
        <f t="shared" si="4"/>
        <v>4</v>
      </c>
      <c r="N307" t="str">
        <f>TEXT(MTDRejection[[#This Row],[RejectionDate]],"dddd")</f>
        <v>Wednesday</v>
      </c>
    </row>
    <row r="308" spans="1:14">
      <c r="A308" s="16" t="s">
        <v>203</v>
      </c>
      <c r="B308" s="16" t="s">
        <v>3070</v>
      </c>
      <c r="C308" s="16" t="s">
        <v>56</v>
      </c>
      <c r="D308" s="16" t="s">
        <v>51</v>
      </c>
      <c r="E308" s="19">
        <v>45630</v>
      </c>
      <c r="F308" s="16" t="s">
        <v>2331</v>
      </c>
      <c r="G308" s="16">
        <v>0</v>
      </c>
      <c r="H308" s="16" t="s">
        <v>53</v>
      </c>
      <c r="I308" s="16" t="s">
        <v>16</v>
      </c>
      <c r="J308" s="16" t="s">
        <v>16</v>
      </c>
      <c r="K308" s="16" t="str">
        <f>VLOOKUP(C308,CheckName!A:B,2,0)</f>
        <v>Special Check</v>
      </c>
      <c r="L308">
        <v>0</v>
      </c>
      <c r="M308" s="16">
        <f t="shared" si="4"/>
        <v>4</v>
      </c>
      <c r="N308" t="str">
        <f>TEXT(MTDRejection[[#This Row],[RejectionDate]],"dddd")</f>
        <v>Wednesday</v>
      </c>
    </row>
    <row r="309" spans="1:14">
      <c r="A309" t="s">
        <v>45</v>
      </c>
      <c r="B309" t="s">
        <v>3071</v>
      </c>
      <c r="C309" t="s">
        <v>112</v>
      </c>
      <c r="D309" t="s">
        <v>26</v>
      </c>
      <c r="E309" s="7">
        <v>45630</v>
      </c>
      <c r="F309" t="s">
        <v>83</v>
      </c>
      <c r="G309">
        <v>0</v>
      </c>
      <c r="H309" t="s">
        <v>27</v>
      </c>
      <c r="I309" t="s">
        <v>16</v>
      </c>
      <c r="J309" t="s">
        <v>16</v>
      </c>
      <c r="K309" s="16" t="str">
        <f>VLOOKUP(C309,CheckName!A:B,2,0)</f>
        <v>Emp</v>
      </c>
      <c r="L309">
        <v>0</v>
      </c>
      <c r="M309" s="16">
        <f t="shared" si="4"/>
        <v>4</v>
      </c>
      <c r="N309" t="str">
        <f>TEXT(MTDRejection[[#This Row],[RejectionDate]],"dddd")</f>
        <v>Wednesday</v>
      </c>
    </row>
    <row r="310" spans="1:14">
      <c r="A310" s="16" t="s">
        <v>306</v>
      </c>
      <c r="B310" s="16" t="s">
        <v>3072</v>
      </c>
      <c r="C310" s="16" t="s">
        <v>533</v>
      </c>
      <c r="D310" s="16" t="s">
        <v>13</v>
      </c>
      <c r="E310" s="19">
        <v>45630</v>
      </c>
      <c r="F310" s="16" t="s">
        <v>2345</v>
      </c>
      <c r="G310" s="16">
        <v>0</v>
      </c>
      <c r="H310" s="16" t="s">
        <v>15</v>
      </c>
      <c r="I310" s="16" t="s">
        <v>16</v>
      </c>
      <c r="J310" s="16" t="s">
        <v>16</v>
      </c>
      <c r="K310" s="16" t="str">
        <f>VLOOKUP(C310,CheckName!A:B,2,0)</f>
        <v>CRC</v>
      </c>
      <c r="L310">
        <v>0</v>
      </c>
      <c r="M310" s="16">
        <f t="shared" si="4"/>
        <v>4</v>
      </c>
      <c r="N310" t="str">
        <f>TEXT(MTDRejection[[#This Row],[RejectionDate]],"dddd")</f>
        <v>Wednesday</v>
      </c>
    </row>
    <row r="311" spans="1:14">
      <c r="A311" t="s">
        <v>1204</v>
      </c>
      <c r="B311" t="s">
        <v>3073</v>
      </c>
      <c r="C311" t="s">
        <v>533</v>
      </c>
      <c r="D311" t="s">
        <v>13</v>
      </c>
      <c r="E311" s="7">
        <v>45630</v>
      </c>
      <c r="F311" t="s">
        <v>530</v>
      </c>
      <c r="G311">
        <v>0</v>
      </c>
      <c r="H311" t="s">
        <v>15</v>
      </c>
      <c r="I311" t="s">
        <v>16</v>
      </c>
      <c r="J311" t="s">
        <v>16</v>
      </c>
      <c r="K311" s="16" t="str">
        <f>VLOOKUP(C311,CheckName!A:B,2,0)</f>
        <v>CRC</v>
      </c>
      <c r="L311">
        <v>0</v>
      </c>
      <c r="M311" s="16">
        <f t="shared" si="4"/>
        <v>4</v>
      </c>
      <c r="N311" t="str">
        <f>TEXT(MTDRejection[[#This Row],[RejectionDate]],"dddd")</f>
        <v>Wednesday</v>
      </c>
    </row>
    <row r="312" spans="1:14">
      <c r="A312" s="16" t="s">
        <v>96</v>
      </c>
      <c r="B312" s="16" t="s">
        <v>3074</v>
      </c>
      <c r="C312" s="16" t="s">
        <v>49</v>
      </c>
      <c r="D312" s="16" t="s">
        <v>13</v>
      </c>
      <c r="E312" s="19">
        <v>45630</v>
      </c>
      <c r="F312" s="16" t="s">
        <v>1421</v>
      </c>
      <c r="G312" s="16">
        <v>0</v>
      </c>
      <c r="H312" s="16" t="s">
        <v>15</v>
      </c>
      <c r="I312" s="16" t="s">
        <v>16</v>
      </c>
      <c r="J312" s="16" t="s">
        <v>16</v>
      </c>
      <c r="K312" s="16" t="str">
        <f>VLOOKUP(C312,CheckName!A:B,2,0)</f>
        <v>CRC</v>
      </c>
      <c r="L312">
        <v>0</v>
      </c>
      <c r="M312" s="16">
        <f t="shared" si="4"/>
        <v>4</v>
      </c>
      <c r="N312" t="str">
        <f>TEXT(MTDRejection[[#This Row],[RejectionDate]],"dddd")</f>
        <v>Wednesday</v>
      </c>
    </row>
    <row r="313" spans="1:14">
      <c r="A313" t="s">
        <v>189</v>
      </c>
      <c r="B313" t="s">
        <v>3075</v>
      </c>
      <c r="C313" t="s">
        <v>12</v>
      </c>
      <c r="D313" t="s">
        <v>26</v>
      </c>
      <c r="E313" s="7">
        <v>45630</v>
      </c>
      <c r="F313" t="s">
        <v>1139</v>
      </c>
      <c r="G313">
        <v>0</v>
      </c>
      <c r="H313" t="s">
        <v>22</v>
      </c>
      <c r="I313" t="s">
        <v>16</v>
      </c>
      <c r="J313" t="s">
        <v>16</v>
      </c>
      <c r="K313" s="16" t="str">
        <f>VLOOKUP(C313,CheckName!A:B,2,0)</f>
        <v>Emp</v>
      </c>
      <c r="L313">
        <v>0</v>
      </c>
      <c r="M313" s="16">
        <f t="shared" si="4"/>
        <v>4</v>
      </c>
      <c r="N313" t="str">
        <f>TEXT(MTDRejection[[#This Row],[RejectionDate]],"dddd")</f>
        <v>Wednesday</v>
      </c>
    </row>
    <row r="314" spans="1:14">
      <c r="A314" s="16" t="s">
        <v>10</v>
      </c>
      <c r="B314" s="16" t="s">
        <v>3076</v>
      </c>
      <c r="C314" s="16" t="s">
        <v>54</v>
      </c>
      <c r="D314" s="16" t="s">
        <v>26</v>
      </c>
      <c r="E314" s="19">
        <v>45630</v>
      </c>
      <c r="F314" s="16" t="s">
        <v>103</v>
      </c>
      <c r="G314" s="16">
        <v>0</v>
      </c>
      <c r="H314" s="16" t="s">
        <v>22</v>
      </c>
      <c r="I314" s="16" t="s">
        <v>16</v>
      </c>
      <c r="J314" s="16" t="s">
        <v>16</v>
      </c>
      <c r="K314" s="16" t="str">
        <f>VLOOKUP(C314,CheckName!A:B,2,0)</f>
        <v>Edu</v>
      </c>
      <c r="L314">
        <v>0</v>
      </c>
      <c r="M314" s="16">
        <f t="shared" si="4"/>
        <v>4</v>
      </c>
      <c r="N314" t="str">
        <f>TEXT(MTDRejection[[#This Row],[RejectionDate]],"dddd")</f>
        <v>Wednesday</v>
      </c>
    </row>
    <row r="315" spans="1:14">
      <c r="A315" t="s">
        <v>306</v>
      </c>
      <c r="B315" t="s">
        <v>3077</v>
      </c>
      <c r="C315" t="s">
        <v>533</v>
      </c>
      <c r="D315" t="s">
        <v>13</v>
      </c>
      <c r="E315" s="7">
        <v>45630</v>
      </c>
      <c r="F315" t="s">
        <v>819</v>
      </c>
      <c r="G315">
        <v>0</v>
      </c>
      <c r="H315" t="s">
        <v>15</v>
      </c>
      <c r="I315" t="s">
        <v>16</v>
      </c>
      <c r="J315" t="s">
        <v>16</v>
      </c>
      <c r="K315" s="16" t="str">
        <f>VLOOKUP(C315,CheckName!A:B,2,0)</f>
        <v>CRC</v>
      </c>
      <c r="L315">
        <v>0</v>
      </c>
      <c r="M315" s="16">
        <f t="shared" si="4"/>
        <v>4</v>
      </c>
      <c r="N315" t="str">
        <f>TEXT(MTDRejection[[#This Row],[RejectionDate]],"dddd")</f>
        <v>Wednesday</v>
      </c>
    </row>
    <row r="316" spans="1:14">
      <c r="A316" s="16" t="s">
        <v>1424</v>
      </c>
      <c r="B316" s="16" t="s">
        <v>3078</v>
      </c>
      <c r="C316" s="16" t="s">
        <v>125</v>
      </c>
      <c r="D316" s="16" t="s">
        <v>26</v>
      </c>
      <c r="E316" s="19">
        <v>45629</v>
      </c>
      <c r="F316" s="16" t="s">
        <v>2355</v>
      </c>
      <c r="G316" s="16">
        <v>1</v>
      </c>
      <c r="H316" s="16" t="s">
        <v>27</v>
      </c>
      <c r="I316" s="16" t="s">
        <v>16</v>
      </c>
      <c r="J316" s="16" t="s">
        <v>16</v>
      </c>
      <c r="K316" s="16" t="str">
        <f>VLOOKUP(C316,CheckName!A:B,2,0)</f>
        <v>Emp</v>
      </c>
      <c r="L316">
        <v>0</v>
      </c>
      <c r="M316" s="16">
        <f t="shared" si="4"/>
        <v>3</v>
      </c>
      <c r="N316" t="str">
        <f>TEXT(MTDRejection[[#This Row],[RejectionDate]],"dddd")</f>
        <v>Tuesday</v>
      </c>
    </row>
    <row r="317" spans="1:14">
      <c r="A317" t="s">
        <v>45</v>
      </c>
      <c r="B317" t="s">
        <v>3079</v>
      </c>
      <c r="C317" t="s">
        <v>12</v>
      </c>
      <c r="D317" t="s">
        <v>38</v>
      </c>
      <c r="E317" s="7">
        <v>45629</v>
      </c>
      <c r="F317" t="s">
        <v>39</v>
      </c>
      <c r="G317">
        <v>1</v>
      </c>
      <c r="H317" t="s">
        <v>42</v>
      </c>
      <c r="I317" t="s">
        <v>16</v>
      </c>
      <c r="J317" t="s">
        <v>16</v>
      </c>
      <c r="K317" s="16" t="str">
        <f>VLOOKUP(C317,CheckName!A:B,2,0)</f>
        <v>Emp</v>
      </c>
      <c r="L317">
        <v>0</v>
      </c>
      <c r="M317" s="16">
        <f t="shared" si="4"/>
        <v>3</v>
      </c>
      <c r="N317" t="str">
        <f>TEXT(MTDRejection[[#This Row],[RejectionDate]],"dddd")</f>
        <v>Tuesday</v>
      </c>
    </row>
    <row r="318" spans="1:14">
      <c r="A318" s="16" t="s">
        <v>1427</v>
      </c>
      <c r="B318" s="16" t="s">
        <v>3080</v>
      </c>
      <c r="C318" s="16" t="s">
        <v>36</v>
      </c>
      <c r="D318" s="16" t="s">
        <v>26</v>
      </c>
      <c r="E318" s="19">
        <v>45628</v>
      </c>
      <c r="F318" s="16" t="s">
        <v>2347</v>
      </c>
      <c r="G318" s="16">
        <v>2</v>
      </c>
      <c r="H318" s="16" t="s">
        <v>27</v>
      </c>
      <c r="I318" s="16" t="s">
        <v>16</v>
      </c>
      <c r="J318" s="16" t="s">
        <v>16</v>
      </c>
      <c r="K318" s="16" t="str">
        <f>VLOOKUP(C318,CheckName!A:B,2,0)</f>
        <v>Emp</v>
      </c>
      <c r="L318">
        <v>0</v>
      </c>
      <c r="M318" s="16">
        <f t="shared" si="4"/>
        <v>2</v>
      </c>
      <c r="N318" t="str">
        <f>TEXT(MTDRejection[[#This Row],[RejectionDate]],"dddd")</f>
        <v>Monday</v>
      </c>
    </row>
    <row r="319" spans="1:14">
      <c r="A319" t="s">
        <v>47</v>
      </c>
      <c r="B319" t="s">
        <v>3081</v>
      </c>
      <c r="C319" t="s">
        <v>36</v>
      </c>
      <c r="D319" t="s">
        <v>13</v>
      </c>
      <c r="E319" s="7">
        <v>45630</v>
      </c>
      <c r="F319" t="s">
        <v>2326</v>
      </c>
      <c r="G319">
        <v>0</v>
      </c>
      <c r="H319" t="s">
        <v>130</v>
      </c>
      <c r="I319" t="s">
        <v>16</v>
      </c>
      <c r="J319" t="s">
        <v>16</v>
      </c>
      <c r="K319" s="16" t="str">
        <f>VLOOKUP(C319,CheckName!A:B,2,0)</f>
        <v>Emp</v>
      </c>
      <c r="L319">
        <v>0</v>
      </c>
      <c r="M319" s="16">
        <f t="shared" si="4"/>
        <v>4</v>
      </c>
      <c r="N319" t="str">
        <f>TEXT(MTDRejection[[#This Row],[RejectionDate]],"dddd")</f>
        <v>Wednesday</v>
      </c>
    </row>
    <row r="320" spans="1:14">
      <c r="A320" s="16" t="s">
        <v>47</v>
      </c>
      <c r="B320" s="16" t="s">
        <v>3082</v>
      </c>
      <c r="C320" s="16" t="s">
        <v>54</v>
      </c>
      <c r="D320" s="16" t="s">
        <v>13</v>
      </c>
      <c r="E320" s="19">
        <v>45630</v>
      </c>
      <c r="F320" s="16" t="s">
        <v>2326</v>
      </c>
      <c r="G320" s="16">
        <v>0</v>
      </c>
      <c r="H320" s="16" t="s">
        <v>15</v>
      </c>
      <c r="I320" s="16" t="s">
        <v>16</v>
      </c>
      <c r="J320" s="16" t="s">
        <v>16</v>
      </c>
      <c r="K320" s="16" t="str">
        <f>VLOOKUP(C320,CheckName!A:B,2,0)</f>
        <v>Edu</v>
      </c>
      <c r="L320">
        <v>0</v>
      </c>
      <c r="M320" s="16">
        <f t="shared" si="4"/>
        <v>4</v>
      </c>
      <c r="N320" t="str">
        <f>TEXT(MTDRejection[[#This Row],[RejectionDate]],"dddd")</f>
        <v>Wednesday</v>
      </c>
    </row>
    <row r="321" spans="1:14">
      <c r="A321" t="s">
        <v>263</v>
      </c>
      <c r="B321" t="s">
        <v>2393</v>
      </c>
      <c r="C321" t="s">
        <v>54</v>
      </c>
      <c r="D321" t="s">
        <v>13</v>
      </c>
      <c r="E321" s="7">
        <v>45630</v>
      </c>
      <c r="F321" t="s">
        <v>2343</v>
      </c>
      <c r="G321">
        <v>0</v>
      </c>
      <c r="H321" t="s">
        <v>15</v>
      </c>
      <c r="I321" t="s">
        <v>16</v>
      </c>
      <c r="J321" t="s">
        <v>16</v>
      </c>
      <c r="K321" s="16" t="str">
        <f>VLOOKUP(C321,CheckName!A:B,2,0)</f>
        <v>Edu</v>
      </c>
      <c r="L321">
        <v>0</v>
      </c>
      <c r="M321" s="16">
        <f t="shared" si="4"/>
        <v>4</v>
      </c>
      <c r="N321" t="str">
        <f>TEXT(MTDRejection[[#This Row],[RejectionDate]],"dddd")</f>
        <v>Wednesday</v>
      </c>
    </row>
    <row r="322" spans="1:14">
      <c r="A322" s="16" t="s">
        <v>317</v>
      </c>
      <c r="B322" s="16" t="s">
        <v>3083</v>
      </c>
      <c r="C322" s="16" t="s">
        <v>19</v>
      </c>
      <c r="D322" s="16" t="s">
        <v>20</v>
      </c>
      <c r="E322" s="19">
        <v>45630</v>
      </c>
      <c r="F322" s="16" t="s">
        <v>2327</v>
      </c>
      <c r="G322" s="16">
        <v>0</v>
      </c>
      <c r="H322" s="16" t="s">
        <v>27</v>
      </c>
      <c r="I322" s="16" t="s">
        <v>16</v>
      </c>
      <c r="J322" s="16" t="s">
        <v>16</v>
      </c>
      <c r="K322" s="16" t="str">
        <f>VLOOKUP(C322,CheckName!A:B,2,0)</f>
        <v>Add</v>
      </c>
      <c r="L322">
        <v>0</v>
      </c>
      <c r="M322" s="16">
        <f t="shared" si="4"/>
        <v>4</v>
      </c>
      <c r="N322" t="str">
        <f>TEXT(MTDRejection[[#This Row],[RejectionDate]],"dddd")</f>
        <v>Wednesday</v>
      </c>
    </row>
    <row r="323" spans="1:14">
      <c r="A323" t="s">
        <v>1435</v>
      </c>
      <c r="B323" t="s">
        <v>3084</v>
      </c>
      <c r="C323" t="s">
        <v>25</v>
      </c>
      <c r="D323" t="s">
        <v>20</v>
      </c>
      <c r="E323" s="7">
        <v>45630</v>
      </c>
      <c r="F323" t="s">
        <v>2327</v>
      </c>
      <c r="G323">
        <v>0</v>
      </c>
      <c r="H323" t="s">
        <v>27</v>
      </c>
      <c r="I323" t="s">
        <v>16</v>
      </c>
      <c r="J323" t="s">
        <v>16</v>
      </c>
      <c r="K323" s="16" t="str">
        <f>VLOOKUP(C323,CheckName!A:B,2,0)</f>
        <v>Add</v>
      </c>
      <c r="L323">
        <v>0</v>
      </c>
      <c r="M323" s="16">
        <f t="shared" ref="M323:M385" si="5">DAY(E323)</f>
        <v>4</v>
      </c>
      <c r="N323" t="str">
        <f>TEXT(MTDRejection[[#This Row],[RejectionDate]],"dddd")</f>
        <v>Wednesday</v>
      </c>
    </row>
    <row r="324" spans="1:14">
      <c r="A324" s="16" t="s">
        <v>1437</v>
      </c>
      <c r="B324" s="16" t="s">
        <v>3085</v>
      </c>
      <c r="C324" s="16" t="s">
        <v>269</v>
      </c>
      <c r="D324" s="16" t="s">
        <v>26</v>
      </c>
      <c r="E324" s="19">
        <v>45630</v>
      </c>
      <c r="F324" s="16" t="s">
        <v>236</v>
      </c>
      <c r="G324" s="16">
        <v>0</v>
      </c>
      <c r="H324" s="16" t="s">
        <v>27</v>
      </c>
      <c r="I324" s="16" t="s">
        <v>16</v>
      </c>
      <c r="J324" s="16" t="s">
        <v>16</v>
      </c>
      <c r="K324" s="16" t="str">
        <f>VLOOKUP(C324,CheckName!A:B,2,0)</f>
        <v>Emp</v>
      </c>
      <c r="L324">
        <v>0</v>
      </c>
      <c r="M324" s="16">
        <f t="shared" si="5"/>
        <v>4</v>
      </c>
      <c r="N324" t="str">
        <f>TEXT(MTDRejection[[#This Row],[RejectionDate]],"dddd")</f>
        <v>Wednesday</v>
      </c>
    </row>
    <row r="325" spans="1:14">
      <c r="A325" t="s">
        <v>1110</v>
      </c>
      <c r="B325" t="s">
        <v>3086</v>
      </c>
      <c r="C325" t="s">
        <v>965</v>
      </c>
      <c r="D325" t="s">
        <v>26</v>
      </c>
      <c r="E325" s="7">
        <v>45630</v>
      </c>
      <c r="F325" t="s">
        <v>2327</v>
      </c>
      <c r="G325">
        <v>0</v>
      </c>
      <c r="H325" t="s">
        <v>27</v>
      </c>
      <c r="I325" t="s">
        <v>16</v>
      </c>
      <c r="J325" t="s">
        <v>16</v>
      </c>
      <c r="K325" s="16" t="str">
        <f>VLOOKUP(C325,CheckName!A:B,2,0)</f>
        <v>Add</v>
      </c>
      <c r="L325">
        <v>0</v>
      </c>
      <c r="M325" s="16">
        <f t="shared" si="5"/>
        <v>4</v>
      </c>
      <c r="N325" t="str">
        <f>TEXT(MTDRejection[[#This Row],[RejectionDate]],"dddd")</f>
        <v>Wednesday</v>
      </c>
    </row>
    <row r="326" spans="1:14">
      <c r="A326" s="16" t="s">
        <v>1110</v>
      </c>
      <c r="B326" s="16" t="s">
        <v>2395</v>
      </c>
      <c r="C326" s="16" t="s">
        <v>965</v>
      </c>
      <c r="D326" s="16" t="s">
        <v>20</v>
      </c>
      <c r="E326" s="19">
        <v>45630</v>
      </c>
      <c r="F326" s="16" t="s">
        <v>2327</v>
      </c>
      <c r="G326" s="16">
        <v>0</v>
      </c>
      <c r="H326" s="16" t="s">
        <v>22</v>
      </c>
      <c r="I326" s="16" t="s">
        <v>16</v>
      </c>
      <c r="J326" s="16" t="s">
        <v>16</v>
      </c>
      <c r="K326" s="16" t="str">
        <f>VLOOKUP(C326,CheckName!A:B,2,0)</f>
        <v>Add</v>
      </c>
      <c r="L326">
        <v>0</v>
      </c>
      <c r="M326" s="16">
        <f t="shared" si="5"/>
        <v>4</v>
      </c>
      <c r="N326" t="str">
        <f>TEXT(MTDRejection[[#This Row],[RejectionDate]],"dddd")</f>
        <v>Wednesday</v>
      </c>
    </row>
    <row r="327" spans="1:14">
      <c r="A327" t="s">
        <v>1110</v>
      </c>
      <c r="B327" t="s">
        <v>3087</v>
      </c>
      <c r="C327" t="s">
        <v>965</v>
      </c>
      <c r="D327" t="s">
        <v>20</v>
      </c>
      <c r="E327" s="7">
        <v>45630</v>
      </c>
      <c r="F327" t="s">
        <v>2327</v>
      </c>
      <c r="G327">
        <v>0</v>
      </c>
      <c r="H327" t="s">
        <v>22</v>
      </c>
      <c r="I327" t="s">
        <v>16</v>
      </c>
      <c r="J327" t="s">
        <v>16</v>
      </c>
      <c r="K327" s="16" t="str">
        <f>VLOOKUP(C327,CheckName!A:B,2,0)</f>
        <v>Add</v>
      </c>
      <c r="L327">
        <v>0</v>
      </c>
      <c r="M327" s="16">
        <f t="shared" si="5"/>
        <v>4</v>
      </c>
      <c r="N327" t="str">
        <f>TEXT(MTDRejection[[#This Row],[RejectionDate]],"dddd")</f>
        <v>Wednesday</v>
      </c>
    </row>
    <row r="328" spans="1:14">
      <c r="A328" s="16" t="s">
        <v>1442</v>
      </c>
      <c r="B328" s="16" t="s">
        <v>2396</v>
      </c>
      <c r="C328" s="16" t="s">
        <v>25</v>
      </c>
      <c r="D328" s="16" t="s">
        <v>20</v>
      </c>
      <c r="E328" s="19">
        <v>45630</v>
      </c>
      <c r="F328" s="16" t="s">
        <v>2327</v>
      </c>
      <c r="G328" s="16">
        <v>0</v>
      </c>
      <c r="H328" s="16" t="s">
        <v>22</v>
      </c>
      <c r="I328" s="16" t="s">
        <v>16</v>
      </c>
      <c r="J328" s="16" t="s">
        <v>16</v>
      </c>
      <c r="K328" s="16" t="str">
        <f>VLOOKUP(C328,CheckName!A:B,2,0)</f>
        <v>Add</v>
      </c>
      <c r="L328">
        <v>0</v>
      </c>
      <c r="M328" s="16">
        <f t="shared" si="5"/>
        <v>4</v>
      </c>
      <c r="N328" t="str">
        <f>TEXT(MTDRejection[[#This Row],[RejectionDate]],"dddd")</f>
        <v>Wednesday</v>
      </c>
    </row>
    <row r="329" spans="1:14">
      <c r="A329" t="s">
        <v>510</v>
      </c>
      <c r="B329" t="s">
        <v>3088</v>
      </c>
      <c r="C329" t="s">
        <v>19</v>
      </c>
      <c r="D329" t="s">
        <v>20</v>
      </c>
      <c r="E329" s="7">
        <v>45630</v>
      </c>
      <c r="F329" t="s">
        <v>2327</v>
      </c>
      <c r="G329">
        <v>0</v>
      </c>
      <c r="H329" t="s">
        <v>22</v>
      </c>
      <c r="I329" t="s">
        <v>16</v>
      </c>
      <c r="J329" t="s">
        <v>16</v>
      </c>
      <c r="K329" s="16" t="str">
        <f>VLOOKUP(C329,CheckName!A:B,2,0)</f>
        <v>Add</v>
      </c>
      <c r="L329">
        <v>0</v>
      </c>
      <c r="M329" s="16">
        <f t="shared" si="5"/>
        <v>4</v>
      </c>
      <c r="N329" t="str">
        <f>TEXT(MTDRejection[[#This Row],[RejectionDate]],"dddd")</f>
        <v>Wednesday</v>
      </c>
    </row>
    <row r="330" spans="1:14">
      <c r="A330" s="16" t="s">
        <v>47</v>
      </c>
      <c r="B330" s="16" t="s">
        <v>3089</v>
      </c>
      <c r="C330" s="16" t="s">
        <v>12</v>
      </c>
      <c r="D330" s="16" t="s">
        <v>13</v>
      </c>
      <c r="E330" s="19">
        <v>45630</v>
      </c>
      <c r="F330" s="16" t="s">
        <v>2328</v>
      </c>
      <c r="G330" s="16">
        <v>0</v>
      </c>
      <c r="H330" s="16" t="s">
        <v>15</v>
      </c>
      <c r="I330" s="16" t="s">
        <v>16</v>
      </c>
      <c r="J330" s="16" t="s">
        <v>16</v>
      </c>
      <c r="K330" s="16" t="str">
        <f>VLOOKUP(C330,CheckName!A:B,2,0)</f>
        <v>Emp</v>
      </c>
      <c r="L330">
        <v>0</v>
      </c>
      <c r="M330" s="16">
        <f t="shared" si="5"/>
        <v>4</v>
      </c>
      <c r="N330" t="str">
        <f>TEXT(MTDRejection[[#This Row],[RejectionDate]],"dddd")</f>
        <v>Wednesday</v>
      </c>
    </row>
    <row r="331" spans="1:14">
      <c r="A331" t="s">
        <v>96</v>
      </c>
      <c r="B331" t="s">
        <v>3090</v>
      </c>
      <c r="C331" t="s">
        <v>54</v>
      </c>
      <c r="D331" t="s">
        <v>26</v>
      </c>
      <c r="E331" s="7">
        <v>45630</v>
      </c>
      <c r="F331" t="s">
        <v>458</v>
      </c>
      <c r="G331">
        <v>0</v>
      </c>
      <c r="H331" t="s">
        <v>22</v>
      </c>
      <c r="I331" t="s">
        <v>16</v>
      </c>
      <c r="J331" t="s">
        <v>16</v>
      </c>
      <c r="K331" s="16" t="str">
        <f>VLOOKUP(C331,CheckName!A:B,2,0)</f>
        <v>Edu</v>
      </c>
      <c r="L331">
        <v>0</v>
      </c>
      <c r="M331" s="16">
        <f t="shared" si="5"/>
        <v>4</v>
      </c>
      <c r="N331" t="str">
        <f>TEXT(MTDRejection[[#This Row],[RejectionDate]],"dddd")</f>
        <v>Wednesday</v>
      </c>
    </row>
    <row r="332" spans="1:14">
      <c r="A332" s="16" t="s">
        <v>96</v>
      </c>
      <c r="B332" s="16" t="s">
        <v>3091</v>
      </c>
      <c r="C332" s="16" t="s">
        <v>12</v>
      </c>
      <c r="D332" s="16" t="s">
        <v>13</v>
      </c>
      <c r="E332" s="19">
        <v>45630</v>
      </c>
      <c r="F332" s="16" t="s">
        <v>492</v>
      </c>
      <c r="G332" s="16">
        <v>0</v>
      </c>
      <c r="H332" s="16" t="s">
        <v>15</v>
      </c>
      <c r="I332" s="16" t="s">
        <v>16</v>
      </c>
      <c r="J332" s="16" t="s">
        <v>16</v>
      </c>
      <c r="K332" s="16" t="str">
        <f>VLOOKUP(C332,CheckName!A:B,2,0)</f>
        <v>Emp</v>
      </c>
      <c r="L332">
        <v>0</v>
      </c>
      <c r="M332" s="16">
        <f t="shared" si="5"/>
        <v>4</v>
      </c>
      <c r="N332" t="str">
        <f>TEXT(MTDRejection[[#This Row],[RejectionDate]],"dddd")</f>
        <v>Wednesday</v>
      </c>
    </row>
    <row r="333" spans="1:14">
      <c r="A333" t="s">
        <v>119</v>
      </c>
      <c r="B333" t="s">
        <v>3092</v>
      </c>
      <c r="C333" t="s">
        <v>805</v>
      </c>
      <c r="D333" t="s">
        <v>13</v>
      </c>
      <c r="E333" s="7">
        <v>45630</v>
      </c>
      <c r="F333" t="s">
        <v>2334</v>
      </c>
      <c r="G333">
        <v>0</v>
      </c>
      <c r="H333" t="s">
        <v>15</v>
      </c>
      <c r="I333" t="s">
        <v>16</v>
      </c>
      <c r="J333" t="s">
        <v>16</v>
      </c>
      <c r="K333" s="16" t="str">
        <f>VLOOKUP(C333,CheckName!A:B,2,0)</f>
        <v>Edu</v>
      </c>
      <c r="L333">
        <v>0</v>
      </c>
      <c r="M333" s="16">
        <f t="shared" si="5"/>
        <v>4</v>
      </c>
      <c r="N333" t="str">
        <f>TEXT(MTDRejection[[#This Row],[RejectionDate]],"dddd")</f>
        <v>Wednesday</v>
      </c>
    </row>
    <row r="334" spans="1:14">
      <c r="A334" s="16" t="s">
        <v>84</v>
      </c>
      <c r="B334" s="16" t="s">
        <v>1449</v>
      </c>
      <c r="C334" s="16" t="s">
        <v>12</v>
      </c>
      <c r="D334" s="16" t="s">
        <v>26</v>
      </c>
      <c r="E334" s="19">
        <v>45630</v>
      </c>
      <c r="F334" s="16" t="s">
        <v>222</v>
      </c>
      <c r="G334" s="16">
        <v>0</v>
      </c>
      <c r="H334" s="16" t="s">
        <v>22</v>
      </c>
      <c r="I334" s="16" t="s">
        <v>16</v>
      </c>
      <c r="J334" s="16" t="s">
        <v>16</v>
      </c>
      <c r="K334" s="16" t="str">
        <f>VLOOKUP(C334,CheckName!A:B,2,0)</f>
        <v>Emp</v>
      </c>
      <c r="L334">
        <v>0</v>
      </c>
      <c r="M334" s="16">
        <f t="shared" si="5"/>
        <v>4</v>
      </c>
      <c r="N334" t="str">
        <f>TEXT(MTDRejection[[#This Row],[RejectionDate]],"dddd")</f>
        <v>Wednesday</v>
      </c>
    </row>
    <row r="335" spans="1:14">
      <c r="A335" t="s">
        <v>47</v>
      </c>
      <c r="B335" t="s">
        <v>3093</v>
      </c>
      <c r="C335" t="s">
        <v>36</v>
      </c>
      <c r="D335" t="s">
        <v>13</v>
      </c>
      <c r="E335" s="7">
        <v>45630</v>
      </c>
      <c r="F335" t="s">
        <v>1451</v>
      </c>
      <c r="G335">
        <v>0</v>
      </c>
      <c r="H335" t="s">
        <v>15</v>
      </c>
      <c r="I335" t="s">
        <v>16</v>
      </c>
      <c r="J335" t="s">
        <v>16</v>
      </c>
      <c r="K335" s="16" t="str">
        <f>VLOOKUP(C335,CheckName!A:B,2,0)</f>
        <v>Emp</v>
      </c>
      <c r="L335">
        <v>0</v>
      </c>
      <c r="M335" s="16">
        <f t="shared" si="5"/>
        <v>4</v>
      </c>
      <c r="N335" t="str">
        <f>TEXT(MTDRejection[[#This Row],[RejectionDate]],"dddd")</f>
        <v>Wednesday</v>
      </c>
    </row>
    <row r="336" spans="1:14">
      <c r="A336" s="16" t="s">
        <v>45</v>
      </c>
      <c r="B336" s="16" t="s">
        <v>3094</v>
      </c>
      <c r="C336" s="16" t="s">
        <v>12</v>
      </c>
      <c r="D336" s="16" t="s">
        <v>13</v>
      </c>
      <c r="E336" s="19">
        <v>45630</v>
      </c>
      <c r="F336" s="16" t="s">
        <v>1219</v>
      </c>
      <c r="G336" s="16">
        <v>0</v>
      </c>
      <c r="H336" s="16" t="s">
        <v>15</v>
      </c>
      <c r="I336" s="16" t="s">
        <v>16</v>
      </c>
      <c r="J336" s="16" t="s">
        <v>16</v>
      </c>
      <c r="K336" s="16" t="str">
        <f>VLOOKUP(C336,CheckName!A:B,2,0)</f>
        <v>Emp</v>
      </c>
      <c r="L336">
        <v>0</v>
      </c>
      <c r="M336" s="16">
        <f t="shared" si="5"/>
        <v>4</v>
      </c>
      <c r="N336" t="str">
        <f>TEXT(MTDRejection[[#This Row],[RejectionDate]],"dddd")</f>
        <v>Wednesday</v>
      </c>
    </row>
    <row r="337" spans="1:14">
      <c r="A337" t="s">
        <v>687</v>
      </c>
      <c r="B337" t="s">
        <v>2397</v>
      </c>
      <c r="C337" t="s">
        <v>19</v>
      </c>
      <c r="D337" t="s">
        <v>20</v>
      </c>
      <c r="E337" s="7">
        <v>45630</v>
      </c>
      <c r="F337" t="s">
        <v>2330</v>
      </c>
      <c r="G337">
        <v>0</v>
      </c>
      <c r="H337" t="s">
        <v>22</v>
      </c>
      <c r="I337" t="s">
        <v>16</v>
      </c>
      <c r="J337" t="s">
        <v>16</v>
      </c>
      <c r="K337" s="16" t="str">
        <f>VLOOKUP(C337,CheckName!A:B,2,0)</f>
        <v>Add</v>
      </c>
      <c r="L337">
        <v>0</v>
      </c>
      <c r="M337" s="16">
        <f t="shared" si="5"/>
        <v>4</v>
      </c>
      <c r="N337" t="str">
        <f>TEXT(MTDRejection[[#This Row],[RejectionDate]],"dddd")</f>
        <v>Wednesday</v>
      </c>
    </row>
    <row r="338" spans="1:14">
      <c r="A338" s="16" t="s">
        <v>142</v>
      </c>
      <c r="B338" s="16" t="s">
        <v>2398</v>
      </c>
      <c r="C338" s="16" t="s">
        <v>54</v>
      </c>
      <c r="D338" s="16" t="s">
        <v>26</v>
      </c>
      <c r="E338" s="19">
        <v>45630</v>
      </c>
      <c r="F338" s="16" t="s">
        <v>2329</v>
      </c>
      <c r="G338" s="16">
        <v>0</v>
      </c>
      <c r="H338" s="16" t="s">
        <v>290</v>
      </c>
      <c r="I338" s="16" t="s">
        <v>16</v>
      </c>
      <c r="J338" s="16" t="s">
        <v>16</v>
      </c>
      <c r="K338" s="16" t="str">
        <f>VLOOKUP(C338,CheckName!A:B,2,0)</f>
        <v>Edu</v>
      </c>
      <c r="L338">
        <v>0</v>
      </c>
      <c r="M338" s="16">
        <f t="shared" si="5"/>
        <v>4</v>
      </c>
      <c r="N338" t="str">
        <f>TEXT(MTDRejection[[#This Row],[RejectionDate]],"dddd")</f>
        <v>Wednesday</v>
      </c>
    </row>
    <row r="339" spans="1:14">
      <c r="A339" t="s">
        <v>1455</v>
      </c>
      <c r="B339" t="s">
        <v>3095</v>
      </c>
      <c r="C339" t="s">
        <v>12</v>
      </c>
      <c r="D339" t="s">
        <v>51</v>
      </c>
      <c r="E339" s="7">
        <v>45630</v>
      </c>
      <c r="F339" t="s">
        <v>2331</v>
      </c>
      <c r="G339">
        <v>0</v>
      </c>
      <c r="H339" t="s">
        <v>53</v>
      </c>
      <c r="I339" t="s">
        <v>16</v>
      </c>
      <c r="J339" t="s">
        <v>16</v>
      </c>
      <c r="K339" s="16" t="str">
        <f>VLOOKUP(C339,CheckName!A:B,2,0)</f>
        <v>Emp</v>
      </c>
      <c r="L339">
        <v>0</v>
      </c>
      <c r="M339" s="16">
        <f t="shared" si="5"/>
        <v>4</v>
      </c>
      <c r="N339" t="str">
        <f>TEXT(MTDRejection[[#This Row],[RejectionDate]],"dddd")</f>
        <v>Wednesday</v>
      </c>
    </row>
    <row r="340" spans="1:14">
      <c r="A340" s="16" t="s">
        <v>1455</v>
      </c>
      <c r="B340" s="16" t="s">
        <v>3096</v>
      </c>
      <c r="C340" s="16" t="s">
        <v>12</v>
      </c>
      <c r="D340" s="16" t="s">
        <v>51</v>
      </c>
      <c r="E340" s="19">
        <v>45630</v>
      </c>
      <c r="F340" s="16" t="s">
        <v>2331</v>
      </c>
      <c r="G340" s="16">
        <v>0</v>
      </c>
      <c r="H340" s="16" t="s">
        <v>53</v>
      </c>
      <c r="I340" s="16" t="s">
        <v>16</v>
      </c>
      <c r="J340" s="16" t="s">
        <v>16</v>
      </c>
      <c r="K340" s="16" t="str">
        <f>VLOOKUP(C340,CheckName!A:B,2,0)</f>
        <v>Emp</v>
      </c>
      <c r="L340">
        <v>0</v>
      </c>
      <c r="M340" s="16">
        <f t="shared" si="5"/>
        <v>4</v>
      </c>
      <c r="N340" t="str">
        <f>TEXT(MTDRejection[[#This Row],[RejectionDate]],"dddd")</f>
        <v>Wednesday</v>
      </c>
    </row>
    <row r="341" spans="1:14">
      <c r="A341" t="s">
        <v>45</v>
      </c>
      <c r="B341" t="s">
        <v>3097</v>
      </c>
      <c r="C341" t="s">
        <v>12</v>
      </c>
      <c r="D341" t="s">
        <v>13</v>
      </c>
      <c r="E341" s="7">
        <v>45630</v>
      </c>
      <c r="F341" t="s">
        <v>706</v>
      </c>
      <c r="G341">
        <v>0</v>
      </c>
      <c r="H341" t="s">
        <v>15</v>
      </c>
      <c r="I341" t="s">
        <v>16</v>
      </c>
      <c r="J341" t="s">
        <v>16</v>
      </c>
      <c r="K341" s="16" t="str">
        <f>VLOOKUP(C341,CheckName!A:B,2,0)</f>
        <v>Emp</v>
      </c>
      <c r="L341">
        <v>0</v>
      </c>
      <c r="M341" s="16">
        <f t="shared" si="5"/>
        <v>4</v>
      </c>
      <c r="N341" t="str">
        <f>TEXT(MTDRejection[[#This Row],[RejectionDate]],"dddd")</f>
        <v>Wednesday</v>
      </c>
    </row>
    <row r="342" spans="1:14">
      <c r="A342" s="16" t="s">
        <v>281</v>
      </c>
      <c r="B342" s="16" t="s">
        <v>3098</v>
      </c>
      <c r="C342" s="16" t="s">
        <v>54</v>
      </c>
      <c r="D342" s="16" t="s">
        <v>13</v>
      </c>
      <c r="E342" s="19">
        <v>45630</v>
      </c>
      <c r="F342" s="16" t="s">
        <v>706</v>
      </c>
      <c r="G342" s="16">
        <v>0</v>
      </c>
      <c r="H342" s="16" t="s">
        <v>15</v>
      </c>
      <c r="I342" s="16" t="s">
        <v>16</v>
      </c>
      <c r="J342" s="16" t="s">
        <v>16</v>
      </c>
      <c r="K342" s="16" t="str">
        <f>VLOOKUP(C342,CheckName!A:B,2,0)</f>
        <v>Edu</v>
      </c>
      <c r="L342">
        <v>0</v>
      </c>
      <c r="M342" s="16">
        <f t="shared" si="5"/>
        <v>4</v>
      </c>
      <c r="N342" t="str">
        <f>TEXT(MTDRejection[[#This Row],[RejectionDate]],"dddd")</f>
        <v>Wednesday</v>
      </c>
    </row>
    <row r="343" spans="1:14">
      <c r="A343" t="s">
        <v>142</v>
      </c>
      <c r="B343" t="s">
        <v>3099</v>
      </c>
      <c r="C343" t="s">
        <v>54</v>
      </c>
      <c r="D343" t="s">
        <v>13</v>
      </c>
      <c r="E343" s="7">
        <v>45630</v>
      </c>
      <c r="F343" t="s">
        <v>706</v>
      </c>
      <c r="G343">
        <v>0</v>
      </c>
      <c r="H343" t="s">
        <v>15</v>
      </c>
      <c r="I343" t="s">
        <v>16</v>
      </c>
      <c r="J343" t="s">
        <v>16</v>
      </c>
      <c r="K343" s="16" t="str">
        <f>VLOOKUP(C343,CheckName!A:B,2,0)</f>
        <v>Edu</v>
      </c>
      <c r="L343">
        <v>0</v>
      </c>
      <c r="M343" s="16">
        <f t="shared" si="5"/>
        <v>4</v>
      </c>
      <c r="N343" t="str">
        <f>TEXT(MTDRejection[[#This Row],[RejectionDate]],"dddd")</f>
        <v>Wednesday</v>
      </c>
    </row>
    <row r="344" spans="1:14">
      <c r="A344" s="16" t="s">
        <v>45</v>
      </c>
      <c r="B344" s="16" t="s">
        <v>3100</v>
      </c>
      <c r="C344" s="16" t="s">
        <v>25</v>
      </c>
      <c r="D344" s="16" t="s">
        <v>20</v>
      </c>
      <c r="E344" s="19">
        <v>45630</v>
      </c>
      <c r="F344" s="16" t="s">
        <v>2348</v>
      </c>
      <c r="G344" s="16">
        <v>0</v>
      </c>
      <c r="H344" s="16" t="s">
        <v>22</v>
      </c>
      <c r="I344" s="16" t="s">
        <v>16</v>
      </c>
      <c r="J344" s="16" t="s">
        <v>16</v>
      </c>
      <c r="K344" s="16" t="str">
        <f>VLOOKUP(C344,CheckName!A:B,2,0)</f>
        <v>Add</v>
      </c>
      <c r="L344">
        <v>0</v>
      </c>
      <c r="M344" s="16">
        <f t="shared" si="5"/>
        <v>4</v>
      </c>
      <c r="N344" t="str">
        <f>TEXT(MTDRejection[[#This Row],[RejectionDate]],"dddd")</f>
        <v>Wednesday</v>
      </c>
    </row>
    <row r="345" spans="1:14">
      <c r="A345" t="s">
        <v>1437</v>
      </c>
      <c r="B345" t="s">
        <v>3101</v>
      </c>
      <c r="C345" t="s">
        <v>54</v>
      </c>
      <c r="D345" t="s">
        <v>26</v>
      </c>
      <c r="E345" s="7">
        <v>45630</v>
      </c>
      <c r="F345" t="s">
        <v>188</v>
      </c>
      <c r="G345">
        <v>0</v>
      </c>
      <c r="H345" t="s">
        <v>27</v>
      </c>
      <c r="I345" t="s">
        <v>16</v>
      </c>
      <c r="J345" t="s">
        <v>16</v>
      </c>
      <c r="K345" s="16" t="str">
        <f>VLOOKUP(C345,CheckName!A:B,2,0)</f>
        <v>Edu</v>
      </c>
      <c r="L345">
        <v>1</v>
      </c>
      <c r="M345" s="16">
        <f t="shared" si="5"/>
        <v>4</v>
      </c>
      <c r="N345" t="str">
        <f>TEXT(MTDRejection[[#This Row],[RejectionDate]],"dddd")</f>
        <v>Wednesday</v>
      </c>
    </row>
    <row r="346" spans="1:14">
      <c r="A346" s="16" t="s">
        <v>160</v>
      </c>
      <c r="B346" s="16" t="s">
        <v>1336</v>
      </c>
      <c r="C346" s="16" t="s">
        <v>36</v>
      </c>
      <c r="D346" s="16" t="s">
        <v>26</v>
      </c>
      <c r="E346" s="19">
        <v>45630</v>
      </c>
      <c r="F346" s="16" t="s">
        <v>83</v>
      </c>
      <c r="G346" s="16">
        <v>0</v>
      </c>
      <c r="H346" s="16" t="s">
        <v>27</v>
      </c>
      <c r="I346" s="16" t="s">
        <v>16</v>
      </c>
      <c r="J346" s="16" t="s">
        <v>16</v>
      </c>
      <c r="K346" s="16" t="str">
        <f>VLOOKUP(C346,CheckName!A:B,2,0)</f>
        <v>Emp</v>
      </c>
      <c r="L346">
        <v>0</v>
      </c>
      <c r="M346" s="16">
        <f t="shared" si="5"/>
        <v>4</v>
      </c>
      <c r="N346" t="str">
        <f>TEXT(MTDRejection[[#This Row],[RejectionDate]],"dddd")</f>
        <v>Wednesday</v>
      </c>
    </row>
    <row r="347" spans="1:14">
      <c r="A347" t="s">
        <v>160</v>
      </c>
      <c r="B347" t="s">
        <v>3102</v>
      </c>
      <c r="C347" t="s">
        <v>36</v>
      </c>
      <c r="D347" t="s">
        <v>26</v>
      </c>
      <c r="E347" s="7">
        <v>45630</v>
      </c>
      <c r="F347" t="s">
        <v>277</v>
      </c>
      <c r="G347">
        <v>0</v>
      </c>
      <c r="H347" t="s">
        <v>22</v>
      </c>
      <c r="I347" t="s">
        <v>16</v>
      </c>
      <c r="J347" t="s">
        <v>16</v>
      </c>
      <c r="K347" s="16" t="str">
        <f>VLOOKUP(C347,CheckName!A:B,2,0)</f>
        <v>Emp</v>
      </c>
      <c r="L347">
        <v>0</v>
      </c>
      <c r="M347" s="16">
        <f t="shared" si="5"/>
        <v>4</v>
      </c>
      <c r="N347" t="str">
        <f>TEXT(MTDRejection[[#This Row],[RejectionDate]],"dddd")</f>
        <v>Wednesday</v>
      </c>
    </row>
    <row r="348" spans="1:14">
      <c r="A348" s="16" t="s">
        <v>100</v>
      </c>
      <c r="B348" s="16" t="s">
        <v>3103</v>
      </c>
      <c r="C348" s="16" t="s">
        <v>359</v>
      </c>
      <c r="D348" s="16" t="s">
        <v>26</v>
      </c>
      <c r="E348" s="19">
        <v>45630</v>
      </c>
      <c r="F348" s="16" t="s">
        <v>380</v>
      </c>
      <c r="G348" s="16">
        <v>0</v>
      </c>
      <c r="H348" s="16" t="s">
        <v>30</v>
      </c>
      <c r="I348" s="16" t="s">
        <v>16</v>
      </c>
      <c r="J348" s="16" t="s">
        <v>16</v>
      </c>
      <c r="K348" s="16" t="str">
        <f>VLOOKUP(C348,CheckName!A:B,2,0)</f>
        <v>Emp</v>
      </c>
      <c r="L348">
        <v>0</v>
      </c>
      <c r="M348" s="16">
        <f t="shared" si="5"/>
        <v>4</v>
      </c>
      <c r="N348" t="str">
        <f>TEXT(MTDRejection[[#This Row],[RejectionDate]],"dddd")</f>
        <v>Wednesday</v>
      </c>
    </row>
    <row r="349" spans="1:14">
      <c r="A349" t="s">
        <v>100</v>
      </c>
      <c r="B349" t="s">
        <v>3104</v>
      </c>
      <c r="C349" t="s">
        <v>357</v>
      </c>
      <c r="D349" t="s">
        <v>26</v>
      </c>
      <c r="E349" s="7">
        <v>45630</v>
      </c>
      <c r="F349" t="s">
        <v>380</v>
      </c>
      <c r="G349">
        <v>0</v>
      </c>
      <c r="H349" t="s">
        <v>27</v>
      </c>
      <c r="I349" t="s">
        <v>16</v>
      </c>
      <c r="J349" t="s">
        <v>16</v>
      </c>
      <c r="K349" s="16" t="str">
        <f>VLOOKUP(C349,CheckName!A:B,2,0)</f>
        <v>Emp</v>
      </c>
      <c r="L349">
        <v>0</v>
      </c>
      <c r="M349" s="16">
        <f t="shared" si="5"/>
        <v>4</v>
      </c>
      <c r="N349" t="str">
        <f>TEXT(MTDRejection[[#This Row],[RejectionDate]],"dddd")</f>
        <v>Wednesday</v>
      </c>
    </row>
    <row r="350" spans="1:14">
      <c r="A350" s="16" t="s">
        <v>299</v>
      </c>
      <c r="B350" s="16" t="s">
        <v>3105</v>
      </c>
      <c r="C350" s="16" t="s">
        <v>36</v>
      </c>
      <c r="D350" s="16" t="s">
        <v>26</v>
      </c>
      <c r="E350" s="19">
        <v>45630</v>
      </c>
      <c r="F350" s="16" t="s">
        <v>2347</v>
      </c>
      <c r="G350" s="16">
        <v>0</v>
      </c>
      <c r="H350" s="16" t="s">
        <v>27</v>
      </c>
      <c r="I350" s="16" t="s">
        <v>16</v>
      </c>
      <c r="J350" s="16" t="s">
        <v>16</v>
      </c>
      <c r="K350" s="16" t="str">
        <f>VLOOKUP(C350,CheckName!A:B,2,0)</f>
        <v>Emp</v>
      </c>
      <c r="L350">
        <v>0</v>
      </c>
      <c r="M350" s="16">
        <f t="shared" si="5"/>
        <v>4</v>
      </c>
      <c r="N350" t="str">
        <f>TEXT(MTDRejection[[#This Row],[RejectionDate]],"dddd")</f>
        <v>Wednesday</v>
      </c>
    </row>
    <row r="351" spans="1:14">
      <c r="A351" t="s">
        <v>100</v>
      </c>
      <c r="B351" t="s">
        <v>1848</v>
      </c>
      <c r="C351" t="s">
        <v>357</v>
      </c>
      <c r="D351" t="s">
        <v>26</v>
      </c>
      <c r="E351" s="7">
        <v>45630</v>
      </c>
      <c r="F351" t="s">
        <v>380</v>
      </c>
      <c r="G351">
        <v>0</v>
      </c>
      <c r="H351" t="s">
        <v>27</v>
      </c>
      <c r="I351" t="s">
        <v>16</v>
      </c>
      <c r="J351" t="s">
        <v>16</v>
      </c>
      <c r="K351" s="16" t="str">
        <f>VLOOKUP(C351,CheckName!A:B,2,0)</f>
        <v>Emp</v>
      </c>
      <c r="L351">
        <v>0</v>
      </c>
      <c r="M351" s="16">
        <f t="shared" si="5"/>
        <v>4</v>
      </c>
      <c r="N351" t="str">
        <f>TEXT(MTDRejection[[#This Row],[RejectionDate]],"dddd")</f>
        <v>Wednesday</v>
      </c>
    </row>
    <row r="352" spans="1:14">
      <c r="A352" s="16" t="s">
        <v>137</v>
      </c>
      <c r="B352" s="16" t="s">
        <v>3106</v>
      </c>
      <c r="C352" s="16" t="s">
        <v>12</v>
      </c>
      <c r="D352" s="16" t="s">
        <v>26</v>
      </c>
      <c r="E352" s="19">
        <v>45630</v>
      </c>
      <c r="F352" s="16" t="s">
        <v>83</v>
      </c>
      <c r="G352" s="16">
        <v>0</v>
      </c>
      <c r="H352" s="16" t="s">
        <v>27</v>
      </c>
      <c r="I352" s="16" t="s">
        <v>16</v>
      </c>
      <c r="J352" s="16" t="s">
        <v>16</v>
      </c>
      <c r="K352" s="16" t="str">
        <f>VLOOKUP(C352,CheckName!A:B,2,0)</f>
        <v>Emp</v>
      </c>
      <c r="L352">
        <v>0</v>
      </c>
      <c r="M352" s="16">
        <f t="shared" si="5"/>
        <v>4</v>
      </c>
      <c r="N352" t="str">
        <f>TEXT(MTDRejection[[#This Row],[RejectionDate]],"dddd")</f>
        <v>Wednesday</v>
      </c>
    </row>
    <row r="353" spans="1:14">
      <c r="A353" t="s">
        <v>461</v>
      </c>
      <c r="B353" t="s">
        <v>2399</v>
      </c>
      <c r="C353" t="s">
        <v>125</v>
      </c>
      <c r="D353" t="s">
        <v>26</v>
      </c>
      <c r="E353" s="7">
        <v>45630</v>
      </c>
      <c r="F353" t="s">
        <v>83</v>
      </c>
      <c r="G353">
        <v>0</v>
      </c>
      <c r="H353" t="s">
        <v>27</v>
      </c>
      <c r="I353" t="s">
        <v>16</v>
      </c>
      <c r="J353" t="s">
        <v>16</v>
      </c>
      <c r="K353" s="16" t="str">
        <f>VLOOKUP(C353,CheckName!A:B,2,0)</f>
        <v>Emp</v>
      </c>
      <c r="L353">
        <v>0</v>
      </c>
      <c r="M353" s="16">
        <f t="shared" si="5"/>
        <v>4</v>
      </c>
      <c r="N353" t="str">
        <f>TEXT(MTDRejection[[#This Row],[RejectionDate]],"dddd")</f>
        <v>Wednesday</v>
      </c>
    </row>
    <row r="354" spans="1:14">
      <c r="A354" s="16" t="s">
        <v>306</v>
      </c>
      <c r="B354" s="16" t="s">
        <v>3107</v>
      </c>
      <c r="C354" s="16" t="s">
        <v>59</v>
      </c>
      <c r="D354" s="16" t="s">
        <v>13</v>
      </c>
      <c r="E354" s="19">
        <v>45630</v>
      </c>
      <c r="F354" s="16" t="s">
        <v>844</v>
      </c>
      <c r="G354" s="16">
        <v>0</v>
      </c>
      <c r="H354" s="16" t="s">
        <v>15</v>
      </c>
      <c r="I354" s="16" t="s">
        <v>16</v>
      </c>
      <c r="J354" s="16" t="s">
        <v>16</v>
      </c>
      <c r="K354" s="16" t="str">
        <f>VLOOKUP(C354,CheckName!A:B,2,0)</f>
        <v>Special Check</v>
      </c>
      <c r="L354">
        <v>0</v>
      </c>
      <c r="M354" s="16">
        <f t="shared" si="5"/>
        <v>4</v>
      </c>
      <c r="N354" t="str">
        <f>TEXT(MTDRejection[[#This Row],[RejectionDate]],"dddd")</f>
        <v>Wednesday</v>
      </c>
    </row>
    <row r="355" spans="1:14">
      <c r="A355" t="s">
        <v>667</v>
      </c>
      <c r="B355" t="s">
        <v>3108</v>
      </c>
      <c r="C355" t="s">
        <v>12</v>
      </c>
      <c r="D355" t="s">
        <v>13</v>
      </c>
      <c r="E355" s="7">
        <v>45630</v>
      </c>
      <c r="F355" t="s">
        <v>1421</v>
      </c>
      <c r="G355">
        <v>0</v>
      </c>
      <c r="H355" t="s">
        <v>15</v>
      </c>
      <c r="I355" t="s">
        <v>16</v>
      </c>
      <c r="J355" t="s">
        <v>16</v>
      </c>
      <c r="K355" s="16" t="str">
        <f>VLOOKUP(C355,CheckName!A:B,2,0)</f>
        <v>Emp</v>
      </c>
      <c r="L355">
        <v>0</v>
      </c>
      <c r="M355" s="16">
        <f t="shared" si="5"/>
        <v>4</v>
      </c>
      <c r="N355" t="str">
        <f>TEXT(MTDRejection[[#This Row],[RejectionDate]],"dddd")</f>
        <v>Wednesday</v>
      </c>
    </row>
    <row r="356" spans="1:14">
      <c r="A356" s="16" t="s">
        <v>47</v>
      </c>
      <c r="B356" s="16" t="s">
        <v>3109</v>
      </c>
      <c r="C356" s="16" t="s">
        <v>12</v>
      </c>
      <c r="D356" s="16" t="s">
        <v>13</v>
      </c>
      <c r="E356" s="19">
        <v>45630</v>
      </c>
      <c r="F356" s="16" t="s">
        <v>530</v>
      </c>
      <c r="G356" s="16">
        <v>0</v>
      </c>
      <c r="H356" s="16" t="s">
        <v>15</v>
      </c>
      <c r="I356" s="16" t="s">
        <v>16</v>
      </c>
      <c r="J356" s="16" t="s">
        <v>16</v>
      </c>
      <c r="K356" s="16" t="str">
        <f>VLOOKUP(C356,CheckName!A:B,2,0)</f>
        <v>Emp</v>
      </c>
      <c r="L356">
        <v>0</v>
      </c>
      <c r="M356" s="16">
        <f t="shared" si="5"/>
        <v>4</v>
      </c>
      <c r="N356" t="str">
        <f>TEXT(MTDRejection[[#This Row],[RejectionDate]],"dddd")</f>
        <v>Wednesday</v>
      </c>
    </row>
    <row r="357" spans="1:14">
      <c r="A357" t="s">
        <v>47</v>
      </c>
      <c r="B357" t="s">
        <v>3110</v>
      </c>
      <c r="C357" t="s">
        <v>36</v>
      </c>
      <c r="D357" t="s">
        <v>13</v>
      </c>
      <c r="E357" s="7">
        <v>45630</v>
      </c>
      <c r="F357" t="s">
        <v>530</v>
      </c>
      <c r="G357">
        <v>0</v>
      </c>
      <c r="H357" t="s">
        <v>15</v>
      </c>
      <c r="I357" t="s">
        <v>16</v>
      </c>
      <c r="J357" t="s">
        <v>16</v>
      </c>
      <c r="K357" s="16" t="str">
        <f>VLOOKUP(C357,CheckName!A:B,2,0)</f>
        <v>Emp</v>
      </c>
      <c r="L357">
        <v>0</v>
      </c>
      <c r="M357" s="16">
        <f t="shared" si="5"/>
        <v>4</v>
      </c>
      <c r="N357" t="str">
        <f>TEXT(MTDRejection[[#This Row],[RejectionDate]],"dddd")</f>
        <v>Wednesday</v>
      </c>
    </row>
    <row r="358" spans="1:14">
      <c r="A358" s="16" t="s">
        <v>866</v>
      </c>
      <c r="B358" s="16" t="s">
        <v>3111</v>
      </c>
      <c r="C358" s="16" t="s">
        <v>54</v>
      </c>
      <c r="D358" s="16" t="s">
        <v>13</v>
      </c>
      <c r="E358" s="19">
        <v>45630</v>
      </c>
      <c r="F358" s="16" t="s">
        <v>530</v>
      </c>
      <c r="G358" s="16">
        <v>0</v>
      </c>
      <c r="H358" s="16" t="s">
        <v>15</v>
      </c>
      <c r="I358" s="16" t="s">
        <v>16</v>
      </c>
      <c r="J358" s="16" t="s">
        <v>16</v>
      </c>
      <c r="K358" s="16" t="str">
        <f>VLOOKUP(C358,CheckName!A:B,2,0)</f>
        <v>Edu</v>
      </c>
      <c r="L358">
        <v>0</v>
      </c>
      <c r="M358" s="16">
        <f t="shared" si="5"/>
        <v>4</v>
      </c>
      <c r="N358" t="str">
        <f>TEXT(MTDRejection[[#This Row],[RejectionDate]],"dddd")</f>
        <v>Wednesday</v>
      </c>
    </row>
    <row r="359" spans="1:14">
      <c r="A359" t="s">
        <v>237</v>
      </c>
      <c r="B359" t="s">
        <v>3112</v>
      </c>
      <c r="C359" t="s">
        <v>12</v>
      </c>
      <c r="D359" t="s">
        <v>13</v>
      </c>
      <c r="E359" s="7">
        <v>45630</v>
      </c>
      <c r="F359" t="s">
        <v>1421</v>
      </c>
      <c r="G359">
        <v>0</v>
      </c>
      <c r="H359" t="s">
        <v>15</v>
      </c>
      <c r="I359" t="s">
        <v>16</v>
      </c>
      <c r="J359" t="s">
        <v>16</v>
      </c>
      <c r="K359" s="16" t="str">
        <f>VLOOKUP(C359,CheckName!A:B,2,0)</f>
        <v>Emp</v>
      </c>
      <c r="L359">
        <v>0</v>
      </c>
      <c r="M359" s="16">
        <f t="shared" si="5"/>
        <v>4</v>
      </c>
      <c r="N359" t="str">
        <f>TEXT(MTDRejection[[#This Row],[RejectionDate]],"dddd")</f>
        <v>Wednesday</v>
      </c>
    </row>
    <row r="360" spans="1:14">
      <c r="A360" s="16" t="s">
        <v>996</v>
      </c>
      <c r="B360" s="16" t="s">
        <v>3113</v>
      </c>
      <c r="C360" s="16" t="s">
        <v>54</v>
      </c>
      <c r="D360" s="16" t="s">
        <v>13</v>
      </c>
      <c r="E360" s="19">
        <v>45630</v>
      </c>
      <c r="F360" s="16" t="s">
        <v>530</v>
      </c>
      <c r="G360" s="16">
        <v>0</v>
      </c>
      <c r="H360" s="16" t="s">
        <v>15</v>
      </c>
      <c r="I360" s="16" t="s">
        <v>16</v>
      </c>
      <c r="J360" s="16" t="s">
        <v>16</v>
      </c>
      <c r="K360" s="16" t="str">
        <f>VLOOKUP(C360,CheckName!A:B,2,0)</f>
        <v>Edu</v>
      </c>
      <c r="L360">
        <v>0</v>
      </c>
      <c r="M360" s="16">
        <f t="shared" si="5"/>
        <v>4</v>
      </c>
      <c r="N360" t="str">
        <f>TEXT(MTDRejection[[#This Row],[RejectionDate]],"dddd")</f>
        <v>Wednesday</v>
      </c>
    </row>
    <row r="361" spans="1:14">
      <c r="A361" t="s">
        <v>866</v>
      </c>
      <c r="B361" t="s">
        <v>3114</v>
      </c>
      <c r="C361" t="s">
        <v>54</v>
      </c>
      <c r="D361" t="s">
        <v>26</v>
      </c>
      <c r="E361" s="7">
        <v>45630</v>
      </c>
      <c r="F361" t="s">
        <v>103</v>
      </c>
      <c r="G361">
        <v>0</v>
      </c>
      <c r="H361" t="s">
        <v>27</v>
      </c>
      <c r="I361" t="s">
        <v>16</v>
      </c>
      <c r="J361" t="s">
        <v>16</v>
      </c>
      <c r="K361" s="16" t="str">
        <f>VLOOKUP(C361,CheckName!A:B,2,0)</f>
        <v>Edu</v>
      </c>
      <c r="L361">
        <v>0</v>
      </c>
      <c r="M361" s="16">
        <f t="shared" si="5"/>
        <v>4</v>
      </c>
      <c r="N361" t="str">
        <f>TEXT(MTDRejection[[#This Row],[RejectionDate]],"dddd")</f>
        <v>Wednesday</v>
      </c>
    </row>
    <row r="362" spans="1:14">
      <c r="A362" s="16" t="s">
        <v>1024</v>
      </c>
      <c r="B362" s="16" t="s">
        <v>2400</v>
      </c>
      <c r="C362" s="16" t="s">
        <v>1479</v>
      </c>
      <c r="D362" s="16" t="s">
        <v>13</v>
      </c>
      <c r="E362" s="19">
        <v>45630</v>
      </c>
      <c r="F362" s="16" t="s">
        <v>107</v>
      </c>
      <c r="G362" s="16">
        <v>0</v>
      </c>
      <c r="H362" s="16" t="s">
        <v>15</v>
      </c>
      <c r="I362" s="16" t="s">
        <v>16</v>
      </c>
      <c r="J362" s="16" t="s">
        <v>16</v>
      </c>
      <c r="K362" s="16" t="str">
        <f>VLOOKUP(C362,CheckName!A:B,2,0)</f>
        <v>Edu</v>
      </c>
      <c r="L362">
        <v>0</v>
      </c>
      <c r="M362" s="16">
        <f t="shared" si="5"/>
        <v>4</v>
      </c>
      <c r="N362" t="str">
        <f>TEXT(MTDRejection[[#This Row],[RejectionDate]],"dddd")</f>
        <v>Wednesday</v>
      </c>
    </row>
    <row r="363" spans="1:14">
      <c r="A363" t="s">
        <v>96</v>
      </c>
      <c r="B363" t="s">
        <v>3115</v>
      </c>
      <c r="C363" t="s">
        <v>12</v>
      </c>
      <c r="D363" t="s">
        <v>13</v>
      </c>
      <c r="E363" s="7">
        <v>45630</v>
      </c>
      <c r="F363" t="s">
        <v>819</v>
      </c>
      <c r="G363">
        <v>0</v>
      </c>
      <c r="H363" t="s">
        <v>15</v>
      </c>
      <c r="I363" t="s">
        <v>16</v>
      </c>
      <c r="J363" t="s">
        <v>16</v>
      </c>
      <c r="K363" s="16" t="str">
        <f>VLOOKUP(C363,CheckName!A:B,2,0)</f>
        <v>Emp</v>
      </c>
      <c r="L363">
        <v>0</v>
      </c>
      <c r="M363" s="16">
        <f t="shared" si="5"/>
        <v>4</v>
      </c>
      <c r="N363" t="str">
        <f>TEXT(MTDRejection[[#This Row],[RejectionDate]],"dddd")</f>
        <v>Wednesday</v>
      </c>
    </row>
    <row r="364" spans="1:14">
      <c r="A364" s="16" t="s">
        <v>47</v>
      </c>
      <c r="B364" s="16" t="s">
        <v>3116</v>
      </c>
      <c r="C364" s="16" t="s">
        <v>54</v>
      </c>
      <c r="D364" s="16" t="s">
        <v>13</v>
      </c>
      <c r="E364" s="19">
        <v>45630</v>
      </c>
      <c r="F364" s="16" t="s">
        <v>107</v>
      </c>
      <c r="G364" s="16">
        <v>0</v>
      </c>
      <c r="H364" s="16" t="s">
        <v>15</v>
      </c>
      <c r="I364" s="16" t="s">
        <v>16</v>
      </c>
      <c r="J364" s="16" t="s">
        <v>16</v>
      </c>
      <c r="K364" s="16" t="str">
        <f>VLOOKUP(C364,CheckName!A:B,2,0)</f>
        <v>Edu</v>
      </c>
      <c r="L364">
        <v>0</v>
      </c>
      <c r="M364" s="16">
        <f t="shared" si="5"/>
        <v>4</v>
      </c>
      <c r="N364" t="str">
        <f>TEXT(MTDRejection[[#This Row],[RejectionDate]],"dddd")</f>
        <v>Wednesday</v>
      </c>
    </row>
    <row r="365" spans="1:14">
      <c r="A365" t="s">
        <v>211</v>
      </c>
      <c r="B365" t="s">
        <v>3117</v>
      </c>
      <c r="C365" t="s">
        <v>54</v>
      </c>
      <c r="D365" t="s">
        <v>13</v>
      </c>
      <c r="E365" s="7">
        <v>45630</v>
      </c>
      <c r="F365" t="s">
        <v>540</v>
      </c>
      <c r="G365">
        <v>0</v>
      </c>
      <c r="H365" t="s">
        <v>15</v>
      </c>
      <c r="I365" t="s">
        <v>16</v>
      </c>
      <c r="J365" t="s">
        <v>16</v>
      </c>
      <c r="K365" s="16" t="str">
        <f>VLOOKUP(C365,CheckName!A:B,2,0)</f>
        <v>Edu</v>
      </c>
      <c r="L365">
        <v>0</v>
      </c>
      <c r="M365" s="16">
        <f t="shared" si="5"/>
        <v>4</v>
      </c>
      <c r="N365" t="str">
        <f>TEXT(MTDRejection[[#This Row],[RejectionDate]],"dddd")</f>
        <v>Wednesday</v>
      </c>
    </row>
    <row r="366" spans="1:14">
      <c r="A366" s="16" t="s">
        <v>1483</v>
      </c>
      <c r="B366" s="16" t="s">
        <v>3118</v>
      </c>
      <c r="C366" s="16" t="s">
        <v>71</v>
      </c>
      <c r="D366" s="16" t="s">
        <v>13</v>
      </c>
      <c r="E366" s="19">
        <v>45630</v>
      </c>
      <c r="F366" s="16" t="s">
        <v>540</v>
      </c>
      <c r="G366" s="16">
        <v>0</v>
      </c>
      <c r="H366" s="16" t="s">
        <v>15</v>
      </c>
      <c r="I366" s="16" t="s">
        <v>16</v>
      </c>
      <c r="J366" s="16" t="s">
        <v>16</v>
      </c>
      <c r="K366" s="16" t="str">
        <f>VLOOKUP(C366,CheckName!A:B,2,0)</f>
        <v>CRC</v>
      </c>
      <c r="L366">
        <v>0</v>
      </c>
      <c r="M366" s="16">
        <f t="shared" si="5"/>
        <v>4</v>
      </c>
      <c r="N366" t="str">
        <f>TEXT(MTDRejection[[#This Row],[RejectionDate]],"dddd")</f>
        <v>Wednesday</v>
      </c>
    </row>
    <row r="367" spans="1:14">
      <c r="A367" t="s">
        <v>45</v>
      </c>
      <c r="B367" t="s">
        <v>3119</v>
      </c>
      <c r="C367" t="s">
        <v>12</v>
      </c>
      <c r="D367" t="s">
        <v>26</v>
      </c>
      <c r="E367" s="7">
        <v>45630</v>
      </c>
      <c r="F367" t="s">
        <v>2346</v>
      </c>
      <c r="G367">
        <v>0</v>
      </c>
      <c r="H367" t="s">
        <v>22</v>
      </c>
      <c r="I367" t="s">
        <v>16</v>
      </c>
      <c r="J367" t="s">
        <v>16</v>
      </c>
      <c r="K367" s="16" t="str">
        <f>VLOOKUP(C367,CheckName!A:B,2,0)</f>
        <v>Emp</v>
      </c>
      <c r="L367">
        <v>0</v>
      </c>
      <c r="M367" s="16">
        <f t="shared" si="5"/>
        <v>4</v>
      </c>
      <c r="N367" t="str">
        <f>TEXT(MTDRejection[[#This Row],[RejectionDate]],"dddd")</f>
        <v>Wednesday</v>
      </c>
    </row>
    <row r="368" spans="1:14">
      <c r="A368" s="16" t="s">
        <v>84</v>
      </c>
      <c r="B368" s="16" t="s">
        <v>3120</v>
      </c>
      <c r="C368" s="16" t="s">
        <v>125</v>
      </c>
      <c r="D368" s="16" t="s">
        <v>26</v>
      </c>
      <c r="E368" s="19">
        <v>45630</v>
      </c>
      <c r="F368" s="16" t="s">
        <v>115</v>
      </c>
      <c r="G368" s="16">
        <v>0</v>
      </c>
      <c r="H368" s="16" t="s">
        <v>27</v>
      </c>
      <c r="I368" s="16" t="s">
        <v>16</v>
      </c>
      <c r="J368" s="16" t="s">
        <v>16</v>
      </c>
      <c r="K368" s="16" t="str">
        <f>VLOOKUP(C368,CheckName!A:B,2,0)</f>
        <v>Emp</v>
      </c>
      <c r="L368">
        <v>0</v>
      </c>
      <c r="M368" s="16">
        <f t="shared" si="5"/>
        <v>4</v>
      </c>
      <c r="N368" t="str">
        <f>TEXT(MTDRejection[[#This Row],[RejectionDate]],"dddd")</f>
        <v>Wednesday</v>
      </c>
    </row>
    <row r="369" spans="1:14">
      <c r="A369" t="s">
        <v>306</v>
      </c>
      <c r="B369" t="s">
        <v>3121</v>
      </c>
      <c r="C369" t="s">
        <v>59</v>
      </c>
      <c r="D369" t="s">
        <v>13</v>
      </c>
      <c r="E369" s="7">
        <v>45630</v>
      </c>
      <c r="F369" t="s">
        <v>1013</v>
      </c>
      <c r="G369">
        <v>0</v>
      </c>
      <c r="H369" t="s">
        <v>15</v>
      </c>
      <c r="I369" t="s">
        <v>16</v>
      </c>
      <c r="J369" t="s">
        <v>16</v>
      </c>
      <c r="K369" s="16" t="str">
        <f>VLOOKUP(C369,CheckName!A:B,2,0)</f>
        <v>Special Check</v>
      </c>
      <c r="L369">
        <v>0</v>
      </c>
      <c r="M369" s="16">
        <f t="shared" si="5"/>
        <v>4</v>
      </c>
      <c r="N369" t="str">
        <f>TEXT(MTDRejection[[#This Row],[RejectionDate]],"dddd")</f>
        <v>Wednesday</v>
      </c>
    </row>
    <row r="370" spans="1:14">
      <c r="A370" s="16" t="s">
        <v>216</v>
      </c>
      <c r="B370" s="16" t="s">
        <v>3122</v>
      </c>
      <c r="C370" s="16" t="s">
        <v>54</v>
      </c>
      <c r="D370" s="16" t="s">
        <v>26</v>
      </c>
      <c r="E370" s="19">
        <v>45630</v>
      </c>
      <c r="F370" s="16" t="s">
        <v>309</v>
      </c>
      <c r="G370" s="16">
        <v>0</v>
      </c>
      <c r="H370" s="16" t="s">
        <v>27</v>
      </c>
      <c r="I370" s="16" t="s">
        <v>16</v>
      </c>
      <c r="J370" s="16" t="s">
        <v>16</v>
      </c>
      <c r="K370" s="16" t="str">
        <f>VLOOKUP(C370,CheckName!A:B,2,0)</f>
        <v>Edu</v>
      </c>
      <c r="L370">
        <v>0</v>
      </c>
      <c r="M370" s="16">
        <f t="shared" si="5"/>
        <v>4</v>
      </c>
      <c r="N370" t="str">
        <f>TEXT(MTDRejection[[#This Row],[RejectionDate]],"dddd")</f>
        <v>Wednesday</v>
      </c>
    </row>
    <row r="371" spans="1:14">
      <c r="A371" t="s">
        <v>160</v>
      </c>
      <c r="B371" t="s">
        <v>3123</v>
      </c>
      <c r="C371" t="s">
        <v>19</v>
      </c>
      <c r="D371" t="s">
        <v>20</v>
      </c>
      <c r="E371" s="7">
        <v>45630</v>
      </c>
      <c r="F371" t="s">
        <v>129</v>
      </c>
      <c r="G371">
        <v>0</v>
      </c>
      <c r="H371" t="s">
        <v>22</v>
      </c>
      <c r="I371" t="s">
        <v>16</v>
      </c>
      <c r="J371" t="s">
        <v>16</v>
      </c>
      <c r="K371" s="16" t="str">
        <f>VLOOKUP(C371,CheckName!A:B,2,0)</f>
        <v>Add</v>
      </c>
      <c r="L371">
        <v>0</v>
      </c>
      <c r="M371" s="16">
        <f t="shared" si="5"/>
        <v>4</v>
      </c>
      <c r="N371" t="str">
        <f>TEXT(MTDRejection[[#This Row],[RejectionDate]],"dddd")</f>
        <v>Wednesday</v>
      </c>
    </row>
    <row r="372" spans="1:14">
      <c r="A372" s="16" t="s">
        <v>353</v>
      </c>
      <c r="B372" s="16" t="s">
        <v>3124</v>
      </c>
      <c r="C372" s="16" t="s">
        <v>25</v>
      </c>
      <c r="D372" s="16" t="s">
        <v>20</v>
      </c>
      <c r="E372" s="19">
        <v>45630</v>
      </c>
      <c r="F372" s="16" t="s">
        <v>129</v>
      </c>
      <c r="G372" s="16">
        <v>0</v>
      </c>
      <c r="H372" s="16" t="s">
        <v>22</v>
      </c>
      <c r="I372" s="16" t="s">
        <v>16</v>
      </c>
      <c r="J372" s="16" t="s">
        <v>16</v>
      </c>
      <c r="K372" s="16" t="str">
        <f>VLOOKUP(C372,CheckName!A:B,2,0)</f>
        <v>Add</v>
      </c>
      <c r="L372">
        <v>0</v>
      </c>
      <c r="M372" s="16">
        <f t="shared" si="5"/>
        <v>4</v>
      </c>
      <c r="N372" t="str">
        <f>TEXT(MTDRejection[[#This Row],[RejectionDate]],"dddd")</f>
        <v>Wednesday</v>
      </c>
    </row>
    <row r="373" spans="1:14">
      <c r="A373" t="s">
        <v>1491</v>
      </c>
      <c r="B373" t="s">
        <v>3125</v>
      </c>
      <c r="C373" t="s">
        <v>25</v>
      </c>
      <c r="D373" t="s">
        <v>20</v>
      </c>
      <c r="E373" s="7">
        <v>45630</v>
      </c>
      <c r="F373" t="s">
        <v>129</v>
      </c>
      <c r="G373">
        <v>0</v>
      </c>
      <c r="H373" t="s">
        <v>22</v>
      </c>
      <c r="I373" t="s">
        <v>16</v>
      </c>
      <c r="J373" t="s">
        <v>16</v>
      </c>
      <c r="K373" s="16" t="str">
        <f>VLOOKUP(C373,CheckName!A:B,2,0)</f>
        <v>Add</v>
      </c>
      <c r="L373">
        <v>0</v>
      </c>
      <c r="M373" s="16">
        <f t="shared" si="5"/>
        <v>4</v>
      </c>
      <c r="N373" t="str">
        <f>TEXT(MTDRejection[[#This Row],[RejectionDate]],"dddd")</f>
        <v>Wednesday</v>
      </c>
    </row>
    <row r="374" spans="1:14">
      <c r="A374" s="16" t="s">
        <v>245</v>
      </c>
      <c r="B374" s="16" t="s">
        <v>2364</v>
      </c>
      <c r="C374" s="16" t="s">
        <v>19</v>
      </c>
      <c r="D374" s="16" t="s">
        <v>20</v>
      </c>
      <c r="E374" s="19">
        <v>45630</v>
      </c>
      <c r="F374" s="16" t="s">
        <v>129</v>
      </c>
      <c r="G374" s="16">
        <v>0</v>
      </c>
      <c r="H374" s="16" t="s">
        <v>22</v>
      </c>
      <c r="I374" s="16" t="s">
        <v>16</v>
      </c>
      <c r="J374" s="16" t="s">
        <v>16</v>
      </c>
      <c r="K374" s="16" t="str">
        <f>VLOOKUP(C374,CheckName!A:B,2,0)</f>
        <v>Add</v>
      </c>
      <c r="L374">
        <v>0</v>
      </c>
      <c r="M374" s="16">
        <f t="shared" si="5"/>
        <v>4</v>
      </c>
      <c r="N374" t="str">
        <f>TEXT(MTDRejection[[#This Row],[RejectionDate]],"dddd")</f>
        <v>Wednesday</v>
      </c>
    </row>
    <row r="375" spans="1:14">
      <c r="A375" t="s">
        <v>1494</v>
      </c>
      <c r="B375" t="s">
        <v>3126</v>
      </c>
      <c r="C375" t="s">
        <v>36</v>
      </c>
      <c r="D375" t="s">
        <v>26</v>
      </c>
      <c r="E375" s="7">
        <v>45630</v>
      </c>
      <c r="F375" t="s">
        <v>2355</v>
      </c>
      <c r="G375">
        <v>0</v>
      </c>
      <c r="H375" t="s">
        <v>130</v>
      </c>
      <c r="I375" t="s">
        <v>16</v>
      </c>
      <c r="J375" t="s">
        <v>16</v>
      </c>
      <c r="K375" s="16" t="str">
        <f>VLOOKUP(C375,CheckName!A:B,2,0)</f>
        <v>Emp</v>
      </c>
      <c r="L375">
        <v>0</v>
      </c>
      <c r="M375" s="16">
        <f t="shared" si="5"/>
        <v>4</v>
      </c>
      <c r="N375" t="str">
        <f>TEXT(MTDRejection[[#This Row],[RejectionDate]],"dddd")</f>
        <v>Wednesday</v>
      </c>
    </row>
    <row r="376" spans="1:14">
      <c r="A376" s="16" t="s">
        <v>45</v>
      </c>
      <c r="B376" s="16" t="s">
        <v>2401</v>
      </c>
      <c r="C376" s="16" t="s">
        <v>12</v>
      </c>
      <c r="D376" s="16" t="s">
        <v>26</v>
      </c>
      <c r="E376" s="19">
        <v>45630</v>
      </c>
      <c r="F376" s="16" t="s">
        <v>2355</v>
      </c>
      <c r="G376" s="16">
        <v>0</v>
      </c>
      <c r="H376" s="16" t="s">
        <v>27</v>
      </c>
      <c r="I376" s="16" t="s">
        <v>16</v>
      </c>
      <c r="J376" s="16" t="s">
        <v>16</v>
      </c>
      <c r="K376" s="16" t="str">
        <f>VLOOKUP(C376,CheckName!A:B,2,0)</f>
        <v>Emp</v>
      </c>
      <c r="L376">
        <v>0</v>
      </c>
      <c r="M376" s="16">
        <f t="shared" si="5"/>
        <v>4</v>
      </c>
      <c r="N376" t="str">
        <f>TEXT(MTDRejection[[#This Row],[RejectionDate]],"dddd")</f>
        <v>Wednesday</v>
      </c>
    </row>
    <row r="377" spans="1:14">
      <c r="A377" t="s">
        <v>137</v>
      </c>
      <c r="B377" t="s">
        <v>1859</v>
      </c>
      <c r="C377" t="s">
        <v>25</v>
      </c>
      <c r="D377" t="s">
        <v>20</v>
      </c>
      <c r="E377" s="7">
        <v>45630</v>
      </c>
      <c r="F377" t="s">
        <v>129</v>
      </c>
      <c r="G377">
        <v>0</v>
      </c>
      <c r="H377" t="s">
        <v>22</v>
      </c>
      <c r="I377" t="s">
        <v>16</v>
      </c>
      <c r="J377" t="s">
        <v>16</v>
      </c>
      <c r="K377" s="16" t="str">
        <f>VLOOKUP(C377,CheckName!A:B,2,0)</f>
        <v>Add</v>
      </c>
      <c r="L377">
        <v>0</v>
      </c>
      <c r="M377" s="16">
        <f t="shared" si="5"/>
        <v>4</v>
      </c>
      <c r="N377" t="str">
        <f>TEXT(MTDRejection[[#This Row],[RejectionDate]],"dddd")</f>
        <v>Wednesday</v>
      </c>
    </row>
    <row r="378" spans="1:14">
      <c r="A378" s="16" t="s">
        <v>1088</v>
      </c>
      <c r="B378" s="16" t="s">
        <v>3127</v>
      </c>
      <c r="C378" s="16" t="s">
        <v>12</v>
      </c>
      <c r="D378" s="16" t="s">
        <v>26</v>
      </c>
      <c r="E378" s="19">
        <v>45629</v>
      </c>
      <c r="F378" s="16" t="s">
        <v>311</v>
      </c>
      <c r="G378" s="16">
        <v>1</v>
      </c>
      <c r="H378" s="16" t="s">
        <v>22</v>
      </c>
      <c r="I378" s="16" t="s">
        <v>16</v>
      </c>
      <c r="J378" s="16" t="s">
        <v>16</v>
      </c>
      <c r="K378" s="16" t="str">
        <f>VLOOKUP(C378,CheckName!A:B,2,0)</f>
        <v>Emp</v>
      </c>
      <c r="L378">
        <v>0</v>
      </c>
      <c r="M378" s="16">
        <f t="shared" si="5"/>
        <v>3</v>
      </c>
      <c r="N378" t="str">
        <f>TEXT(MTDRejection[[#This Row],[RejectionDate]],"dddd")</f>
        <v>Tuesday</v>
      </c>
    </row>
    <row r="379" spans="1:14">
      <c r="A379" t="s">
        <v>180</v>
      </c>
      <c r="B379" t="s">
        <v>3128</v>
      </c>
      <c r="C379" t="s">
        <v>54</v>
      </c>
      <c r="D379" t="s">
        <v>13</v>
      </c>
      <c r="E379" s="7">
        <v>45631</v>
      </c>
      <c r="F379" t="s">
        <v>2326</v>
      </c>
      <c r="G379">
        <v>0</v>
      </c>
      <c r="H379" t="s">
        <v>15</v>
      </c>
      <c r="I379" t="s">
        <v>16</v>
      </c>
      <c r="J379" t="s">
        <v>16</v>
      </c>
      <c r="K379" s="16" t="str">
        <f>VLOOKUP(C379,CheckName!A:B,2,0)</f>
        <v>Edu</v>
      </c>
      <c r="L379">
        <v>0</v>
      </c>
      <c r="M379" s="16">
        <f t="shared" si="5"/>
        <v>5</v>
      </c>
      <c r="N379" t="str">
        <f>TEXT(MTDRejection[[#This Row],[RejectionDate]],"dddd")</f>
        <v>Thursday</v>
      </c>
    </row>
    <row r="380" spans="1:14">
      <c r="A380" s="16" t="s">
        <v>10</v>
      </c>
      <c r="B380" s="16" t="s">
        <v>3129</v>
      </c>
      <c r="C380" s="16" t="s">
        <v>36</v>
      </c>
      <c r="D380" s="16" t="s">
        <v>13</v>
      </c>
      <c r="E380" s="19">
        <v>45631</v>
      </c>
      <c r="F380" s="16" t="s">
        <v>2326</v>
      </c>
      <c r="G380" s="16">
        <v>0</v>
      </c>
      <c r="H380" s="16" t="s">
        <v>15</v>
      </c>
      <c r="I380" s="16" t="s">
        <v>16</v>
      </c>
      <c r="J380" s="16" t="s">
        <v>16</v>
      </c>
      <c r="K380" s="16" t="str">
        <f>VLOOKUP(C380,CheckName!A:B,2,0)</f>
        <v>Emp</v>
      </c>
      <c r="L380">
        <v>0</v>
      </c>
      <c r="M380" s="16">
        <f t="shared" si="5"/>
        <v>5</v>
      </c>
      <c r="N380" t="str">
        <f>TEXT(MTDRejection[[#This Row],[RejectionDate]],"dddd")</f>
        <v>Thursday</v>
      </c>
    </row>
    <row r="381" spans="1:14">
      <c r="A381" t="s">
        <v>10</v>
      </c>
      <c r="B381" t="s">
        <v>3130</v>
      </c>
      <c r="C381" t="s">
        <v>12</v>
      </c>
      <c r="D381" t="s">
        <v>13</v>
      </c>
      <c r="E381" s="7">
        <v>45631</v>
      </c>
      <c r="F381" t="s">
        <v>2326</v>
      </c>
      <c r="G381">
        <v>0</v>
      </c>
      <c r="H381" t="s">
        <v>15</v>
      </c>
      <c r="I381" t="s">
        <v>16</v>
      </c>
      <c r="J381" t="s">
        <v>16</v>
      </c>
      <c r="K381" s="16" t="str">
        <f>VLOOKUP(C381,CheckName!A:B,2,0)</f>
        <v>Emp</v>
      </c>
      <c r="L381">
        <v>0</v>
      </c>
      <c r="M381" s="16">
        <f t="shared" si="5"/>
        <v>5</v>
      </c>
      <c r="N381" t="str">
        <f>TEXT(MTDRejection[[#This Row],[RejectionDate]],"dddd")</f>
        <v>Thursday</v>
      </c>
    </row>
    <row r="382" spans="1:14">
      <c r="A382" s="16" t="s">
        <v>1237</v>
      </c>
      <c r="B382" s="16" t="s">
        <v>3131</v>
      </c>
      <c r="C382" s="16" t="s">
        <v>71</v>
      </c>
      <c r="D382" s="16" t="s">
        <v>13</v>
      </c>
      <c r="E382" s="19">
        <v>45631</v>
      </c>
      <c r="F382" s="16" t="s">
        <v>1310</v>
      </c>
      <c r="G382" s="16">
        <v>0</v>
      </c>
      <c r="H382" s="16" t="s">
        <v>30</v>
      </c>
      <c r="I382" s="16" t="s">
        <v>16</v>
      </c>
      <c r="J382" s="16" t="s">
        <v>16</v>
      </c>
      <c r="K382" s="16" t="str">
        <f>VLOOKUP(C382,CheckName!A:B,2,0)</f>
        <v>CRC</v>
      </c>
      <c r="L382">
        <v>0</v>
      </c>
      <c r="M382" s="16">
        <f t="shared" si="5"/>
        <v>5</v>
      </c>
      <c r="N382" t="str">
        <f>TEXT(MTDRejection[[#This Row],[RejectionDate]],"dddd")</f>
        <v>Thursday</v>
      </c>
    </row>
    <row r="383" spans="1:14">
      <c r="A383" t="s">
        <v>100</v>
      </c>
      <c r="B383" t="s">
        <v>3132</v>
      </c>
      <c r="C383" t="s">
        <v>357</v>
      </c>
      <c r="D383" t="s">
        <v>51</v>
      </c>
      <c r="E383" s="7">
        <v>45631</v>
      </c>
      <c r="F383" t="s">
        <v>555</v>
      </c>
      <c r="G383">
        <v>0</v>
      </c>
      <c r="H383" t="s">
        <v>53</v>
      </c>
      <c r="I383" t="s">
        <v>16</v>
      </c>
      <c r="J383" t="s">
        <v>16</v>
      </c>
      <c r="K383" s="16" t="str">
        <f>VLOOKUP(C383,CheckName!A:B,2,0)</f>
        <v>Emp</v>
      </c>
      <c r="L383">
        <v>0</v>
      </c>
      <c r="M383" s="16">
        <f t="shared" si="5"/>
        <v>5</v>
      </c>
      <c r="N383" t="str">
        <f>TEXT(MTDRejection[[#This Row],[RejectionDate]],"dddd")</f>
        <v>Thursday</v>
      </c>
    </row>
    <row r="384" spans="1:14">
      <c r="A384" s="16" t="s">
        <v>176</v>
      </c>
      <c r="B384" s="16" t="s">
        <v>3133</v>
      </c>
      <c r="C384" s="16" t="s">
        <v>12</v>
      </c>
      <c r="D384" s="16" t="s">
        <v>51</v>
      </c>
      <c r="E384" s="19">
        <v>45631</v>
      </c>
      <c r="F384" s="16" t="s">
        <v>52</v>
      </c>
      <c r="G384" s="16">
        <v>0</v>
      </c>
      <c r="H384" s="16" t="s">
        <v>53</v>
      </c>
      <c r="I384" s="16" t="s">
        <v>16</v>
      </c>
      <c r="J384" s="16" t="s">
        <v>16</v>
      </c>
      <c r="K384" s="16" t="str">
        <f>VLOOKUP(C384,CheckName!A:B,2,0)</f>
        <v>Emp</v>
      </c>
      <c r="L384">
        <v>0</v>
      </c>
      <c r="M384" s="16">
        <f t="shared" si="5"/>
        <v>5</v>
      </c>
      <c r="N384" t="str">
        <f>TEXT(MTDRejection[[#This Row],[RejectionDate]],"dddd")</f>
        <v>Thursday</v>
      </c>
    </row>
    <row r="385" spans="1:14">
      <c r="A385" s="16" t="s">
        <v>45</v>
      </c>
      <c r="B385" s="16" t="s">
        <v>3134</v>
      </c>
      <c r="C385" s="16" t="s">
        <v>259</v>
      </c>
      <c r="D385" s="16" t="s">
        <v>51</v>
      </c>
      <c r="E385" s="19">
        <v>45631</v>
      </c>
      <c r="F385" s="16" t="s">
        <v>2349</v>
      </c>
      <c r="G385" s="16">
        <v>0</v>
      </c>
      <c r="H385" s="16" t="s">
        <v>53</v>
      </c>
      <c r="I385" s="16" t="s">
        <v>16</v>
      </c>
      <c r="J385" s="16" t="s">
        <v>16</v>
      </c>
      <c r="K385" s="16" t="str">
        <f>VLOOKUP(C385,CheckName!A:B,2,0)</f>
        <v>Emp</v>
      </c>
      <c r="L385">
        <v>0</v>
      </c>
      <c r="M385" s="16">
        <f t="shared" si="5"/>
        <v>5</v>
      </c>
      <c r="N385" t="str">
        <f>TEXT(MTDRejection[[#This Row],[RejectionDate]],"dddd")</f>
        <v>Thursday</v>
      </c>
    </row>
    <row r="386" spans="1:14">
      <c r="A386" t="s">
        <v>45</v>
      </c>
      <c r="B386" t="s">
        <v>2402</v>
      </c>
      <c r="C386" t="s">
        <v>12</v>
      </c>
      <c r="D386" t="s">
        <v>26</v>
      </c>
      <c r="E386" s="7">
        <v>45631</v>
      </c>
      <c r="F386" t="s">
        <v>184</v>
      </c>
      <c r="G386">
        <v>0</v>
      </c>
      <c r="H386" t="s">
        <v>27</v>
      </c>
      <c r="I386" t="s">
        <v>16</v>
      </c>
      <c r="J386" t="s">
        <v>16</v>
      </c>
      <c r="K386" s="16" t="str">
        <f>VLOOKUP(C386,CheckName!A:B,2,0)</f>
        <v>Emp</v>
      </c>
      <c r="L386">
        <v>0</v>
      </c>
      <c r="M386" s="16">
        <f t="shared" ref="M386:M449" si="6">DAY(E386)</f>
        <v>5</v>
      </c>
      <c r="N386" t="str">
        <f>TEXT(MTDRejection[[#This Row],[RejectionDate]],"dddd")</f>
        <v>Thursday</v>
      </c>
    </row>
    <row r="387" spans="1:14">
      <c r="A387" s="16" t="s">
        <v>306</v>
      </c>
      <c r="B387" s="16" t="s">
        <v>3135</v>
      </c>
      <c r="C387" s="16" t="s">
        <v>1103</v>
      </c>
      <c r="D387" s="16" t="s">
        <v>13</v>
      </c>
      <c r="E387" s="19">
        <v>45631</v>
      </c>
      <c r="F387" s="16" t="s">
        <v>844</v>
      </c>
      <c r="G387" s="16">
        <v>0</v>
      </c>
      <c r="H387" s="16" t="s">
        <v>15</v>
      </c>
      <c r="I387" s="16" t="s">
        <v>16</v>
      </c>
      <c r="J387" s="16" t="s">
        <v>16</v>
      </c>
      <c r="K387" s="16" t="str">
        <f>VLOOKUP(C387,CheckName!A:B,2,0)</f>
        <v>CRC</v>
      </c>
      <c r="L387">
        <v>0</v>
      </c>
      <c r="M387" s="16">
        <f t="shared" si="6"/>
        <v>5</v>
      </c>
      <c r="N387" t="str">
        <f>TEXT(MTDRejection[[#This Row],[RejectionDate]],"dddd")</f>
        <v>Thursday</v>
      </c>
    </row>
    <row r="388" spans="1:14">
      <c r="A388" t="s">
        <v>306</v>
      </c>
      <c r="B388" t="s">
        <v>2403</v>
      </c>
      <c r="C388" t="s">
        <v>1510</v>
      </c>
      <c r="D388" t="s">
        <v>13</v>
      </c>
      <c r="E388" s="7">
        <v>45631</v>
      </c>
      <c r="F388" t="s">
        <v>844</v>
      </c>
      <c r="G388">
        <v>0</v>
      </c>
      <c r="H388" t="s">
        <v>15</v>
      </c>
      <c r="I388" t="s">
        <v>16</v>
      </c>
      <c r="J388" t="s">
        <v>16</v>
      </c>
      <c r="K388" s="16" t="str">
        <f>VLOOKUP(C388,CheckName!A:B,2,0)</f>
        <v>Add</v>
      </c>
      <c r="L388">
        <v>0</v>
      </c>
      <c r="M388" s="16">
        <f t="shared" si="6"/>
        <v>5</v>
      </c>
      <c r="N388" t="str">
        <f>TEXT(MTDRejection[[#This Row],[RejectionDate]],"dddd")</f>
        <v>Thursday</v>
      </c>
    </row>
    <row r="389" spans="1:14">
      <c r="A389" s="16" t="s">
        <v>432</v>
      </c>
      <c r="B389" s="16" t="s">
        <v>3136</v>
      </c>
      <c r="C389" s="16" t="s">
        <v>467</v>
      </c>
      <c r="D389" s="16" t="s">
        <v>13</v>
      </c>
      <c r="E389" s="19">
        <v>45631</v>
      </c>
      <c r="F389" s="16" t="s">
        <v>1421</v>
      </c>
      <c r="G389" s="16">
        <v>0</v>
      </c>
      <c r="H389" s="16" t="s">
        <v>15</v>
      </c>
      <c r="I389" s="16" t="s">
        <v>16</v>
      </c>
      <c r="J389" s="16" t="s">
        <v>16</v>
      </c>
      <c r="K389" s="16" t="str">
        <f>VLOOKUP(C389,CheckName!A:B,2,0)</f>
        <v>Special Check</v>
      </c>
      <c r="L389">
        <v>0</v>
      </c>
      <c r="M389" s="16">
        <f t="shared" si="6"/>
        <v>5</v>
      </c>
      <c r="N389" t="str">
        <f>TEXT(MTDRejection[[#This Row],[RejectionDate]],"dddd")</f>
        <v>Thursday</v>
      </c>
    </row>
    <row r="390" spans="1:14">
      <c r="A390" t="s">
        <v>432</v>
      </c>
      <c r="B390" t="s">
        <v>3136</v>
      </c>
      <c r="C390" t="s">
        <v>36</v>
      </c>
      <c r="D390" t="s">
        <v>13</v>
      </c>
      <c r="E390" s="7">
        <v>45631</v>
      </c>
      <c r="F390" t="s">
        <v>1421</v>
      </c>
      <c r="G390">
        <v>0</v>
      </c>
      <c r="H390" t="s">
        <v>15</v>
      </c>
      <c r="I390" t="s">
        <v>16</v>
      </c>
      <c r="J390" t="s">
        <v>16</v>
      </c>
      <c r="K390" s="16" t="str">
        <f>VLOOKUP(C390,CheckName!A:B,2,0)</f>
        <v>Emp</v>
      </c>
      <c r="L390">
        <v>0</v>
      </c>
      <c r="M390" s="16">
        <f t="shared" si="6"/>
        <v>5</v>
      </c>
      <c r="N390" t="str">
        <f>TEXT(MTDRejection[[#This Row],[RejectionDate]],"dddd")</f>
        <v>Thursday</v>
      </c>
    </row>
    <row r="391" spans="1:14">
      <c r="A391" s="16" t="s">
        <v>1358</v>
      </c>
      <c r="B391" s="16" t="s">
        <v>3137</v>
      </c>
      <c r="C391" s="16" t="s">
        <v>36</v>
      </c>
      <c r="D391" s="16" t="s">
        <v>13</v>
      </c>
      <c r="E391" s="19">
        <v>45631</v>
      </c>
      <c r="F391" s="16" t="s">
        <v>107</v>
      </c>
      <c r="G391" s="16">
        <v>0</v>
      </c>
      <c r="H391" s="16" t="s">
        <v>15</v>
      </c>
      <c r="I391" s="16" t="s">
        <v>16</v>
      </c>
      <c r="J391" s="16" t="s">
        <v>16</v>
      </c>
      <c r="K391" s="16" t="str">
        <f>VLOOKUP(C391,CheckName!A:B,2,0)</f>
        <v>Emp</v>
      </c>
      <c r="L391">
        <v>0</v>
      </c>
      <c r="M391" s="16">
        <f t="shared" si="6"/>
        <v>5</v>
      </c>
      <c r="N391" t="str">
        <f>TEXT(MTDRejection[[#This Row],[RejectionDate]],"dddd")</f>
        <v>Thursday</v>
      </c>
    </row>
    <row r="392" spans="1:14">
      <c r="A392" t="s">
        <v>391</v>
      </c>
      <c r="B392" t="s">
        <v>3138</v>
      </c>
      <c r="C392" t="s">
        <v>54</v>
      </c>
      <c r="D392" t="s">
        <v>13</v>
      </c>
      <c r="E392" s="7">
        <v>45631</v>
      </c>
      <c r="F392" t="s">
        <v>107</v>
      </c>
      <c r="G392">
        <v>0</v>
      </c>
      <c r="H392" t="s">
        <v>15</v>
      </c>
      <c r="I392" t="s">
        <v>16</v>
      </c>
      <c r="J392" t="s">
        <v>16</v>
      </c>
      <c r="K392" s="16" t="str">
        <f>VLOOKUP(C392,CheckName!A:B,2,0)</f>
        <v>Edu</v>
      </c>
      <c r="L392">
        <v>0</v>
      </c>
      <c r="M392" s="16">
        <f t="shared" si="6"/>
        <v>5</v>
      </c>
      <c r="N392" t="str">
        <f>TEXT(MTDRejection[[#This Row],[RejectionDate]],"dddd")</f>
        <v>Thursday</v>
      </c>
    </row>
    <row r="393" spans="1:14">
      <c r="A393" s="16" t="s">
        <v>84</v>
      </c>
      <c r="B393" s="16" t="s">
        <v>3139</v>
      </c>
      <c r="C393" s="16" t="s">
        <v>125</v>
      </c>
      <c r="D393" s="16" t="s">
        <v>26</v>
      </c>
      <c r="E393" s="19">
        <v>45631</v>
      </c>
      <c r="F393" s="16" t="s">
        <v>2333</v>
      </c>
      <c r="G393" s="16">
        <v>0</v>
      </c>
      <c r="H393" s="16" t="s">
        <v>27</v>
      </c>
      <c r="I393" s="16" t="s">
        <v>16</v>
      </c>
      <c r="J393" s="16" t="s">
        <v>16</v>
      </c>
      <c r="K393" s="16" t="str">
        <f>VLOOKUP(C393,CheckName!A:B,2,0)</f>
        <v>Emp</v>
      </c>
      <c r="L393">
        <v>0</v>
      </c>
      <c r="M393" s="16">
        <f t="shared" si="6"/>
        <v>5</v>
      </c>
      <c r="N393" t="str">
        <f>TEXT(MTDRejection[[#This Row],[RejectionDate]],"dddd")</f>
        <v>Thursday</v>
      </c>
    </row>
    <row r="394" spans="1:14">
      <c r="A394" t="s">
        <v>142</v>
      </c>
      <c r="B394" t="s">
        <v>3140</v>
      </c>
      <c r="C394" t="s">
        <v>12</v>
      </c>
      <c r="D394" t="s">
        <v>26</v>
      </c>
      <c r="E394" s="7">
        <v>45630</v>
      </c>
      <c r="F394" t="s">
        <v>2333</v>
      </c>
      <c r="G394">
        <v>1</v>
      </c>
      <c r="H394" t="s">
        <v>27</v>
      </c>
      <c r="I394" t="s">
        <v>16</v>
      </c>
      <c r="J394" t="s">
        <v>16</v>
      </c>
      <c r="K394" s="16" t="str">
        <f>VLOOKUP(C394,CheckName!A:B,2,0)</f>
        <v>Emp</v>
      </c>
      <c r="L394">
        <v>0</v>
      </c>
      <c r="M394" s="16">
        <f t="shared" si="6"/>
        <v>4</v>
      </c>
      <c r="N394" t="str">
        <f>TEXT(MTDRejection[[#This Row],[RejectionDate]],"dddd")</f>
        <v>Wednesday</v>
      </c>
    </row>
    <row r="395" spans="1:14">
      <c r="A395" s="16" t="s">
        <v>237</v>
      </c>
      <c r="B395" s="16" t="s">
        <v>3141</v>
      </c>
      <c r="C395" s="16" t="s">
        <v>36</v>
      </c>
      <c r="D395" s="16" t="s">
        <v>26</v>
      </c>
      <c r="E395" s="19">
        <v>45630</v>
      </c>
      <c r="F395" s="16" t="s">
        <v>2335</v>
      </c>
      <c r="G395" s="16">
        <v>1</v>
      </c>
      <c r="H395" s="16" t="s">
        <v>130</v>
      </c>
      <c r="I395" s="16" t="s">
        <v>16</v>
      </c>
      <c r="J395" s="16" t="s">
        <v>16</v>
      </c>
      <c r="K395" s="16" t="str">
        <f>VLOOKUP(C395,CheckName!A:B,2,0)</f>
        <v>Emp</v>
      </c>
      <c r="L395">
        <v>0</v>
      </c>
      <c r="M395" s="16">
        <f t="shared" si="6"/>
        <v>4</v>
      </c>
      <c r="N395" t="str">
        <f>TEXT(MTDRejection[[#This Row],[RejectionDate]],"dddd")</f>
        <v>Wednesday</v>
      </c>
    </row>
    <row r="396" spans="1:14">
      <c r="A396" t="s">
        <v>176</v>
      </c>
      <c r="B396" t="s">
        <v>3142</v>
      </c>
      <c r="C396" t="s">
        <v>106</v>
      </c>
      <c r="D396" t="s">
        <v>26</v>
      </c>
      <c r="E396" s="7">
        <v>45630</v>
      </c>
      <c r="F396" t="s">
        <v>294</v>
      </c>
      <c r="G396">
        <v>1</v>
      </c>
      <c r="H396" t="s">
        <v>27</v>
      </c>
      <c r="I396" t="s">
        <v>16</v>
      </c>
      <c r="J396" t="s">
        <v>16</v>
      </c>
      <c r="K396" s="16" t="str">
        <f>VLOOKUP(C396,CheckName!A:B,2,0)</f>
        <v>Ref</v>
      </c>
      <c r="L396">
        <v>0</v>
      </c>
      <c r="M396" s="16">
        <f t="shared" si="6"/>
        <v>4</v>
      </c>
      <c r="N396" t="str">
        <f>TEXT(MTDRejection[[#This Row],[RejectionDate]],"dddd")</f>
        <v>Wednesday</v>
      </c>
    </row>
    <row r="397" spans="1:14">
      <c r="A397" s="16" t="s">
        <v>186</v>
      </c>
      <c r="B397" s="16" t="s">
        <v>3143</v>
      </c>
      <c r="C397" s="16" t="s">
        <v>12</v>
      </c>
      <c r="D397" s="16" t="s">
        <v>26</v>
      </c>
      <c r="E397" s="19">
        <v>45630</v>
      </c>
      <c r="F397" s="16" t="s">
        <v>162</v>
      </c>
      <c r="G397" s="16">
        <v>1</v>
      </c>
      <c r="H397" s="16" t="s">
        <v>27</v>
      </c>
      <c r="I397" s="16" t="s">
        <v>16</v>
      </c>
      <c r="J397" s="16" t="s">
        <v>16</v>
      </c>
      <c r="K397" s="16" t="str">
        <f>VLOOKUP(C397,CheckName!A:B,2,0)</f>
        <v>Emp</v>
      </c>
      <c r="L397">
        <v>0</v>
      </c>
      <c r="M397" s="16">
        <f t="shared" si="6"/>
        <v>4</v>
      </c>
      <c r="N397" t="str">
        <f>TEXT(MTDRejection[[#This Row],[RejectionDate]],"dddd")</f>
        <v>Wednesday</v>
      </c>
    </row>
    <row r="398" spans="1:14">
      <c r="A398" t="s">
        <v>306</v>
      </c>
      <c r="B398" t="s">
        <v>3144</v>
      </c>
      <c r="C398" t="s">
        <v>71</v>
      </c>
      <c r="D398" t="s">
        <v>38</v>
      </c>
      <c r="E398" s="7">
        <v>45630</v>
      </c>
      <c r="F398" t="s">
        <v>108</v>
      </c>
      <c r="G398">
        <v>1</v>
      </c>
      <c r="H398" t="s">
        <v>42</v>
      </c>
      <c r="I398" t="s">
        <v>16</v>
      </c>
      <c r="J398" t="s">
        <v>16</v>
      </c>
      <c r="K398" s="16" t="str">
        <f>VLOOKUP(C398,CheckName!A:B,2,0)</f>
        <v>CRC</v>
      </c>
      <c r="L398">
        <v>0</v>
      </c>
      <c r="M398" s="16">
        <f t="shared" si="6"/>
        <v>4</v>
      </c>
      <c r="N398" t="str">
        <f>TEXT(MTDRejection[[#This Row],[RejectionDate]],"dddd")</f>
        <v>Wednesday</v>
      </c>
    </row>
    <row r="399" spans="1:14">
      <c r="A399" s="16" t="s">
        <v>133</v>
      </c>
      <c r="B399" s="16" t="s">
        <v>3145</v>
      </c>
      <c r="C399" s="16" t="s">
        <v>71</v>
      </c>
      <c r="D399" s="16" t="s">
        <v>38</v>
      </c>
      <c r="E399" s="19">
        <v>45630</v>
      </c>
      <c r="F399" s="16" t="s">
        <v>108</v>
      </c>
      <c r="G399" s="16">
        <v>1</v>
      </c>
      <c r="H399" s="16" t="s">
        <v>42</v>
      </c>
      <c r="I399" s="16" t="s">
        <v>16</v>
      </c>
      <c r="J399" s="16" t="s">
        <v>16</v>
      </c>
      <c r="K399" s="16" t="str">
        <f>VLOOKUP(C399,CheckName!A:B,2,0)</f>
        <v>CRC</v>
      </c>
      <c r="L399">
        <v>0</v>
      </c>
      <c r="M399" s="16">
        <f t="shared" si="6"/>
        <v>4</v>
      </c>
      <c r="N399" t="str">
        <f>TEXT(MTDRejection[[#This Row],[RejectionDate]],"dddd")</f>
        <v>Wednesday</v>
      </c>
    </row>
    <row r="400" spans="1:14">
      <c r="A400" t="s">
        <v>216</v>
      </c>
      <c r="B400" t="s">
        <v>3146</v>
      </c>
      <c r="C400" t="s">
        <v>71</v>
      </c>
      <c r="D400" t="s">
        <v>38</v>
      </c>
      <c r="E400" s="7">
        <v>45630</v>
      </c>
      <c r="F400" t="s">
        <v>108</v>
      </c>
      <c r="G400">
        <v>1</v>
      </c>
      <c r="H400" t="s">
        <v>42</v>
      </c>
      <c r="I400" t="s">
        <v>16</v>
      </c>
      <c r="J400" t="s">
        <v>16</v>
      </c>
      <c r="K400" s="16" t="str">
        <f>VLOOKUP(C400,CheckName!A:B,2,0)</f>
        <v>CRC</v>
      </c>
      <c r="L400">
        <v>0</v>
      </c>
      <c r="M400" s="16">
        <f t="shared" si="6"/>
        <v>4</v>
      </c>
      <c r="N400" t="str">
        <f>TEXT(MTDRejection[[#This Row],[RejectionDate]],"dddd")</f>
        <v>Wednesday</v>
      </c>
    </row>
    <row r="401" spans="1:14">
      <c r="A401" s="16" t="s">
        <v>1140</v>
      </c>
      <c r="B401" s="16" t="s">
        <v>3147</v>
      </c>
      <c r="C401" s="16" t="s">
        <v>12</v>
      </c>
      <c r="D401" s="16" t="s">
        <v>26</v>
      </c>
      <c r="E401" s="19">
        <v>45630</v>
      </c>
      <c r="F401" s="16" t="s">
        <v>2337</v>
      </c>
      <c r="G401" s="16">
        <v>1</v>
      </c>
      <c r="H401" s="16" t="s">
        <v>27</v>
      </c>
      <c r="I401" s="16" t="s">
        <v>16</v>
      </c>
      <c r="J401" s="16" t="s">
        <v>16</v>
      </c>
      <c r="K401" s="16" t="str">
        <f>VLOOKUP(C401,CheckName!A:B,2,0)</f>
        <v>Emp</v>
      </c>
      <c r="L401">
        <v>0</v>
      </c>
      <c r="M401" s="16">
        <f t="shared" si="6"/>
        <v>4</v>
      </c>
      <c r="N401" t="str">
        <f>TEXT(MTDRejection[[#This Row],[RejectionDate]],"dddd")</f>
        <v>Wednesday</v>
      </c>
    </row>
    <row r="402" spans="1:14">
      <c r="A402" t="s">
        <v>1408</v>
      </c>
      <c r="B402" t="s">
        <v>3148</v>
      </c>
      <c r="C402" t="s">
        <v>25</v>
      </c>
      <c r="D402" t="s">
        <v>20</v>
      </c>
      <c r="E402" s="7">
        <v>45630</v>
      </c>
      <c r="F402" t="s">
        <v>129</v>
      </c>
      <c r="G402">
        <v>1</v>
      </c>
      <c r="H402" t="s">
        <v>22</v>
      </c>
      <c r="I402" t="s">
        <v>16</v>
      </c>
      <c r="J402" t="s">
        <v>16</v>
      </c>
      <c r="K402" s="16" t="str">
        <f>VLOOKUP(C402,CheckName!A:B,2,0)</f>
        <v>Add</v>
      </c>
      <c r="L402">
        <v>0</v>
      </c>
      <c r="M402" s="16">
        <f t="shared" si="6"/>
        <v>4</v>
      </c>
      <c r="N402" t="str">
        <f>TEXT(MTDRejection[[#This Row],[RejectionDate]],"dddd")</f>
        <v>Wednesday</v>
      </c>
    </row>
    <row r="403" spans="1:14">
      <c r="A403" s="16" t="s">
        <v>176</v>
      </c>
      <c r="B403" s="16" t="s">
        <v>3149</v>
      </c>
      <c r="C403" s="16" t="s">
        <v>54</v>
      </c>
      <c r="D403" s="16" t="s">
        <v>13</v>
      </c>
      <c r="E403" s="19">
        <v>45630</v>
      </c>
      <c r="F403" s="16" t="s">
        <v>530</v>
      </c>
      <c r="G403" s="16">
        <v>1</v>
      </c>
      <c r="H403" s="16" t="s">
        <v>15</v>
      </c>
      <c r="I403" s="16" t="s">
        <v>16</v>
      </c>
      <c r="J403" s="16" t="s">
        <v>16</v>
      </c>
      <c r="K403" s="16" t="str">
        <f>VLOOKUP(C403,CheckName!A:B,2,0)</f>
        <v>Edu</v>
      </c>
      <c r="L403">
        <v>0</v>
      </c>
      <c r="M403" s="16">
        <f t="shared" si="6"/>
        <v>4</v>
      </c>
      <c r="N403" t="str">
        <f>TEXT(MTDRejection[[#This Row],[RejectionDate]],"dddd")</f>
        <v>Wednesday</v>
      </c>
    </row>
    <row r="404" spans="1:14">
      <c r="A404" t="s">
        <v>461</v>
      </c>
      <c r="B404" t="s">
        <v>3150</v>
      </c>
      <c r="C404" t="s">
        <v>12</v>
      </c>
      <c r="D404" t="s">
        <v>13</v>
      </c>
      <c r="E404" s="7">
        <v>45630</v>
      </c>
      <c r="F404" t="s">
        <v>530</v>
      </c>
      <c r="G404">
        <v>1</v>
      </c>
      <c r="H404" t="s">
        <v>15</v>
      </c>
      <c r="I404" t="s">
        <v>16</v>
      </c>
      <c r="J404" t="s">
        <v>16</v>
      </c>
      <c r="K404" s="16" t="str">
        <f>VLOOKUP(C404,CheckName!A:B,2,0)</f>
        <v>Emp</v>
      </c>
      <c r="L404">
        <v>0</v>
      </c>
      <c r="M404" s="16">
        <f t="shared" si="6"/>
        <v>4</v>
      </c>
      <c r="N404" t="str">
        <f>TEXT(MTDRejection[[#This Row],[RejectionDate]],"dddd")</f>
        <v>Wednesday</v>
      </c>
    </row>
    <row r="405" spans="1:14">
      <c r="A405" s="16" t="s">
        <v>91</v>
      </c>
      <c r="B405" s="16" t="s">
        <v>3151</v>
      </c>
      <c r="C405" s="16" t="s">
        <v>587</v>
      </c>
      <c r="D405" s="16" t="s">
        <v>13</v>
      </c>
      <c r="E405" s="19">
        <v>45630</v>
      </c>
      <c r="F405" s="16" t="s">
        <v>530</v>
      </c>
      <c r="G405" s="16">
        <v>1</v>
      </c>
      <c r="H405" s="16" t="s">
        <v>30</v>
      </c>
      <c r="I405" s="16" t="s">
        <v>16</v>
      </c>
      <c r="J405" s="16" t="s">
        <v>16</v>
      </c>
      <c r="K405" s="16" t="str">
        <f>VLOOKUP(C405,CheckName!A:B,2,0)</f>
        <v>Add</v>
      </c>
      <c r="L405">
        <v>0</v>
      </c>
      <c r="M405" s="16">
        <f t="shared" si="6"/>
        <v>4</v>
      </c>
      <c r="N405" t="str">
        <f>TEXT(MTDRejection[[#This Row],[RejectionDate]],"dddd")</f>
        <v>Wednesday</v>
      </c>
    </row>
    <row r="406" spans="1:14">
      <c r="A406" t="s">
        <v>385</v>
      </c>
      <c r="B406" t="s">
        <v>3152</v>
      </c>
      <c r="C406" t="s">
        <v>1528</v>
      </c>
      <c r="D406" t="s">
        <v>13</v>
      </c>
      <c r="E406" s="7">
        <v>45630</v>
      </c>
      <c r="F406" t="s">
        <v>1421</v>
      </c>
      <c r="G406">
        <v>1</v>
      </c>
      <c r="H406" t="s">
        <v>15</v>
      </c>
      <c r="I406" t="s">
        <v>16</v>
      </c>
      <c r="J406" t="s">
        <v>16</v>
      </c>
      <c r="K406" s="16" t="str">
        <f>VLOOKUP(C406,CheckName!A:B,2,0)</f>
        <v>Special Check</v>
      </c>
      <c r="L406">
        <v>0</v>
      </c>
      <c r="M406" s="16">
        <f t="shared" si="6"/>
        <v>4</v>
      </c>
      <c r="N406" t="str">
        <f>TEXT(MTDRejection[[#This Row],[RejectionDate]],"dddd")</f>
        <v>Wednesday</v>
      </c>
    </row>
    <row r="407" spans="1:14">
      <c r="A407" s="16" t="s">
        <v>1529</v>
      </c>
      <c r="B407" s="16" t="s">
        <v>3153</v>
      </c>
      <c r="C407" s="16" t="s">
        <v>93</v>
      </c>
      <c r="D407" s="16" t="s">
        <v>13</v>
      </c>
      <c r="E407" s="19">
        <v>45630</v>
      </c>
      <c r="F407" s="16" t="s">
        <v>1421</v>
      </c>
      <c r="G407" s="16">
        <v>1</v>
      </c>
      <c r="H407" s="16" t="s">
        <v>15</v>
      </c>
      <c r="I407" s="16" t="s">
        <v>16</v>
      </c>
      <c r="J407" s="16" t="s">
        <v>16</v>
      </c>
      <c r="K407" s="16" t="str">
        <f>VLOOKUP(C407,CheckName!A:B,2,0)</f>
        <v>Edu</v>
      </c>
      <c r="L407">
        <v>0</v>
      </c>
      <c r="M407" s="16">
        <f t="shared" si="6"/>
        <v>4</v>
      </c>
      <c r="N407" t="str">
        <f>TEXT(MTDRejection[[#This Row],[RejectionDate]],"dddd")</f>
        <v>Wednesday</v>
      </c>
    </row>
    <row r="408" spans="1:14">
      <c r="A408" t="s">
        <v>119</v>
      </c>
      <c r="B408" t="s">
        <v>2060</v>
      </c>
      <c r="C408" t="s">
        <v>36</v>
      </c>
      <c r="D408" t="s">
        <v>26</v>
      </c>
      <c r="E408" s="7">
        <v>45630</v>
      </c>
      <c r="F408" t="s">
        <v>311</v>
      </c>
      <c r="G408">
        <v>1</v>
      </c>
      <c r="H408" t="s">
        <v>130</v>
      </c>
      <c r="I408" t="s">
        <v>16</v>
      </c>
      <c r="J408" t="s">
        <v>16</v>
      </c>
      <c r="K408" s="16" t="str">
        <f>VLOOKUP(C408,CheckName!A:B,2,0)</f>
        <v>Emp</v>
      </c>
      <c r="L408">
        <v>0</v>
      </c>
      <c r="M408" s="16">
        <f t="shared" si="6"/>
        <v>4</v>
      </c>
      <c r="N408" t="str">
        <f>TEXT(MTDRejection[[#This Row],[RejectionDate]],"dddd")</f>
        <v>Wednesday</v>
      </c>
    </row>
    <row r="409" spans="1:14">
      <c r="A409" s="16" t="s">
        <v>461</v>
      </c>
      <c r="B409" s="16" t="s">
        <v>3154</v>
      </c>
      <c r="C409" s="16" t="s">
        <v>54</v>
      </c>
      <c r="D409" s="16" t="s">
        <v>26</v>
      </c>
      <c r="E409" s="19">
        <v>45630</v>
      </c>
      <c r="F409" s="16" t="s">
        <v>94</v>
      </c>
      <c r="G409" s="16">
        <v>1</v>
      </c>
      <c r="H409" s="16" t="s">
        <v>27</v>
      </c>
      <c r="I409" s="16" t="s">
        <v>16</v>
      </c>
      <c r="J409" s="16" t="s">
        <v>16</v>
      </c>
      <c r="K409" s="16" t="str">
        <f>VLOOKUP(C409,CheckName!A:B,2,0)</f>
        <v>Edu</v>
      </c>
      <c r="L409">
        <v>0</v>
      </c>
      <c r="M409" s="16">
        <f t="shared" si="6"/>
        <v>4</v>
      </c>
      <c r="N409" t="str">
        <f>TEXT(MTDRejection[[#This Row],[RejectionDate]],"dddd")</f>
        <v>Wednesday</v>
      </c>
    </row>
    <row r="410" spans="1:14">
      <c r="A410" t="s">
        <v>281</v>
      </c>
      <c r="B410" t="s">
        <v>3155</v>
      </c>
      <c r="C410" t="s">
        <v>106</v>
      </c>
      <c r="D410" t="s">
        <v>26</v>
      </c>
      <c r="E410" s="7">
        <v>45630</v>
      </c>
      <c r="F410" t="s">
        <v>330</v>
      </c>
      <c r="G410">
        <v>1</v>
      </c>
      <c r="H410" t="s">
        <v>27</v>
      </c>
      <c r="I410" t="s">
        <v>16</v>
      </c>
      <c r="J410" t="s">
        <v>16</v>
      </c>
      <c r="K410" s="16" t="str">
        <f>VLOOKUP(C410,CheckName!A:B,2,0)</f>
        <v>Ref</v>
      </c>
      <c r="L410">
        <v>0</v>
      </c>
      <c r="M410" s="16">
        <f t="shared" si="6"/>
        <v>4</v>
      </c>
      <c r="N410" t="str">
        <f>TEXT(MTDRejection[[#This Row],[RejectionDate]],"dddd")</f>
        <v>Wednesday</v>
      </c>
    </row>
    <row r="411" spans="1:14">
      <c r="A411" s="16" t="s">
        <v>281</v>
      </c>
      <c r="B411" s="16" t="s">
        <v>3156</v>
      </c>
      <c r="C411" s="16" t="s">
        <v>106</v>
      </c>
      <c r="D411" s="16" t="s">
        <v>26</v>
      </c>
      <c r="E411" s="19">
        <v>45630</v>
      </c>
      <c r="F411" s="16" t="s">
        <v>330</v>
      </c>
      <c r="G411" s="16">
        <v>1</v>
      </c>
      <c r="H411" s="16" t="s">
        <v>27</v>
      </c>
      <c r="I411" s="16" t="s">
        <v>16</v>
      </c>
      <c r="J411" s="16" t="s">
        <v>16</v>
      </c>
      <c r="K411" s="16" t="str">
        <f>VLOOKUP(C411,CheckName!A:B,2,0)</f>
        <v>Ref</v>
      </c>
      <c r="L411">
        <v>0</v>
      </c>
      <c r="M411" s="16">
        <f t="shared" si="6"/>
        <v>4</v>
      </c>
      <c r="N411" t="str">
        <f>TEXT(MTDRejection[[#This Row],[RejectionDate]],"dddd")</f>
        <v>Wednesday</v>
      </c>
    </row>
    <row r="412" spans="1:14">
      <c r="A412" t="s">
        <v>1534</v>
      </c>
      <c r="B412" t="s">
        <v>3157</v>
      </c>
      <c r="C412" t="s">
        <v>422</v>
      </c>
      <c r="D412" t="s">
        <v>26</v>
      </c>
      <c r="E412" s="7">
        <v>45630</v>
      </c>
      <c r="F412" t="s">
        <v>330</v>
      </c>
      <c r="G412">
        <v>1</v>
      </c>
      <c r="H412" t="s">
        <v>95</v>
      </c>
      <c r="I412" t="s">
        <v>16</v>
      </c>
      <c r="J412" t="s">
        <v>16</v>
      </c>
      <c r="K412" s="16" t="str">
        <f>VLOOKUP(C412,CheckName!A:B,2,0)</f>
        <v>Ref</v>
      </c>
      <c r="L412">
        <v>0</v>
      </c>
      <c r="M412" s="16">
        <f t="shared" si="6"/>
        <v>4</v>
      </c>
      <c r="N412" t="str">
        <f>TEXT(MTDRejection[[#This Row],[RejectionDate]],"dddd")</f>
        <v>Wednesday</v>
      </c>
    </row>
    <row r="413" spans="1:14">
      <c r="A413" s="16" t="s">
        <v>999</v>
      </c>
      <c r="B413" s="16" t="s">
        <v>3158</v>
      </c>
      <c r="C413" s="16" t="s">
        <v>12</v>
      </c>
      <c r="D413" s="16" t="s">
        <v>26</v>
      </c>
      <c r="E413" s="19">
        <v>45630</v>
      </c>
      <c r="F413" s="16" t="s">
        <v>184</v>
      </c>
      <c r="G413" s="16">
        <v>1</v>
      </c>
      <c r="H413" s="16" t="s">
        <v>27</v>
      </c>
      <c r="I413" s="16" t="s">
        <v>16</v>
      </c>
      <c r="J413" s="16" t="s">
        <v>16</v>
      </c>
      <c r="K413" s="16" t="str">
        <f>VLOOKUP(C413,CheckName!A:B,2,0)</f>
        <v>Emp</v>
      </c>
      <c r="L413">
        <v>0</v>
      </c>
      <c r="M413" s="16">
        <f t="shared" si="6"/>
        <v>4</v>
      </c>
      <c r="N413" t="str">
        <f>TEXT(MTDRejection[[#This Row],[RejectionDate]],"dddd")</f>
        <v>Wednesday</v>
      </c>
    </row>
    <row r="414" spans="1:14">
      <c r="A414" t="s">
        <v>45</v>
      </c>
      <c r="B414" t="s">
        <v>3159</v>
      </c>
      <c r="C414" t="s">
        <v>112</v>
      </c>
      <c r="D414" t="s">
        <v>26</v>
      </c>
      <c r="E414" s="7">
        <v>45630</v>
      </c>
      <c r="F414" t="s">
        <v>179</v>
      </c>
      <c r="G414">
        <v>1</v>
      </c>
      <c r="H414" t="s">
        <v>27</v>
      </c>
      <c r="I414" t="s">
        <v>16</v>
      </c>
      <c r="J414" t="s">
        <v>16</v>
      </c>
      <c r="K414" s="16" t="str">
        <f>VLOOKUP(C414,CheckName!A:B,2,0)</f>
        <v>Emp</v>
      </c>
      <c r="L414">
        <v>0</v>
      </c>
      <c r="M414" s="16">
        <f t="shared" si="6"/>
        <v>4</v>
      </c>
      <c r="N414" t="str">
        <f>TEXT(MTDRejection[[#This Row],[RejectionDate]],"dddd")</f>
        <v>Wednesday</v>
      </c>
    </row>
    <row r="415" spans="1:14">
      <c r="A415" s="16" t="s">
        <v>1538</v>
      </c>
      <c r="B415" s="16" t="s">
        <v>3160</v>
      </c>
      <c r="C415" s="16" t="s">
        <v>12</v>
      </c>
      <c r="D415" s="16" t="s">
        <v>26</v>
      </c>
      <c r="E415" s="19">
        <v>45630</v>
      </c>
      <c r="F415" s="16" t="s">
        <v>2347</v>
      </c>
      <c r="G415" s="16">
        <v>1</v>
      </c>
      <c r="H415" s="16" t="s">
        <v>27</v>
      </c>
      <c r="I415" s="16" t="s">
        <v>16</v>
      </c>
      <c r="J415" s="16" t="s">
        <v>16</v>
      </c>
      <c r="K415" s="16" t="str">
        <f>VLOOKUP(C415,CheckName!A:B,2,0)</f>
        <v>Emp</v>
      </c>
      <c r="L415">
        <v>0</v>
      </c>
      <c r="M415" s="16">
        <f t="shared" si="6"/>
        <v>4</v>
      </c>
      <c r="N415" t="str">
        <f>TEXT(MTDRejection[[#This Row],[RejectionDate]],"dddd")</f>
        <v>Wednesday</v>
      </c>
    </row>
    <row r="416" spans="1:14">
      <c r="A416" t="s">
        <v>211</v>
      </c>
      <c r="B416" t="s">
        <v>2404</v>
      </c>
      <c r="C416" t="s">
        <v>12</v>
      </c>
      <c r="D416" t="s">
        <v>26</v>
      </c>
      <c r="E416" s="7">
        <v>45630</v>
      </c>
      <c r="F416" t="s">
        <v>184</v>
      </c>
      <c r="G416">
        <v>1</v>
      </c>
      <c r="H416" t="s">
        <v>27</v>
      </c>
      <c r="I416" t="s">
        <v>16</v>
      </c>
      <c r="J416" t="s">
        <v>16</v>
      </c>
      <c r="K416" s="16" t="str">
        <f>VLOOKUP(C416,CheckName!A:B,2,0)</f>
        <v>Emp</v>
      </c>
      <c r="L416">
        <v>0</v>
      </c>
      <c r="M416" s="16">
        <f t="shared" si="6"/>
        <v>4</v>
      </c>
      <c r="N416" t="str">
        <f>TEXT(MTDRejection[[#This Row],[RejectionDate]],"dddd")</f>
        <v>Wednesday</v>
      </c>
    </row>
    <row r="417" spans="1:14">
      <c r="A417" s="16" t="s">
        <v>1541</v>
      </c>
      <c r="B417" s="16" t="s">
        <v>3161</v>
      </c>
      <c r="C417" s="16" t="s">
        <v>12</v>
      </c>
      <c r="D417" s="16" t="s">
        <v>26</v>
      </c>
      <c r="E417" s="19">
        <v>45630</v>
      </c>
      <c r="F417" s="16" t="s">
        <v>182</v>
      </c>
      <c r="G417" s="16">
        <v>1</v>
      </c>
      <c r="H417" s="16" t="s">
        <v>27</v>
      </c>
      <c r="I417" s="16" t="s">
        <v>16</v>
      </c>
      <c r="J417" s="16" t="s">
        <v>16</v>
      </c>
      <c r="K417" s="16" t="str">
        <f>VLOOKUP(C417,CheckName!A:B,2,0)</f>
        <v>Emp</v>
      </c>
      <c r="L417">
        <v>0</v>
      </c>
      <c r="M417" s="16">
        <f t="shared" si="6"/>
        <v>4</v>
      </c>
      <c r="N417" t="str">
        <f>TEXT(MTDRejection[[#This Row],[RejectionDate]],"dddd")</f>
        <v>Wednesday</v>
      </c>
    </row>
    <row r="418" spans="1:14">
      <c r="A418" t="s">
        <v>45</v>
      </c>
      <c r="B418" t="s">
        <v>2405</v>
      </c>
      <c r="C418" t="s">
        <v>54</v>
      </c>
      <c r="D418" t="s">
        <v>26</v>
      </c>
      <c r="E418" s="7">
        <v>45630</v>
      </c>
      <c r="F418" t="s">
        <v>852</v>
      </c>
      <c r="G418">
        <v>1</v>
      </c>
      <c r="H418" t="s">
        <v>27</v>
      </c>
      <c r="I418" t="s">
        <v>16</v>
      </c>
      <c r="J418" t="s">
        <v>16</v>
      </c>
      <c r="K418" s="16" t="str">
        <f>VLOOKUP(C418,CheckName!A:B,2,0)</f>
        <v>Edu</v>
      </c>
      <c r="L418">
        <v>0</v>
      </c>
      <c r="M418" s="16">
        <f t="shared" si="6"/>
        <v>4</v>
      </c>
      <c r="N418" t="str">
        <f>TEXT(MTDRejection[[#This Row],[RejectionDate]],"dddd")</f>
        <v>Wednesday</v>
      </c>
    </row>
    <row r="419" spans="1:14">
      <c r="A419" s="16" t="s">
        <v>1271</v>
      </c>
      <c r="B419" s="16" t="s">
        <v>3162</v>
      </c>
      <c r="C419" s="16" t="s">
        <v>12</v>
      </c>
      <c r="D419" s="16" t="s">
        <v>26</v>
      </c>
      <c r="E419" s="19">
        <v>45630</v>
      </c>
      <c r="F419" s="16" t="s">
        <v>182</v>
      </c>
      <c r="G419" s="16">
        <v>1</v>
      </c>
      <c r="H419" s="16" t="s">
        <v>27</v>
      </c>
      <c r="I419" s="16" t="s">
        <v>16</v>
      </c>
      <c r="J419" s="16" t="s">
        <v>16</v>
      </c>
      <c r="K419" s="16" t="str">
        <f>VLOOKUP(C419,CheckName!A:B,2,0)</f>
        <v>Emp</v>
      </c>
      <c r="L419">
        <v>0</v>
      </c>
      <c r="M419" s="16">
        <f t="shared" si="6"/>
        <v>4</v>
      </c>
      <c r="N419" t="str">
        <f>TEXT(MTDRejection[[#This Row],[RejectionDate]],"dddd")</f>
        <v>Wednesday</v>
      </c>
    </row>
    <row r="420" spans="1:14">
      <c r="A420" t="s">
        <v>69</v>
      </c>
      <c r="B420" t="s">
        <v>2406</v>
      </c>
      <c r="C420" t="s">
        <v>54</v>
      </c>
      <c r="D420" t="s">
        <v>51</v>
      </c>
      <c r="E420" s="7">
        <v>45630</v>
      </c>
      <c r="F420" t="s">
        <v>2331</v>
      </c>
      <c r="G420">
        <v>1</v>
      </c>
      <c r="H420" t="s">
        <v>53</v>
      </c>
      <c r="I420" t="s">
        <v>16</v>
      </c>
      <c r="J420" t="s">
        <v>16</v>
      </c>
      <c r="K420" s="16" t="str">
        <f>VLOOKUP(C420,CheckName!A:B,2,0)</f>
        <v>Edu</v>
      </c>
      <c r="L420">
        <v>0</v>
      </c>
      <c r="M420" s="16">
        <f t="shared" si="6"/>
        <v>4</v>
      </c>
      <c r="N420" t="str">
        <f>TEXT(MTDRejection[[#This Row],[RejectionDate]],"dddd")</f>
        <v>Wednesday</v>
      </c>
    </row>
    <row r="421" spans="1:14">
      <c r="A421" s="16" t="s">
        <v>69</v>
      </c>
      <c r="B421" s="16" t="s">
        <v>3163</v>
      </c>
      <c r="C421" s="16" t="s">
        <v>49</v>
      </c>
      <c r="D421" s="16" t="s">
        <v>51</v>
      </c>
      <c r="E421" s="19">
        <v>45630</v>
      </c>
      <c r="F421" s="16" t="s">
        <v>2331</v>
      </c>
      <c r="G421" s="16">
        <v>1</v>
      </c>
      <c r="H421" s="16" t="s">
        <v>53</v>
      </c>
      <c r="I421" s="16" t="s">
        <v>16</v>
      </c>
      <c r="J421" s="16" t="s">
        <v>16</v>
      </c>
      <c r="K421" s="16" t="str">
        <f>VLOOKUP(C421,CheckName!A:B,2,0)</f>
        <v>CRC</v>
      </c>
      <c r="L421">
        <v>0</v>
      </c>
      <c r="M421" s="16">
        <f t="shared" si="6"/>
        <v>4</v>
      </c>
      <c r="N421" t="str">
        <f>TEXT(MTDRejection[[#This Row],[RejectionDate]],"dddd")</f>
        <v>Wednesday</v>
      </c>
    </row>
    <row r="422" spans="1:14">
      <c r="A422" t="s">
        <v>69</v>
      </c>
      <c r="B422" t="s">
        <v>3164</v>
      </c>
      <c r="C422" t="s">
        <v>125</v>
      </c>
      <c r="D422" t="s">
        <v>51</v>
      </c>
      <c r="E422" s="7">
        <v>45630</v>
      </c>
      <c r="F422" t="s">
        <v>2331</v>
      </c>
      <c r="G422">
        <v>1</v>
      </c>
      <c r="H422" t="s">
        <v>53</v>
      </c>
      <c r="I422" t="s">
        <v>16</v>
      </c>
      <c r="J422" t="s">
        <v>16</v>
      </c>
      <c r="K422" s="16" t="str">
        <f>VLOOKUP(C422,CheckName!A:B,2,0)</f>
        <v>Emp</v>
      </c>
      <c r="L422">
        <v>0</v>
      </c>
      <c r="M422" s="16">
        <f t="shared" si="6"/>
        <v>4</v>
      </c>
      <c r="N422" t="str">
        <f>TEXT(MTDRejection[[#This Row],[RejectionDate]],"dddd")</f>
        <v>Wednesday</v>
      </c>
    </row>
    <row r="423" spans="1:14">
      <c r="A423" s="16" t="s">
        <v>69</v>
      </c>
      <c r="B423" s="16" t="s">
        <v>3165</v>
      </c>
      <c r="C423" s="16" t="s">
        <v>12</v>
      </c>
      <c r="D423" s="16" t="s">
        <v>51</v>
      </c>
      <c r="E423" s="19">
        <v>45630</v>
      </c>
      <c r="F423" s="16" t="s">
        <v>2331</v>
      </c>
      <c r="G423" s="16">
        <v>1</v>
      </c>
      <c r="H423" s="16" t="s">
        <v>53</v>
      </c>
      <c r="I423" s="16" t="s">
        <v>16</v>
      </c>
      <c r="J423" s="16" t="s">
        <v>16</v>
      </c>
      <c r="K423" s="16" t="str">
        <f>VLOOKUP(C423,CheckName!A:B,2,0)</f>
        <v>Emp</v>
      </c>
      <c r="L423">
        <v>0</v>
      </c>
      <c r="M423" s="16">
        <f t="shared" si="6"/>
        <v>4</v>
      </c>
      <c r="N423" t="str">
        <f>TEXT(MTDRejection[[#This Row],[RejectionDate]],"dddd")</f>
        <v>Wednesday</v>
      </c>
    </row>
    <row r="424" spans="1:14">
      <c r="A424" t="s">
        <v>69</v>
      </c>
      <c r="B424" t="s">
        <v>2407</v>
      </c>
      <c r="C424" t="s">
        <v>56</v>
      </c>
      <c r="D424" t="s">
        <v>51</v>
      </c>
      <c r="E424" s="7">
        <v>45630</v>
      </c>
      <c r="F424" t="s">
        <v>2331</v>
      </c>
      <c r="G424">
        <v>1</v>
      </c>
      <c r="H424" t="s">
        <v>53</v>
      </c>
      <c r="I424" t="s">
        <v>16</v>
      </c>
      <c r="J424" t="s">
        <v>16</v>
      </c>
      <c r="K424" s="16" t="str">
        <f>VLOOKUP(C424,CheckName!A:B,2,0)</f>
        <v>Special Check</v>
      </c>
      <c r="L424">
        <v>0</v>
      </c>
      <c r="M424" s="16">
        <f t="shared" si="6"/>
        <v>4</v>
      </c>
      <c r="N424" t="str">
        <f>TEXT(MTDRejection[[#This Row],[RejectionDate]],"dddd")</f>
        <v>Wednesday</v>
      </c>
    </row>
    <row r="425" spans="1:14">
      <c r="A425" s="16" t="s">
        <v>69</v>
      </c>
      <c r="B425" s="16" t="s">
        <v>3166</v>
      </c>
      <c r="C425" s="16" t="s">
        <v>71</v>
      </c>
      <c r="D425" s="16" t="s">
        <v>51</v>
      </c>
      <c r="E425" s="19">
        <v>45630</v>
      </c>
      <c r="F425" s="16" t="s">
        <v>2331</v>
      </c>
      <c r="G425" s="16">
        <v>1</v>
      </c>
      <c r="H425" s="16" t="s">
        <v>53</v>
      </c>
      <c r="I425" s="16" t="s">
        <v>16</v>
      </c>
      <c r="J425" s="16" t="s">
        <v>16</v>
      </c>
      <c r="K425" s="16" t="str">
        <f>VLOOKUP(C425,CheckName!A:B,2,0)</f>
        <v>CRC</v>
      </c>
      <c r="L425">
        <v>0</v>
      </c>
      <c r="M425" s="16">
        <f t="shared" si="6"/>
        <v>4</v>
      </c>
      <c r="N425" t="str">
        <f>TEXT(MTDRejection[[#This Row],[RejectionDate]],"dddd")</f>
        <v>Wednesday</v>
      </c>
    </row>
    <row r="426" spans="1:14">
      <c r="A426" t="s">
        <v>69</v>
      </c>
      <c r="B426" t="s">
        <v>3167</v>
      </c>
      <c r="C426" t="s">
        <v>122</v>
      </c>
      <c r="D426" t="s">
        <v>51</v>
      </c>
      <c r="E426" s="7">
        <v>45630</v>
      </c>
      <c r="F426" t="s">
        <v>2331</v>
      </c>
      <c r="G426">
        <v>1</v>
      </c>
      <c r="H426" t="s">
        <v>53</v>
      </c>
      <c r="I426" t="s">
        <v>16</v>
      </c>
      <c r="J426" t="s">
        <v>16</v>
      </c>
      <c r="K426" s="16" t="str">
        <f>VLOOKUP(C426,CheckName!A:B,2,0)</f>
        <v>Special Check</v>
      </c>
      <c r="L426">
        <v>0</v>
      </c>
      <c r="M426" s="16">
        <f t="shared" si="6"/>
        <v>4</v>
      </c>
      <c r="N426" t="str">
        <f>TEXT(MTDRejection[[#This Row],[RejectionDate]],"dddd")</f>
        <v>Wednesday</v>
      </c>
    </row>
    <row r="427" spans="1:14">
      <c r="A427" s="16" t="s">
        <v>69</v>
      </c>
      <c r="B427" s="16" t="s">
        <v>3168</v>
      </c>
      <c r="C427" s="16" t="s">
        <v>36</v>
      </c>
      <c r="D427" s="16" t="s">
        <v>51</v>
      </c>
      <c r="E427" s="19">
        <v>45630</v>
      </c>
      <c r="F427" s="16" t="s">
        <v>2331</v>
      </c>
      <c r="G427" s="16">
        <v>1</v>
      </c>
      <c r="H427" s="16" t="s">
        <v>53</v>
      </c>
      <c r="I427" s="16" t="s">
        <v>16</v>
      </c>
      <c r="J427" s="16" t="s">
        <v>16</v>
      </c>
      <c r="K427" s="16" t="str">
        <f>VLOOKUP(C427,CheckName!A:B,2,0)</f>
        <v>Emp</v>
      </c>
      <c r="L427">
        <v>0</v>
      </c>
      <c r="M427" s="16">
        <f t="shared" si="6"/>
        <v>4</v>
      </c>
      <c r="N427" t="str">
        <f>TEXT(MTDRejection[[#This Row],[RejectionDate]],"dddd")</f>
        <v>Wednesday</v>
      </c>
    </row>
    <row r="428" spans="1:14">
      <c r="A428" t="s">
        <v>69</v>
      </c>
      <c r="B428" t="s">
        <v>3169</v>
      </c>
      <c r="C428" t="s">
        <v>59</v>
      </c>
      <c r="D428" t="s">
        <v>51</v>
      </c>
      <c r="E428" s="7">
        <v>45630</v>
      </c>
      <c r="F428" t="s">
        <v>2331</v>
      </c>
      <c r="G428">
        <v>1</v>
      </c>
      <c r="H428" t="s">
        <v>53</v>
      </c>
      <c r="I428" t="s">
        <v>16</v>
      </c>
      <c r="J428" t="s">
        <v>16</v>
      </c>
      <c r="K428" s="16" t="str">
        <f>VLOOKUP(C428,CheckName!A:B,2,0)</f>
        <v>Special Check</v>
      </c>
      <c r="L428">
        <v>0</v>
      </c>
      <c r="M428" s="16">
        <f t="shared" si="6"/>
        <v>4</v>
      </c>
      <c r="N428" t="str">
        <f>TEXT(MTDRejection[[#This Row],[RejectionDate]],"dddd")</f>
        <v>Wednesday</v>
      </c>
    </row>
    <row r="429" spans="1:14">
      <c r="A429" s="16" t="s">
        <v>131</v>
      </c>
      <c r="B429" s="16" t="s">
        <v>3170</v>
      </c>
      <c r="C429" s="16" t="s">
        <v>36</v>
      </c>
      <c r="D429" s="16" t="s">
        <v>51</v>
      </c>
      <c r="E429" s="19">
        <v>45630</v>
      </c>
      <c r="F429" s="16" t="s">
        <v>2331</v>
      </c>
      <c r="G429" s="16">
        <v>1</v>
      </c>
      <c r="H429" s="16" t="s">
        <v>53</v>
      </c>
      <c r="I429" s="16" t="s">
        <v>16</v>
      </c>
      <c r="J429" s="16" t="s">
        <v>16</v>
      </c>
      <c r="K429" s="16" t="str">
        <f>VLOOKUP(C429,CheckName!A:B,2,0)</f>
        <v>Emp</v>
      </c>
      <c r="L429">
        <v>0</v>
      </c>
      <c r="M429" s="16">
        <f t="shared" si="6"/>
        <v>4</v>
      </c>
      <c r="N429" t="str">
        <f>TEXT(MTDRejection[[#This Row],[RejectionDate]],"dddd")</f>
        <v>Wednesday</v>
      </c>
    </row>
    <row r="430" spans="1:14">
      <c r="A430" t="s">
        <v>131</v>
      </c>
      <c r="B430" t="s">
        <v>3171</v>
      </c>
      <c r="C430" t="s">
        <v>12</v>
      </c>
      <c r="D430" t="s">
        <v>51</v>
      </c>
      <c r="E430" s="7">
        <v>45630</v>
      </c>
      <c r="F430" t="s">
        <v>2331</v>
      </c>
      <c r="G430">
        <v>1</v>
      </c>
      <c r="H430" t="s">
        <v>53</v>
      </c>
      <c r="I430" t="s">
        <v>16</v>
      </c>
      <c r="J430" t="s">
        <v>16</v>
      </c>
      <c r="K430" s="16" t="str">
        <f>VLOOKUP(C430,CheckName!A:B,2,0)</f>
        <v>Emp</v>
      </c>
      <c r="L430">
        <v>0</v>
      </c>
      <c r="M430" s="16">
        <f t="shared" si="6"/>
        <v>4</v>
      </c>
      <c r="N430" t="str">
        <f>TEXT(MTDRejection[[#This Row],[RejectionDate]],"dddd")</f>
        <v>Wednesday</v>
      </c>
    </row>
    <row r="431" spans="1:14">
      <c r="A431" s="16" t="s">
        <v>160</v>
      </c>
      <c r="B431" s="16" t="s">
        <v>3172</v>
      </c>
      <c r="C431" s="16" t="s">
        <v>125</v>
      </c>
      <c r="D431" s="16" t="s">
        <v>26</v>
      </c>
      <c r="E431" s="19">
        <v>45630</v>
      </c>
      <c r="F431" s="16" t="s">
        <v>2354</v>
      </c>
      <c r="G431" s="16">
        <v>1</v>
      </c>
      <c r="H431" s="16" t="s">
        <v>27</v>
      </c>
      <c r="I431" s="16" t="s">
        <v>16</v>
      </c>
      <c r="J431" s="16" t="s">
        <v>16</v>
      </c>
      <c r="K431" s="16" t="str">
        <f>VLOOKUP(C431,CheckName!A:B,2,0)</f>
        <v>Emp</v>
      </c>
      <c r="L431">
        <v>0</v>
      </c>
      <c r="M431" s="16">
        <f t="shared" si="6"/>
        <v>4</v>
      </c>
      <c r="N431" t="str">
        <f>TEXT(MTDRejection[[#This Row],[RejectionDate]],"dddd")</f>
        <v>Wednesday</v>
      </c>
    </row>
    <row r="432" spans="1:14">
      <c r="A432" t="s">
        <v>1548</v>
      </c>
      <c r="B432" t="s">
        <v>3173</v>
      </c>
      <c r="C432" t="s">
        <v>36</v>
      </c>
      <c r="D432" t="s">
        <v>51</v>
      </c>
      <c r="E432" s="7">
        <v>45630</v>
      </c>
      <c r="F432" t="s">
        <v>52</v>
      </c>
      <c r="G432">
        <v>1</v>
      </c>
      <c r="H432" t="s">
        <v>53</v>
      </c>
      <c r="I432" t="s">
        <v>16</v>
      </c>
      <c r="J432" t="s">
        <v>16</v>
      </c>
      <c r="K432" s="16" t="str">
        <f>VLOOKUP(C432,CheckName!A:B,2,0)</f>
        <v>Emp</v>
      </c>
      <c r="L432">
        <v>0</v>
      </c>
      <c r="M432" s="16">
        <f t="shared" si="6"/>
        <v>4</v>
      </c>
      <c r="N432" t="str">
        <f>TEXT(MTDRejection[[#This Row],[RejectionDate]],"dddd")</f>
        <v>Wednesday</v>
      </c>
    </row>
    <row r="433" spans="1:14">
      <c r="A433" s="16" t="s">
        <v>45</v>
      </c>
      <c r="B433" s="16" t="s">
        <v>3174</v>
      </c>
      <c r="C433" s="16" t="s">
        <v>36</v>
      </c>
      <c r="D433" s="16" t="s">
        <v>26</v>
      </c>
      <c r="E433" s="19">
        <v>45630</v>
      </c>
      <c r="F433" s="16" t="s">
        <v>224</v>
      </c>
      <c r="G433" s="16">
        <v>1</v>
      </c>
      <c r="H433" s="16" t="s">
        <v>27</v>
      </c>
      <c r="I433" s="16" t="s">
        <v>16</v>
      </c>
      <c r="J433" s="16" t="s">
        <v>16</v>
      </c>
      <c r="K433" s="16" t="str">
        <f>VLOOKUP(C433,CheckName!A:B,2,0)</f>
        <v>Emp</v>
      </c>
      <c r="L433">
        <v>0</v>
      </c>
      <c r="M433" s="16">
        <f t="shared" si="6"/>
        <v>4</v>
      </c>
      <c r="N433" t="str">
        <f>TEXT(MTDRejection[[#This Row],[RejectionDate]],"dddd")</f>
        <v>Wednesday</v>
      </c>
    </row>
    <row r="434" spans="1:14">
      <c r="A434" t="s">
        <v>45</v>
      </c>
      <c r="B434" t="s">
        <v>3175</v>
      </c>
      <c r="C434" t="s">
        <v>12</v>
      </c>
      <c r="D434" t="s">
        <v>26</v>
      </c>
      <c r="E434" s="7">
        <v>45630</v>
      </c>
      <c r="F434" t="s">
        <v>224</v>
      </c>
      <c r="G434">
        <v>1</v>
      </c>
      <c r="H434" t="s">
        <v>27</v>
      </c>
      <c r="I434" t="s">
        <v>16</v>
      </c>
      <c r="J434" t="s">
        <v>16</v>
      </c>
      <c r="K434" s="16" t="str">
        <f>VLOOKUP(C434,CheckName!A:B,2,0)</f>
        <v>Emp</v>
      </c>
      <c r="L434">
        <v>0</v>
      </c>
      <c r="M434" s="16">
        <f t="shared" si="6"/>
        <v>4</v>
      </c>
      <c r="N434" t="str">
        <f>TEXT(MTDRejection[[#This Row],[RejectionDate]],"dddd")</f>
        <v>Wednesday</v>
      </c>
    </row>
    <row r="435" spans="1:14">
      <c r="A435" s="16" t="s">
        <v>1552</v>
      </c>
      <c r="B435" s="16" t="s">
        <v>3176</v>
      </c>
      <c r="C435" s="16" t="s">
        <v>25</v>
      </c>
      <c r="D435" s="16" t="s">
        <v>20</v>
      </c>
      <c r="E435" s="19">
        <v>45630</v>
      </c>
      <c r="F435" s="16" t="s">
        <v>2330</v>
      </c>
      <c r="G435" s="16">
        <v>1</v>
      </c>
      <c r="H435" s="16" t="s">
        <v>22</v>
      </c>
      <c r="I435" s="16" t="s">
        <v>16</v>
      </c>
      <c r="J435" s="16" t="s">
        <v>16</v>
      </c>
      <c r="K435" s="16" t="str">
        <f>VLOOKUP(C435,CheckName!A:B,2,0)</f>
        <v>Add</v>
      </c>
      <c r="L435">
        <v>0</v>
      </c>
      <c r="M435" s="16">
        <f t="shared" si="6"/>
        <v>4</v>
      </c>
      <c r="N435" t="str">
        <f>TEXT(MTDRejection[[#This Row],[RejectionDate]],"dddd")</f>
        <v>Wednesday</v>
      </c>
    </row>
    <row r="436" spans="1:14">
      <c r="A436" t="s">
        <v>517</v>
      </c>
      <c r="B436" t="s">
        <v>3177</v>
      </c>
      <c r="C436" t="s">
        <v>19</v>
      </c>
      <c r="D436" t="s">
        <v>20</v>
      </c>
      <c r="E436" s="7">
        <v>45630</v>
      </c>
      <c r="F436" t="s">
        <v>2330</v>
      </c>
      <c r="G436">
        <v>1</v>
      </c>
      <c r="H436" t="s">
        <v>22</v>
      </c>
      <c r="I436" t="s">
        <v>16</v>
      </c>
      <c r="J436" t="s">
        <v>16</v>
      </c>
      <c r="K436" s="16" t="str">
        <f>VLOOKUP(C436,CheckName!A:B,2,0)</f>
        <v>Add</v>
      </c>
      <c r="L436">
        <v>0</v>
      </c>
      <c r="M436" s="16">
        <f t="shared" si="6"/>
        <v>4</v>
      </c>
      <c r="N436" t="str">
        <f>TEXT(MTDRejection[[#This Row],[RejectionDate]],"dddd")</f>
        <v>Wednesday</v>
      </c>
    </row>
    <row r="437" spans="1:14">
      <c r="A437" s="16" t="s">
        <v>45</v>
      </c>
      <c r="B437" s="16" t="s">
        <v>3178</v>
      </c>
      <c r="C437" s="16" t="s">
        <v>19</v>
      </c>
      <c r="D437" s="16" t="s">
        <v>26</v>
      </c>
      <c r="E437" s="19">
        <v>45630</v>
      </c>
      <c r="F437" s="16" t="s">
        <v>2330</v>
      </c>
      <c r="G437" s="16">
        <v>1</v>
      </c>
      <c r="H437" s="16" t="s">
        <v>27</v>
      </c>
      <c r="I437" s="16" t="s">
        <v>16</v>
      </c>
      <c r="J437" s="16" t="s">
        <v>16</v>
      </c>
      <c r="K437" s="16" t="str">
        <f>VLOOKUP(C437,CheckName!A:B,2,0)</f>
        <v>Add</v>
      </c>
      <c r="L437">
        <v>0</v>
      </c>
      <c r="M437" s="16">
        <f t="shared" si="6"/>
        <v>4</v>
      </c>
      <c r="N437" t="str">
        <f>TEXT(MTDRejection[[#This Row],[RejectionDate]],"dddd")</f>
        <v>Wednesday</v>
      </c>
    </row>
    <row r="438" spans="1:14">
      <c r="A438" t="s">
        <v>320</v>
      </c>
      <c r="B438" t="s">
        <v>3179</v>
      </c>
      <c r="C438" t="s">
        <v>322</v>
      </c>
      <c r="D438" t="s">
        <v>20</v>
      </c>
      <c r="E438" s="7">
        <v>45630</v>
      </c>
      <c r="F438" t="s">
        <v>66</v>
      </c>
      <c r="G438">
        <v>1</v>
      </c>
      <c r="H438" t="s">
        <v>425</v>
      </c>
      <c r="I438" t="s">
        <v>16</v>
      </c>
      <c r="J438" t="s">
        <v>16</v>
      </c>
      <c r="K438" s="16" t="str">
        <f>VLOOKUP(C438,CheckName!A:B,2,0)</f>
        <v>Add</v>
      </c>
      <c r="L438">
        <v>0</v>
      </c>
      <c r="M438" s="16">
        <f t="shared" si="6"/>
        <v>4</v>
      </c>
      <c r="N438" t="str">
        <f>TEXT(MTDRejection[[#This Row],[RejectionDate]],"dddd")</f>
        <v>Wednesday</v>
      </c>
    </row>
    <row r="439" spans="1:14">
      <c r="A439" s="16" t="s">
        <v>461</v>
      </c>
      <c r="B439" s="16" t="s">
        <v>3180</v>
      </c>
      <c r="C439" s="16" t="s">
        <v>19</v>
      </c>
      <c r="D439" s="16" t="s">
        <v>20</v>
      </c>
      <c r="E439" s="19">
        <v>45630</v>
      </c>
      <c r="F439" s="16" t="s">
        <v>2330</v>
      </c>
      <c r="G439" s="16">
        <v>1</v>
      </c>
      <c r="H439" s="16" t="s">
        <v>22</v>
      </c>
      <c r="I439" s="16" t="s">
        <v>16</v>
      </c>
      <c r="J439" s="16" t="s">
        <v>16</v>
      </c>
      <c r="K439" s="16" t="str">
        <f>VLOOKUP(C439,CheckName!A:B,2,0)</f>
        <v>Add</v>
      </c>
      <c r="L439">
        <v>0</v>
      </c>
      <c r="M439" s="16">
        <f t="shared" si="6"/>
        <v>4</v>
      </c>
      <c r="N439" t="str">
        <f>TEXT(MTDRejection[[#This Row],[RejectionDate]],"dddd")</f>
        <v>Wednesday</v>
      </c>
    </row>
    <row r="440" spans="1:14">
      <c r="A440" t="s">
        <v>84</v>
      </c>
      <c r="B440" t="s">
        <v>2408</v>
      </c>
      <c r="C440" t="s">
        <v>19</v>
      </c>
      <c r="D440" t="s">
        <v>26</v>
      </c>
      <c r="E440" s="7">
        <v>45630</v>
      </c>
      <c r="F440" t="s">
        <v>66</v>
      </c>
      <c r="G440">
        <v>1</v>
      </c>
      <c r="H440" t="s">
        <v>27</v>
      </c>
      <c r="I440" t="s">
        <v>16</v>
      </c>
      <c r="J440" t="s">
        <v>16</v>
      </c>
      <c r="K440" s="16" t="str">
        <f>VLOOKUP(C440,CheckName!A:B,2,0)</f>
        <v>Add</v>
      </c>
      <c r="L440">
        <v>0</v>
      </c>
      <c r="M440" s="16">
        <f t="shared" si="6"/>
        <v>4</v>
      </c>
      <c r="N440" t="str">
        <f>TEXT(MTDRejection[[#This Row],[RejectionDate]],"dddd")</f>
        <v>Wednesday</v>
      </c>
    </row>
    <row r="441" spans="1:14">
      <c r="A441" s="16" t="s">
        <v>131</v>
      </c>
      <c r="B441" s="16" t="s">
        <v>2409</v>
      </c>
      <c r="C441" s="16" t="s">
        <v>19</v>
      </c>
      <c r="D441" s="16" t="s">
        <v>20</v>
      </c>
      <c r="E441" s="19">
        <v>45630</v>
      </c>
      <c r="F441" s="16" t="s">
        <v>2330</v>
      </c>
      <c r="G441" s="16">
        <v>1</v>
      </c>
      <c r="H441" s="16" t="s">
        <v>22</v>
      </c>
      <c r="I441" s="16" t="s">
        <v>16</v>
      </c>
      <c r="J441" s="16" t="s">
        <v>16</v>
      </c>
      <c r="K441" s="16" t="str">
        <f>VLOOKUP(C441,CheckName!A:B,2,0)</f>
        <v>Add</v>
      </c>
      <c r="L441">
        <v>0</v>
      </c>
      <c r="M441" s="16">
        <f t="shared" si="6"/>
        <v>4</v>
      </c>
      <c r="N441" t="str">
        <f>TEXT(MTDRejection[[#This Row],[RejectionDate]],"dddd")</f>
        <v>Wednesday</v>
      </c>
    </row>
    <row r="442" spans="1:14">
      <c r="A442" t="s">
        <v>1040</v>
      </c>
      <c r="B442" t="s">
        <v>3181</v>
      </c>
      <c r="C442" t="s">
        <v>25</v>
      </c>
      <c r="D442" t="s">
        <v>20</v>
      </c>
      <c r="E442" s="7">
        <v>45630</v>
      </c>
      <c r="F442" t="s">
        <v>2330</v>
      </c>
      <c r="G442">
        <v>1</v>
      </c>
      <c r="H442" t="s">
        <v>22</v>
      </c>
      <c r="I442" t="s">
        <v>16</v>
      </c>
      <c r="J442" t="s">
        <v>16</v>
      </c>
      <c r="K442" s="16" t="str">
        <f>VLOOKUP(C442,CheckName!A:B,2,0)</f>
        <v>Add</v>
      </c>
      <c r="L442">
        <v>0</v>
      </c>
      <c r="M442" s="16">
        <f t="shared" si="6"/>
        <v>4</v>
      </c>
      <c r="N442" t="str">
        <f>TEXT(MTDRejection[[#This Row],[RejectionDate]],"dddd")</f>
        <v>Wednesday</v>
      </c>
    </row>
    <row r="443" spans="1:14">
      <c r="A443" s="16" t="s">
        <v>402</v>
      </c>
      <c r="B443" s="16" t="s">
        <v>3182</v>
      </c>
      <c r="C443" s="16" t="s">
        <v>25</v>
      </c>
      <c r="D443" s="16" t="s">
        <v>26</v>
      </c>
      <c r="E443" s="19">
        <v>45630</v>
      </c>
      <c r="F443" s="16" t="s">
        <v>2330</v>
      </c>
      <c r="G443" s="16">
        <v>1</v>
      </c>
      <c r="H443" s="16" t="s">
        <v>27</v>
      </c>
      <c r="I443" s="16" t="s">
        <v>16</v>
      </c>
      <c r="J443" s="16" t="s">
        <v>16</v>
      </c>
      <c r="K443" s="16" t="str">
        <f>VLOOKUP(C443,CheckName!A:B,2,0)</f>
        <v>Add</v>
      </c>
      <c r="L443">
        <v>0</v>
      </c>
      <c r="M443" s="16">
        <f t="shared" si="6"/>
        <v>4</v>
      </c>
      <c r="N443" t="str">
        <f>TEXT(MTDRejection[[#This Row],[RejectionDate]],"dddd")</f>
        <v>Wednesday</v>
      </c>
    </row>
    <row r="444" spans="1:14">
      <c r="A444" t="s">
        <v>1110</v>
      </c>
      <c r="B444" t="s">
        <v>3183</v>
      </c>
      <c r="C444" t="s">
        <v>965</v>
      </c>
      <c r="D444" t="s">
        <v>20</v>
      </c>
      <c r="E444" s="7">
        <v>45630</v>
      </c>
      <c r="F444" t="s">
        <v>2330</v>
      </c>
      <c r="G444">
        <v>1</v>
      </c>
      <c r="H444" t="s">
        <v>22</v>
      </c>
      <c r="I444" t="s">
        <v>16</v>
      </c>
      <c r="J444" t="s">
        <v>16</v>
      </c>
      <c r="K444" s="16" t="str">
        <f>VLOOKUP(C444,CheckName!A:B,2,0)</f>
        <v>Add</v>
      </c>
      <c r="L444">
        <v>0</v>
      </c>
      <c r="M444" s="16">
        <f t="shared" si="6"/>
        <v>4</v>
      </c>
      <c r="N444" t="str">
        <f>TEXT(MTDRejection[[#This Row],[RejectionDate]],"dddd")</f>
        <v>Wednesday</v>
      </c>
    </row>
    <row r="445" spans="1:14">
      <c r="A445" s="16" t="s">
        <v>1110</v>
      </c>
      <c r="B445" s="16" t="s">
        <v>3184</v>
      </c>
      <c r="C445" s="16" t="s">
        <v>965</v>
      </c>
      <c r="D445" s="16" t="s">
        <v>20</v>
      </c>
      <c r="E445" s="19">
        <v>45630</v>
      </c>
      <c r="F445" s="16" t="s">
        <v>2330</v>
      </c>
      <c r="G445" s="16">
        <v>1</v>
      </c>
      <c r="H445" s="16" t="s">
        <v>22</v>
      </c>
      <c r="I445" s="16" t="s">
        <v>16</v>
      </c>
      <c r="J445" s="16" t="s">
        <v>16</v>
      </c>
      <c r="K445" s="16" t="str">
        <f>VLOOKUP(C445,CheckName!A:B,2,0)</f>
        <v>Add</v>
      </c>
      <c r="L445">
        <v>0</v>
      </c>
      <c r="M445" s="16">
        <f t="shared" si="6"/>
        <v>4</v>
      </c>
      <c r="N445" t="str">
        <f>TEXT(MTDRejection[[#This Row],[RejectionDate]],"dddd")</f>
        <v>Wednesday</v>
      </c>
    </row>
    <row r="446" spans="1:14">
      <c r="A446" t="s">
        <v>1564</v>
      </c>
      <c r="B446" t="s">
        <v>3185</v>
      </c>
      <c r="C446" t="s">
        <v>25</v>
      </c>
      <c r="D446" t="s">
        <v>20</v>
      </c>
      <c r="E446" s="7">
        <v>45630</v>
      </c>
      <c r="F446" t="s">
        <v>2330</v>
      </c>
      <c r="G446">
        <v>1</v>
      </c>
      <c r="H446" t="s">
        <v>22</v>
      </c>
      <c r="I446" t="s">
        <v>16</v>
      </c>
      <c r="J446" t="s">
        <v>16</v>
      </c>
      <c r="K446" s="16" t="str">
        <f>VLOOKUP(C446,CheckName!A:B,2,0)</f>
        <v>Add</v>
      </c>
      <c r="L446">
        <v>0</v>
      </c>
      <c r="M446" s="16">
        <f t="shared" si="6"/>
        <v>4</v>
      </c>
      <c r="N446" t="str">
        <f>TEXT(MTDRejection[[#This Row],[RejectionDate]],"dddd")</f>
        <v>Wednesday</v>
      </c>
    </row>
    <row r="447" spans="1:14">
      <c r="A447" s="16" t="s">
        <v>1566</v>
      </c>
      <c r="B447" s="16" t="s">
        <v>3186</v>
      </c>
      <c r="C447" s="16" t="s">
        <v>220</v>
      </c>
      <c r="D447" s="16" t="s">
        <v>13</v>
      </c>
      <c r="E447" s="19">
        <v>45630</v>
      </c>
      <c r="F447" s="16" t="s">
        <v>230</v>
      </c>
      <c r="G447" s="16">
        <v>1</v>
      </c>
      <c r="H447" s="16" t="s">
        <v>15</v>
      </c>
      <c r="I447" s="16" t="s">
        <v>16</v>
      </c>
      <c r="J447" s="16" t="s">
        <v>16</v>
      </c>
      <c r="K447" s="16" t="str">
        <f>VLOOKUP(C447,CheckName!A:B,2,0)</f>
        <v>Ref</v>
      </c>
      <c r="L447">
        <v>0</v>
      </c>
      <c r="M447" s="16">
        <f t="shared" si="6"/>
        <v>4</v>
      </c>
      <c r="N447" t="str">
        <f>TEXT(MTDRejection[[#This Row],[RejectionDate]],"dddd")</f>
        <v>Wednesday</v>
      </c>
    </row>
    <row r="448" spans="1:14">
      <c r="A448" t="s">
        <v>1566</v>
      </c>
      <c r="B448" t="s">
        <v>3187</v>
      </c>
      <c r="C448" t="s">
        <v>36</v>
      </c>
      <c r="D448" t="s">
        <v>13</v>
      </c>
      <c r="E448" s="7">
        <v>45630</v>
      </c>
      <c r="F448" t="s">
        <v>230</v>
      </c>
      <c r="G448">
        <v>1</v>
      </c>
      <c r="H448" t="s">
        <v>15</v>
      </c>
      <c r="I448" t="s">
        <v>16</v>
      </c>
      <c r="J448" t="s">
        <v>16</v>
      </c>
      <c r="K448" s="16" t="str">
        <f>VLOOKUP(C448,CheckName!A:B,2,0)</f>
        <v>Emp</v>
      </c>
      <c r="L448">
        <v>0</v>
      </c>
      <c r="M448" s="16">
        <f t="shared" si="6"/>
        <v>4</v>
      </c>
      <c r="N448" t="str">
        <f>TEXT(MTDRejection[[#This Row],[RejectionDate]],"dddd")</f>
        <v>Wednesday</v>
      </c>
    </row>
    <row r="449" spans="1:14">
      <c r="A449" s="16" t="s">
        <v>142</v>
      </c>
      <c r="B449" s="16" t="s">
        <v>1568</v>
      </c>
      <c r="C449" s="16" t="s">
        <v>12</v>
      </c>
      <c r="D449" s="16" t="s">
        <v>38</v>
      </c>
      <c r="E449" s="19">
        <v>45630</v>
      </c>
      <c r="F449" s="16" t="s">
        <v>39</v>
      </c>
      <c r="G449" s="16">
        <v>1</v>
      </c>
      <c r="H449" s="16" t="s">
        <v>42</v>
      </c>
      <c r="I449" s="16" t="s">
        <v>16</v>
      </c>
      <c r="J449" s="16" t="s">
        <v>16</v>
      </c>
      <c r="K449" s="16" t="str">
        <f>VLOOKUP(C449,CheckName!A:B,2,0)</f>
        <v>Emp</v>
      </c>
      <c r="L449">
        <v>0</v>
      </c>
      <c r="M449" s="16">
        <f t="shared" si="6"/>
        <v>4</v>
      </c>
      <c r="N449" t="str">
        <f>TEXT(MTDRejection[[#This Row],[RejectionDate]],"dddd")</f>
        <v>Wednesday</v>
      </c>
    </row>
    <row r="450" spans="1:14">
      <c r="A450" t="s">
        <v>1173</v>
      </c>
      <c r="B450" t="s">
        <v>3188</v>
      </c>
      <c r="C450" t="s">
        <v>54</v>
      </c>
      <c r="D450" t="s">
        <v>13</v>
      </c>
      <c r="E450" s="7">
        <v>45630</v>
      </c>
      <c r="F450" t="s">
        <v>1310</v>
      </c>
      <c r="G450">
        <v>1</v>
      </c>
      <c r="H450" t="s">
        <v>15</v>
      </c>
      <c r="I450" t="s">
        <v>16</v>
      </c>
      <c r="J450" t="s">
        <v>16</v>
      </c>
      <c r="K450" s="16" t="str">
        <f>VLOOKUP(C450,CheckName!A:B,2,0)</f>
        <v>Edu</v>
      </c>
      <c r="L450">
        <v>0</v>
      </c>
      <c r="M450" s="16">
        <f t="shared" ref="M450:M507" si="7">DAY(E450)</f>
        <v>4</v>
      </c>
      <c r="N450" t="str">
        <f>TEXT(MTDRejection[[#This Row],[RejectionDate]],"dddd")</f>
        <v>Wednesday</v>
      </c>
    </row>
    <row r="451" spans="1:14">
      <c r="A451" s="16" t="s">
        <v>1570</v>
      </c>
      <c r="B451" s="16" t="s">
        <v>3189</v>
      </c>
      <c r="C451" s="16" t="s">
        <v>19</v>
      </c>
      <c r="D451" s="16" t="s">
        <v>20</v>
      </c>
      <c r="E451" s="19">
        <v>45630</v>
      </c>
      <c r="F451" s="16" t="s">
        <v>2327</v>
      </c>
      <c r="G451" s="16">
        <v>1</v>
      </c>
      <c r="H451" s="16" t="s">
        <v>22</v>
      </c>
      <c r="I451" s="16" t="s">
        <v>16</v>
      </c>
      <c r="J451" s="16" t="s">
        <v>16</v>
      </c>
      <c r="K451" s="16" t="str">
        <f>VLOOKUP(C451,CheckName!A:B,2,0)</f>
        <v>Add</v>
      </c>
      <c r="L451">
        <v>0</v>
      </c>
      <c r="M451" s="16">
        <f t="shared" si="7"/>
        <v>4</v>
      </c>
      <c r="N451" t="str">
        <f>TEXT(MTDRejection[[#This Row],[RejectionDate]],"dddd")</f>
        <v>Wednesday</v>
      </c>
    </row>
    <row r="452" spans="1:14">
      <c r="A452" t="s">
        <v>1110</v>
      </c>
      <c r="B452" t="s">
        <v>1389</v>
      </c>
      <c r="C452" t="s">
        <v>965</v>
      </c>
      <c r="D452" t="s">
        <v>26</v>
      </c>
      <c r="E452" s="7">
        <v>45630</v>
      </c>
      <c r="F452" t="s">
        <v>2327</v>
      </c>
      <c r="G452">
        <v>1</v>
      </c>
      <c r="H452" t="s">
        <v>27</v>
      </c>
      <c r="I452" t="s">
        <v>16</v>
      </c>
      <c r="J452" t="s">
        <v>16</v>
      </c>
      <c r="K452" s="16" t="str">
        <f>VLOOKUP(C452,CheckName!A:B,2,0)</f>
        <v>Add</v>
      </c>
      <c r="L452">
        <v>0</v>
      </c>
      <c r="M452" s="16">
        <f t="shared" si="7"/>
        <v>4</v>
      </c>
      <c r="N452" t="str">
        <f>TEXT(MTDRejection[[#This Row],[RejectionDate]],"dddd")</f>
        <v>Wednesday</v>
      </c>
    </row>
    <row r="453" spans="1:14">
      <c r="A453" s="16" t="s">
        <v>1573</v>
      </c>
      <c r="B453" s="16" t="s">
        <v>3190</v>
      </c>
      <c r="C453" s="16" t="s">
        <v>12</v>
      </c>
      <c r="D453" s="16" t="s">
        <v>26</v>
      </c>
      <c r="E453" s="19">
        <v>45629</v>
      </c>
      <c r="F453" s="16" t="s">
        <v>380</v>
      </c>
      <c r="G453" s="16">
        <v>2</v>
      </c>
      <c r="H453" s="16" t="s">
        <v>27</v>
      </c>
      <c r="I453" s="16" t="s">
        <v>16</v>
      </c>
      <c r="J453" s="16" t="s">
        <v>16</v>
      </c>
      <c r="K453" s="16" t="str">
        <f>VLOOKUP(C453,CheckName!A:B,2,0)</f>
        <v>Emp</v>
      </c>
      <c r="L453">
        <v>0</v>
      </c>
      <c r="M453" s="16">
        <f t="shared" si="7"/>
        <v>3</v>
      </c>
      <c r="N453" t="str">
        <f>TEXT(MTDRejection[[#This Row],[RejectionDate]],"dddd")</f>
        <v>Tuesday</v>
      </c>
    </row>
    <row r="454" spans="1:14">
      <c r="A454" t="s">
        <v>160</v>
      </c>
      <c r="B454" t="s">
        <v>3191</v>
      </c>
      <c r="C454" t="s">
        <v>125</v>
      </c>
      <c r="D454" t="s">
        <v>26</v>
      </c>
      <c r="E454" s="7">
        <v>45629</v>
      </c>
      <c r="F454" t="s">
        <v>159</v>
      </c>
      <c r="G454">
        <v>2</v>
      </c>
      <c r="H454" t="s">
        <v>22</v>
      </c>
      <c r="I454" t="s">
        <v>16</v>
      </c>
      <c r="J454" t="s">
        <v>16</v>
      </c>
      <c r="K454" s="16" t="str">
        <f>VLOOKUP(C454,CheckName!A:B,2,0)</f>
        <v>Emp</v>
      </c>
      <c r="L454">
        <v>0</v>
      </c>
      <c r="M454" s="16">
        <f t="shared" si="7"/>
        <v>3</v>
      </c>
      <c r="N454" t="str">
        <f>TEXT(MTDRejection[[#This Row],[RejectionDate]],"dddd")</f>
        <v>Tuesday</v>
      </c>
    </row>
    <row r="455" spans="1:14">
      <c r="A455" s="16" t="s">
        <v>81</v>
      </c>
      <c r="B455" s="16" t="s">
        <v>3192</v>
      </c>
      <c r="C455" s="16" t="s">
        <v>54</v>
      </c>
      <c r="D455" s="16" t="s">
        <v>26</v>
      </c>
      <c r="E455" s="19">
        <v>45628</v>
      </c>
      <c r="F455" s="16" t="s">
        <v>458</v>
      </c>
      <c r="G455" s="16">
        <v>3</v>
      </c>
      <c r="H455" s="16" t="s">
        <v>27</v>
      </c>
      <c r="I455" s="16" t="s">
        <v>16</v>
      </c>
      <c r="J455" s="16" t="s">
        <v>16</v>
      </c>
      <c r="K455" s="16" t="str">
        <f>VLOOKUP(C455,CheckName!A:B,2,0)</f>
        <v>Edu</v>
      </c>
      <c r="L455">
        <v>0</v>
      </c>
      <c r="M455" s="16">
        <f t="shared" si="7"/>
        <v>2</v>
      </c>
      <c r="N455" t="str">
        <f>TEXT(MTDRejection[[#This Row],[RejectionDate]],"dddd")</f>
        <v>Monday</v>
      </c>
    </row>
    <row r="456" spans="1:14">
      <c r="A456" t="s">
        <v>91</v>
      </c>
      <c r="B456" t="s">
        <v>3193</v>
      </c>
      <c r="C456" t="s">
        <v>587</v>
      </c>
      <c r="D456" t="s">
        <v>26</v>
      </c>
      <c r="E456" s="7">
        <v>45631</v>
      </c>
      <c r="F456" t="s">
        <v>2327</v>
      </c>
      <c r="G456">
        <v>0</v>
      </c>
      <c r="H456" t="s">
        <v>27</v>
      </c>
      <c r="I456" t="s">
        <v>16</v>
      </c>
      <c r="J456" t="s">
        <v>16</v>
      </c>
      <c r="K456" s="16" t="str">
        <f>VLOOKUP(C456,CheckName!A:B,2,0)</f>
        <v>Add</v>
      </c>
      <c r="L456">
        <v>0</v>
      </c>
      <c r="M456" s="16">
        <f t="shared" si="7"/>
        <v>5</v>
      </c>
      <c r="N456" t="str">
        <f>TEXT(MTDRejection[[#This Row],[RejectionDate]],"dddd")</f>
        <v>Thursday</v>
      </c>
    </row>
    <row r="457" spans="1:14">
      <c r="A457" s="16" t="s">
        <v>461</v>
      </c>
      <c r="B457" s="16" t="s">
        <v>3194</v>
      </c>
      <c r="C457" s="16" t="s">
        <v>19</v>
      </c>
      <c r="D457" s="16" t="s">
        <v>20</v>
      </c>
      <c r="E457" s="19">
        <v>45631</v>
      </c>
      <c r="F457" s="16" t="s">
        <v>2327</v>
      </c>
      <c r="G457" s="16">
        <v>0</v>
      </c>
      <c r="H457" s="16" t="s">
        <v>27</v>
      </c>
      <c r="I457" s="16" t="s">
        <v>16</v>
      </c>
      <c r="J457" s="16" t="s">
        <v>16</v>
      </c>
      <c r="K457" s="16" t="str">
        <f>VLOOKUP(C457,CheckName!A:B,2,0)</f>
        <v>Add</v>
      </c>
      <c r="L457">
        <v>0</v>
      </c>
      <c r="M457" s="16">
        <f t="shared" si="7"/>
        <v>5</v>
      </c>
      <c r="N457" t="str">
        <f>TEXT(MTDRejection[[#This Row],[RejectionDate]],"dddd")</f>
        <v>Thursday</v>
      </c>
    </row>
    <row r="458" spans="1:14">
      <c r="A458" t="s">
        <v>1581</v>
      </c>
      <c r="B458" t="s">
        <v>3195</v>
      </c>
      <c r="C458" t="s">
        <v>71</v>
      </c>
      <c r="D458" t="s">
        <v>13</v>
      </c>
      <c r="E458" s="7">
        <v>45631</v>
      </c>
      <c r="F458" t="s">
        <v>33</v>
      </c>
      <c r="G458">
        <v>0</v>
      </c>
      <c r="H458" t="s">
        <v>15</v>
      </c>
      <c r="I458" t="s">
        <v>16</v>
      </c>
      <c r="J458" t="s">
        <v>16</v>
      </c>
      <c r="K458" s="16" t="str">
        <f>VLOOKUP(C458,CheckName!A:B,2,0)</f>
        <v>CRC</v>
      </c>
      <c r="L458">
        <v>0</v>
      </c>
      <c r="M458" s="16">
        <f t="shared" si="7"/>
        <v>5</v>
      </c>
      <c r="N458" t="str">
        <f>TEXT(MTDRejection[[#This Row],[RejectionDate]],"dddd")</f>
        <v>Thursday</v>
      </c>
    </row>
    <row r="459" spans="1:14">
      <c r="A459" s="16" t="s">
        <v>73</v>
      </c>
      <c r="B459" s="16" t="s">
        <v>3196</v>
      </c>
      <c r="C459" s="16" t="s">
        <v>59</v>
      </c>
      <c r="D459" s="16" t="s">
        <v>13</v>
      </c>
      <c r="E459" s="19">
        <v>45631</v>
      </c>
      <c r="F459" s="16" t="s">
        <v>33</v>
      </c>
      <c r="G459" s="16">
        <v>0</v>
      </c>
      <c r="H459" s="16" t="s">
        <v>15</v>
      </c>
      <c r="I459" s="16" t="s">
        <v>16</v>
      </c>
      <c r="J459" s="16" t="s">
        <v>16</v>
      </c>
      <c r="K459" s="16" t="str">
        <f>VLOOKUP(C459,CheckName!A:B,2,0)</f>
        <v>Special Check</v>
      </c>
      <c r="L459">
        <v>0</v>
      </c>
      <c r="M459" s="16">
        <f t="shared" si="7"/>
        <v>5</v>
      </c>
      <c r="N459" t="str">
        <f>TEXT(MTDRejection[[#This Row],[RejectionDate]],"dddd")</f>
        <v>Thursday</v>
      </c>
    </row>
    <row r="460" spans="1:14">
      <c r="A460" t="s">
        <v>73</v>
      </c>
      <c r="B460" t="s">
        <v>3197</v>
      </c>
      <c r="C460" t="s">
        <v>71</v>
      </c>
      <c r="D460" t="s">
        <v>13</v>
      </c>
      <c r="E460" s="7">
        <v>45631</v>
      </c>
      <c r="F460" t="s">
        <v>33</v>
      </c>
      <c r="G460">
        <v>0</v>
      </c>
      <c r="H460" t="s">
        <v>15</v>
      </c>
      <c r="I460" t="s">
        <v>16</v>
      </c>
      <c r="J460" t="s">
        <v>16</v>
      </c>
      <c r="K460" s="16" t="str">
        <f>VLOOKUP(C460,CheckName!A:B,2,0)</f>
        <v>CRC</v>
      </c>
      <c r="L460">
        <v>0</v>
      </c>
      <c r="M460" s="16">
        <f t="shared" si="7"/>
        <v>5</v>
      </c>
      <c r="N460" t="str">
        <f>TEXT(MTDRejection[[#This Row],[RejectionDate]],"dddd")</f>
        <v>Thursday</v>
      </c>
    </row>
    <row r="461" spans="1:14">
      <c r="A461" s="16" t="s">
        <v>84</v>
      </c>
      <c r="B461" s="16" t="s">
        <v>3198</v>
      </c>
      <c r="C461" s="16" t="s">
        <v>36</v>
      </c>
      <c r="D461" s="16" t="s">
        <v>38</v>
      </c>
      <c r="E461" s="19">
        <v>45631</v>
      </c>
      <c r="F461" s="16" t="s">
        <v>39</v>
      </c>
      <c r="G461" s="16">
        <v>0</v>
      </c>
      <c r="H461" s="16" t="s">
        <v>22</v>
      </c>
      <c r="I461" s="16" t="s">
        <v>16</v>
      </c>
      <c r="J461" s="16" t="s">
        <v>16</v>
      </c>
      <c r="K461" s="16" t="str">
        <f>VLOOKUP(C461,CheckName!A:B,2,0)</f>
        <v>Emp</v>
      </c>
      <c r="L461">
        <v>0</v>
      </c>
      <c r="M461" s="16">
        <f t="shared" si="7"/>
        <v>5</v>
      </c>
      <c r="N461" t="str">
        <f>TEXT(MTDRejection[[#This Row],[RejectionDate]],"dddd")</f>
        <v>Thursday</v>
      </c>
    </row>
    <row r="462" spans="1:14">
      <c r="A462" t="s">
        <v>1584</v>
      </c>
      <c r="B462" t="s">
        <v>3199</v>
      </c>
      <c r="C462" t="s">
        <v>12</v>
      </c>
      <c r="D462" t="s">
        <v>38</v>
      </c>
      <c r="E462" s="7">
        <v>45631</v>
      </c>
      <c r="F462" t="s">
        <v>39</v>
      </c>
      <c r="G462">
        <v>0</v>
      </c>
      <c r="H462" t="s">
        <v>42</v>
      </c>
      <c r="I462" t="s">
        <v>16</v>
      </c>
      <c r="J462" t="s">
        <v>16</v>
      </c>
      <c r="K462" s="16" t="str">
        <f>VLOOKUP(C462,CheckName!A:B,2,0)</f>
        <v>Emp</v>
      </c>
      <c r="L462">
        <v>0</v>
      </c>
      <c r="M462" s="16">
        <f t="shared" si="7"/>
        <v>5</v>
      </c>
      <c r="N462" t="str">
        <f>TEXT(MTDRejection[[#This Row],[RejectionDate]],"dddd")</f>
        <v>Thursday</v>
      </c>
    </row>
    <row r="463" spans="1:14">
      <c r="A463" s="16" t="s">
        <v>160</v>
      </c>
      <c r="B463" s="16" t="s">
        <v>3200</v>
      </c>
      <c r="C463" s="16" t="s">
        <v>36</v>
      </c>
      <c r="D463" s="16" t="s">
        <v>38</v>
      </c>
      <c r="E463" s="19">
        <v>45631</v>
      </c>
      <c r="F463" s="16" t="s">
        <v>39</v>
      </c>
      <c r="G463" s="16">
        <v>0</v>
      </c>
      <c r="H463" s="16" t="s">
        <v>42</v>
      </c>
      <c r="I463" s="16" t="s">
        <v>16</v>
      </c>
      <c r="J463" s="16" t="s">
        <v>16</v>
      </c>
      <c r="K463" s="16" t="str">
        <f>VLOOKUP(C463,CheckName!A:B,2,0)</f>
        <v>Emp</v>
      </c>
      <c r="L463">
        <v>0</v>
      </c>
      <c r="M463" s="16">
        <f t="shared" si="7"/>
        <v>5</v>
      </c>
      <c r="N463" t="str">
        <f>TEXT(MTDRejection[[#This Row],[RejectionDate]],"dddd")</f>
        <v>Thursday</v>
      </c>
    </row>
    <row r="464" spans="1:14">
      <c r="A464" t="s">
        <v>45</v>
      </c>
      <c r="B464" t="s">
        <v>3201</v>
      </c>
      <c r="C464" t="s">
        <v>12</v>
      </c>
      <c r="D464" t="s">
        <v>38</v>
      </c>
      <c r="E464" s="7">
        <v>45631</v>
      </c>
      <c r="F464" t="s">
        <v>39</v>
      </c>
      <c r="G464">
        <v>0</v>
      </c>
      <c r="H464" t="s">
        <v>42</v>
      </c>
      <c r="I464" t="s">
        <v>16</v>
      </c>
      <c r="J464" t="s">
        <v>16</v>
      </c>
      <c r="K464" s="16" t="str">
        <f>VLOOKUP(C464,CheckName!A:B,2,0)</f>
        <v>Emp</v>
      </c>
      <c r="L464">
        <v>0</v>
      </c>
      <c r="M464" s="16">
        <f t="shared" si="7"/>
        <v>5</v>
      </c>
      <c r="N464" t="str">
        <f>TEXT(MTDRejection[[#This Row],[RejectionDate]],"dddd")</f>
        <v>Thursday</v>
      </c>
    </row>
    <row r="465" spans="1:14">
      <c r="A465" s="16" t="s">
        <v>45</v>
      </c>
      <c r="B465" s="16" t="s">
        <v>3202</v>
      </c>
      <c r="C465" s="16" t="s">
        <v>36</v>
      </c>
      <c r="D465" s="16" t="s">
        <v>26</v>
      </c>
      <c r="E465" s="19">
        <v>45631</v>
      </c>
      <c r="F465" s="16" t="s">
        <v>224</v>
      </c>
      <c r="G465" s="16">
        <v>0</v>
      </c>
      <c r="H465" s="16" t="s">
        <v>27</v>
      </c>
      <c r="I465" s="16" t="s">
        <v>16</v>
      </c>
      <c r="J465" s="16" t="s">
        <v>16</v>
      </c>
      <c r="K465" s="16" t="str">
        <f>VLOOKUP(C465,CheckName!A:B,2,0)</f>
        <v>Emp</v>
      </c>
      <c r="L465">
        <v>0</v>
      </c>
      <c r="M465" s="16">
        <f t="shared" si="7"/>
        <v>5</v>
      </c>
      <c r="N465" t="str">
        <f>TEXT(MTDRejection[[#This Row],[RejectionDate]],"dddd")</f>
        <v>Thursday</v>
      </c>
    </row>
    <row r="466" spans="1:14">
      <c r="A466" t="s">
        <v>119</v>
      </c>
      <c r="B466" t="s">
        <v>3203</v>
      </c>
      <c r="C466" t="s">
        <v>54</v>
      </c>
      <c r="D466" t="s">
        <v>26</v>
      </c>
      <c r="E466" s="7">
        <v>45631</v>
      </c>
      <c r="F466" t="s">
        <v>63</v>
      </c>
      <c r="G466">
        <v>0</v>
      </c>
      <c r="H466" t="s">
        <v>30</v>
      </c>
      <c r="I466" t="s">
        <v>16</v>
      </c>
      <c r="J466" t="s">
        <v>16</v>
      </c>
      <c r="K466" s="16" t="str">
        <f>VLOOKUP(C466,CheckName!A:B,2,0)</f>
        <v>Edu</v>
      </c>
      <c r="L466">
        <v>0</v>
      </c>
      <c r="M466" s="16">
        <f t="shared" si="7"/>
        <v>5</v>
      </c>
      <c r="N466" t="str">
        <f>TEXT(MTDRejection[[#This Row],[RejectionDate]],"dddd")</f>
        <v>Thursday</v>
      </c>
    </row>
    <row r="467" spans="1:14">
      <c r="A467" s="16" t="s">
        <v>91</v>
      </c>
      <c r="B467" s="16" t="s">
        <v>3204</v>
      </c>
      <c r="C467" s="16" t="s">
        <v>587</v>
      </c>
      <c r="D467" s="16" t="s">
        <v>26</v>
      </c>
      <c r="E467" s="19">
        <v>45631</v>
      </c>
      <c r="F467" s="16" t="s">
        <v>2330</v>
      </c>
      <c r="G467" s="16">
        <v>0</v>
      </c>
      <c r="H467" s="16" t="s">
        <v>27</v>
      </c>
      <c r="I467" s="16" t="s">
        <v>16</v>
      </c>
      <c r="J467" s="16" t="s">
        <v>16</v>
      </c>
      <c r="K467" s="16" t="str">
        <f>VLOOKUP(C467,CheckName!A:B,2,0)</f>
        <v>Add</v>
      </c>
      <c r="L467">
        <v>0</v>
      </c>
      <c r="M467" s="16">
        <f t="shared" si="7"/>
        <v>5</v>
      </c>
      <c r="N467" t="str">
        <f>TEXT(MTDRejection[[#This Row],[RejectionDate]],"dddd")</f>
        <v>Thursday</v>
      </c>
    </row>
    <row r="468" spans="1:14">
      <c r="A468" t="s">
        <v>91</v>
      </c>
      <c r="B468" t="s">
        <v>3205</v>
      </c>
      <c r="C468" t="s">
        <v>587</v>
      </c>
      <c r="D468" t="s">
        <v>26</v>
      </c>
      <c r="E468" s="7">
        <v>45631</v>
      </c>
      <c r="F468" t="s">
        <v>2330</v>
      </c>
      <c r="G468">
        <v>0</v>
      </c>
      <c r="H468" t="s">
        <v>27</v>
      </c>
      <c r="I468" t="s">
        <v>16</v>
      </c>
      <c r="J468" t="s">
        <v>16</v>
      </c>
      <c r="K468" s="16" t="str">
        <f>VLOOKUP(C468,CheckName!A:B,2,0)</f>
        <v>Add</v>
      </c>
      <c r="L468">
        <v>0</v>
      </c>
      <c r="M468" s="16">
        <f t="shared" si="7"/>
        <v>5</v>
      </c>
      <c r="N468" t="str">
        <f>TEXT(MTDRejection[[#This Row],[RejectionDate]],"dddd")</f>
        <v>Thursday</v>
      </c>
    </row>
    <row r="469" spans="1:14">
      <c r="A469" s="16" t="s">
        <v>1491</v>
      </c>
      <c r="B469" s="16" t="s">
        <v>3206</v>
      </c>
      <c r="C469" s="16" t="s">
        <v>54</v>
      </c>
      <c r="D469" s="16" t="s">
        <v>26</v>
      </c>
      <c r="E469" s="19">
        <v>45631</v>
      </c>
      <c r="F469" s="16" t="s">
        <v>63</v>
      </c>
      <c r="G469" s="16">
        <v>0</v>
      </c>
      <c r="H469" s="16" t="s">
        <v>95</v>
      </c>
      <c r="I469" s="16" t="s">
        <v>16</v>
      </c>
      <c r="J469" s="16" t="s">
        <v>16</v>
      </c>
      <c r="K469" s="16" t="str">
        <f>VLOOKUP(C469,CheckName!A:B,2,0)</f>
        <v>Edu</v>
      </c>
      <c r="L469">
        <v>0</v>
      </c>
      <c r="M469" s="16">
        <f t="shared" si="7"/>
        <v>5</v>
      </c>
      <c r="N469" t="str">
        <f>TEXT(MTDRejection[[#This Row],[RejectionDate]],"dddd")</f>
        <v>Thursday</v>
      </c>
    </row>
    <row r="470" spans="1:14">
      <c r="A470" t="s">
        <v>84</v>
      </c>
      <c r="B470" t="s">
        <v>3207</v>
      </c>
      <c r="C470" t="s">
        <v>36</v>
      </c>
      <c r="D470" t="s">
        <v>26</v>
      </c>
      <c r="E470" s="7">
        <v>45631</v>
      </c>
      <c r="F470" t="s">
        <v>2341</v>
      </c>
      <c r="G470">
        <v>0</v>
      </c>
      <c r="H470" t="s">
        <v>27</v>
      </c>
      <c r="I470" t="s">
        <v>16</v>
      </c>
      <c r="J470" t="s">
        <v>16</v>
      </c>
      <c r="K470" s="16" t="str">
        <f>VLOOKUP(C470,CheckName!A:B,2,0)</f>
        <v>Emp</v>
      </c>
      <c r="L470">
        <v>0</v>
      </c>
      <c r="M470" s="16">
        <f t="shared" si="7"/>
        <v>5</v>
      </c>
      <c r="N470" t="str">
        <f>TEXT(MTDRejection[[#This Row],[RejectionDate]],"dddd")</f>
        <v>Thursday</v>
      </c>
    </row>
    <row r="471" spans="1:14">
      <c r="A471" s="16" t="s">
        <v>88</v>
      </c>
      <c r="B471" s="16" t="s">
        <v>3208</v>
      </c>
      <c r="C471" s="16" t="s">
        <v>36</v>
      </c>
      <c r="D471" s="16" t="s">
        <v>26</v>
      </c>
      <c r="E471" s="19">
        <v>45631</v>
      </c>
      <c r="F471" s="16" t="s">
        <v>1139</v>
      </c>
      <c r="G471" s="16">
        <v>0</v>
      </c>
      <c r="H471" s="16" t="s">
        <v>27</v>
      </c>
      <c r="I471" s="16" t="s">
        <v>16</v>
      </c>
      <c r="J471" s="16" t="s">
        <v>16</v>
      </c>
      <c r="K471" s="16" t="str">
        <f>VLOOKUP(C471,CheckName!A:B,2,0)</f>
        <v>Emp</v>
      </c>
      <c r="L471">
        <v>0</v>
      </c>
      <c r="M471" s="16">
        <f t="shared" si="7"/>
        <v>5</v>
      </c>
      <c r="N471" t="str">
        <f>TEXT(MTDRejection[[#This Row],[RejectionDate]],"dddd")</f>
        <v>Thursday</v>
      </c>
    </row>
    <row r="472" spans="1:14">
      <c r="A472" t="s">
        <v>211</v>
      </c>
      <c r="B472" t="s">
        <v>3209</v>
      </c>
      <c r="C472" t="s">
        <v>54</v>
      </c>
      <c r="D472" t="s">
        <v>26</v>
      </c>
      <c r="E472" s="7">
        <v>45631</v>
      </c>
      <c r="F472" t="s">
        <v>103</v>
      </c>
      <c r="G472">
        <v>0</v>
      </c>
      <c r="H472" t="s">
        <v>27</v>
      </c>
      <c r="I472" t="s">
        <v>16</v>
      </c>
      <c r="J472" t="s">
        <v>16</v>
      </c>
      <c r="K472" s="16" t="str">
        <f>VLOOKUP(C472,CheckName!A:B,2,0)</f>
        <v>Edu</v>
      </c>
      <c r="L472">
        <v>0</v>
      </c>
      <c r="M472" s="16">
        <f t="shared" si="7"/>
        <v>5</v>
      </c>
      <c r="N472" t="str">
        <f>TEXT(MTDRejection[[#This Row],[RejectionDate]],"dddd")</f>
        <v>Thursday</v>
      </c>
    </row>
    <row r="473" spans="1:14">
      <c r="A473" s="16" t="s">
        <v>1596</v>
      </c>
      <c r="B473" s="16" t="s">
        <v>3210</v>
      </c>
      <c r="C473" s="16" t="s">
        <v>54</v>
      </c>
      <c r="D473" s="16" t="s">
        <v>26</v>
      </c>
      <c r="E473" s="19">
        <v>45631</v>
      </c>
      <c r="F473" s="16" t="s">
        <v>103</v>
      </c>
      <c r="G473" s="16">
        <v>0</v>
      </c>
      <c r="H473" s="16" t="s">
        <v>130</v>
      </c>
      <c r="I473" s="16" t="s">
        <v>16</v>
      </c>
      <c r="J473" s="16" t="s">
        <v>16</v>
      </c>
      <c r="K473" s="16" t="str">
        <f>VLOOKUP(C473,CheckName!A:B,2,0)</f>
        <v>Edu</v>
      </c>
      <c r="L473">
        <v>0</v>
      </c>
      <c r="M473" s="16">
        <f t="shared" si="7"/>
        <v>5</v>
      </c>
      <c r="N473" t="str">
        <f>TEXT(MTDRejection[[#This Row],[RejectionDate]],"dddd")</f>
        <v>Thursday</v>
      </c>
    </row>
    <row r="474" spans="1:14">
      <c r="A474" t="s">
        <v>495</v>
      </c>
      <c r="B474" t="s">
        <v>3211</v>
      </c>
      <c r="C474" t="s">
        <v>71</v>
      </c>
      <c r="D474" t="s">
        <v>38</v>
      </c>
      <c r="E474" s="7">
        <v>45631</v>
      </c>
      <c r="F474" t="s">
        <v>108</v>
      </c>
      <c r="G474">
        <v>0</v>
      </c>
      <c r="H474" t="s">
        <v>42</v>
      </c>
      <c r="I474" t="s">
        <v>16</v>
      </c>
      <c r="J474" t="s">
        <v>16</v>
      </c>
      <c r="K474" s="16" t="str">
        <f>VLOOKUP(C474,CheckName!A:B,2,0)</f>
        <v>CRC</v>
      </c>
      <c r="L474">
        <v>0</v>
      </c>
      <c r="M474" s="16">
        <f t="shared" si="7"/>
        <v>5</v>
      </c>
      <c r="N474" t="str">
        <f>TEXT(MTDRejection[[#This Row],[RejectionDate]],"dddd")</f>
        <v>Thursday</v>
      </c>
    </row>
    <row r="475" spans="1:14">
      <c r="A475" s="16" t="s">
        <v>1599</v>
      </c>
      <c r="B475" s="16" t="s">
        <v>3212</v>
      </c>
      <c r="C475" s="16" t="s">
        <v>1601</v>
      </c>
      <c r="D475" s="16" t="s">
        <v>26</v>
      </c>
      <c r="E475" s="19">
        <v>45631</v>
      </c>
      <c r="F475" s="16" t="s">
        <v>118</v>
      </c>
      <c r="G475" s="16">
        <v>0</v>
      </c>
      <c r="H475" s="16" t="s">
        <v>27</v>
      </c>
      <c r="I475" s="16" t="s">
        <v>16</v>
      </c>
      <c r="J475" s="16" t="s">
        <v>16</v>
      </c>
      <c r="K475" s="16" t="str">
        <f>VLOOKUP(C475,CheckName!A:B,2,0)</f>
        <v>CRC</v>
      </c>
      <c r="L475">
        <v>0</v>
      </c>
      <c r="M475" s="16">
        <f t="shared" si="7"/>
        <v>5</v>
      </c>
      <c r="N475" t="str">
        <f>TEXT(MTDRejection[[#This Row],[RejectionDate]],"dddd")</f>
        <v>Thursday</v>
      </c>
    </row>
    <row r="476" spans="1:14">
      <c r="A476" t="s">
        <v>1599</v>
      </c>
      <c r="B476" t="s">
        <v>2412</v>
      </c>
      <c r="C476" t="s">
        <v>1103</v>
      </c>
      <c r="D476" t="s">
        <v>26</v>
      </c>
      <c r="E476" s="7">
        <v>45631</v>
      </c>
      <c r="F476" t="s">
        <v>118</v>
      </c>
      <c r="G476">
        <v>0</v>
      </c>
      <c r="H476" t="s">
        <v>27</v>
      </c>
      <c r="I476" t="s">
        <v>16</v>
      </c>
      <c r="J476" t="s">
        <v>16</v>
      </c>
      <c r="K476" s="16" t="str">
        <f>VLOOKUP(C476,CheckName!A:B,2,0)</f>
        <v>CRC</v>
      </c>
      <c r="L476">
        <v>0</v>
      </c>
      <c r="M476" s="16">
        <f t="shared" si="7"/>
        <v>5</v>
      </c>
      <c r="N476" t="str">
        <f>TEXT(MTDRejection[[#This Row],[RejectionDate]],"dddd")</f>
        <v>Thursday</v>
      </c>
    </row>
    <row r="477" spans="1:14">
      <c r="A477" s="16" t="s">
        <v>1599</v>
      </c>
      <c r="B477" s="16" t="s">
        <v>3213</v>
      </c>
      <c r="C477" s="16" t="s">
        <v>1104</v>
      </c>
      <c r="D477" s="16" t="s">
        <v>26</v>
      </c>
      <c r="E477" s="19">
        <v>45631</v>
      </c>
      <c r="F477" s="16" t="s">
        <v>118</v>
      </c>
      <c r="G477" s="16">
        <v>0</v>
      </c>
      <c r="H477" s="16" t="s">
        <v>27</v>
      </c>
      <c r="I477" s="16" t="s">
        <v>16</v>
      </c>
      <c r="J477" s="16" t="s">
        <v>16</v>
      </c>
      <c r="K477" s="16" t="str">
        <f>VLOOKUP(C477,CheckName!A:B,2,0)</f>
        <v>CRC</v>
      </c>
      <c r="L477">
        <v>0</v>
      </c>
      <c r="M477" s="16">
        <f t="shared" si="7"/>
        <v>5</v>
      </c>
      <c r="N477" t="str">
        <f>TEXT(MTDRejection[[#This Row],[RejectionDate]],"dddd")</f>
        <v>Thursday</v>
      </c>
    </row>
    <row r="478" spans="1:14">
      <c r="A478" t="s">
        <v>1599</v>
      </c>
      <c r="B478" t="s">
        <v>2411</v>
      </c>
      <c r="C478" t="s">
        <v>49</v>
      </c>
      <c r="D478" t="s">
        <v>26</v>
      </c>
      <c r="E478" s="7">
        <v>45631</v>
      </c>
      <c r="F478" t="s">
        <v>118</v>
      </c>
      <c r="G478">
        <v>0</v>
      </c>
      <c r="H478" t="s">
        <v>27</v>
      </c>
      <c r="I478" t="s">
        <v>16</v>
      </c>
      <c r="J478" t="s">
        <v>16</v>
      </c>
      <c r="K478" s="16" t="str">
        <f>VLOOKUP(C478,CheckName!A:B,2,0)</f>
        <v>CRC</v>
      </c>
      <c r="L478">
        <v>0</v>
      </c>
      <c r="M478" s="16">
        <f t="shared" si="7"/>
        <v>5</v>
      </c>
      <c r="N478" t="str">
        <f>TEXT(MTDRejection[[#This Row],[RejectionDate]],"dddd")</f>
        <v>Thursday</v>
      </c>
    </row>
    <row r="479" spans="1:14">
      <c r="A479" s="16" t="s">
        <v>84</v>
      </c>
      <c r="B479" s="16" t="s">
        <v>3214</v>
      </c>
      <c r="C479" s="16" t="s">
        <v>12</v>
      </c>
      <c r="D479" s="16" t="s">
        <v>26</v>
      </c>
      <c r="E479" s="19">
        <v>45631</v>
      </c>
      <c r="F479" s="16" t="s">
        <v>151</v>
      </c>
      <c r="G479" s="16">
        <v>0</v>
      </c>
      <c r="H479" s="16" t="s">
        <v>27</v>
      </c>
      <c r="I479" s="16" t="s">
        <v>16</v>
      </c>
      <c r="J479" s="16" t="s">
        <v>16</v>
      </c>
      <c r="K479" s="16" t="str">
        <f>VLOOKUP(C479,CheckName!A:B,2,0)</f>
        <v>Emp</v>
      </c>
      <c r="L479">
        <v>0</v>
      </c>
      <c r="M479" s="16">
        <f t="shared" si="7"/>
        <v>5</v>
      </c>
      <c r="N479" t="str">
        <f>TEXT(MTDRejection[[#This Row],[RejectionDate]],"dddd")</f>
        <v>Thursday</v>
      </c>
    </row>
    <row r="480" spans="1:14">
      <c r="A480" t="s">
        <v>91</v>
      </c>
      <c r="B480" t="s">
        <v>3215</v>
      </c>
      <c r="C480" t="s">
        <v>587</v>
      </c>
      <c r="D480" t="s">
        <v>26</v>
      </c>
      <c r="E480" s="7">
        <v>45631</v>
      </c>
      <c r="F480" t="s">
        <v>1604</v>
      </c>
      <c r="G480">
        <v>0</v>
      </c>
      <c r="H480" t="s">
        <v>27</v>
      </c>
      <c r="I480" t="s">
        <v>16</v>
      </c>
      <c r="J480" t="s">
        <v>16</v>
      </c>
      <c r="K480" s="16" t="str">
        <f>VLOOKUP(C480,CheckName!A:B,2,0)</f>
        <v>Add</v>
      </c>
      <c r="L480">
        <v>0</v>
      </c>
      <c r="M480" s="16">
        <f t="shared" si="7"/>
        <v>5</v>
      </c>
      <c r="N480" t="str">
        <f>TEXT(MTDRejection[[#This Row],[RejectionDate]],"dddd")</f>
        <v>Thursday</v>
      </c>
    </row>
    <row r="481" spans="1:14">
      <c r="A481" s="16" t="s">
        <v>91</v>
      </c>
      <c r="B481" s="16" t="s">
        <v>3216</v>
      </c>
      <c r="C481" s="16" t="s">
        <v>587</v>
      </c>
      <c r="D481" s="16" t="s">
        <v>26</v>
      </c>
      <c r="E481" s="19">
        <v>45631</v>
      </c>
      <c r="F481" s="16" t="s">
        <v>1604</v>
      </c>
      <c r="G481" s="16">
        <v>0</v>
      </c>
      <c r="H481" s="16" t="s">
        <v>27</v>
      </c>
      <c r="I481" s="16" t="s">
        <v>16</v>
      </c>
      <c r="J481" s="16" t="s">
        <v>16</v>
      </c>
      <c r="K481" s="16" t="str">
        <f>VLOOKUP(C481,CheckName!A:B,2,0)</f>
        <v>Add</v>
      </c>
      <c r="L481">
        <v>0</v>
      </c>
      <c r="M481" s="16">
        <f t="shared" si="7"/>
        <v>5</v>
      </c>
      <c r="N481" t="str">
        <f>TEXT(MTDRejection[[#This Row],[RejectionDate]],"dddd")</f>
        <v>Thursday</v>
      </c>
    </row>
    <row r="482" spans="1:14">
      <c r="A482" t="s">
        <v>91</v>
      </c>
      <c r="B482" t="s">
        <v>3217</v>
      </c>
      <c r="C482" t="s">
        <v>587</v>
      </c>
      <c r="D482" t="s">
        <v>26</v>
      </c>
      <c r="E482" s="7">
        <v>45631</v>
      </c>
      <c r="F482" t="s">
        <v>1604</v>
      </c>
      <c r="G482">
        <v>0</v>
      </c>
      <c r="H482" t="s">
        <v>27</v>
      </c>
      <c r="I482" t="s">
        <v>16</v>
      </c>
      <c r="J482" t="s">
        <v>16</v>
      </c>
      <c r="K482" s="16" t="str">
        <f>VLOOKUP(C482,CheckName!A:B,2,0)</f>
        <v>Add</v>
      </c>
      <c r="L482">
        <v>0</v>
      </c>
      <c r="M482" s="16">
        <f t="shared" si="7"/>
        <v>5</v>
      </c>
      <c r="N482" t="str">
        <f>TEXT(MTDRejection[[#This Row],[RejectionDate]],"dddd")</f>
        <v>Thursday</v>
      </c>
    </row>
    <row r="483" spans="1:14">
      <c r="A483" s="16" t="s">
        <v>1107</v>
      </c>
      <c r="B483" s="16" t="s">
        <v>3218</v>
      </c>
      <c r="C483" s="16" t="s">
        <v>54</v>
      </c>
      <c r="D483" s="16" t="s">
        <v>26</v>
      </c>
      <c r="E483" s="19">
        <v>45630</v>
      </c>
      <c r="F483" s="16" t="s">
        <v>210</v>
      </c>
      <c r="G483" s="16">
        <v>1</v>
      </c>
      <c r="H483" s="16" t="s">
        <v>95</v>
      </c>
      <c r="I483" s="16" t="s">
        <v>16</v>
      </c>
      <c r="J483" s="16" t="s">
        <v>16</v>
      </c>
      <c r="K483" s="16" t="str">
        <f>VLOOKUP(C483,CheckName!A:B,2,0)</f>
        <v>Edu</v>
      </c>
      <c r="L483">
        <v>0</v>
      </c>
      <c r="M483" s="16">
        <f t="shared" si="7"/>
        <v>4</v>
      </c>
      <c r="N483" t="str">
        <f>TEXT(MTDRejection[[#This Row],[RejectionDate]],"dddd")</f>
        <v>Wednesday</v>
      </c>
    </row>
    <row r="484" spans="1:14">
      <c r="A484" t="s">
        <v>1608</v>
      </c>
      <c r="B484" t="s">
        <v>3219</v>
      </c>
      <c r="C484" t="s">
        <v>12</v>
      </c>
      <c r="D484" t="s">
        <v>26</v>
      </c>
      <c r="E484" s="7">
        <v>45628</v>
      </c>
      <c r="F484" t="s">
        <v>2339</v>
      </c>
      <c r="G484">
        <v>3</v>
      </c>
      <c r="H484" t="s">
        <v>27</v>
      </c>
      <c r="I484" t="s">
        <v>16</v>
      </c>
      <c r="J484" t="s">
        <v>16</v>
      </c>
      <c r="K484" s="16" t="str">
        <f>VLOOKUP(C484,CheckName!A:B,2,0)</f>
        <v>Emp</v>
      </c>
      <c r="L484">
        <v>0</v>
      </c>
      <c r="M484" s="16">
        <f t="shared" si="7"/>
        <v>2</v>
      </c>
      <c r="N484" t="str">
        <f>TEXT(MTDRejection[[#This Row],[RejectionDate]],"dddd")</f>
        <v>Monday</v>
      </c>
    </row>
    <row r="485" spans="1:14">
      <c r="A485" t="s">
        <v>1259</v>
      </c>
      <c r="B485" t="s">
        <v>3220</v>
      </c>
      <c r="C485" t="s">
        <v>12</v>
      </c>
      <c r="D485" t="s">
        <v>13</v>
      </c>
      <c r="E485" s="7">
        <v>45631</v>
      </c>
      <c r="F485" t="s">
        <v>2326</v>
      </c>
      <c r="G485">
        <v>0</v>
      </c>
      <c r="H485" t="s">
        <v>15</v>
      </c>
      <c r="I485" t="s">
        <v>16</v>
      </c>
      <c r="J485" t="s">
        <v>16</v>
      </c>
      <c r="K485" s="16" t="str">
        <f>VLOOKUP(C485,CheckName!A:B,2,0)</f>
        <v>Emp</v>
      </c>
      <c r="L485">
        <v>0</v>
      </c>
      <c r="M485" s="16">
        <f t="shared" si="7"/>
        <v>5</v>
      </c>
      <c r="N485" t="str">
        <f>TEXT(MTDRejection[[#This Row],[RejectionDate]],"dddd")</f>
        <v>Thursday</v>
      </c>
    </row>
    <row r="486" spans="1:14">
      <c r="A486" t="s">
        <v>84</v>
      </c>
      <c r="B486" t="s">
        <v>2413</v>
      </c>
      <c r="C486" t="s">
        <v>12</v>
      </c>
      <c r="D486" t="s">
        <v>26</v>
      </c>
      <c r="E486" s="7">
        <v>45631</v>
      </c>
      <c r="F486" t="s">
        <v>222</v>
      </c>
      <c r="G486">
        <v>0</v>
      </c>
      <c r="H486" t="s">
        <v>27</v>
      </c>
      <c r="I486" t="s">
        <v>16</v>
      </c>
      <c r="J486" t="s">
        <v>16</v>
      </c>
      <c r="K486" s="16" t="str">
        <f>VLOOKUP(C486,CheckName!A:B,2,0)</f>
        <v>Emp</v>
      </c>
      <c r="L486">
        <v>0</v>
      </c>
      <c r="M486" s="16">
        <f t="shared" si="7"/>
        <v>5</v>
      </c>
      <c r="N486" t="str">
        <f>TEXT(MTDRejection[[#This Row],[RejectionDate]],"dddd")</f>
        <v>Thursday</v>
      </c>
    </row>
    <row r="487" spans="1:14">
      <c r="A487" t="s">
        <v>137</v>
      </c>
      <c r="B487" t="s">
        <v>3221</v>
      </c>
      <c r="C487" t="s">
        <v>25</v>
      </c>
      <c r="D487" t="s">
        <v>20</v>
      </c>
      <c r="E487" s="7">
        <v>45631</v>
      </c>
      <c r="F487" t="s">
        <v>2330</v>
      </c>
      <c r="G487">
        <v>0</v>
      </c>
      <c r="H487" t="s">
        <v>22</v>
      </c>
      <c r="I487" t="s">
        <v>16</v>
      </c>
      <c r="J487" t="s">
        <v>16</v>
      </c>
      <c r="K487" s="16" t="str">
        <f>VLOOKUP(C487,CheckName!A:B,2,0)</f>
        <v>Add</v>
      </c>
      <c r="L487">
        <v>0</v>
      </c>
      <c r="M487" s="16">
        <f t="shared" si="7"/>
        <v>5</v>
      </c>
      <c r="N487" t="str">
        <f>TEXT(MTDRejection[[#This Row],[RejectionDate]],"dddd")</f>
        <v>Thursday</v>
      </c>
    </row>
    <row r="488" spans="1:14">
      <c r="A488" t="s">
        <v>250</v>
      </c>
      <c r="B488" t="s">
        <v>3222</v>
      </c>
      <c r="C488" t="s">
        <v>19</v>
      </c>
      <c r="D488" t="s">
        <v>20</v>
      </c>
      <c r="E488" s="7">
        <v>45631</v>
      </c>
      <c r="F488" t="s">
        <v>2330</v>
      </c>
      <c r="G488">
        <v>0</v>
      </c>
      <c r="H488" t="s">
        <v>22</v>
      </c>
      <c r="I488" t="s">
        <v>16</v>
      </c>
      <c r="J488" t="s">
        <v>16</v>
      </c>
      <c r="K488" s="16" t="str">
        <f>VLOOKUP(C488,CheckName!A:B,2,0)</f>
        <v>Add</v>
      </c>
      <c r="L488">
        <v>0</v>
      </c>
      <c r="M488" s="16">
        <f t="shared" si="7"/>
        <v>5</v>
      </c>
      <c r="N488" t="str">
        <f>TEXT(MTDRejection[[#This Row],[RejectionDate]],"dddd")</f>
        <v>Thursday</v>
      </c>
    </row>
    <row r="489" spans="1:14">
      <c r="A489" t="s">
        <v>131</v>
      </c>
      <c r="B489" t="s">
        <v>3223</v>
      </c>
      <c r="C489" t="s">
        <v>269</v>
      </c>
      <c r="D489" t="s">
        <v>13</v>
      </c>
      <c r="E489" s="7">
        <v>45631</v>
      </c>
      <c r="F489" t="s">
        <v>72</v>
      </c>
      <c r="G489">
        <v>0</v>
      </c>
      <c r="H489" t="s">
        <v>15</v>
      </c>
      <c r="I489" t="s">
        <v>16</v>
      </c>
      <c r="J489" t="s">
        <v>16</v>
      </c>
      <c r="K489" s="16" t="str">
        <f>VLOOKUP(C489,CheckName!A:B,2,0)</f>
        <v>Emp</v>
      </c>
      <c r="L489">
        <v>0</v>
      </c>
      <c r="M489" s="16">
        <f t="shared" si="7"/>
        <v>5</v>
      </c>
      <c r="N489" t="str">
        <f>TEXT(MTDRejection[[#This Row],[RejectionDate]],"dddd")</f>
        <v>Thursday</v>
      </c>
    </row>
    <row r="490" spans="1:14">
      <c r="A490" t="s">
        <v>469</v>
      </c>
      <c r="B490" t="s">
        <v>2414</v>
      </c>
      <c r="C490" t="s">
        <v>36</v>
      </c>
      <c r="D490" t="s">
        <v>13</v>
      </c>
      <c r="E490" s="7">
        <v>45631</v>
      </c>
      <c r="F490" t="s">
        <v>574</v>
      </c>
      <c r="G490">
        <v>0</v>
      </c>
      <c r="H490" t="s">
        <v>15</v>
      </c>
      <c r="I490" t="s">
        <v>16</v>
      </c>
      <c r="J490" t="s">
        <v>16</v>
      </c>
      <c r="K490" s="16" t="str">
        <f>VLOOKUP(C490,CheckName!A:B,2,0)</f>
        <v>Emp</v>
      </c>
      <c r="L490">
        <v>0</v>
      </c>
      <c r="M490" s="16">
        <f t="shared" si="7"/>
        <v>5</v>
      </c>
      <c r="N490" t="str">
        <f>TEXT(MTDRejection[[#This Row],[RejectionDate]],"dddd")</f>
        <v>Thursday</v>
      </c>
    </row>
    <row r="491" spans="1:14">
      <c r="A491" t="s">
        <v>1173</v>
      </c>
      <c r="B491" t="s">
        <v>3224</v>
      </c>
      <c r="C491" t="s">
        <v>54</v>
      </c>
      <c r="D491" t="s">
        <v>26</v>
      </c>
      <c r="E491" s="7">
        <v>45631</v>
      </c>
      <c r="F491" t="s">
        <v>94</v>
      </c>
      <c r="G491">
        <v>0</v>
      </c>
      <c r="H491" t="s">
        <v>27</v>
      </c>
      <c r="I491" t="s">
        <v>16</v>
      </c>
      <c r="J491" t="s">
        <v>16</v>
      </c>
      <c r="K491" s="16" t="str">
        <f>VLOOKUP(C491,CheckName!A:B,2,0)</f>
        <v>Edu</v>
      </c>
      <c r="L491">
        <v>0</v>
      </c>
      <c r="M491" s="16">
        <f t="shared" si="7"/>
        <v>5</v>
      </c>
      <c r="N491" t="str">
        <f>TEXT(MTDRejection[[#This Row],[RejectionDate]],"dddd")</f>
        <v>Thursday</v>
      </c>
    </row>
    <row r="492" spans="1:14">
      <c r="A492" t="s">
        <v>1204</v>
      </c>
      <c r="B492" t="s">
        <v>3225</v>
      </c>
      <c r="C492" t="s">
        <v>12</v>
      </c>
      <c r="D492" t="s">
        <v>13</v>
      </c>
      <c r="E492" s="7">
        <v>45631</v>
      </c>
      <c r="F492" t="s">
        <v>1745</v>
      </c>
      <c r="G492">
        <v>0</v>
      </c>
      <c r="H492" t="s">
        <v>15</v>
      </c>
      <c r="I492" t="s">
        <v>16</v>
      </c>
      <c r="J492" t="s">
        <v>16</v>
      </c>
      <c r="K492" s="16" t="str">
        <f>VLOOKUP(C492,CheckName!A:B,2,0)</f>
        <v>Emp</v>
      </c>
      <c r="L492">
        <v>0</v>
      </c>
      <c r="M492" s="16">
        <f t="shared" si="7"/>
        <v>5</v>
      </c>
      <c r="N492" t="str">
        <f>TEXT(MTDRejection[[#This Row],[RejectionDate]],"dddd")</f>
        <v>Thursday</v>
      </c>
    </row>
    <row r="493" spans="1:14">
      <c r="A493" t="s">
        <v>1040</v>
      </c>
      <c r="B493" t="s">
        <v>2415</v>
      </c>
      <c r="C493" t="s">
        <v>12</v>
      </c>
      <c r="D493" t="s">
        <v>26</v>
      </c>
      <c r="E493" s="7">
        <v>45631</v>
      </c>
      <c r="F493" t="s">
        <v>2335</v>
      </c>
      <c r="G493">
        <v>0</v>
      </c>
      <c r="H493" t="s">
        <v>22</v>
      </c>
      <c r="I493" t="s">
        <v>16</v>
      </c>
      <c r="J493" t="s">
        <v>16</v>
      </c>
      <c r="K493" s="16" t="str">
        <f>VLOOKUP(C493,CheckName!A:B,2,0)</f>
        <v>Emp</v>
      </c>
      <c r="L493">
        <v>0</v>
      </c>
      <c r="M493" s="16">
        <f t="shared" si="7"/>
        <v>5</v>
      </c>
      <c r="N493" t="str">
        <f>TEXT(MTDRejection[[#This Row],[RejectionDate]],"dddd")</f>
        <v>Thursday</v>
      </c>
    </row>
    <row r="494" spans="1:14">
      <c r="A494" t="s">
        <v>10</v>
      </c>
      <c r="B494" t="s">
        <v>3226</v>
      </c>
      <c r="C494" t="s">
        <v>12</v>
      </c>
      <c r="D494" t="s">
        <v>13</v>
      </c>
      <c r="E494" s="7">
        <v>45631</v>
      </c>
      <c r="F494" t="s">
        <v>540</v>
      </c>
      <c r="G494">
        <v>0</v>
      </c>
      <c r="H494" t="s">
        <v>15</v>
      </c>
      <c r="I494" t="s">
        <v>16</v>
      </c>
      <c r="J494" t="s">
        <v>16</v>
      </c>
      <c r="K494" s="16" t="str">
        <f>VLOOKUP(C494,CheckName!A:B,2,0)</f>
        <v>Emp</v>
      </c>
      <c r="L494">
        <v>0</v>
      </c>
      <c r="M494" s="16">
        <f t="shared" si="7"/>
        <v>5</v>
      </c>
      <c r="N494" t="str">
        <f>TEXT(MTDRejection[[#This Row],[RejectionDate]],"dddd")</f>
        <v>Thursday</v>
      </c>
    </row>
    <row r="495" spans="1:14">
      <c r="A495" t="s">
        <v>172</v>
      </c>
      <c r="B495" t="s">
        <v>2416</v>
      </c>
      <c r="C495" t="s">
        <v>12</v>
      </c>
      <c r="D495" t="s">
        <v>13</v>
      </c>
      <c r="E495" s="7">
        <v>45631</v>
      </c>
      <c r="F495" t="s">
        <v>540</v>
      </c>
      <c r="G495">
        <v>0</v>
      </c>
      <c r="H495" t="s">
        <v>15</v>
      </c>
      <c r="I495" t="s">
        <v>16</v>
      </c>
      <c r="J495" t="s">
        <v>16</v>
      </c>
      <c r="K495" s="16" t="str">
        <f>VLOOKUP(C495,CheckName!A:B,2,0)</f>
        <v>Emp</v>
      </c>
      <c r="L495">
        <v>0</v>
      </c>
      <c r="M495" s="16">
        <f t="shared" si="7"/>
        <v>5</v>
      </c>
      <c r="N495" t="str">
        <f>TEXT(MTDRejection[[#This Row],[RejectionDate]],"dddd")</f>
        <v>Thursday</v>
      </c>
    </row>
    <row r="496" spans="1:14">
      <c r="A496" t="s">
        <v>176</v>
      </c>
      <c r="B496" t="s">
        <v>3227</v>
      </c>
      <c r="C496" t="s">
        <v>12</v>
      </c>
      <c r="D496" t="s">
        <v>26</v>
      </c>
      <c r="E496" s="7">
        <v>45631</v>
      </c>
      <c r="F496" t="s">
        <v>115</v>
      </c>
      <c r="G496">
        <v>0</v>
      </c>
      <c r="H496" t="s">
        <v>27</v>
      </c>
      <c r="I496" t="s">
        <v>16</v>
      </c>
      <c r="J496" t="s">
        <v>16</v>
      </c>
      <c r="K496" s="16" t="str">
        <f>VLOOKUP(C496,CheckName!A:B,2,0)</f>
        <v>Emp</v>
      </c>
      <c r="L496">
        <v>0</v>
      </c>
      <c r="M496" s="16">
        <f t="shared" si="7"/>
        <v>5</v>
      </c>
      <c r="N496" t="str">
        <f>TEXT(MTDRejection[[#This Row],[RejectionDate]],"dddd")</f>
        <v>Thursday</v>
      </c>
    </row>
    <row r="497" spans="1:14">
      <c r="A497" t="s">
        <v>176</v>
      </c>
      <c r="B497" t="s">
        <v>3228</v>
      </c>
      <c r="C497" t="s">
        <v>12</v>
      </c>
      <c r="D497" t="s">
        <v>26</v>
      </c>
      <c r="E497" s="7">
        <v>45631</v>
      </c>
      <c r="F497" t="s">
        <v>115</v>
      </c>
      <c r="G497">
        <v>0</v>
      </c>
      <c r="H497" t="s">
        <v>27</v>
      </c>
      <c r="I497" t="s">
        <v>16</v>
      </c>
      <c r="J497" t="s">
        <v>16</v>
      </c>
      <c r="K497" s="16" t="str">
        <f>VLOOKUP(C497,CheckName!A:B,2,0)</f>
        <v>Emp</v>
      </c>
      <c r="L497">
        <v>0</v>
      </c>
      <c r="M497" s="16">
        <f t="shared" si="7"/>
        <v>5</v>
      </c>
      <c r="N497" t="str">
        <f>TEXT(MTDRejection[[#This Row],[RejectionDate]],"dddd")</f>
        <v>Thursday</v>
      </c>
    </row>
    <row r="498" spans="1:14">
      <c r="A498" t="s">
        <v>84</v>
      </c>
      <c r="B498" t="s">
        <v>3229</v>
      </c>
      <c r="C498" t="s">
        <v>36</v>
      </c>
      <c r="D498" t="s">
        <v>26</v>
      </c>
      <c r="E498" s="7">
        <v>45631</v>
      </c>
      <c r="F498" t="s">
        <v>2355</v>
      </c>
      <c r="G498">
        <v>0</v>
      </c>
      <c r="H498" t="s">
        <v>22</v>
      </c>
      <c r="I498" t="s">
        <v>16</v>
      </c>
      <c r="J498" t="s">
        <v>16</v>
      </c>
      <c r="K498" s="16" t="str">
        <f>VLOOKUP(C498,CheckName!A:B,2,0)</f>
        <v>Emp</v>
      </c>
      <c r="L498">
        <v>0</v>
      </c>
      <c r="M498" s="16">
        <f t="shared" si="7"/>
        <v>5</v>
      </c>
      <c r="N498" t="str">
        <f>TEXT(MTDRejection[[#This Row],[RejectionDate]],"dddd")</f>
        <v>Thursday</v>
      </c>
    </row>
    <row r="499" spans="1:14">
      <c r="A499" t="s">
        <v>84</v>
      </c>
      <c r="B499" t="s">
        <v>3230</v>
      </c>
      <c r="C499" t="s">
        <v>54</v>
      </c>
      <c r="D499" t="s">
        <v>26</v>
      </c>
      <c r="E499" s="7">
        <v>45630</v>
      </c>
      <c r="F499" t="s">
        <v>538</v>
      </c>
      <c r="G499">
        <v>1</v>
      </c>
      <c r="H499" t="s">
        <v>27</v>
      </c>
      <c r="I499" t="s">
        <v>16</v>
      </c>
      <c r="J499" t="s">
        <v>16</v>
      </c>
      <c r="K499" s="16" t="str">
        <f>VLOOKUP(C499,CheckName!A:B,2,0)</f>
        <v>Edu</v>
      </c>
      <c r="L499">
        <v>0</v>
      </c>
      <c r="M499" s="16">
        <f t="shared" si="7"/>
        <v>4</v>
      </c>
      <c r="N499" t="str">
        <f>TEXT(MTDRejection[[#This Row],[RejectionDate]],"dddd")</f>
        <v>Wednesday</v>
      </c>
    </row>
    <row r="500" spans="1:14">
      <c r="A500" t="s">
        <v>519</v>
      </c>
      <c r="B500" t="s">
        <v>3231</v>
      </c>
      <c r="C500" t="s">
        <v>1293</v>
      </c>
      <c r="D500" t="s">
        <v>26</v>
      </c>
      <c r="E500" s="7">
        <v>45630</v>
      </c>
      <c r="F500" t="s">
        <v>94</v>
      </c>
      <c r="G500">
        <v>1</v>
      </c>
      <c r="H500" t="s">
        <v>30</v>
      </c>
      <c r="I500" t="s">
        <v>16</v>
      </c>
      <c r="J500" t="s">
        <v>16</v>
      </c>
      <c r="K500" s="16" t="str">
        <f>VLOOKUP(C500,CheckName!A:B,2,0)</f>
        <v>Edu</v>
      </c>
      <c r="L500">
        <v>0</v>
      </c>
      <c r="M500" s="16">
        <f t="shared" si="7"/>
        <v>4</v>
      </c>
      <c r="N500" t="str">
        <f>TEXT(MTDRejection[[#This Row],[RejectionDate]],"dddd")</f>
        <v>Wednesday</v>
      </c>
    </row>
    <row r="501" spans="1:14">
      <c r="A501" t="s">
        <v>216</v>
      </c>
      <c r="B501" t="s">
        <v>3232</v>
      </c>
      <c r="C501" t="s">
        <v>59</v>
      </c>
      <c r="D501" t="s">
        <v>13</v>
      </c>
      <c r="E501" s="7">
        <v>45630</v>
      </c>
      <c r="F501" t="s">
        <v>844</v>
      </c>
      <c r="G501">
        <v>1</v>
      </c>
      <c r="H501" t="s">
        <v>15</v>
      </c>
      <c r="I501" t="s">
        <v>16</v>
      </c>
      <c r="J501" t="s">
        <v>16</v>
      </c>
      <c r="K501" s="16" t="str">
        <f>VLOOKUP(C501,CheckName!A:B,2,0)</f>
        <v>Special Check</v>
      </c>
      <c r="L501">
        <v>0</v>
      </c>
      <c r="M501" s="16">
        <f t="shared" si="7"/>
        <v>4</v>
      </c>
      <c r="N501" t="str">
        <f>TEXT(MTDRejection[[#This Row],[RejectionDate]],"dddd")</f>
        <v>Wednesday</v>
      </c>
    </row>
    <row r="502" spans="1:14">
      <c r="A502" t="s">
        <v>160</v>
      </c>
      <c r="B502" t="s">
        <v>3233</v>
      </c>
      <c r="C502" t="s">
        <v>36</v>
      </c>
      <c r="D502" t="s">
        <v>26</v>
      </c>
      <c r="E502" s="7">
        <v>45630</v>
      </c>
      <c r="F502" t="s">
        <v>83</v>
      </c>
      <c r="G502">
        <v>1</v>
      </c>
      <c r="H502" t="s">
        <v>27</v>
      </c>
      <c r="I502" t="s">
        <v>16</v>
      </c>
      <c r="J502" t="s">
        <v>16</v>
      </c>
      <c r="K502" s="16" t="str">
        <f>VLOOKUP(C502,CheckName!A:B,2,0)</f>
        <v>Emp</v>
      </c>
      <c r="L502">
        <v>0</v>
      </c>
      <c r="M502" s="16">
        <f t="shared" si="7"/>
        <v>4</v>
      </c>
      <c r="N502" t="str">
        <f>TEXT(MTDRejection[[#This Row],[RejectionDate]],"dddd")</f>
        <v>Wednesday</v>
      </c>
    </row>
    <row r="503" spans="1:14">
      <c r="A503" t="s">
        <v>1746</v>
      </c>
      <c r="B503" t="s">
        <v>3234</v>
      </c>
      <c r="C503" t="s">
        <v>12</v>
      </c>
      <c r="D503" t="s">
        <v>38</v>
      </c>
      <c r="E503" s="7">
        <v>45630</v>
      </c>
      <c r="F503" t="s">
        <v>39</v>
      </c>
      <c r="G503">
        <v>1</v>
      </c>
      <c r="H503" t="s">
        <v>42</v>
      </c>
      <c r="I503" t="s">
        <v>16</v>
      </c>
      <c r="J503" t="s">
        <v>16</v>
      </c>
      <c r="K503" s="16" t="str">
        <f>VLOOKUP(C503,CheckName!A:B,2,0)</f>
        <v>Emp</v>
      </c>
      <c r="L503">
        <v>0</v>
      </c>
      <c r="M503" s="16">
        <f t="shared" si="7"/>
        <v>4</v>
      </c>
      <c r="N503" t="str">
        <f>TEXT(MTDRejection[[#This Row],[RejectionDate]],"dddd")</f>
        <v>Wednesday</v>
      </c>
    </row>
    <row r="504" spans="1:14">
      <c r="A504" t="s">
        <v>100</v>
      </c>
      <c r="B504" t="s">
        <v>3235</v>
      </c>
      <c r="C504" t="s">
        <v>359</v>
      </c>
      <c r="D504" t="s">
        <v>26</v>
      </c>
      <c r="E504" s="7">
        <v>45629</v>
      </c>
      <c r="F504" t="s">
        <v>380</v>
      </c>
      <c r="G504">
        <v>2</v>
      </c>
      <c r="H504" t="s">
        <v>30</v>
      </c>
      <c r="I504" t="s">
        <v>16</v>
      </c>
      <c r="J504" t="s">
        <v>16</v>
      </c>
      <c r="K504" s="16" t="str">
        <f>VLOOKUP(C504,CheckName!A:B,2,0)</f>
        <v>Emp</v>
      </c>
      <c r="L504">
        <v>0</v>
      </c>
      <c r="M504" s="16">
        <f t="shared" si="7"/>
        <v>3</v>
      </c>
      <c r="N504" t="str">
        <f>TEXT(MTDRejection[[#This Row],[RejectionDate]],"dddd")</f>
        <v>Tuesday</v>
      </c>
    </row>
    <row r="505" spans="1:14">
      <c r="A505" t="s">
        <v>73</v>
      </c>
      <c r="B505" t="s">
        <v>3236</v>
      </c>
      <c r="C505" t="s">
        <v>54</v>
      </c>
      <c r="D505" t="s">
        <v>26</v>
      </c>
      <c r="E505" s="7">
        <v>45629</v>
      </c>
      <c r="F505" t="s">
        <v>535</v>
      </c>
      <c r="G505">
        <v>2</v>
      </c>
      <c r="H505" t="s">
        <v>27</v>
      </c>
      <c r="I505" t="s">
        <v>16</v>
      </c>
      <c r="J505" t="s">
        <v>16</v>
      </c>
      <c r="K505" s="16" t="str">
        <f>VLOOKUP(C505,CheckName!A:B,2,0)</f>
        <v>Edu</v>
      </c>
      <c r="L505">
        <v>0</v>
      </c>
      <c r="M505" s="16">
        <f t="shared" si="7"/>
        <v>3</v>
      </c>
      <c r="N505" t="str">
        <f>TEXT(MTDRejection[[#This Row],[RejectionDate]],"dddd")</f>
        <v>Tuesday</v>
      </c>
    </row>
    <row r="506" spans="1:14">
      <c r="A506" t="s">
        <v>64</v>
      </c>
      <c r="B506" t="s">
        <v>3237</v>
      </c>
      <c r="C506" t="s">
        <v>54</v>
      </c>
      <c r="D506" t="s">
        <v>26</v>
      </c>
      <c r="E506" s="7">
        <v>45628</v>
      </c>
      <c r="F506" t="s">
        <v>535</v>
      </c>
      <c r="G506">
        <v>3</v>
      </c>
      <c r="H506" t="s">
        <v>22</v>
      </c>
      <c r="I506" t="s">
        <v>16</v>
      </c>
      <c r="J506" t="s">
        <v>16</v>
      </c>
      <c r="K506" s="16" t="str">
        <f>VLOOKUP(C506,CheckName!A:B,2,0)</f>
        <v>Edu</v>
      </c>
      <c r="L506">
        <v>0</v>
      </c>
      <c r="M506" s="16">
        <f t="shared" si="7"/>
        <v>2</v>
      </c>
      <c r="N506" t="str">
        <f>TEXT(MTDRejection[[#This Row],[RejectionDate]],"dddd")</f>
        <v>Monday</v>
      </c>
    </row>
    <row r="507" spans="1:14">
      <c r="A507" t="s">
        <v>362</v>
      </c>
      <c r="B507" t="s">
        <v>3238</v>
      </c>
      <c r="C507" t="s">
        <v>25</v>
      </c>
      <c r="D507" t="s">
        <v>20</v>
      </c>
      <c r="E507" s="7">
        <v>45628</v>
      </c>
      <c r="F507" t="s">
        <v>2330</v>
      </c>
      <c r="G507">
        <v>3</v>
      </c>
      <c r="H507" t="s">
        <v>22</v>
      </c>
      <c r="I507" t="s">
        <v>16</v>
      </c>
      <c r="J507" t="s">
        <v>16</v>
      </c>
      <c r="K507" s="16" t="str">
        <f>VLOOKUP(C507,CheckName!A:B,2,0)</f>
        <v>Add</v>
      </c>
      <c r="L507">
        <v>0</v>
      </c>
      <c r="M507" s="16">
        <f t="shared" si="7"/>
        <v>2</v>
      </c>
      <c r="N507" t="str">
        <f>TEXT(MTDRejection[[#This Row],[RejectionDate]],"dddd")</f>
        <v>Monday</v>
      </c>
    </row>
    <row r="508" spans="1:14">
      <c r="A508" t="s">
        <v>385</v>
      </c>
      <c r="B508" t="s">
        <v>3239</v>
      </c>
      <c r="C508" t="s">
        <v>1528</v>
      </c>
      <c r="D508" t="s">
        <v>13</v>
      </c>
      <c r="E508" s="7">
        <v>45631</v>
      </c>
      <c r="F508" t="s">
        <v>2326</v>
      </c>
      <c r="G508">
        <v>0</v>
      </c>
      <c r="H508" t="s">
        <v>505</v>
      </c>
      <c r="I508" t="s">
        <v>16</v>
      </c>
      <c r="J508" t="s">
        <v>16</v>
      </c>
      <c r="K508" s="16" t="str">
        <f>VLOOKUP(C508,CheckName!A:B,2,0)</f>
        <v>Special Check</v>
      </c>
      <c r="L508">
        <v>0</v>
      </c>
      <c r="M508" s="16">
        <f t="shared" ref="M508" si="8">DAY(E508)</f>
        <v>5</v>
      </c>
      <c r="N508" t="str">
        <f>TEXT(MTDRejection[[#This Row],[RejectionDate]],"dddd")</f>
        <v>Thursday</v>
      </c>
    </row>
    <row r="509" spans="1:14">
      <c r="A509" t="s">
        <v>934</v>
      </c>
      <c r="B509" t="s">
        <v>3240</v>
      </c>
      <c r="C509" t="s">
        <v>125</v>
      </c>
      <c r="D509" t="s">
        <v>13</v>
      </c>
      <c r="E509" s="7">
        <v>45631</v>
      </c>
      <c r="F509" t="s">
        <v>2343</v>
      </c>
      <c r="G509">
        <v>0</v>
      </c>
      <c r="H509" t="s">
        <v>15</v>
      </c>
      <c r="I509" t="s">
        <v>16</v>
      </c>
      <c r="J509" t="s">
        <v>16</v>
      </c>
      <c r="K509" s="16" t="str">
        <f>VLOOKUP(C509,CheckName!A:B,2,0)</f>
        <v>Emp</v>
      </c>
      <c r="L509">
        <v>0</v>
      </c>
      <c r="M509" s="16">
        <f>DAY(E509)</f>
        <v>5</v>
      </c>
      <c r="N509" t="str">
        <f>TEXT(MTDRejection[[#This Row],[RejectionDate]],"dddd")</f>
        <v>Thursday</v>
      </c>
    </row>
    <row r="510" spans="1:14">
      <c r="A510" t="s">
        <v>1393</v>
      </c>
      <c r="B510" t="s">
        <v>3241</v>
      </c>
      <c r="C510" t="s">
        <v>19</v>
      </c>
      <c r="D510" t="s">
        <v>20</v>
      </c>
      <c r="E510" s="7">
        <v>45631</v>
      </c>
      <c r="F510" t="s">
        <v>2327</v>
      </c>
      <c r="G510">
        <v>0</v>
      </c>
      <c r="H510" t="s">
        <v>27</v>
      </c>
      <c r="I510" t="s">
        <v>16</v>
      </c>
      <c r="J510" t="s">
        <v>16</v>
      </c>
      <c r="K510" s="16" t="str">
        <f>VLOOKUP(C510,CheckName!A:B,2,0)</f>
        <v>Add</v>
      </c>
      <c r="L510">
        <v>0</v>
      </c>
      <c r="M510" s="16">
        <f t="shared" ref="M510:M513" si="9">DAY(E510)</f>
        <v>5</v>
      </c>
      <c r="N510" t="str">
        <f>TEXT(MTDRejection[[#This Row],[RejectionDate]],"dddd")</f>
        <v>Thursday</v>
      </c>
    </row>
    <row r="511" spans="1:14">
      <c r="A511" t="s">
        <v>119</v>
      </c>
      <c r="B511" t="s">
        <v>3242</v>
      </c>
      <c r="C511" t="s">
        <v>12</v>
      </c>
      <c r="D511" t="s">
        <v>26</v>
      </c>
      <c r="E511" s="7">
        <v>45631</v>
      </c>
      <c r="F511" t="s">
        <v>325</v>
      </c>
      <c r="G511">
        <v>0</v>
      </c>
      <c r="H511" t="s">
        <v>27</v>
      </c>
      <c r="I511" t="s">
        <v>16</v>
      </c>
      <c r="J511" t="s">
        <v>16</v>
      </c>
      <c r="K511" s="16" t="str">
        <f>VLOOKUP(C511,CheckName!A:B,2,0)</f>
        <v>Emp</v>
      </c>
      <c r="L511">
        <v>0</v>
      </c>
      <c r="M511" s="16">
        <f t="shared" si="9"/>
        <v>5</v>
      </c>
      <c r="N511" t="str">
        <f>TEXT(MTDRejection[[#This Row],[RejectionDate]],"dddd")</f>
        <v>Thursday</v>
      </c>
    </row>
    <row r="512" spans="1:14">
      <c r="A512" t="s">
        <v>200</v>
      </c>
      <c r="B512" t="s">
        <v>3243</v>
      </c>
      <c r="C512" t="s">
        <v>19</v>
      </c>
      <c r="D512" t="s">
        <v>20</v>
      </c>
      <c r="E512" s="7">
        <v>45631</v>
      </c>
      <c r="F512" t="s">
        <v>273</v>
      </c>
      <c r="G512">
        <v>0</v>
      </c>
      <c r="H512" t="s">
        <v>22</v>
      </c>
      <c r="I512" t="s">
        <v>16</v>
      </c>
      <c r="J512" t="s">
        <v>16</v>
      </c>
      <c r="K512" s="16" t="str">
        <f>VLOOKUP(C512,CheckName!A:B,2,0)</f>
        <v>Add</v>
      </c>
      <c r="L512">
        <v>0</v>
      </c>
      <c r="M512" s="16">
        <f t="shared" si="9"/>
        <v>5</v>
      </c>
      <c r="N512" t="str">
        <f>TEXT(MTDRejection[[#This Row],[RejectionDate]],"dddd")</f>
        <v>Thursday</v>
      </c>
    </row>
    <row r="513" spans="1:14">
      <c r="A513" t="s">
        <v>139</v>
      </c>
      <c r="B513" t="s">
        <v>3244</v>
      </c>
      <c r="C513" t="s">
        <v>25</v>
      </c>
      <c r="D513" t="s">
        <v>20</v>
      </c>
      <c r="E513" s="7">
        <v>45631</v>
      </c>
      <c r="F513" t="s">
        <v>2327</v>
      </c>
      <c r="G513">
        <v>0</v>
      </c>
      <c r="H513" t="s">
        <v>27</v>
      </c>
      <c r="I513" t="s">
        <v>16</v>
      </c>
      <c r="J513" t="s">
        <v>16</v>
      </c>
      <c r="K513" s="16" t="str">
        <f>VLOOKUP(C513,CheckName!A:B,2,0)</f>
        <v>Add</v>
      </c>
      <c r="L513">
        <v>0</v>
      </c>
      <c r="M513" s="16">
        <f t="shared" si="9"/>
        <v>5</v>
      </c>
      <c r="N513" t="str">
        <f>TEXT(MTDRejection[[#This Row],[RejectionDate]],"dddd")</f>
        <v>Thursday</v>
      </c>
    </row>
    <row r="514" spans="1:14">
      <c r="A514" t="s">
        <v>556</v>
      </c>
      <c r="B514" t="s">
        <v>3245</v>
      </c>
      <c r="C514" t="s">
        <v>19</v>
      </c>
      <c r="D514" t="s">
        <v>20</v>
      </c>
      <c r="E514" s="7">
        <v>45631</v>
      </c>
      <c r="F514" t="s">
        <v>2327</v>
      </c>
      <c r="G514">
        <v>0</v>
      </c>
      <c r="H514" t="s">
        <v>27</v>
      </c>
      <c r="I514" t="s">
        <v>16</v>
      </c>
      <c r="J514" t="s">
        <v>16</v>
      </c>
      <c r="K514" s="16" t="str">
        <f>VLOOKUP(C514,CheckName!A:B,2,0)</f>
        <v>Add</v>
      </c>
      <c r="L514">
        <v>0</v>
      </c>
      <c r="M514" s="16">
        <f t="shared" ref="M514:M520" si="10">DAY(E514)</f>
        <v>5</v>
      </c>
      <c r="N514" t="str">
        <f>TEXT(MTDRejection[[#This Row],[RejectionDate]],"dddd")</f>
        <v>Thursday</v>
      </c>
    </row>
    <row r="515" spans="1:14">
      <c r="A515" t="s">
        <v>119</v>
      </c>
      <c r="B515" t="s">
        <v>3246</v>
      </c>
      <c r="C515" t="s">
        <v>36</v>
      </c>
      <c r="D515" t="s">
        <v>38</v>
      </c>
      <c r="E515" s="7">
        <v>45631</v>
      </c>
      <c r="F515" t="s">
        <v>39</v>
      </c>
      <c r="G515">
        <v>0</v>
      </c>
      <c r="H515" t="s">
        <v>42</v>
      </c>
      <c r="I515" t="s">
        <v>16</v>
      </c>
      <c r="J515" t="s">
        <v>16</v>
      </c>
      <c r="K515" s="16" t="str">
        <f>VLOOKUP(C515,CheckName!A:B,2,0)</f>
        <v>Emp</v>
      </c>
      <c r="L515">
        <v>0</v>
      </c>
      <c r="M515" s="16">
        <f t="shared" si="10"/>
        <v>5</v>
      </c>
      <c r="N515" t="str">
        <f>TEXT(MTDRejection[[#This Row],[RejectionDate]],"dddd")</f>
        <v>Thursday</v>
      </c>
    </row>
    <row r="516" spans="1:14">
      <c r="A516" t="s">
        <v>119</v>
      </c>
      <c r="B516" t="s">
        <v>2417</v>
      </c>
      <c r="C516" t="s">
        <v>125</v>
      </c>
      <c r="D516" t="s">
        <v>38</v>
      </c>
      <c r="E516" s="7">
        <v>45631</v>
      </c>
      <c r="F516" t="s">
        <v>39</v>
      </c>
      <c r="G516">
        <v>0</v>
      </c>
      <c r="H516" t="s">
        <v>42</v>
      </c>
      <c r="I516" t="s">
        <v>16</v>
      </c>
      <c r="J516" t="s">
        <v>16</v>
      </c>
      <c r="K516" s="16" t="str">
        <f>VLOOKUP(C516,CheckName!A:B,2,0)</f>
        <v>Emp</v>
      </c>
      <c r="L516">
        <v>0</v>
      </c>
      <c r="M516" s="16">
        <f t="shared" si="10"/>
        <v>5</v>
      </c>
      <c r="N516" t="str">
        <f>TEXT(MTDRejection[[#This Row],[RejectionDate]],"dddd")</f>
        <v>Thursday</v>
      </c>
    </row>
    <row r="517" spans="1:14">
      <c r="A517" t="s">
        <v>47</v>
      </c>
      <c r="B517" t="s">
        <v>3247</v>
      </c>
      <c r="C517" t="s">
        <v>56</v>
      </c>
      <c r="D517" t="s">
        <v>51</v>
      </c>
      <c r="E517" s="7">
        <v>45631</v>
      </c>
      <c r="F517" t="s">
        <v>52</v>
      </c>
      <c r="G517">
        <v>0</v>
      </c>
      <c r="H517" t="s">
        <v>53</v>
      </c>
      <c r="I517" t="s">
        <v>16</v>
      </c>
      <c r="J517" t="s">
        <v>16</v>
      </c>
      <c r="K517" s="16" t="str">
        <f>VLOOKUP(C517,CheckName!A:B,2,0)</f>
        <v>Special Check</v>
      </c>
      <c r="L517">
        <v>0</v>
      </c>
      <c r="M517" s="16">
        <f t="shared" si="10"/>
        <v>5</v>
      </c>
      <c r="N517" t="str">
        <f>TEXT(MTDRejection[[#This Row],[RejectionDate]],"dddd")</f>
        <v>Thursday</v>
      </c>
    </row>
    <row r="518" spans="1:14">
      <c r="A518" t="s">
        <v>883</v>
      </c>
      <c r="B518" t="s">
        <v>3248</v>
      </c>
      <c r="C518" t="s">
        <v>56</v>
      </c>
      <c r="D518" t="s">
        <v>51</v>
      </c>
      <c r="E518" s="7">
        <v>45631</v>
      </c>
      <c r="F518" t="s">
        <v>52</v>
      </c>
      <c r="G518">
        <v>0</v>
      </c>
      <c r="H518" t="s">
        <v>53</v>
      </c>
      <c r="I518" t="s">
        <v>16</v>
      </c>
      <c r="J518" t="s">
        <v>16</v>
      </c>
      <c r="K518" s="16" t="str">
        <f>VLOOKUP(C518,CheckName!A:B,2,0)</f>
        <v>Special Check</v>
      </c>
      <c r="L518">
        <v>0</v>
      </c>
      <c r="M518" s="16">
        <f t="shared" si="10"/>
        <v>5</v>
      </c>
      <c r="N518" t="str">
        <f>TEXT(MTDRejection[[#This Row],[RejectionDate]],"dddd")</f>
        <v>Thursday</v>
      </c>
    </row>
    <row r="519" spans="1:14">
      <c r="A519" t="s">
        <v>1755</v>
      </c>
      <c r="B519" t="s">
        <v>3249</v>
      </c>
      <c r="C519" t="s">
        <v>36</v>
      </c>
      <c r="D519" t="s">
        <v>26</v>
      </c>
      <c r="E519" s="7">
        <v>45631</v>
      </c>
      <c r="F519" t="s">
        <v>1055</v>
      </c>
      <c r="G519">
        <v>0</v>
      </c>
      <c r="H519" t="s">
        <v>130</v>
      </c>
      <c r="I519" t="s">
        <v>16</v>
      </c>
      <c r="J519" t="s">
        <v>16</v>
      </c>
      <c r="K519" s="16" t="str">
        <f>VLOOKUP(C519,CheckName!A:B,2,0)</f>
        <v>Emp</v>
      </c>
      <c r="L519">
        <v>0</v>
      </c>
      <c r="M519" s="16">
        <f t="shared" si="10"/>
        <v>5</v>
      </c>
      <c r="N519" t="str">
        <f>TEXT(MTDRejection[[#This Row],[RejectionDate]],"dddd")</f>
        <v>Thursday</v>
      </c>
    </row>
    <row r="520" spans="1:14">
      <c r="A520" t="s">
        <v>1756</v>
      </c>
      <c r="B520" t="s">
        <v>3250</v>
      </c>
      <c r="C520" t="s">
        <v>36</v>
      </c>
      <c r="D520" t="s">
        <v>26</v>
      </c>
      <c r="E520" s="7">
        <v>45631</v>
      </c>
      <c r="F520" t="s">
        <v>222</v>
      </c>
      <c r="G520">
        <v>0</v>
      </c>
      <c r="H520" t="s">
        <v>27</v>
      </c>
      <c r="I520" t="s">
        <v>16</v>
      </c>
      <c r="J520" t="s">
        <v>16</v>
      </c>
      <c r="K520" s="16" t="str">
        <f>VLOOKUP(C520,CheckName!A:B,2,0)</f>
        <v>Emp</v>
      </c>
      <c r="L520">
        <v>0</v>
      </c>
      <c r="M520" s="16">
        <f t="shared" si="10"/>
        <v>5</v>
      </c>
      <c r="N520" t="str">
        <f>TEXT(MTDRejection[[#This Row],[RejectionDate]],"dddd")</f>
        <v>Thursday</v>
      </c>
    </row>
    <row r="521" spans="1:14">
      <c r="A521" t="s">
        <v>100</v>
      </c>
      <c r="B521" t="s">
        <v>3251</v>
      </c>
      <c r="C521" t="s">
        <v>359</v>
      </c>
      <c r="D521" t="s">
        <v>26</v>
      </c>
      <c r="E521" s="7">
        <v>45631</v>
      </c>
      <c r="F521" t="s">
        <v>222</v>
      </c>
      <c r="G521">
        <v>0</v>
      </c>
      <c r="H521" t="s">
        <v>22</v>
      </c>
      <c r="I521" t="s">
        <v>16</v>
      </c>
      <c r="J521" t="s">
        <v>16</v>
      </c>
      <c r="K521" s="16" t="str">
        <f>VLOOKUP(C521,CheckName!A:B,2,0)</f>
        <v>Emp</v>
      </c>
      <c r="L521">
        <v>0</v>
      </c>
      <c r="M521" s="16">
        <f>DAY(E521)</f>
        <v>5</v>
      </c>
      <c r="N521" t="str">
        <f>TEXT(MTDRejection[[#This Row],[RejectionDate]],"dddd")</f>
        <v>Thursday</v>
      </c>
    </row>
    <row r="522" spans="1:14">
      <c r="A522" t="s">
        <v>1757</v>
      </c>
      <c r="B522" t="s">
        <v>3252</v>
      </c>
      <c r="C522" t="s">
        <v>19</v>
      </c>
      <c r="D522" t="s">
        <v>26</v>
      </c>
      <c r="E522" s="7">
        <v>45631</v>
      </c>
      <c r="F522" t="s">
        <v>2330</v>
      </c>
      <c r="G522">
        <v>0</v>
      </c>
      <c r="H522" t="s">
        <v>27</v>
      </c>
      <c r="I522" t="s">
        <v>16</v>
      </c>
      <c r="J522" t="s">
        <v>16</v>
      </c>
      <c r="K522" s="16" t="str">
        <f>VLOOKUP(C522,CheckName!A:B,2,0)</f>
        <v>Add</v>
      </c>
      <c r="L522">
        <v>0</v>
      </c>
      <c r="M522" s="16">
        <f>DAY(E522)</f>
        <v>5</v>
      </c>
      <c r="N522" t="str">
        <f>TEXT(MTDRejection[[#This Row],[RejectionDate]],"dddd")</f>
        <v>Thursday</v>
      </c>
    </row>
    <row r="523" spans="1:14">
      <c r="A523" t="s">
        <v>47</v>
      </c>
      <c r="B523" t="s">
        <v>3253</v>
      </c>
      <c r="C523" t="s">
        <v>49</v>
      </c>
      <c r="D523" t="s">
        <v>13</v>
      </c>
      <c r="E523" s="7">
        <v>45631</v>
      </c>
      <c r="F523" t="s">
        <v>1219</v>
      </c>
      <c r="G523">
        <v>0</v>
      </c>
      <c r="H523" t="s">
        <v>53</v>
      </c>
      <c r="I523" t="s">
        <v>16</v>
      </c>
      <c r="J523" t="s">
        <v>16</v>
      </c>
      <c r="K523" s="16" t="str">
        <f>VLOOKUP(C523,CheckName!A:B,2,0)</f>
        <v>CRC</v>
      </c>
      <c r="L523">
        <v>0</v>
      </c>
      <c r="M523" s="16">
        <f>DAY(E523)</f>
        <v>5</v>
      </c>
      <c r="N523" t="str">
        <f>TEXT(MTDRejection[[#This Row],[RejectionDate]],"dddd")</f>
        <v>Thursday</v>
      </c>
    </row>
    <row r="524" spans="1:14">
      <c r="A524" t="s">
        <v>320</v>
      </c>
      <c r="B524" t="s">
        <v>2418</v>
      </c>
      <c r="C524" t="s">
        <v>1650</v>
      </c>
      <c r="D524" t="s">
        <v>20</v>
      </c>
      <c r="E524" s="7">
        <v>45631</v>
      </c>
      <c r="F524" t="s">
        <v>66</v>
      </c>
      <c r="G524">
        <v>0</v>
      </c>
      <c r="H524" t="s">
        <v>22</v>
      </c>
      <c r="I524" t="s">
        <v>16</v>
      </c>
      <c r="J524" t="s">
        <v>16</v>
      </c>
      <c r="K524" s="16" t="str">
        <f>VLOOKUP(C524,CheckName!A:B,2,0)</f>
        <v>Add</v>
      </c>
      <c r="L524">
        <v>0</v>
      </c>
      <c r="M524" s="16">
        <f t="shared" ref="M524:M527" si="11">DAY(E524)</f>
        <v>5</v>
      </c>
      <c r="N524" t="str">
        <f>TEXT(MTDRejection[[#This Row],[RejectionDate]],"dddd")</f>
        <v>Thursday</v>
      </c>
    </row>
    <row r="525" spans="1:14">
      <c r="A525" t="s">
        <v>1758</v>
      </c>
      <c r="B525" t="s">
        <v>3254</v>
      </c>
      <c r="C525" t="s">
        <v>54</v>
      </c>
      <c r="D525" t="s">
        <v>51</v>
      </c>
      <c r="E525" s="7">
        <v>45631</v>
      </c>
      <c r="F525" t="s">
        <v>2331</v>
      </c>
      <c r="G525">
        <v>0</v>
      </c>
      <c r="H525" t="s">
        <v>53</v>
      </c>
      <c r="I525" t="s">
        <v>16</v>
      </c>
      <c r="J525" t="s">
        <v>16</v>
      </c>
      <c r="K525" s="16" t="str">
        <f>VLOOKUP(C525,CheckName!A:B,2,0)</f>
        <v>Edu</v>
      </c>
      <c r="L525">
        <v>0</v>
      </c>
      <c r="M525" s="16">
        <f t="shared" si="11"/>
        <v>5</v>
      </c>
      <c r="N525" t="str">
        <f>TEXT(MTDRejection[[#This Row],[RejectionDate]],"dddd")</f>
        <v>Thursday</v>
      </c>
    </row>
    <row r="526" spans="1:14">
      <c r="A526" t="s">
        <v>81</v>
      </c>
      <c r="B526" t="s">
        <v>3255</v>
      </c>
      <c r="C526" t="s">
        <v>12</v>
      </c>
      <c r="D526" t="s">
        <v>26</v>
      </c>
      <c r="E526" s="7">
        <v>45631</v>
      </c>
      <c r="F526" t="s">
        <v>277</v>
      </c>
      <c r="G526">
        <v>0</v>
      </c>
      <c r="H526" t="s">
        <v>22</v>
      </c>
      <c r="I526" t="s">
        <v>16</v>
      </c>
      <c r="J526" t="s">
        <v>16</v>
      </c>
      <c r="K526" s="16" t="str">
        <f>VLOOKUP(C526,CheckName!A:B,2,0)</f>
        <v>Emp</v>
      </c>
      <c r="L526">
        <v>0</v>
      </c>
      <c r="M526" s="16">
        <f t="shared" si="11"/>
        <v>5</v>
      </c>
      <c r="N526" t="str">
        <f>TEXT(MTDRejection[[#This Row],[RejectionDate]],"dddd")</f>
        <v>Thursday</v>
      </c>
    </row>
    <row r="527" spans="1:14">
      <c r="A527" t="s">
        <v>100</v>
      </c>
      <c r="B527" t="s">
        <v>3256</v>
      </c>
      <c r="C527" t="s">
        <v>775</v>
      </c>
      <c r="D527" t="s">
        <v>26</v>
      </c>
      <c r="E527" s="7">
        <v>45631</v>
      </c>
      <c r="F527" t="s">
        <v>380</v>
      </c>
      <c r="G527">
        <v>0</v>
      </c>
      <c r="H527" t="s">
        <v>27</v>
      </c>
      <c r="I527" t="s">
        <v>16</v>
      </c>
      <c r="J527" t="s">
        <v>16</v>
      </c>
      <c r="K527" s="16" t="str">
        <f>VLOOKUP(C527,CheckName!A:B,2,0)</f>
        <v>Emp</v>
      </c>
      <c r="L527">
        <v>0</v>
      </c>
      <c r="M527" s="16">
        <f t="shared" si="11"/>
        <v>5</v>
      </c>
      <c r="N527" t="str">
        <f>TEXT(MTDRejection[[#This Row],[RejectionDate]],"dddd")</f>
        <v>Thursday</v>
      </c>
    </row>
    <row r="528" spans="1:14">
      <c r="A528" t="s">
        <v>47</v>
      </c>
      <c r="B528" t="s">
        <v>2419</v>
      </c>
      <c r="C528" t="s">
        <v>56</v>
      </c>
      <c r="D528" t="s">
        <v>13</v>
      </c>
      <c r="E528" s="7">
        <v>45631</v>
      </c>
      <c r="F528" t="s">
        <v>2345</v>
      </c>
      <c r="G528">
        <v>0</v>
      </c>
      <c r="H528" t="s">
        <v>15</v>
      </c>
      <c r="I528" t="s">
        <v>16</v>
      </c>
      <c r="J528" t="s">
        <v>16</v>
      </c>
      <c r="K528" s="16" t="str">
        <f>VLOOKUP(C528,CheckName!A:B,2,0)</f>
        <v>Special Check</v>
      </c>
      <c r="L528">
        <v>0</v>
      </c>
      <c r="M528" s="16">
        <f t="shared" ref="M528:M529" si="12">DAY(E528)</f>
        <v>5</v>
      </c>
      <c r="N528" t="str">
        <f>TEXT(MTDRejection[[#This Row],[RejectionDate]],"dddd")</f>
        <v>Thursday</v>
      </c>
    </row>
    <row r="529" spans="1:14">
      <c r="A529" t="s">
        <v>216</v>
      </c>
      <c r="B529" t="s">
        <v>3257</v>
      </c>
      <c r="C529" t="s">
        <v>1730</v>
      </c>
      <c r="D529" t="s">
        <v>13</v>
      </c>
      <c r="E529" s="7">
        <v>45631</v>
      </c>
      <c r="F529" t="s">
        <v>844</v>
      </c>
      <c r="G529">
        <v>0</v>
      </c>
      <c r="H529" t="s">
        <v>15</v>
      </c>
      <c r="I529" t="s">
        <v>16</v>
      </c>
      <c r="J529" t="s">
        <v>16</v>
      </c>
      <c r="K529" s="16" t="str">
        <f>VLOOKUP(C529,CheckName!A:B,2,0)</f>
        <v>Special Check</v>
      </c>
      <c r="L529">
        <v>0</v>
      </c>
      <c r="M529" s="16">
        <f t="shared" si="12"/>
        <v>5</v>
      </c>
      <c r="N529" t="str">
        <f>TEXT(MTDRejection[[#This Row],[RejectionDate]],"dddd")</f>
        <v>Thursday</v>
      </c>
    </row>
    <row r="530" spans="1:14">
      <c r="A530" t="s">
        <v>176</v>
      </c>
      <c r="B530" t="s">
        <v>3258</v>
      </c>
      <c r="C530" t="s">
        <v>112</v>
      </c>
      <c r="D530" t="s">
        <v>26</v>
      </c>
      <c r="E530" s="7">
        <v>45631</v>
      </c>
      <c r="F530" t="s">
        <v>311</v>
      </c>
      <c r="G530">
        <v>0</v>
      </c>
      <c r="H530" t="s">
        <v>27</v>
      </c>
      <c r="I530" t="s">
        <v>16</v>
      </c>
      <c r="J530" t="s">
        <v>16</v>
      </c>
      <c r="K530" s="16" t="str">
        <f>VLOOKUP(C530,CheckName!A:B,2,0)</f>
        <v>Emp</v>
      </c>
      <c r="L530">
        <v>0</v>
      </c>
      <c r="M530" s="16">
        <f t="shared" ref="M530:M531" si="13">DAY(E530)</f>
        <v>5</v>
      </c>
      <c r="N530" t="str">
        <f>TEXT(MTDRejection[[#This Row],[RejectionDate]],"dddd")</f>
        <v>Thursday</v>
      </c>
    </row>
    <row r="531" spans="1:14">
      <c r="A531" t="s">
        <v>73</v>
      </c>
      <c r="B531" t="s">
        <v>3259</v>
      </c>
      <c r="C531" t="s">
        <v>12</v>
      </c>
      <c r="D531" t="s">
        <v>26</v>
      </c>
      <c r="E531" s="7">
        <v>45631</v>
      </c>
      <c r="F531" t="s">
        <v>721</v>
      </c>
      <c r="G531">
        <v>0</v>
      </c>
      <c r="H531" t="s">
        <v>22</v>
      </c>
      <c r="I531" t="s">
        <v>16</v>
      </c>
      <c r="J531" t="s">
        <v>16</v>
      </c>
      <c r="K531" s="16" t="str">
        <f>VLOOKUP(C531,CheckName!A:B,2,0)</f>
        <v>Emp</v>
      </c>
      <c r="L531">
        <v>0</v>
      </c>
      <c r="M531" s="16">
        <f t="shared" si="13"/>
        <v>5</v>
      </c>
      <c r="N531" t="str">
        <f>TEXT(MTDRejection[[#This Row],[RejectionDate]],"dddd")</f>
        <v>Thursday</v>
      </c>
    </row>
    <row r="532" spans="1:14">
      <c r="A532" t="s">
        <v>203</v>
      </c>
      <c r="B532" t="s">
        <v>3260</v>
      </c>
      <c r="C532" t="s">
        <v>71</v>
      </c>
      <c r="D532" t="s">
        <v>13</v>
      </c>
      <c r="E532" s="7">
        <v>45631</v>
      </c>
      <c r="F532" t="s">
        <v>540</v>
      </c>
      <c r="G532">
        <v>0</v>
      </c>
      <c r="H532" t="s">
        <v>15</v>
      </c>
      <c r="I532" t="s">
        <v>16</v>
      </c>
      <c r="J532" t="s">
        <v>16</v>
      </c>
      <c r="K532" s="16" t="str">
        <f>VLOOKUP(C532,CheckName!A:B,2,0)</f>
        <v>CRC</v>
      </c>
      <c r="L532">
        <v>0</v>
      </c>
      <c r="M532" s="16">
        <f>DAY(E532)</f>
        <v>5</v>
      </c>
      <c r="N532" t="str">
        <f>TEXT(MTDRejection[[#This Row],[RejectionDate]],"dddd")</f>
        <v>Thursday</v>
      </c>
    </row>
    <row r="533" spans="1:14">
      <c r="A533" t="s">
        <v>383</v>
      </c>
      <c r="B533" t="s">
        <v>3261</v>
      </c>
      <c r="C533" t="s">
        <v>12</v>
      </c>
      <c r="D533" t="s">
        <v>26</v>
      </c>
      <c r="E533" s="7">
        <v>45631</v>
      </c>
      <c r="F533" t="s">
        <v>141</v>
      </c>
      <c r="G533">
        <v>0</v>
      </c>
      <c r="H533" t="s">
        <v>27</v>
      </c>
      <c r="I533" t="s">
        <v>16</v>
      </c>
      <c r="J533" t="s">
        <v>16</v>
      </c>
      <c r="K533" s="16" t="str">
        <f>VLOOKUP(C533,CheckName!A:B,2,0)</f>
        <v>Emp</v>
      </c>
      <c r="L533">
        <v>0</v>
      </c>
      <c r="M533" s="16">
        <f>DAY(E533)</f>
        <v>5</v>
      </c>
      <c r="N533" t="str">
        <f>TEXT(MTDRejection[[#This Row],[RejectionDate]],"dddd")</f>
        <v>Thursday</v>
      </c>
    </row>
    <row r="534" spans="1:14">
      <c r="A534" t="s">
        <v>100</v>
      </c>
      <c r="B534" t="s">
        <v>3262</v>
      </c>
      <c r="C534" t="s">
        <v>359</v>
      </c>
      <c r="D534" t="s">
        <v>13</v>
      </c>
      <c r="E534" s="7">
        <v>45631</v>
      </c>
      <c r="F534" t="s">
        <v>1013</v>
      </c>
      <c r="G534">
        <v>0</v>
      </c>
      <c r="H534" t="s">
        <v>30</v>
      </c>
      <c r="I534" t="s">
        <v>16</v>
      </c>
      <c r="J534" t="s">
        <v>16</v>
      </c>
      <c r="K534" s="16" t="str">
        <f>VLOOKUP(C534,CheckName!A:B,2,0)</f>
        <v>Emp</v>
      </c>
      <c r="L534">
        <v>0</v>
      </c>
      <c r="M534" s="16">
        <f t="shared" ref="M534:M537" si="14">DAY(E534)</f>
        <v>5</v>
      </c>
      <c r="N534" t="str">
        <f>TEXT(MTDRejection[[#This Row],[RejectionDate]],"dddd")</f>
        <v>Thursday</v>
      </c>
    </row>
    <row r="535" spans="1:14">
      <c r="A535" t="s">
        <v>100</v>
      </c>
      <c r="B535" t="s">
        <v>3263</v>
      </c>
      <c r="C535" t="s">
        <v>357</v>
      </c>
      <c r="D535" t="s">
        <v>13</v>
      </c>
      <c r="E535" s="7">
        <v>45631</v>
      </c>
      <c r="F535" t="s">
        <v>1013</v>
      </c>
      <c r="G535">
        <v>0</v>
      </c>
      <c r="H535" t="s">
        <v>505</v>
      </c>
      <c r="I535" t="s">
        <v>16</v>
      </c>
      <c r="J535" t="s">
        <v>16</v>
      </c>
      <c r="K535" s="16" t="str">
        <f>VLOOKUP(C535,CheckName!A:B,2,0)</f>
        <v>Emp</v>
      </c>
      <c r="L535">
        <v>0</v>
      </c>
      <c r="M535" s="16">
        <f t="shared" si="14"/>
        <v>5</v>
      </c>
      <c r="N535" t="str">
        <f>TEXT(MTDRejection[[#This Row],[RejectionDate]],"dddd")</f>
        <v>Thursday</v>
      </c>
    </row>
    <row r="536" spans="1:14">
      <c r="A536" t="s">
        <v>133</v>
      </c>
      <c r="B536" t="s">
        <v>3264</v>
      </c>
      <c r="C536" t="s">
        <v>25</v>
      </c>
      <c r="D536" t="s">
        <v>20</v>
      </c>
      <c r="E536" s="7">
        <v>45631</v>
      </c>
      <c r="F536" t="s">
        <v>129</v>
      </c>
      <c r="G536">
        <v>0</v>
      </c>
      <c r="H536" t="s">
        <v>27</v>
      </c>
      <c r="I536" t="s">
        <v>16</v>
      </c>
      <c r="J536" t="s">
        <v>16</v>
      </c>
      <c r="K536" s="16" t="str">
        <f>VLOOKUP(C536,CheckName!A:B,2,0)</f>
        <v>Add</v>
      </c>
      <c r="L536">
        <v>0</v>
      </c>
      <c r="M536" s="16">
        <f t="shared" si="14"/>
        <v>5</v>
      </c>
      <c r="N536" t="str">
        <f>TEXT(MTDRejection[[#This Row],[RejectionDate]],"dddd")</f>
        <v>Thursday</v>
      </c>
    </row>
    <row r="537" spans="1:14">
      <c r="A537" t="s">
        <v>306</v>
      </c>
      <c r="B537" t="s">
        <v>3265</v>
      </c>
      <c r="C537" t="s">
        <v>54</v>
      </c>
      <c r="D537" t="s">
        <v>26</v>
      </c>
      <c r="E537" s="7">
        <v>45631</v>
      </c>
      <c r="F537" t="s">
        <v>309</v>
      </c>
      <c r="G537">
        <v>0</v>
      </c>
      <c r="H537" t="s">
        <v>27</v>
      </c>
      <c r="I537" t="s">
        <v>16</v>
      </c>
      <c r="J537" t="s">
        <v>16</v>
      </c>
      <c r="K537" s="16" t="str">
        <f>VLOOKUP(C537,CheckName!A:B,2,0)</f>
        <v>Edu</v>
      </c>
      <c r="L537">
        <v>0</v>
      </c>
      <c r="M537" s="16">
        <f t="shared" si="14"/>
        <v>5</v>
      </c>
      <c r="N537" t="str">
        <f>TEXT(MTDRejection[[#This Row],[RejectionDate]],"dddd")</f>
        <v>Thursday</v>
      </c>
    </row>
    <row r="538" spans="1:14">
      <c r="A538" t="s">
        <v>100</v>
      </c>
      <c r="B538" t="s">
        <v>3266</v>
      </c>
      <c r="C538" t="s">
        <v>775</v>
      </c>
      <c r="D538" t="s">
        <v>26</v>
      </c>
      <c r="E538" s="7">
        <v>45629</v>
      </c>
      <c r="F538" t="s">
        <v>380</v>
      </c>
      <c r="G538">
        <v>2</v>
      </c>
      <c r="H538" t="s">
        <v>27</v>
      </c>
      <c r="I538" t="s">
        <v>16</v>
      </c>
      <c r="J538" t="s">
        <v>16</v>
      </c>
      <c r="K538" s="16" t="str">
        <f>VLOOKUP(C538,CheckName!A:B,2,0)</f>
        <v>Emp</v>
      </c>
      <c r="L538">
        <v>0</v>
      </c>
      <c r="M538" s="16">
        <f>DAY(E538)</f>
        <v>3</v>
      </c>
      <c r="N538" t="str">
        <f>TEXT(MTDRejection[[#This Row],[RejectionDate]],"dddd")</f>
        <v>Tuesday</v>
      </c>
    </row>
    <row r="539" spans="1:14">
      <c r="A539" t="s">
        <v>1173</v>
      </c>
      <c r="B539" t="s">
        <v>3267</v>
      </c>
      <c r="C539" t="s">
        <v>25</v>
      </c>
      <c r="D539" t="s">
        <v>20</v>
      </c>
      <c r="E539" s="7">
        <v>45632</v>
      </c>
      <c r="F539" t="s">
        <v>273</v>
      </c>
      <c r="G539">
        <v>0</v>
      </c>
      <c r="H539" t="s">
        <v>22</v>
      </c>
      <c r="I539" t="s">
        <v>16</v>
      </c>
      <c r="J539" t="s">
        <v>16</v>
      </c>
      <c r="K539" s="16" t="str">
        <f>VLOOKUP(C539,CheckName!A:B,2,0)</f>
        <v>Add</v>
      </c>
      <c r="L539">
        <v>0</v>
      </c>
      <c r="M539" s="16">
        <f t="shared" ref="M539:M547" si="15">DAY(E539)</f>
        <v>6</v>
      </c>
      <c r="N539" t="str">
        <f>TEXT(MTDRejection[[#This Row],[RejectionDate]],"dddd")</f>
        <v>Friday</v>
      </c>
    </row>
    <row r="540" spans="1:14">
      <c r="A540" t="s">
        <v>510</v>
      </c>
      <c r="B540" t="s">
        <v>3268</v>
      </c>
      <c r="C540" t="s">
        <v>19</v>
      </c>
      <c r="D540" t="s">
        <v>20</v>
      </c>
      <c r="E540" s="7">
        <v>45632</v>
      </c>
      <c r="F540" t="s">
        <v>2327</v>
      </c>
      <c r="G540">
        <v>0</v>
      </c>
      <c r="H540" t="s">
        <v>22</v>
      </c>
      <c r="I540" t="s">
        <v>16</v>
      </c>
      <c r="J540" t="s">
        <v>16</v>
      </c>
      <c r="K540" s="16" t="str">
        <f>VLOOKUP(C540,CheckName!A:B,2,0)</f>
        <v>Add</v>
      </c>
      <c r="L540">
        <v>0</v>
      </c>
      <c r="M540" s="16">
        <f t="shared" si="15"/>
        <v>6</v>
      </c>
      <c r="N540" t="str">
        <f>TEXT(MTDRejection[[#This Row],[RejectionDate]],"dddd")</f>
        <v>Friday</v>
      </c>
    </row>
    <row r="541" spans="1:14">
      <c r="A541" t="s">
        <v>510</v>
      </c>
      <c r="B541" t="s">
        <v>3269</v>
      </c>
      <c r="C541" t="s">
        <v>19</v>
      </c>
      <c r="D541" t="s">
        <v>20</v>
      </c>
      <c r="E541" s="7">
        <v>45632</v>
      </c>
      <c r="F541" t="s">
        <v>2327</v>
      </c>
      <c r="G541">
        <v>0</v>
      </c>
      <c r="H541" t="s">
        <v>30</v>
      </c>
      <c r="I541" t="s">
        <v>16</v>
      </c>
      <c r="J541" t="s">
        <v>16</v>
      </c>
      <c r="K541" s="16" t="str">
        <f>VLOOKUP(C541,CheckName!A:B,2,0)</f>
        <v>Add</v>
      </c>
      <c r="L541">
        <v>0</v>
      </c>
      <c r="M541" s="16">
        <f t="shared" si="15"/>
        <v>6</v>
      </c>
      <c r="N541" t="str">
        <f>TEXT(MTDRejection[[#This Row],[RejectionDate]],"dddd")</f>
        <v>Friday</v>
      </c>
    </row>
    <row r="542" spans="1:14">
      <c r="A542" t="s">
        <v>510</v>
      </c>
      <c r="B542" t="s">
        <v>3270</v>
      </c>
      <c r="C542" t="s">
        <v>19</v>
      </c>
      <c r="D542" t="s">
        <v>20</v>
      </c>
      <c r="E542" s="7">
        <v>45632</v>
      </c>
      <c r="F542" t="s">
        <v>2327</v>
      </c>
      <c r="G542">
        <v>0</v>
      </c>
      <c r="H542" t="s">
        <v>22</v>
      </c>
      <c r="I542" t="s">
        <v>16</v>
      </c>
      <c r="J542" t="s">
        <v>16</v>
      </c>
      <c r="K542" s="16" t="str">
        <f>VLOOKUP(C542,CheckName!A:B,2,0)</f>
        <v>Add</v>
      </c>
      <c r="L542">
        <v>0</v>
      </c>
      <c r="M542" s="16">
        <f t="shared" si="15"/>
        <v>6</v>
      </c>
      <c r="N542" t="str">
        <f>TEXT(MTDRejection[[#This Row],[RejectionDate]],"dddd")</f>
        <v>Friday</v>
      </c>
    </row>
    <row r="543" spans="1:14">
      <c r="A543" t="s">
        <v>510</v>
      </c>
      <c r="B543" t="s">
        <v>3271</v>
      </c>
      <c r="C543" t="s">
        <v>19</v>
      </c>
      <c r="D543" t="s">
        <v>20</v>
      </c>
      <c r="E543" s="7">
        <v>45632</v>
      </c>
      <c r="F543" t="s">
        <v>2327</v>
      </c>
      <c r="G543">
        <v>0</v>
      </c>
      <c r="H543" t="s">
        <v>22</v>
      </c>
      <c r="I543" t="s">
        <v>16</v>
      </c>
      <c r="J543" t="s">
        <v>16</v>
      </c>
      <c r="K543" s="16" t="str">
        <f>VLOOKUP(C543,CheckName!A:B,2,0)</f>
        <v>Add</v>
      </c>
      <c r="L543">
        <v>0</v>
      </c>
      <c r="M543" s="16">
        <f t="shared" si="15"/>
        <v>6</v>
      </c>
      <c r="N543" t="str">
        <f>TEXT(MTDRejection[[#This Row],[RejectionDate]],"dddd")</f>
        <v>Friday</v>
      </c>
    </row>
    <row r="544" spans="1:14">
      <c r="A544" t="s">
        <v>510</v>
      </c>
      <c r="B544" t="s">
        <v>3272</v>
      </c>
      <c r="C544" t="s">
        <v>19</v>
      </c>
      <c r="D544" t="s">
        <v>20</v>
      </c>
      <c r="E544" s="7">
        <v>45632</v>
      </c>
      <c r="F544" t="s">
        <v>2327</v>
      </c>
      <c r="G544">
        <v>0</v>
      </c>
      <c r="H544" t="s">
        <v>22</v>
      </c>
      <c r="I544" t="s">
        <v>16</v>
      </c>
      <c r="J544" t="s">
        <v>16</v>
      </c>
      <c r="K544" s="16" t="str">
        <f>VLOOKUP(C544,CheckName!A:B,2,0)</f>
        <v>Add</v>
      </c>
      <c r="L544">
        <v>0</v>
      </c>
      <c r="M544" s="16">
        <f t="shared" si="15"/>
        <v>6</v>
      </c>
      <c r="N544" t="str">
        <f>TEXT(MTDRejection[[#This Row],[RejectionDate]],"dddd")</f>
        <v>Friday</v>
      </c>
    </row>
    <row r="545" spans="1:14">
      <c r="A545" t="s">
        <v>1759</v>
      </c>
      <c r="B545" t="s">
        <v>3273</v>
      </c>
      <c r="C545" t="s">
        <v>25</v>
      </c>
      <c r="D545" t="s">
        <v>20</v>
      </c>
      <c r="E545" s="7">
        <v>45632</v>
      </c>
      <c r="F545" t="s">
        <v>273</v>
      </c>
      <c r="G545">
        <v>0</v>
      </c>
      <c r="H545" t="s">
        <v>22</v>
      </c>
      <c r="I545" t="s">
        <v>16</v>
      </c>
      <c r="J545" t="s">
        <v>16</v>
      </c>
      <c r="K545" s="16" t="str">
        <f>VLOOKUP(C545,CheckName!A:B,2,0)</f>
        <v>Add</v>
      </c>
      <c r="L545">
        <v>0</v>
      </c>
      <c r="M545" s="16">
        <f t="shared" si="15"/>
        <v>6</v>
      </c>
      <c r="N545" t="str">
        <f>TEXT(MTDRejection[[#This Row],[RejectionDate]],"dddd")</f>
        <v>Friday</v>
      </c>
    </row>
    <row r="546" spans="1:14">
      <c r="A546" t="s">
        <v>1110</v>
      </c>
      <c r="B546" t="s">
        <v>3274</v>
      </c>
      <c r="C546" t="s">
        <v>965</v>
      </c>
      <c r="D546" t="s">
        <v>20</v>
      </c>
      <c r="E546" s="7">
        <v>45632</v>
      </c>
      <c r="F546" t="s">
        <v>2327</v>
      </c>
      <c r="G546">
        <v>0</v>
      </c>
      <c r="H546" t="s">
        <v>22</v>
      </c>
      <c r="I546" t="s">
        <v>16</v>
      </c>
      <c r="J546" t="s">
        <v>16</v>
      </c>
      <c r="K546" s="16" t="str">
        <f>VLOOKUP(C546,CheckName!A:B,2,0)</f>
        <v>Add</v>
      </c>
      <c r="L546">
        <v>0</v>
      </c>
      <c r="M546" s="16">
        <f t="shared" si="15"/>
        <v>6</v>
      </c>
      <c r="N546" t="str">
        <f>TEXT(MTDRejection[[#This Row],[RejectionDate]],"dddd")</f>
        <v>Friday</v>
      </c>
    </row>
    <row r="547" spans="1:14">
      <c r="A547" t="s">
        <v>84</v>
      </c>
      <c r="B547" t="s">
        <v>2421</v>
      </c>
      <c r="C547" t="s">
        <v>12</v>
      </c>
      <c r="D547" t="s">
        <v>38</v>
      </c>
      <c r="E547" s="7">
        <v>45632</v>
      </c>
      <c r="F547" t="s">
        <v>39</v>
      </c>
      <c r="G547">
        <v>0</v>
      </c>
      <c r="H547" t="s">
        <v>42</v>
      </c>
      <c r="I547" t="s">
        <v>16</v>
      </c>
      <c r="J547" t="s">
        <v>16</v>
      </c>
      <c r="K547" s="16" t="str">
        <f>VLOOKUP(C547,CheckName!A:B,2,0)</f>
        <v>Emp</v>
      </c>
      <c r="L547">
        <v>0</v>
      </c>
      <c r="M547" s="16">
        <f t="shared" si="15"/>
        <v>6</v>
      </c>
      <c r="N547" t="str">
        <f>TEXT(MTDRejection[[#This Row],[RejectionDate]],"dddd")</f>
        <v>Friday</v>
      </c>
    </row>
    <row r="548" spans="1:14">
      <c r="A548" t="s">
        <v>100</v>
      </c>
      <c r="B548" t="s">
        <v>3275</v>
      </c>
      <c r="C548" t="s">
        <v>102</v>
      </c>
      <c r="D548" t="s">
        <v>26</v>
      </c>
      <c r="E548" s="7">
        <v>45632</v>
      </c>
      <c r="F548" t="s">
        <v>63</v>
      </c>
      <c r="G548">
        <v>0</v>
      </c>
      <c r="H548" t="s">
        <v>27</v>
      </c>
      <c r="I548" t="s">
        <v>16</v>
      </c>
      <c r="J548" t="s">
        <v>16</v>
      </c>
      <c r="K548" s="16" t="str">
        <f>VLOOKUP(C548,CheckName!A:B,2,0)</f>
        <v>Edu</v>
      </c>
      <c r="L548">
        <v>0</v>
      </c>
      <c r="M548" s="16">
        <f t="shared" ref="M548:M583" si="16">DAY(E548)</f>
        <v>6</v>
      </c>
      <c r="N548" t="str">
        <f>TEXT(MTDRejection[[#This Row],[RejectionDate]],"dddd")</f>
        <v>Friday</v>
      </c>
    </row>
    <row r="549" spans="1:14">
      <c r="A549" t="s">
        <v>100</v>
      </c>
      <c r="B549" t="s">
        <v>2422</v>
      </c>
      <c r="C549" t="s">
        <v>102</v>
      </c>
      <c r="D549" t="s">
        <v>26</v>
      </c>
      <c r="E549" s="7">
        <v>45632</v>
      </c>
      <c r="F549" t="s">
        <v>210</v>
      </c>
      <c r="G549">
        <v>0</v>
      </c>
      <c r="H549" t="s">
        <v>30</v>
      </c>
      <c r="I549" t="s">
        <v>16</v>
      </c>
      <c r="J549" t="s">
        <v>16</v>
      </c>
      <c r="K549" s="16" t="str">
        <f>VLOOKUP(C549,CheckName!A:B,2,0)</f>
        <v>Edu</v>
      </c>
      <c r="L549">
        <v>0</v>
      </c>
      <c r="M549" s="16">
        <f t="shared" si="16"/>
        <v>6</v>
      </c>
      <c r="N549" t="str">
        <f>TEXT(MTDRejection[[#This Row],[RejectionDate]],"dddd")</f>
        <v>Friday</v>
      </c>
    </row>
    <row r="550" spans="1:14">
      <c r="A550" t="s">
        <v>88</v>
      </c>
      <c r="B550" t="s">
        <v>3276</v>
      </c>
      <c r="C550" t="s">
        <v>25</v>
      </c>
      <c r="D550" t="s">
        <v>26</v>
      </c>
      <c r="E550" s="7">
        <v>45632</v>
      </c>
      <c r="F550" t="s">
        <v>66</v>
      </c>
      <c r="G550">
        <v>0</v>
      </c>
      <c r="H550" t="s">
        <v>22</v>
      </c>
      <c r="I550" t="s">
        <v>16</v>
      </c>
      <c r="J550" t="s">
        <v>16</v>
      </c>
      <c r="K550" s="16" t="str">
        <f>VLOOKUP(C550,CheckName!A:B,2,0)</f>
        <v>Add</v>
      </c>
      <c r="L550">
        <v>0</v>
      </c>
      <c r="M550" s="16">
        <f t="shared" si="16"/>
        <v>6</v>
      </c>
      <c r="N550" t="str">
        <f>TEXT(MTDRejection[[#This Row],[RejectionDate]],"dddd")</f>
        <v>Friday</v>
      </c>
    </row>
    <row r="551" spans="1:14">
      <c r="A551" t="s">
        <v>165</v>
      </c>
      <c r="B551" t="s">
        <v>3277</v>
      </c>
      <c r="C551" t="s">
        <v>25</v>
      </c>
      <c r="D551" t="s">
        <v>20</v>
      </c>
      <c r="E551" s="7">
        <v>45632</v>
      </c>
      <c r="F551" t="s">
        <v>2330</v>
      </c>
      <c r="G551">
        <v>0</v>
      </c>
      <c r="H551" t="s">
        <v>22</v>
      </c>
      <c r="I551" t="s">
        <v>16</v>
      </c>
      <c r="J551" t="s">
        <v>16</v>
      </c>
      <c r="K551" s="16" t="str">
        <f>VLOOKUP(C551,CheckName!A:B,2,0)</f>
        <v>Add</v>
      </c>
      <c r="L551">
        <v>0</v>
      </c>
      <c r="M551" s="16">
        <f t="shared" si="16"/>
        <v>6</v>
      </c>
      <c r="N551" t="str">
        <f>TEXT(MTDRejection[[#This Row],[RejectionDate]],"dddd")</f>
        <v>Friday</v>
      </c>
    </row>
    <row r="552" spans="1:14">
      <c r="A552" t="s">
        <v>362</v>
      </c>
      <c r="B552" t="s">
        <v>3278</v>
      </c>
      <c r="C552" t="s">
        <v>25</v>
      </c>
      <c r="D552" t="s">
        <v>26</v>
      </c>
      <c r="E552" s="7">
        <v>45632</v>
      </c>
      <c r="F552" t="s">
        <v>66</v>
      </c>
      <c r="G552">
        <v>0</v>
      </c>
      <c r="H552" t="s">
        <v>95</v>
      </c>
      <c r="I552" t="s">
        <v>16</v>
      </c>
      <c r="J552" t="s">
        <v>16</v>
      </c>
      <c r="K552" s="16" t="str">
        <f>VLOOKUP(C552,CheckName!A:B,2,0)</f>
        <v>Add</v>
      </c>
      <c r="L552">
        <v>0</v>
      </c>
      <c r="M552" s="16">
        <f t="shared" si="16"/>
        <v>6</v>
      </c>
      <c r="N552" t="str">
        <f>TEXT(MTDRejection[[#This Row],[RejectionDate]],"dddd")</f>
        <v>Friday</v>
      </c>
    </row>
    <row r="553" spans="1:14">
      <c r="A553" t="s">
        <v>362</v>
      </c>
      <c r="B553" t="s">
        <v>3279</v>
      </c>
      <c r="C553" t="s">
        <v>25</v>
      </c>
      <c r="D553" t="s">
        <v>26</v>
      </c>
      <c r="E553" s="7">
        <v>45632</v>
      </c>
      <c r="F553" t="s">
        <v>66</v>
      </c>
      <c r="G553">
        <v>0</v>
      </c>
      <c r="H553" t="s">
        <v>30</v>
      </c>
      <c r="I553" t="s">
        <v>16</v>
      </c>
      <c r="J553" t="s">
        <v>16</v>
      </c>
      <c r="K553" s="16" t="str">
        <f>VLOOKUP(C553,CheckName!A:B,2,0)</f>
        <v>Add</v>
      </c>
      <c r="L553">
        <v>0</v>
      </c>
      <c r="M553" s="16">
        <f t="shared" si="16"/>
        <v>6</v>
      </c>
      <c r="N553" t="str">
        <f>TEXT(MTDRejection[[#This Row],[RejectionDate]],"dddd")</f>
        <v>Friday</v>
      </c>
    </row>
    <row r="554" spans="1:14">
      <c r="A554" t="s">
        <v>47</v>
      </c>
      <c r="B554" t="s">
        <v>3280</v>
      </c>
      <c r="C554" t="s">
        <v>54</v>
      </c>
      <c r="D554" t="s">
        <v>26</v>
      </c>
      <c r="E554" s="7">
        <v>45632</v>
      </c>
      <c r="F554" t="s">
        <v>63</v>
      </c>
      <c r="G554">
        <v>0</v>
      </c>
      <c r="H554" t="s">
        <v>95</v>
      </c>
      <c r="I554" t="s">
        <v>16</v>
      </c>
      <c r="J554" t="s">
        <v>16</v>
      </c>
      <c r="K554" s="16" t="str">
        <f>VLOOKUP(C554,CheckName!A:B,2,0)</f>
        <v>Edu</v>
      </c>
      <c r="L554">
        <v>0</v>
      </c>
      <c r="M554" s="16">
        <f t="shared" si="16"/>
        <v>6</v>
      </c>
      <c r="N554" t="str">
        <f>TEXT(MTDRejection[[#This Row],[RejectionDate]],"dddd")</f>
        <v>Friday</v>
      </c>
    </row>
    <row r="555" spans="1:14">
      <c r="A555" t="s">
        <v>45</v>
      </c>
      <c r="B555" t="s">
        <v>3281</v>
      </c>
      <c r="C555" t="s">
        <v>19</v>
      </c>
      <c r="D555" t="s">
        <v>20</v>
      </c>
      <c r="E555" s="7">
        <v>45632</v>
      </c>
      <c r="F555" t="s">
        <v>2330</v>
      </c>
      <c r="G555">
        <v>0</v>
      </c>
      <c r="H555" t="s">
        <v>27</v>
      </c>
      <c r="I555" t="s">
        <v>16</v>
      </c>
      <c r="J555" t="s">
        <v>16</v>
      </c>
      <c r="K555" s="16" t="str">
        <f>VLOOKUP(C555,CheckName!A:B,2,0)</f>
        <v>Add</v>
      </c>
      <c r="L555">
        <v>0</v>
      </c>
      <c r="M555" s="16">
        <f t="shared" si="16"/>
        <v>6</v>
      </c>
      <c r="N555" t="str">
        <f>TEXT(MTDRejection[[#This Row],[RejectionDate]],"dddd")</f>
        <v>Friday</v>
      </c>
    </row>
    <row r="556" spans="1:14">
      <c r="A556" t="s">
        <v>84</v>
      </c>
      <c r="B556" t="s">
        <v>3282</v>
      </c>
      <c r="C556" t="s">
        <v>54</v>
      </c>
      <c r="D556" t="s">
        <v>13</v>
      </c>
      <c r="E556" s="7">
        <v>45632</v>
      </c>
      <c r="F556" t="s">
        <v>706</v>
      </c>
      <c r="G556">
        <v>0</v>
      </c>
      <c r="H556" t="s">
        <v>15</v>
      </c>
      <c r="I556" t="s">
        <v>16</v>
      </c>
      <c r="J556" t="s">
        <v>16</v>
      </c>
      <c r="K556" s="16" t="str">
        <f>VLOOKUP(C556,CheckName!A:B,2,0)</f>
        <v>Edu</v>
      </c>
      <c r="L556">
        <v>0</v>
      </c>
      <c r="M556" s="16">
        <f t="shared" si="16"/>
        <v>6</v>
      </c>
      <c r="N556" t="str">
        <f>TEXT(MTDRejection[[#This Row],[RejectionDate]],"dddd")</f>
        <v>Friday</v>
      </c>
    </row>
    <row r="557" spans="1:14">
      <c r="A557" t="s">
        <v>625</v>
      </c>
      <c r="B557" t="s">
        <v>3283</v>
      </c>
      <c r="C557" t="s">
        <v>12</v>
      </c>
      <c r="D557" t="s">
        <v>26</v>
      </c>
      <c r="E557" s="7">
        <v>45632</v>
      </c>
      <c r="F557" t="s">
        <v>2354</v>
      </c>
      <c r="G557">
        <v>0</v>
      </c>
      <c r="H557" t="s">
        <v>27</v>
      </c>
      <c r="I557" t="s">
        <v>16</v>
      </c>
      <c r="J557" t="s">
        <v>16</v>
      </c>
      <c r="K557" s="16" t="str">
        <f>VLOOKUP(C557,CheckName!A:B,2,0)</f>
        <v>Emp</v>
      </c>
      <c r="L557">
        <v>0</v>
      </c>
      <c r="M557" s="16">
        <f t="shared" si="16"/>
        <v>6</v>
      </c>
      <c r="N557" t="str">
        <f>TEXT(MTDRejection[[#This Row],[RejectionDate]],"dddd")</f>
        <v>Friday</v>
      </c>
    </row>
    <row r="558" spans="1:14">
      <c r="A558" t="s">
        <v>288</v>
      </c>
      <c r="B558" t="s">
        <v>2423</v>
      </c>
      <c r="C558" t="s">
        <v>36</v>
      </c>
      <c r="D558" t="s">
        <v>26</v>
      </c>
      <c r="E558" s="7">
        <v>45632</v>
      </c>
      <c r="F558" t="s">
        <v>80</v>
      </c>
      <c r="G558">
        <v>0</v>
      </c>
      <c r="H558" t="s">
        <v>27</v>
      </c>
      <c r="I558" t="s">
        <v>16</v>
      </c>
      <c r="J558" t="s">
        <v>16</v>
      </c>
      <c r="K558" s="16" t="str">
        <f>VLOOKUP(C558,CheckName!A:B,2,0)</f>
        <v>Emp</v>
      </c>
      <c r="L558">
        <v>0</v>
      </c>
      <c r="M558" s="16">
        <f t="shared" si="16"/>
        <v>6</v>
      </c>
      <c r="N558" t="str">
        <f>TEXT(MTDRejection[[#This Row],[RejectionDate]],"dddd")</f>
        <v>Friday</v>
      </c>
    </row>
    <row r="559" spans="1:14">
      <c r="A559" t="s">
        <v>556</v>
      </c>
      <c r="B559" t="s">
        <v>3284</v>
      </c>
      <c r="C559" t="s">
        <v>36</v>
      </c>
      <c r="D559" t="s">
        <v>26</v>
      </c>
      <c r="E559" s="7">
        <v>45632</v>
      </c>
      <c r="F559" t="s">
        <v>2341</v>
      </c>
      <c r="G559">
        <v>0</v>
      </c>
      <c r="H559" t="s">
        <v>27</v>
      </c>
      <c r="I559" t="s">
        <v>16</v>
      </c>
      <c r="J559" t="s">
        <v>16</v>
      </c>
      <c r="K559" s="16" t="str">
        <f>VLOOKUP(C559,CheckName!A:B,2,0)</f>
        <v>Emp</v>
      </c>
      <c r="L559">
        <v>0</v>
      </c>
      <c r="M559" s="16">
        <f t="shared" si="16"/>
        <v>6</v>
      </c>
      <c r="N559" t="str">
        <f>TEXT(MTDRejection[[#This Row],[RejectionDate]],"dddd")</f>
        <v>Friday</v>
      </c>
    </row>
    <row r="560" spans="1:14">
      <c r="A560" t="s">
        <v>133</v>
      </c>
      <c r="B560" t="s">
        <v>2424</v>
      </c>
      <c r="C560" t="s">
        <v>36</v>
      </c>
      <c r="D560" t="s">
        <v>26</v>
      </c>
      <c r="E560" s="7">
        <v>45632</v>
      </c>
      <c r="F560" t="s">
        <v>83</v>
      </c>
      <c r="G560">
        <v>0</v>
      </c>
      <c r="H560" t="s">
        <v>27</v>
      </c>
      <c r="I560" t="s">
        <v>16</v>
      </c>
      <c r="J560" t="s">
        <v>16</v>
      </c>
      <c r="K560" s="16" t="str">
        <f>VLOOKUP(C560,CheckName!A:B,2,0)</f>
        <v>Emp</v>
      </c>
      <c r="L560">
        <v>0</v>
      </c>
      <c r="M560" s="16">
        <f t="shared" si="16"/>
        <v>6</v>
      </c>
      <c r="N560" t="str">
        <f>TEXT(MTDRejection[[#This Row],[RejectionDate]],"dddd")</f>
        <v>Friday</v>
      </c>
    </row>
    <row r="561" spans="1:14">
      <c r="A561" t="s">
        <v>1760</v>
      </c>
      <c r="B561" t="s">
        <v>1761</v>
      </c>
      <c r="C561" t="s">
        <v>12</v>
      </c>
      <c r="D561" t="s">
        <v>26</v>
      </c>
      <c r="E561" s="7">
        <v>45632</v>
      </c>
      <c r="F561" t="s">
        <v>2347</v>
      </c>
      <c r="G561">
        <v>0</v>
      </c>
      <c r="H561" t="s">
        <v>27</v>
      </c>
      <c r="I561" t="s">
        <v>16</v>
      </c>
      <c r="J561" t="s">
        <v>16</v>
      </c>
      <c r="K561" s="16" t="str">
        <f>VLOOKUP(C561,CheckName!A:B,2,0)</f>
        <v>Emp</v>
      </c>
      <c r="L561">
        <v>0</v>
      </c>
      <c r="M561" s="16">
        <f t="shared" si="16"/>
        <v>6</v>
      </c>
      <c r="N561" t="str">
        <f>TEXT(MTDRejection[[#This Row],[RejectionDate]],"dddd")</f>
        <v>Friday</v>
      </c>
    </row>
    <row r="562" spans="1:14">
      <c r="A562" t="s">
        <v>288</v>
      </c>
      <c r="B562" t="s">
        <v>3285</v>
      </c>
      <c r="C562" t="s">
        <v>12</v>
      </c>
      <c r="D562" t="s">
        <v>26</v>
      </c>
      <c r="E562" s="7">
        <v>45632</v>
      </c>
      <c r="F562" t="s">
        <v>608</v>
      </c>
      <c r="G562">
        <v>0</v>
      </c>
      <c r="H562" t="s">
        <v>27</v>
      </c>
      <c r="I562" t="s">
        <v>16</v>
      </c>
      <c r="J562" t="s">
        <v>16</v>
      </c>
      <c r="K562" s="16" t="str">
        <f>VLOOKUP(C562,CheckName!A:B,2,0)</f>
        <v>Emp</v>
      </c>
      <c r="L562">
        <v>0</v>
      </c>
      <c r="M562" s="16">
        <f t="shared" si="16"/>
        <v>6</v>
      </c>
      <c r="N562" t="str">
        <f>TEXT(MTDRejection[[#This Row],[RejectionDate]],"dddd")</f>
        <v>Friday</v>
      </c>
    </row>
    <row r="563" spans="1:14">
      <c r="A563" t="s">
        <v>45</v>
      </c>
      <c r="B563" t="s">
        <v>3286</v>
      </c>
      <c r="C563" t="s">
        <v>54</v>
      </c>
      <c r="D563" t="s">
        <v>26</v>
      </c>
      <c r="E563" s="7">
        <v>45632</v>
      </c>
      <c r="F563" t="s">
        <v>852</v>
      </c>
      <c r="G563">
        <v>0</v>
      </c>
      <c r="H563" t="s">
        <v>30</v>
      </c>
      <c r="I563" t="s">
        <v>16</v>
      </c>
      <c r="J563" t="s">
        <v>16</v>
      </c>
      <c r="K563" s="16" t="str">
        <f>VLOOKUP(C563,CheckName!A:B,2,0)</f>
        <v>Edu</v>
      </c>
      <c r="L563">
        <v>0</v>
      </c>
      <c r="M563" s="16">
        <f t="shared" si="16"/>
        <v>6</v>
      </c>
      <c r="N563" t="str">
        <f>TEXT(MTDRejection[[#This Row],[RejectionDate]],"dddd")</f>
        <v>Friday</v>
      </c>
    </row>
    <row r="564" spans="1:14">
      <c r="A564" t="s">
        <v>45</v>
      </c>
      <c r="B564" t="s">
        <v>1968</v>
      </c>
      <c r="C564" t="s">
        <v>125</v>
      </c>
      <c r="D564" t="s">
        <v>26</v>
      </c>
      <c r="E564" s="7">
        <v>45632</v>
      </c>
      <c r="F564" t="s">
        <v>179</v>
      </c>
      <c r="G564">
        <v>0</v>
      </c>
      <c r="H564" t="s">
        <v>27</v>
      </c>
      <c r="I564" t="s">
        <v>16</v>
      </c>
      <c r="J564" t="s">
        <v>16</v>
      </c>
      <c r="K564" s="16" t="str">
        <f>VLOOKUP(C564,CheckName!A:B,2,0)</f>
        <v>Emp</v>
      </c>
      <c r="L564">
        <v>0</v>
      </c>
      <c r="M564" s="16">
        <f t="shared" si="16"/>
        <v>6</v>
      </c>
      <c r="N564" t="str">
        <f>TEXT(MTDRejection[[#This Row],[RejectionDate]],"dddd")</f>
        <v>Friday</v>
      </c>
    </row>
    <row r="565" spans="1:14">
      <c r="A565" t="s">
        <v>419</v>
      </c>
      <c r="B565" t="s">
        <v>3287</v>
      </c>
      <c r="C565" t="s">
        <v>106</v>
      </c>
      <c r="D565" t="s">
        <v>13</v>
      </c>
      <c r="E565" s="7">
        <v>45632</v>
      </c>
      <c r="F565" t="s">
        <v>90</v>
      </c>
      <c r="G565">
        <v>0</v>
      </c>
      <c r="H565" t="s">
        <v>15</v>
      </c>
      <c r="I565" t="s">
        <v>16</v>
      </c>
      <c r="J565" t="s">
        <v>16</v>
      </c>
      <c r="K565" s="16" t="str">
        <f>VLOOKUP(C565,CheckName!A:B,2,0)</f>
        <v>Ref</v>
      </c>
      <c r="L565">
        <v>0</v>
      </c>
      <c r="M565" s="16">
        <f t="shared" si="16"/>
        <v>6</v>
      </c>
      <c r="N565" t="str">
        <f>TEXT(MTDRejection[[#This Row],[RejectionDate]],"dddd")</f>
        <v>Friday</v>
      </c>
    </row>
    <row r="566" spans="1:14">
      <c r="A566" t="s">
        <v>419</v>
      </c>
      <c r="B566" t="s">
        <v>3288</v>
      </c>
      <c r="C566" t="s">
        <v>220</v>
      </c>
      <c r="D566" t="s">
        <v>13</v>
      </c>
      <c r="E566" s="7">
        <v>45632</v>
      </c>
      <c r="F566" t="s">
        <v>90</v>
      </c>
      <c r="G566">
        <v>0</v>
      </c>
      <c r="H566" t="s">
        <v>15</v>
      </c>
      <c r="I566" t="s">
        <v>16</v>
      </c>
      <c r="J566" t="s">
        <v>16</v>
      </c>
      <c r="K566" s="16" t="str">
        <f>VLOOKUP(C566,CheckName!A:B,2,0)</f>
        <v>Ref</v>
      </c>
      <c r="L566">
        <v>0</v>
      </c>
      <c r="M566" s="16">
        <f t="shared" si="16"/>
        <v>6</v>
      </c>
      <c r="N566" t="str">
        <f>TEXT(MTDRejection[[#This Row],[RejectionDate]],"dddd")</f>
        <v>Friday</v>
      </c>
    </row>
    <row r="567" spans="1:14">
      <c r="A567" t="s">
        <v>419</v>
      </c>
      <c r="B567" t="s">
        <v>3289</v>
      </c>
      <c r="C567" t="s">
        <v>106</v>
      </c>
      <c r="D567" t="s">
        <v>13</v>
      </c>
      <c r="E567" s="7">
        <v>45632</v>
      </c>
      <c r="F567" t="s">
        <v>90</v>
      </c>
      <c r="G567">
        <v>0</v>
      </c>
      <c r="H567" t="s">
        <v>15</v>
      </c>
      <c r="I567" t="s">
        <v>16</v>
      </c>
      <c r="J567" t="s">
        <v>16</v>
      </c>
      <c r="K567" s="16" t="str">
        <f>VLOOKUP(C567,CheckName!A:B,2,0)</f>
        <v>Ref</v>
      </c>
      <c r="L567">
        <v>0</v>
      </c>
      <c r="M567" s="16">
        <f t="shared" si="16"/>
        <v>6</v>
      </c>
      <c r="N567" t="str">
        <f>TEXT(MTDRejection[[#This Row],[RejectionDate]],"dddd")</f>
        <v>Friday</v>
      </c>
    </row>
    <row r="568" spans="1:14">
      <c r="A568" t="s">
        <v>419</v>
      </c>
      <c r="B568" t="s">
        <v>3290</v>
      </c>
      <c r="C568" t="s">
        <v>220</v>
      </c>
      <c r="D568" t="s">
        <v>13</v>
      </c>
      <c r="E568" s="7">
        <v>45632</v>
      </c>
      <c r="F568" t="s">
        <v>90</v>
      </c>
      <c r="G568">
        <v>0</v>
      </c>
      <c r="H568" t="s">
        <v>15</v>
      </c>
      <c r="I568" t="s">
        <v>16</v>
      </c>
      <c r="J568" t="s">
        <v>16</v>
      </c>
      <c r="K568" s="16" t="str">
        <f>VLOOKUP(C568,CheckName!A:B,2,0)</f>
        <v>Ref</v>
      </c>
      <c r="L568">
        <v>0</v>
      </c>
      <c r="M568" s="16">
        <f t="shared" si="16"/>
        <v>6</v>
      </c>
      <c r="N568" t="str">
        <f>TEXT(MTDRejection[[#This Row],[RejectionDate]],"dddd")</f>
        <v>Friday</v>
      </c>
    </row>
    <row r="569" spans="1:14">
      <c r="A569" t="s">
        <v>419</v>
      </c>
      <c r="B569" t="s">
        <v>3291</v>
      </c>
      <c r="C569" t="s">
        <v>220</v>
      </c>
      <c r="D569" t="s">
        <v>13</v>
      </c>
      <c r="E569" s="7">
        <v>45632</v>
      </c>
      <c r="F569" t="s">
        <v>90</v>
      </c>
      <c r="G569">
        <v>0</v>
      </c>
      <c r="H569" t="s">
        <v>15</v>
      </c>
      <c r="I569" t="s">
        <v>16</v>
      </c>
      <c r="J569" t="s">
        <v>16</v>
      </c>
      <c r="K569" s="16" t="str">
        <f>VLOOKUP(C569,CheckName!A:B,2,0)</f>
        <v>Ref</v>
      </c>
      <c r="L569">
        <v>0</v>
      </c>
      <c r="M569" s="16">
        <f t="shared" si="16"/>
        <v>6</v>
      </c>
      <c r="N569" t="str">
        <f>TEXT(MTDRejection[[#This Row],[RejectionDate]],"dddd")</f>
        <v>Friday</v>
      </c>
    </row>
    <row r="570" spans="1:14">
      <c r="A570" t="s">
        <v>419</v>
      </c>
      <c r="B570" t="s">
        <v>3292</v>
      </c>
      <c r="C570" t="s">
        <v>106</v>
      </c>
      <c r="D570" t="s">
        <v>13</v>
      </c>
      <c r="E570" s="7">
        <v>45632</v>
      </c>
      <c r="F570" t="s">
        <v>90</v>
      </c>
      <c r="G570">
        <v>0</v>
      </c>
      <c r="H570" t="s">
        <v>15</v>
      </c>
      <c r="I570" t="s">
        <v>16</v>
      </c>
      <c r="J570" t="s">
        <v>16</v>
      </c>
      <c r="K570" s="16" t="str">
        <f>VLOOKUP(C570,CheckName!A:B,2,0)</f>
        <v>Ref</v>
      </c>
      <c r="L570">
        <v>0</v>
      </c>
      <c r="M570" s="16">
        <f t="shared" si="16"/>
        <v>6</v>
      </c>
      <c r="N570" t="str">
        <f>TEXT(MTDRejection[[#This Row],[RejectionDate]],"dddd")</f>
        <v>Friday</v>
      </c>
    </row>
    <row r="571" spans="1:14">
      <c r="A571" t="s">
        <v>186</v>
      </c>
      <c r="B571" t="s">
        <v>3293</v>
      </c>
      <c r="C571" t="s">
        <v>54</v>
      </c>
      <c r="D571" t="s">
        <v>26</v>
      </c>
      <c r="E571" s="7">
        <v>45632</v>
      </c>
      <c r="F571" t="s">
        <v>604</v>
      </c>
      <c r="G571">
        <v>0</v>
      </c>
      <c r="H571" t="s">
        <v>27</v>
      </c>
      <c r="I571" t="s">
        <v>16</v>
      </c>
      <c r="J571" t="s">
        <v>16</v>
      </c>
      <c r="K571" s="16" t="str">
        <f>VLOOKUP(C571,CheckName!A:B,2,0)</f>
        <v>Edu</v>
      </c>
      <c r="L571">
        <v>0</v>
      </c>
      <c r="M571" s="16">
        <f t="shared" si="16"/>
        <v>6</v>
      </c>
      <c r="N571" t="str">
        <f>TEXT(MTDRejection[[#This Row],[RejectionDate]],"dddd")</f>
        <v>Friday</v>
      </c>
    </row>
    <row r="572" spans="1:14">
      <c r="A572" t="s">
        <v>119</v>
      </c>
      <c r="B572" t="s">
        <v>3294</v>
      </c>
      <c r="C572" t="s">
        <v>12</v>
      </c>
      <c r="D572" t="s">
        <v>13</v>
      </c>
      <c r="E572" s="7">
        <v>45632</v>
      </c>
      <c r="F572" t="s">
        <v>107</v>
      </c>
      <c r="G572">
        <v>0</v>
      </c>
      <c r="H572" t="s">
        <v>15</v>
      </c>
      <c r="I572" t="s">
        <v>16</v>
      </c>
      <c r="J572" t="s">
        <v>16</v>
      </c>
      <c r="K572" s="16" t="str">
        <f>VLOOKUP(C572,CheckName!A:B,2,0)</f>
        <v>Emp</v>
      </c>
      <c r="L572">
        <v>0</v>
      </c>
      <c r="M572" s="16">
        <f t="shared" si="16"/>
        <v>6</v>
      </c>
      <c r="N572" t="str">
        <f>TEXT(MTDRejection[[#This Row],[RejectionDate]],"dddd")</f>
        <v>Friday</v>
      </c>
    </row>
    <row r="573" spans="1:14">
      <c r="A573" t="s">
        <v>306</v>
      </c>
      <c r="B573" t="s">
        <v>2425</v>
      </c>
      <c r="C573" t="s">
        <v>12</v>
      </c>
      <c r="D573" t="s">
        <v>13</v>
      </c>
      <c r="E573" s="7">
        <v>45632</v>
      </c>
      <c r="F573" t="s">
        <v>819</v>
      </c>
      <c r="G573">
        <v>0</v>
      </c>
      <c r="H573" t="s">
        <v>15</v>
      </c>
      <c r="I573" t="s">
        <v>16</v>
      </c>
      <c r="J573" t="s">
        <v>16</v>
      </c>
      <c r="K573" s="16" t="str">
        <f>VLOOKUP(C573,CheckName!A:B,2,0)</f>
        <v>Emp</v>
      </c>
      <c r="L573">
        <v>0</v>
      </c>
      <c r="M573" s="16">
        <f t="shared" si="16"/>
        <v>6</v>
      </c>
      <c r="N573" t="str">
        <f>TEXT(MTDRejection[[#This Row],[RejectionDate]],"dddd")</f>
        <v>Friday</v>
      </c>
    </row>
    <row r="574" spans="1:14">
      <c r="A574" t="s">
        <v>1763</v>
      </c>
      <c r="B574" t="s">
        <v>3295</v>
      </c>
      <c r="C574" t="s">
        <v>56</v>
      </c>
      <c r="D574" t="s">
        <v>13</v>
      </c>
      <c r="E574" s="7">
        <v>45632</v>
      </c>
      <c r="F574" t="s">
        <v>107</v>
      </c>
      <c r="G574">
        <v>0</v>
      </c>
      <c r="H574" t="s">
        <v>505</v>
      </c>
      <c r="I574" t="s">
        <v>16</v>
      </c>
      <c r="J574" t="s">
        <v>16</v>
      </c>
      <c r="K574" s="16" t="str">
        <f>VLOOKUP(C574,CheckName!A:B,2,0)</f>
        <v>Special Check</v>
      </c>
      <c r="L574">
        <v>0</v>
      </c>
      <c r="M574" s="16">
        <f t="shared" si="16"/>
        <v>6</v>
      </c>
      <c r="N574" t="str">
        <f>TEXT(MTDRejection[[#This Row],[RejectionDate]],"dddd")</f>
        <v>Friday</v>
      </c>
    </row>
    <row r="575" spans="1:14">
      <c r="A575" t="s">
        <v>160</v>
      </c>
      <c r="B575" t="s">
        <v>3296</v>
      </c>
      <c r="C575" t="s">
        <v>36</v>
      </c>
      <c r="D575" t="s">
        <v>26</v>
      </c>
      <c r="E575" s="7">
        <v>45632</v>
      </c>
      <c r="F575" t="s">
        <v>159</v>
      </c>
      <c r="G575">
        <v>0</v>
      </c>
      <c r="H575" t="s">
        <v>22</v>
      </c>
      <c r="I575" t="s">
        <v>16</v>
      </c>
      <c r="J575" t="s">
        <v>16</v>
      </c>
      <c r="K575" s="16" t="str">
        <f>VLOOKUP(C575,CheckName!A:B,2,0)</f>
        <v>Emp</v>
      </c>
      <c r="L575">
        <v>0</v>
      </c>
      <c r="M575" s="16">
        <f t="shared" si="16"/>
        <v>6</v>
      </c>
      <c r="N575" t="str">
        <f>TEXT(MTDRejection[[#This Row],[RejectionDate]],"dddd")</f>
        <v>Friday</v>
      </c>
    </row>
    <row r="576" spans="1:14">
      <c r="A576" t="s">
        <v>160</v>
      </c>
      <c r="B576" t="s">
        <v>850</v>
      </c>
      <c r="C576" t="s">
        <v>125</v>
      </c>
      <c r="D576" t="s">
        <v>26</v>
      </c>
      <c r="E576" s="7">
        <v>45632</v>
      </c>
      <c r="F576" t="s">
        <v>2335</v>
      </c>
      <c r="G576">
        <v>0</v>
      </c>
      <c r="H576" t="s">
        <v>27</v>
      </c>
      <c r="I576" t="s">
        <v>16</v>
      </c>
      <c r="J576" t="s">
        <v>16</v>
      </c>
      <c r="K576" s="16" t="str">
        <f>VLOOKUP(C576,CheckName!A:B,2,0)</f>
        <v>Emp</v>
      </c>
      <c r="L576">
        <v>0</v>
      </c>
      <c r="M576" s="16">
        <f t="shared" si="16"/>
        <v>6</v>
      </c>
      <c r="N576" t="str">
        <f>TEXT(MTDRejection[[#This Row],[RejectionDate]],"dddd")</f>
        <v>Friday</v>
      </c>
    </row>
    <row r="577" spans="1:14">
      <c r="A577" t="s">
        <v>353</v>
      </c>
      <c r="B577" t="s">
        <v>3297</v>
      </c>
      <c r="C577" t="s">
        <v>12</v>
      </c>
      <c r="D577" t="s">
        <v>26</v>
      </c>
      <c r="E577" s="7">
        <v>45632</v>
      </c>
      <c r="F577" t="s">
        <v>2333</v>
      </c>
      <c r="G577">
        <v>0</v>
      </c>
      <c r="H577" t="s">
        <v>27</v>
      </c>
      <c r="I577" t="s">
        <v>16</v>
      </c>
      <c r="J577" t="s">
        <v>16</v>
      </c>
      <c r="K577" s="16" t="str">
        <f>VLOOKUP(C577,CheckName!A:B,2,0)</f>
        <v>Emp</v>
      </c>
      <c r="L577">
        <v>0</v>
      </c>
      <c r="M577" s="16">
        <f t="shared" si="16"/>
        <v>6</v>
      </c>
      <c r="N577" t="str">
        <f>TEXT(MTDRejection[[#This Row],[RejectionDate]],"dddd")</f>
        <v>Friday</v>
      </c>
    </row>
    <row r="578" spans="1:14">
      <c r="A578" t="s">
        <v>84</v>
      </c>
      <c r="B578" t="s">
        <v>1765</v>
      </c>
      <c r="C578" t="s">
        <v>125</v>
      </c>
      <c r="D578" t="s">
        <v>26</v>
      </c>
      <c r="E578" s="7">
        <v>45632</v>
      </c>
      <c r="F578" t="s">
        <v>2333</v>
      </c>
      <c r="G578">
        <v>0</v>
      </c>
      <c r="H578" t="s">
        <v>130</v>
      </c>
      <c r="I578" t="s">
        <v>16</v>
      </c>
      <c r="J578" t="s">
        <v>16</v>
      </c>
      <c r="K578" s="16" t="str">
        <f>VLOOKUP(C578,CheckName!A:B,2,0)</f>
        <v>Emp</v>
      </c>
      <c r="L578">
        <v>0</v>
      </c>
      <c r="M578" s="16">
        <f t="shared" si="16"/>
        <v>6</v>
      </c>
      <c r="N578" t="str">
        <f>TEXT(MTDRejection[[#This Row],[RejectionDate]],"dddd")</f>
        <v>Friday</v>
      </c>
    </row>
    <row r="579" spans="1:14">
      <c r="A579" t="s">
        <v>47</v>
      </c>
      <c r="B579" t="s">
        <v>3298</v>
      </c>
      <c r="C579" t="s">
        <v>49</v>
      </c>
      <c r="D579" t="s">
        <v>13</v>
      </c>
      <c r="E579" s="7">
        <v>45632</v>
      </c>
      <c r="F579" t="s">
        <v>831</v>
      </c>
      <c r="G579">
        <v>0</v>
      </c>
      <c r="H579" t="s">
        <v>15</v>
      </c>
      <c r="I579" t="s">
        <v>16</v>
      </c>
      <c r="J579" t="s">
        <v>16</v>
      </c>
      <c r="K579" s="16" t="str">
        <f>VLOOKUP(C579,CheckName!A:B,2,0)</f>
        <v>CRC</v>
      </c>
      <c r="L579">
        <v>0</v>
      </c>
      <c r="M579" s="16">
        <f t="shared" si="16"/>
        <v>6</v>
      </c>
      <c r="N579" t="str">
        <f>TEXT(MTDRejection[[#This Row],[RejectionDate]],"dddd")</f>
        <v>Friday</v>
      </c>
    </row>
    <row r="580" spans="1:14">
      <c r="A580" t="s">
        <v>216</v>
      </c>
      <c r="B580" t="s">
        <v>3299</v>
      </c>
      <c r="C580" t="s">
        <v>54</v>
      </c>
      <c r="D580" t="s">
        <v>26</v>
      </c>
      <c r="E580" s="7">
        <v>45632</v>
      </c>
      <c r="F580" t="s">
        <v>309</v>
      </c>
      <c r="G580">
        <v>0</v>
      </c>
      <c r="H580" t="s">
        <v>27</v>
      </c>
      <c r="I580" t="s">
        <v>16</v>
      </c>
      <c r="J580" t="s">
        <v>16</v>
      </c>
      <c r="K580" s="16" t="str">
        <f>VLOOKUP(C580,CheckName!A:B,2,0)</f>
        <v>Edu</v>
      </c>
      <c r="L580">
        <v>0</v>
      </c>
      <c r="M580" s="16">
        <f t="shared" si="16"/>
        <v>6</v>
      </c>
      <c r="N580" t="str">
        <f>TEXT(MTDRejection[[#This Row],[RejectionDate]],"dddd")</f>
        <v>Friday</v>
      </c>
    </row>
    <row r="581" spans="1:14">
      <c r="A581" t="s">
        <v>1764</v>
      </c>
      <c r="B581" t="s">
        <v>3300</v>
      </c>
      <c r="C581" t="s">
        <v>25</v>
      </c>
      <c r="D581" t="s">
        <v>20</v>
      </c>
      <c r="E581" s="7">
        <v>45632</v>
      </c>
      <c r="F581" t="s">
        <v>129</v>
      </c>
      <c r="G581">
        <v>0</v>
      </c>
      <c r="H581" t="s">
        <v>22</v>
      </c>
      <c r="I581" t="s">
        <v>16</v>
      </c>
      <c r="J581" t="s">
        <v>16</v>
      </c>
      <c r="K581" s="16" t="str">
        <f>VLOOKUP(C581,CheckName!A:B,2,0)</f>
        <v>Add</v>
      </c>
      <c r="L581">
        <v>0</v>
      </c>
      <c r="M581" s="16">
        <f t="shared" si="16"/>
        <v>6</v>
      </c>
      <c r="N581" t="str">
        <f>TEXT(MTDRejection[[#This Row],[RejectionDate]],"dddd")</f>
        <v>Friday</v>
      </c>
    </row>
    <row r="582" spans="1:14">
      <c r="A582" t="s">
        <v>84</v>
      </c>
      <c r="B582" t="s">
        <v>3301</v>
      </c>
      <c r="C582" t="s">
        <v>36</v>
      </c>
      <c r="D582" t="s">
        <v>26</v>
      </c>
      <c r="E582" s="7">
        <v>45632</v>
      </c>
      <c r="F582" t="s">
        <v>2355</v>
      </c>
      <c r="G582">
        <v>0</v>
      </c>
      <c r="H582" t="s">
        <v>27</v>
      </c>
      <c r="I582" t="s">
        <v>16</v>
      </c>
      <c r="J582" t="s">
        <v>16</v>
      </c>
      <c r="K582" s="16" t="str">
        <f>VLOOKUP(C582,CheckName!A:B,2,0)</f>
        <v>Emp</v>
      </c>
      <c r="L582">
        <v>0</v>
      </c>
      <c r="M582" s="16">
        <f t="shared" si="16"/>
        <v>6</v>
      </c>
      <c r="N582" t="str">
        <f>TEXT(MTDRejection[[#This Row],[RejectionDate]],"dddd")</f>
        <v>Friday</v>
      </c>
    </row>
    <row r="583" spans="1:14">
      <c r="A583" t="s">
        <v>1552</v>
      </c>
      <c r="B583" t="s">
        <v>3302</v>
      </c>
      <c r="C583" t="s">
        <v>25</v>
      </c>
      <c r="D583" t="s">
        <v>20</v>
      </c>
      <c r="E583" s="7">
        <v>45631</v>
      </c>
      <c r="F583" t="s">
        <v>129</v>
      </c>
      <c r="G583">
        <v>1</v>
      </c>
      <c r="H583" t="s">
        <v>22</v>
      </c>
      <c r="I583" t="s">
        <v>16</v>
      </c>
      <c r="J583" t="s">
        <v>16</v>
      </c>
      <c r="K583" s="16" t="str">
        <f>VLOOKUP(C583,CheckName!A:B,2,0)</f>
        <v>Add</v>
      </c>
      <c r="L583">
        <v>0</v>
      </c>
      <c r="M583" s="16">
        <f t="shared" si="16"/>
        <v>5</v>
      </c>
      <c r="N583" t="str">
        <f>TEXT(MTDRejection[[#This Row],[RejectionDate]],"dddd")</f>
        <v>Thursday</v>
      </c>
    </row>
    <row r="584" spans="1:14">
      <c r="A584" t="s">
        <v>1110</v>
      </c>
      <c r="B584" t="s">
        <v>3303</v>
      </c>
      <c r="C584" t="s">
        <v>965</v>
      </c>
      <c r="D584" t="s">
        <v>26</v>
      </c>
      <c r="E584" s="7">
        <v>45631</v>
      </c>
      <c r="F584" t="s">
        <v>129</v>
      </c>
      <c r="G584">
        <v>1</v>
      </c>
      <c r="H584" t="s">
        <v>27</v>
      </c>
      <c r="I584" t="s">
        <v>16</v>
      </c>
      <c r="J584" t="s">
        <v>16</v>
      </c>
      <c r="K584" s="16" t="str">
        <f>VLOOKUP(C584,CheckName!A:B,2,0)</f>
        <v>Add</v>
      </c>
      <c r="L584">
        <v>0</v>
      </c>
      <c r="M584" s="16">
        <f t="shared" ref="M584:M586" si="17">DAY(E584)</f>
        <v>5</v>
      </c>
      <c r="N584" t="str">
        <f>TEXT(MTDRejection[[#This Row],[RejectionDate]],"dddd")</f>
        <v>Thursday</v>
      </c>
    </row>
    <row r="585" spans="1:14">
      <c r="A585" t="s">
        <v>81</v>
      </c>
      <c r="B585" t="s">
        <v>3304</v>
      </c>
      <c r="C585" t="s">
        <v>36</v>
      </c>
      <c r="D585" t="s">
        <v>26</v>
      </c>
      <c r="E585" s="7">
        <v>45631</v>
      </c>
      <c r="F585" t="s">
        <v>115</v>
      </c>
      <c r="G585">
        <v>1</v>
      </c>
      <c r="H585" t="s">
        <v>22</v>
      </c>
      <c r="I585" t="s">
        <v>16</v>
      </c>
      <c r="J585" t="s">
        <v>16</v>
      </c>
      <c r="K585" s="16" t="str">
        <f>VLOOKUP(C585,CheckName!A:B,2,0)</f>
        <v>Emp</v>
      </c>
      <c r="L585">
        <v>0</v>
      </c>
      <c r="M585" s="16">
        <f t="shared" si="17"/>
        <v>5</v>
      </c>
      <c r="N585" t="str">
        <f>TEXT(MTDRejection[[#This Row],[RejectionDate]],"dddd")</f>
        <v>Thursday</v>
      </c>
    </row>
    <row r="586" spans="1:14">
      <c r="A586" t="s">
        <v>580</v>
      </c>
      <c r="B586" t="s">
        <v>3305</v>
      </c>
      <c r="C586" t="s">
        <v>12</v>
      </c>
      <c r="D586" t="s">
        <v>26</v>
      </c>
      <c r="E586" s="7">
        <v>45631</v>
      </c>
      <c r="F586" t="s">
        <v>2337</v>
      </c>
      <c r="G586">
        <v>1</v>
      </c>
      <c r="H586" t="s">
        <v>27</v>
      </c>
      <c r="I586" t="s">
        <v>16</v>
      </c>
      <c r="J586" t="s">
        <v>16</v>
      </c>
      <c r="K586" s="16" t="str">
        <f>VLOOKUP(C586,CheckName!A:B,2,0)</f>
        <v>Emp</v>
      </c>
      <c r="L586">
        <v>0</v>
      </c>
      <c r="M586" s="16">
        <f t="shared" si="17"/>
        <v>5</v>
      </c>
      <c r="N586" t="str">
        <f>TEXT(MTDRejection[[#This Row],[RejectionDate]],"dddd")</f>
        <v>Thursday</v>
      </c>
    </row>
    <row r="587" spans="1:14">
      <c r="A587" t="s">
        <v>47</v>
      </c>
      <c r="B587" t="s">
        <v>3306</v>
      </c>
      <c r="C587" t="s">
        <v>49</v>
      </c>
      <c r="D587" t="s">
        <v>13</v>
      </c>
      <c r="E587" s="7">
        <v>45631</v>
      </c>
      <c r="F587" t="s">
        <v>821</v>
      </c>
      <c r="G587">
        <v>1</v>
      </c>
      <c r="H587" t="s">
        <v>15</v>
      </c>
      <c r="I587" t="s">
        <v>16</v>
      </c>
      <c r="J587" t="s">
        <v>16</v>
      </c>
      <c r="K587" s="16" t="str">
        <f>VLOOKUP(C587,CheckName!A:B,2,0)</f>
        <v>CRC</v>
      </c>
      <c r="L587">
        <v>0</v>
      </c>
      <c r="M587" s="16">
        <f t="shared" ref="M587:M588" si="18">DAY(E587)</f>
        <v>5</v>
      </c>
      <c r="N587" t="str">
        <f>TEXT(MTDRejection[[#This Row],[RejectionDate]],"dddd")</f>
        <v>Thursday</v>
      </c>
    </row>
    <row r="588" spans="1:14">
      <c r="A588" t="s">
        <v>47</v>
      </c>
      <c r="B588" t="s">
        <v>3307</v>
      </c>
      <c r="C588" t="s">
        <v>56</v>
      </c>
      <c r="D588" t="s">
        <v>13</v>
      </c>
      <c r="E588" s="7">
        <v>45631</v>
      </c>
      <c r="F588" t="s">
        <v>821</v>
      </c>
      <c r="G588">
        <v>1</v>
      </c>
      <c r="H588" t="s">
        <v>15</v>
      </c>
      <c r="I588" t="s">
        <v>16</v>
      </c>
      <c r="J588" t="s">
        <v>16</v>
      </c>
      <c r="K588" s="16" t="str">
        <f>VLOOKUP(C588,CheckName!A:B,2,0)</f>
        <v>Special Check</v>
      </c>
      <c r="L588">
        <v>0</v>
      </c>
      <c r="M588" s="16">
        <f t="shared" si="18"/>
        <v>5</v>
      </c>
      <c r="N588" t="str">
        <f>TEXT(MTDRejection[[#This Row],[RejectionDate]],"dddd")</f>
        <v>Thursday</v>
      </c>
    </row>
    <row r="589" spans="1:14">
      <c r="A589" t="s">
        <v>402</v>
      </c>
      <c r="B589" t="s">
        <v>3308</v>
      </c>
      <c r="C589" t="s">
        <v>36</v>
      </c>
      <c r="D589" t="s">
        <v>26</v>
      </c>
      <c r="E589" s="7">
        <v>45631</v>
      </c>
      <c r="F589" t="s">
        <v>721</v>
      </c>
      <c r="G589">
        <v>1</v>
      </c>
      <c r="H589" t="s">
        <v>95</v>
      </c>
      <c r="I589" t="s">
        <v>16</v>
      </c>
      <c r="J589" t="s">
        <v>16</v>
      </c>
      <c r="K589" s="16" t="str">
        <f>VLOOKUP(C589,CheckName!A:B,2,0)</f>
        <v>Emp</v>
      </c>
      <c r="L589">
        <v>0</v>
      </c>
      <c r="M589" s="16">
        <f>DAY(E589)</f>
        <v>5</v>
      </c>
      <c r="N589" t="str">
        <f>TEXT(MTDRejection[[#This Row],[RejectionDate]],"dddd")</f>
        <v>Thursday</v>
      </c>
    </row>
    <row r="590" spans="1:14">
      <c r="A590" t="s">
        <v>176</v>
      </c>
      <c r="B590" t="s">
        <v>3309</v>
      </c>
      <c r="C590" t="s">
        <v>125</v>
      </c>
      <c r="D590" t="s">
        <v>26</v>
      </c>
      <c r="E590" s="7">
        <v>45631</v>
      </c>
      <c r="F590" t="s">
        <v>2341</v>
      </c>
      <c r="G590">
        <v>1</v>
      </c>
      <c r="H590" t="s">
        <v>27</v>
      </c>
      <c r="I590" t="s">
        <v>16</v>
      </c>
      <c r="J590" t="s">
        <v>16</v>
      </c>
      <c r="K590" s="16" t="str">
        <f>VLOOKUP(C590,CheckName!A:B,2,0)</f>
        <v>Emp</v>
      </c>
      <c r="L590">
        <v>0</v>
      </c>
      <c r="M590" s="16">
        <f t="shared" ref="M590:M598" si="19">DAY(E590)</f>
        <v>5</v>
      </c>
      <c r="N590" t="str">
        <f>TEXT(MTDRejection[[#This Row],[RejectionDate]],"dddd")</f>
        <v>Thursday</v>
      </c>
    </row>
    <row r="591" spans="1:14">
      <c r="A591" t="s">
        <v>84</v>
      </c>
      <c r="B591" t="s">
        <v>3310</v>
      </c>
      <c r="C591" t="s">
        <v>12</v>
      </c>
      <c r="D591" t="s">
        <v>26</v>
      </c>
      <c r="E591" s="7">
        <v>45631</v>
      </c>
      <c r="F591" t="s">
        <v>2341</v>
      </c>
      <c r="G591">
        <v>1</v>
      </c>
      <c r="H591" t="s">
        <v>27</v>
      </c>
      <c r="I591" t="s">
        <v>16</v>
      </c>
      <c r="J591" t="s">
        <v>16</v>
      </c>
      <c r="K591" s="16" t="str">
        <f>VLOOKUP(C591,CheckName!A:B,2,0)</f>
        <v>Emp</v>
      </c>
      <c r="L591">
        <v>0</v>
      </c>
      <c r="M591" s="16">
        <f t="shared" si="19"/>
        <v>5</v>
      </c>
      <c r="N591" t="str">
        <f>TEXT(MTDRejection[[#This Row],[RejectionDate]],"dddd")</f>
        <v>Thursday</v>
      </c>
    </row>
    <row r="592" spans="1:14">
      <c r="A592" t="s">
        <v>176</v>
      </c>
      <c r="B592" t="s">
        <v>3311</v>
      </c>
      <c r="C592" t="s">
        <v>54</v>
      </c>
      <c r="D592" t="s">
        <v>26</v>
      </c>
      <c r="E592" s="7">
        <v>45631</v>
      </c>
      <c r="F592" t="s">
        <v>63</v>
      </c>
      <c r="G592">
        <v>1</v>
      </c>
      <c r="H592" t="s">
        <v>27</v>
      </c>
      <c r="I592" t="s">
        <v>16</v>
      </c>
      <c r="J592" t="s">
        <v>16</v>
      </c>
      <c r="K592" s="16" t="str">
        <f>VLOOKUP(C592,CheckName!A:B,2,0)</f>
        <v>Edu</v>
      </c>
      <c r="L592">
        <v>0</v>
      </c>
      <c r="M592" s="16">
        <f t="shared" si="19"/>
        <v>5</v>
      </c>
      <c r="N592" t="str">
        <f>TEXT(MTDRejection[[#This Row],[RejectionDate]],"dddd")</f>
        <v>Thursday</v>
      </c>
    </row>
    <row r="593" spans="1:14">
      <c r="A593" t="s">
        <v>176</v>
      </c>
      <c r="B593" t="s">
        <v>3312</v>
      </c>
      <c r="C593" t="s">
        <v>12</v>
      </c>
      <c r="D593" t="s">
        <v>26</v>
      </c>
      <c r="E593" s="7">
        <v>45631</v>
      </c>
      <c r="F593" t="s">
        <v>222</v>
      </c>
      <c r="G593">
        <v>1</v>
      </c>
      <c r="H593" t="s">
        <v>27</v>
      </c>
      <c r="I593" t="s">
        <v>16</v>
      </c>
      <c r="J593" t="s">
        <v>16</v>
      </c>
      <c r="K593" s="16" t="str">
        <f>VLOOKUP(C593,CheckName!A:B,2,0)</f>
        <v>Emp</v>
      </c>
      <c r="L593">
        <v>0</v>
      </c>
      <c r="M593" s="16">
        <f t="shared" si="19"/>
        <v>5</v>
      </c>
      <c r="N593" t="str">
        <f>TEXT(MTDRejection[[#This Row],[RejectionDate]],"dddd")</f>
        <v>Thursday</v>
      </c>
    </row>
    <row r="594" spans="1:14">
      <c r="A594" t="s">
        <v>81</v>
      </c>
      <c r="B594" t="s">
        <v>3313</v>
      </c>
      <c r="C594" t="s">
        <v>12</v>
      </c>
      <c r="D594" t="s">
        <v>26</v>
      </c>
      <c r="E594" s="7">
        <v>45631</v>
      </c>
      <c r="F594" t="s">
        <v>222</v>
      </c>
      <c r="G594">
        <v>1</v>
      </c>
      <c r="H594" t="s">
        <v>27</v>
      </c>
      <c r="I594" t="s">
        <v>16</v>
      </c>
      <c r="J594" t="s">
        <v>16</v>
      </c>
      <c r="K594" s="16" t="str">
        <f>VLOOKUP(C594,CheckName!A:B,2,0)</f>
        <v>Emp</v>
      </c>
      <c r="L594">
        <v>0</v>
      </c>
      <c r="M594" s="16">
        <f t="shared" si="19"/>
        <v>5</v>
      </c>
      <c r="N594" t="str">
        <f>TEXT(MTDRejection[[#This Row],[RejectionDate]],"dddd")</f>
        <v>Thursday</v>
      </c>
    </row>
    <row r="595" spans="1:14">
      <c r="A595" t="s">
        <v>81</v>
      </c>
      <c r="B595" t="s">
        <v>3314</v>
      </c>
      <c r="C595" t="s">
        <v>12</v>
      </c>
      <c r="D595" t="s">
        <v>26</v>
      </c>
      <c r="E595" s="7">
        <v>45631</v>
      </c>
      <c r="F595" t="s">
        <v>222</v>
      </c>
      <c r="G595">
        <v>1</v>
      </c>
      <c r="H595" t="s">
        <v>27</v>
      </c>
      <c r="I595" t="s">
        <v>16</v>
      </c>
      <c r="J595" t="s">
        <v>16</v>
      </c>
      <c r="K595" s="16" t="str">
        <f>VLOOKUP(C595,CheckName!A:B,2,0)</f>
        <v>Emp</v>
      </c>
      <c r="L595">
        <v>0</v>
      </c>
      <c r="M595" s="16">
        <f t="shared" si="19"/>
        <v>5</v>
      </c>
      <c r="N595" t="str">
        <f>TEXT(MTDRejection[[#This Row],[RejectionDate]],"dddd")</f>
        <v>Thursday</v>
      </c>
    </row>
    <row r="596" spans="1:14">
      <c r="A596" t="s">
        <v>40</v>
      </c>
      <c r="B596" t="s">
        <v>3315</v>
      </c>
      <c r="C596" t="s">
        <v>12</v>
      </c>
      <c r="D596" t="s">
        <v>26</v>
      </c>
      <c r="E596" s="7">
        <v>45631</v>
      </c>
      <c r="F596" t="s">
        <v>222</v>
      </c>
      <c r="G596">
        <v>1</v>
      </c>
      <c r="H596" t="s">
        <v>27</v>
      </c>
      <c r="I596" t="s">
        <v>16</v>
      </c>
      <c r="J596" t="s">
        <v>16</v>
      </c>
      <c r="K596" s="16" t="str">
        <f>VLOOKUP(C596,CheckName!A:B,2,0)</f>
        <v>Emp</v>
      </c>
      <c r="L596">
        <v>0</v>
      </c>
      <c r="M596" s="16">
        <f t="shared" si="19"/>
        <v>5</v>
      </c>
      <c r="N596" t="str">
        <f>TEXT(MTDRejection[[#This Row],[RejectionDate]],"dddd")</f>
        <v>Thursday</v>
      </c>
    </row>
    <row r="597" spans="1:14">
      <c r="A597" t="s">
        <v>84</v>
      </c>
      <c r="B597" t="s">
        <v>3316</v>
      </c>
      <c r="C597" t="s">
        <v>36</v>
      </c>
      <c r="D597" t="s">
        <v>26</v>
      </c>
      <c r="E597" s="7">
        <v>45631</v>
      </c>
      <c r="F597" t="s">
        <v>222</v>
      </c>
      <c r="G597">
        <v>1</v>
      </c>
      <c r="H597" t="s">
        <v>22</v>
      </c>
      <c r="I597" t="s">
        <v>16</v>
      </c>
      <c r="J597" t="s">
        <v>16</v>
      </c>
      <c r="K597" s="16" t="str">
        <f>VLOOKUP(C597,CheckName!A:B,2,0)</f>
        <v>Emp</v>
      </c>
      <c r="L597">
        <v>0</v>
      </c>
      <c r="M597" s="16">
        <f t="shared" si="19"/>
        <v>5</v>
      </c>
      <c r="N597" t="str">
        <f>TEXT(MTDRejection[[#This Row],[RejectionDate]],"dddd")</f>
        <v>Thursday</v>
      </c>
    </row>
    <row r="598" spans="1:14">
      <c r="A598" t="s">
        <v>682</v>
      </c>
      <c r="B598" t="s">
        <v>3317</v>
      </c>
      <c r="C598" t="s">
        <v>125</v>
      </c>
      <c r="D598" t="s">
        <v>26</v>
      </c>
      <c r="E598" s="7">
        <v>45631</v>
      </c>
      <c r="F598" t="s">
        <v>37</v>
      </c>
      <c r="G598">
        <v>1</v>
      </c>
      <c r="H598" t="s">
        <v>27</v>
      </c>
      <c r="I598" t="s">
        <v>16</v>
      </c>
      <c r="J598" t="s">
        <v>16</v>
      </c>
      <c r="K598" s="16" t="str">
        <f>VLOOKUP(C598,CheckName!A:B,2,0)</f>
        <v>Emp</v>
      </c>
      <c r="L598">
        <v>0</v>
      </c>
      <c r="M598" s="16">
        <f t="shared" si="19"/>
        <v>5</v>
      </c>
      <c r="N598" t="str">
        <f>TEXT(MTDRejection[[#This Row],[RejectionDate]],"dddd")</f>
        <v>Thursday</v>
      </c>
    </row>
    <row r="599" spans="1:14">
      <c r="A599" t="s">
        <v>211</v>
      </c>
      <c r="B599" t="s">
        <v>3318</v>
      </c>
      <c r="C599" t="s">
        <v>1648</v>
      </c>
      <c r="D599" t="s">
        <v>20</v>
      </c>
      <c r="E599" s="7">
        <v>45631</v>
      </c>
      <c r="F599" t="s">
        <v>2327</v>
      </c>
      <c r="G599">
        <v>1</v>
      </c>
      <c r="H599" t="s">
        <v>22</v>
      </c>
      <c r="I599" t="s">
        <v>16</v>
      </c>
      <c r="J599" t="s">
        <v>16</v>
      </c>
      <c r="K599" s="16" t="str">
        <f>VLOOKUP(C599,CheckName!A:B,2,0)</f>
        <v>Add</v>
      </c>
      <c r="L599">
        <v>0</v>
      </c>
      <c r="M599" s="16">
        <f t="shared" ref="M599:M600" si="20">DAY(E599)</f>
        <v>5</v>
      </c>
      <c r="N599" t="str">
        <f>TEXT(MTDRejection[[#This Row],[RejectionDate]],"dddd")</f>
        <v>Thursday</v>
      </c>
    </row>
    <row r="600" spans="1:14">
      <c r="A600" t="s">
        <v>1766</v>
      </c>
      <c r="B600" t="s">
        <v>3319</v>
      </c>
      <c r="C600" t="s">
        <v>19</v>
      </c>
      <c r="D600" t="s">
        <v>20</v>
      </c>
      <c r="E600" s="7">
        <v>45631</v>
      </c>
      <c r="F600" t="s">
        <v>273</v>
      </c>
      <c r="G600">
        <v>1</v>
      </c>
      <c r="H600" t="s">
        <v>566</v>
      </c>
      <c r="I600" t="s">
        <v>16</v>
      </c>
      <c r="J600" t="s">
        <v>16</v>
      </c>
      <c r="K600" s="16" t="str">
        <f>VLOOKUP(C600,CheckName!A:B,2,0)</f>
        <v>Add</v>
      </c>
      <c r="L600">
        <v>0</v>
      </c>
      <c r="M600" s="16">
        <f t="shared" si="20"/>
        <v>5</v>
      </c>
      <c r="N600" t="str">
        <f>TEXT(MTDRejection[[#This Row],[RejectionDate]],"dddd")</f>
        <v>Thursday</v>
      </c>
    </row>
    <row r="601" spans="1:14">
      <c r="A601" t="s">
        <v>144</v>
      </c>
      <c r="B601" t="s">
        <v>1290</v>
      </c>
      <c r="C601" t="s">
        <v>25</v>
      </c>
      <c r="D601" t="s">
        <v>20</v>
      </c>
      <c r="E601" s="7">
        <v>45631</v>
      </c>
      <c r="F601" t="s">
        <v>2327</v>
      </c>
      <c r="G601">
        <v>1</v>
      </c>
      <c r="H601" t="s">
        <v>22</v>
      </c>
      <c r="I601" t="s">
        <v>16</v>
      </c>
      <c r="J601" t="s">
        <v>16</v>
      </c>
      <c r="K601" s="16" t="str">
        <f>VLOOKUP(C601,CheckName!A:B,2,0)</f>
        <v>Add</v>
      </c>
      <c r="L601">
        <v>0</v>
      </c>
      <c r="M601" s="16">
        <f>DAY(E601)</f>
        <v>5</v>
      </c>
      <c r="N601" t="str">
        <f>TEXT(MTDRejection[[#This Row],[RejectionDate]],"dddd")</f>
        <v>Thursday</v>
      </c>
    </row>
    <row r="602" spans="1:14">
      <c r="A602" t="s">
        <v>139</v>
      </c>
      <c r="B602" t="s">
        <v>3320</v>
      </c>
      <c r="C602" t="s">
        <v>25</v>
      </c>
      <c r="D602" t="s">
        <v>20</v>
      </c>
      <c r="E602" s="7">
        <v>45630</v>
      </c>
      <c r="F602" t="s">
        <v>129</v>
      </c>
      <c r="G602">
        <v>2</v>
      </c>
      <c r="H602" t="s">
        <v>22</v>
      </c>
      <c r="I602" t="s">
        <v>16</v>
      </c>
      <c r="J602" t="s">
        <v>16</v>
      </c>
      <c r="K602" s="16" t="str">
        <f>VLOOKUP(C602,CheckName!A:B,2,0)</f>
        <v>Add</v>
      </c>
      <c r="L602">
        <v>0</v>
      </c>
      <c r="M602" s="16">
        <f>DAY(E602)</f>
        <v>4</v>
      </c>
      <c r="N602" t="str">
        <f>TEXT(MTDRejection[[#This Row],[RejectionDate]],"dddd")</f>
        <v>Wednesday</v>
      </c>
    </row>
    <row r="603" spans="1:14">
      <c r="A603" t="s">
        <v>360</v>
      </c>
      <c r="B603" t="s">
        <v>3321</v>
      </c>
      <c r="C603" t="s">
        <v>12</v>
      </c>
      <c r="D603" t="s">
        <v>26</v>
      </c>
      <c r="E603" s="7">
        <v>45628</v>
      </c>
      <c r="F603" t="s">
        <v>325</v>
      </c>
      <c r="G603">
        <v>4</v>
      </c>
      <c r="H603" t="s">
        <v>27</v>
      </c>
      <c r="I603" t="s">
        <v>16</v>
      </c>
      <c r="J603" t="s">
        <v>16</v>
      </c>
      <c r="K603" s="16" t="str">
        <f>VLOOKUP(C603,CheckName!A:B,2,0)</f>
        <v>Emp</v>
      </c>
      <c r="L603">
        <v>0</v>
      </c>
      <c r="M603" s="16">
        <f>DAY(E603)</f>
        <v>2</v>
      </c>
      <c r="N603" t="str">
        <f>TEXT(MTDRejection[[#This Row],[RejectionDate]],"dddd")</f>
        <v>Monday</v>
      </c>
    </row>
    <row r="604" spans="1:14">
      <c r="A604" t="s">
        <v>47</v>
      </c>
      <c r="B604" t="s">
        <v>3322</v>
      </c>
      <c r="C604" t="s">
        <v>54</v>
      </c>
      <c r="D604" t="s">
        <v>13</v>
      </c>
      <c r="E604" s="7">
        <v>45632</v>
      </c>
      <c r="F604" t="s">
        <v>2326</v>
      </c>
      <c r="G604">
        <v>0</v>
      </c>
      <c r="H604" t="s">
        <v>130</v>
      </c>
      <c r="I604" t="s">
        <v>16</v>
      </c>
      <c r="J604" t="s">
        <v>16</v>
      </c>
      <c r="K604" s="16" t="str">
        <f>VLOOKUP(C604,CheckName!A:B,2,0)</f>
        <v>Edu</v>
      </c>
      <c r="L604">
        <v>0</v>
      </c>
      <c r="M604" s="16">
        <f t="shared" ref="M604:M612" si="21">DAY(E604)</f>
        <v>6</v>
      </c>
      <c r="N604" t="str">
        <f>TEXT(MTDRejection[[#This Row],[RejectionDate]],"dddd")</f>
        <v>Friday</v>
      </c>
    </row>
    <row r="605" spans="1:14">
      <c r="A605" t="s">
        <v>47</v>
      </c>
      <c r="B605" t="s">
        <v>3323</v>
      </c>
      <c r="C605" t="s">
        <v>54</v>
      </c>
      <c r="D605" t="s">
        <v>13</v>
      </c>
      <c r="E605" s="7">
        <v>45632</v>
      </c>
      <c r="F605" t="s">
        <v>2326</v>
      </c>
      <c r="G605">
        <v>0</v>
      </c>
      <c r="H605" t="s">
        <v>15</v>
      </c>
      <c r="I605" t="s">
        <v>16</v>
      </c>
      <c r="J605" t="s">
        <v>16</v>
      </c>
      <c r="K605" s="16" t="str">
        <f>VLOOKUP(C605,CheckName!A:B,2,0)</f>
        <v>Edu</v>
      </c>
      <c r="L605">
        <v>0</v>
      </c>
      <c r="M605" s="16">
        <f t="shared" si="21"/>
        <v>6</v>
      </c>
      <c r="N605" t="str">
        <f>TEXT(MTDRejection[[#This Row],[RejectionDate]],"dddd")</f>
        <v>Friday</v>
      </c>
    </row>
    <row r="606" spans="1:14">
      <c r="A606" t="s">
        <v>664</v>
      </c>
      <c r="B606" t="s">
        <v>2426</v>
      </c>
      <c r="C606" t="s">
        <v>467</v>
      </c>
      <c r="D606" t="s">
        <v>26</v>
      </c>
      <c r="E606" s="7">
        <v>45632</v>
      </c>
      <c r="F606" t="s">
        <v>236</v>
      </c>
      <c r="G606">
        <v>0</v>
      </c>
      <c r="H606" t="s">
        <v>30</v>
      </c>
      <c r="I606" t="s">
        <v>16</v>
      </c>
      <c r="J606" t="s">
        <v>16</v>
      </c>
      <c r="K606" s="16" t="str">
        <f>VLOOKUP(C606,CheckName!A:B,2,0)</f>
        <v>Special Check</v>
      </c>
      <c r="L606">
        <v>0</v>
      </c>
      <c r="M606" s="16">
        <f t="shared" si="21"/>
        <v>6</v>
      </c>
      <c r="N606" t="str">
        <f>TEXT(MTDRejection[[#This Row],[RejectionDate]],"dddd")</f>
        <v>Friday</v>
      </c>
    </row>
    <row r="607" spans="1:14">
      <c r="A607" t="s">
        <v>664</v>
      </c>
      <c r="B607" t="s">
        <v>3324</v>
      </c>
      <c r="C607" t="s">
        <v>467</v>
      </c>
      <c r="D607" t="s">
        <v>26</v>
      </c>
      <c r="E607" s="7">
        <v>45632</v>
      </c>
      <c r="F607" t="s">
        <v>236</v>
      </c>
      <c r="G607">
        <v>0</v>
      </c>
      <c r="H607" t="s">
        <v>290</v>
      </c>
      <c r="I607" t="s">
        <v>16</v>
      </c>
      <c r="J607" t="s">
        <v>16</v>
      </c>
      <c r="K607" s="16" t="str">
        <f>VLOOKUP(C607,CheckName!A:B,2,0)</f>
        <v>Special Check</v>
      </c>
      <c r="L607">
        <v>0</v>
      </c>
      <c r="M607" s="16">
        <f t="shared" si="21"/>
        <v>6</v>
      </c>
      <c r="N607" t="str">
        <f>TEXT(MTDRejection[[#This Row],[RejectionDate]],"dddd")</f>
        <v>Friday</v>
      </c>
    </row>
    <row r="608" spans="1:14">
      <c r="A608" t="s">
        <v>1552</v>
      </c>
      <c r="B608" t="s">
        <v>3325</v>
      </c>
      <c r="C608" t="s">
        <v>25</v>
      </c>
      <c r="D608" t="s">
        <v>20</v>
      </c>
      <c r="E608" s="7">
        <v>45632</v>
      </c>
      <c r="F608" t="s">
        <v>273</v>
      </c>
      <c r="G608">
        <v>0</v>
      </c>
      <c r="H608" t="s">
        <v>27</v>
      </c>
      <c r="I608" t="s">
        <v>16</v>
      </c>
      <c r="J608" t="s">
        <v>16</v>
      </c>
      <c r="K608" s="16" t="str">
        <f>VLOOKUP(C608,CheckName!A:B,2,0)</f>
        <v>Add</v>
      </c>
      <c r="L608">
        <v>0</v>
      </c>
      <c r="M608" s="16">
        <f t="shared" si="21"/>
        <v>6</v>
      </c>
      <c r="N608" t="str">
        <f>TEXT(MTDRejection[[#This Row],[RejectionDate]],"dddd")</f>
        <v>Friday</v>
      </c>
    </row>
    <row r="609" spans="1:14">
      <c r="A609" t="s">
        <v>419</v>
      </c>
      <c r="B609" t="s">
        <v>3326</v>
      </c>
      <c r="C609" t="s">
        <v>25</v>
      </c>
      <c r="D609" t="s">
        <v>20</v>
      </c>
      <c r="E609" s="7">
        <v>45632</v>
      </c>
      <c r="F609" t="s">
        <v>273</v>
      </c>
      <c r="G609">
        <v>0</v>
      </c>
      <c r="H609" t="s">
        <v>27</v>
      </c>
      <c r="I609" t="s">
        <v>16</v>
      </c>
      <c r="J609" t="s">
        <v>16</v>
      </c>
      <c r="K609" s="16" t="str">
        <f>VLOOKUP(C609,CheckName!A:B,2,0)</f>
        <v>Add</v>
      </c>
      <c r="L609">
        <v>0</v>
      </c>
      <c r="M609" s="16">
        <f t="shared" si="21"/>
        <v>6</v>
      </c>
      <c r="N609" t="str">
        <f>TEXT(MTDRejection[[#This Row],[RejectionDate]],"dddd")</f>
        <v>Friday</v>
      </c>
    </row>
    <row r="610" spans="1:14">
      <c r="A610" t="s">
        <v>142</v>
      </c>
      <c r="B610" t="s">
        <v>3327</v>
      </c>
      <c r="C610" t="s">
        <v>467</v>
      </c>
      <c r="D610" t="s">
        <v>26</v>
      </c>
      <c r="E610" s="7">
        <v>45632</v>
      </c>
      <c r="F610" t="s">
        <v>236</v>
      </c>
      <c r="G610">
        <v>0</v>
      </c>
      <c r="H610" t="s">
        <v>22</v>
      </c>
      <c r="I610" t="s">
        <v>16</v>
      </c>
      <c r="J610" t="s">
        <v>16</v>
      </c>
      <c r="K610" s="16" t="str">
        <f>VLOOKUP(C610,CheckName!A:B,2,0)</f>
        <v>Special Check</v>
      </c>
      <c r="L610">
        <v>0</v>
      </c>
      <c r="M610" s="16">
        <f t="shared" si="21"/>
        <v>6</v>
      </c>
      <c r="N610" t="str">
        <f>TEXT(MTDRejection[[#This Row],[RejectionDate]],"dddd")</f>
        <v>Friday</v>
      </c>
    </row>
    <row r="611" spans="1:14">
      <c r="A611" t="s">
        <v>142</v>
      </c>
      <c r="B611" t="s">
        <v>3328</v>
      </c>
      <c r="C611" t="s">
        <v>467</v>
      </c>
      <c r="D611" t="s">
        <v>26</v>
      </c>
      <c r="E611" s="7">
        <v>45632</v>
      </c>
      <c r="F611" t="s">
        <v>236</v>
      </c>
      <c r="G611">
        <v>0</v>
      </c>
      <c r="H611" t="s">
        <v>27</v>
      </c>
      <c r="I611" t="s">
        <v>16</v>
      </c>
      <c r="J611" t="s">
        <v>16</v>
      </c>
      <c r="K611" s="16" t="str">
        <f>VLOOKUP(C611,CheckName!A:B,2,0)</f>
        <v>Special Check</v>
      </c>
      <c r="L611">
        <v>0</v>
      </c>
      <c r="M611" s="16">
        <f t="shared" si="21"/>
        <v>6</v>
      </c>
      <c r="N611" t="str">
        <f>TEXT(MTDRejection[[#This Row],[RejectionDate]],"dddd")</f>
        <v>Friday</v>
      </c>
    </row>
    <row r="612" spans="1:14">
      <c r="A612" t="s">
        <v>452</v>
      </c>
      <c r="B612" t="s">
        <v>3329</v>
      </c>
      <c r="C612" t="s">
        <v>25</v>
      </c>
      <c r="D612" t="s">
        <v>20</v>
      </c>
      <c r="E612" s="7">
        <v>45632</v>
      </c>
      <c r="F612" t="s">
        <v>2327</v>
      </c>
      <c r="G612">
        <v>0</v>
      </c>
      <c r="H612" t="s">
        <v>22</v>
      </c>
      <c r="I612" t="s">
        <v>16</v>
      </c>
      <c r="J612" t="s">
        <v>16</v>
      </c>
      <c r="K612" s="16" t="str">
        <f>VLOOKUP(C612,CheckName!A:B,2,0)</f>
        <v>Add</v>
      </c>
      <c r="L612">
        <v>0</v>
      </c>
      <c r="M612" s="16">
        <f t="shared" si="21"/>
        <v>6</v>
      </c>
      <c r="N612" t="str">
        <f>TEXT(MTDRejection[[#This Row],[RejectionDate]],"dddd")</f>
        <v>Friday</v>
      </c>
    </row>
    <row r="613" spans="1:14">
      <c r="A613" t="s">
        <v>465</v>
      </c>
      <c r="B613" t="s">
        <v>3330</v>
      </c>
      <c r="C613" t="s">
        <v>467</v>
      </c>
      <c r="D613" t="s">
        <v>26</v>
      </c>
      <c r="E613" s="7">
        <v>45632</v>
      </c>
      <c r="F613" t="s">
        <v>236</v>
      </c>
      <c r="G613">
        <v>0</v>
      </c>
      <c r="H613" t="s">
        <v>22</v>
      </c>
      <c r="I613" t="s">
        <v>16</v>
      </c>
      <c r="J613" t="s">
        <v>16</v>
      </c>
      <c r="K613" s="16" t="str">
        <f>VLOOKUP(C613,CheckName!A:B,2,0)</f>
        <v>Special Check</v>
      </c>
      <c r="L613">
        <v>0</v>
      </c>
      <c r="M613" s="16">
        <f t="shared" ref="M613:M616" si="22">DAY(E613)</f>
        <v>6</v>
      </c>
      <c r="N613" t="str">
        <f>TEXT(MTDRejection[[#This Row],[RejectionDate]],"dddd")</f>
        <v>Friday</v>
      </c>
    </row>
    <row r="614" spans="1:14">
      <c r="A614" t="s">
        <v>1110</v>
      </c>
      <c r="B614" t="s">
        <v>3331</v>
      </c>
      <c r="C614" t="s">
        <v>965</v>
      </c>
      <c r="D614" t="s">
        <v>20</v>
      </c>
      <c r="E614" s="7">
        <v>45632</v>
      </c>
      <c r="F614" t="s">
        <v>273</v>
      </c>
      <c r="G614">
        <v>0</v>
      </c>
      <c r="H614" t="s">
        <v>22</v>
      </c>
      <c r="I614" t="s">
        <v>16</v>
      </c>
      <c r="J614" t="s">
        <v>16</v>
      </c>
      <c r="K614" s="16" t="str">
        <f>VLOOKUP(C614,CheckName!A:B,2,0)</f>
        <v>Add</v>
      </c>
      <c r="L614">
        <v>0</v>
      </c>
      <c r="M614" s="16">
        <f t="shared" si="22"/>
        <v>6</v>
      </c>
      <c r="N614" t="str">
        <f>TEXT(MTDRejection[[#This Row],[RejectionDate]],"dddd")</f>
        <v>Friday</v>
      </c>
    </row>
    <row r="615" spans="1:14">
      <c r="A615" t="s">
        <v>1110</v>
      </c>
      <c r="B615" t="s">
        <v>3332</v>
      </c>
      <c r="C615" t="s">
        <v>965</v>
      </c>
      <c r="D615" t="s">
        <v>20</v>
      </c>
      <c r="E615" s="7">
        <v>45632</v>
      </c>
      <c r="F615" t="s">
        <v>273</v>
      </c>
      <c r="G615">
        <v>0</v>
      </c>
      <c r="H615" t="s">
        <v>22</v>
      </c>
      <c r="I615" t="s">
        <v>16</v>
      </c>
      <c r="J615" t="s">
        <v>16</v>
      </c>
      <c r="K615" s="16" t="str">
        <f>VLOOKUP(C615,CheckName!A:B,2,0)</f>
        <v>Add</v>
      </c>
      <c r="L615">
        <v>0</v>
      </c>
      <c r="M615" s="16">
        <f t="shared" si="22"/>
        <v>6</v>
      </c>
      <c r="N615" t="str">
        <f>TEXT(MTDRejection[[#This Row],[RejectionDate]],"dddd")</f>
        <v>Friday</v>
      </c>
    </row>
    <row r="616" spans="1:14">
      <c r="A616" t="s">
        <v>360</v>
      </c>
      <c r="B616" t="s">
        <v>3333</v>
      </c>
      <c r="C616" t="s">
        <v>125</v>
      </c>
      <c r="D616" t="s">
        <v>26</v>
      </c>
      <c r="E616" s="7">
        <v>45632</v>
      </c>
      <c r="F616" t="s">
        <v>325</v>
      </c>
      <c r="G616">
        <v>0</v>
      </c>
      <c r="H616" t="s">
        <v>27</v>
      </c>
      <c r="I616" t="s">
        <v>16</v>
      </c>
      <c r="J616" t="s">
        <v>16</v>
      </c>
      <c r="K616" s="16" t="str">
        <f>VLOOKUP(C616,CheckName!A:B,2,0)</f>
        <v>Emp</v>
      </c>
      <c r="L616">
        <v>0</v>
      </c>
      <c r="M616" s="16">
        <f t="shared" si="22"/>
        <v>6</v>
      </c>
      <c r="N616" t="str">
        <f>TEXT(MTDRejection[[#This Row],[RejectionDate]],"dddd")</f>
        <v>Friday</v>
      </c>
    </row>
    <row r="617" spans="1:14">
      <c r="A617" t="s">
        <v>1110</v>
      </c>
      <c r="B617" t="s">
        <v>3334</v>
      </c>
      <c r="C617" t="s">
        <v>965</v>
      </c>
      <c r="D617" t="s">
        <v>20</v>
      </c>
      <c r="E617" s="7">
        <v>45632</v>
      </c>
      <c r="F617" t="s">
        <v>2327</v>
      </c>
      <c r="G617">
        <v>0</v>
      </c>
      <c r="H617" t="s">
        <v>22</v>
      </c>
      <c r="I617" t="s">
        <v>16</v>
      </c>
      <c r="J617" t="s">
        <v>16</v>
      </c>
      <c r="K617" s="16" t="str">
        <f>VLOOKUP(C617,CheckName!A:B,2,0)</f>
        <v>Add</v>
      </c>
      <c r="L617">
        <v>0</v>
      </c>
      <c r="M617" s="16">
        <f t="shared" ref="M617:M620" si="23">DAY(E617)</f>
        <v>6</v>
      </c>
      <c r="N617" t="str">
        <f>TEXT(MTDRejection[[#This Row],[RejectionDate]],"dddd")</f>
        <v>Friday</v>
      </c>
    </row>
    <row r="618" spans="1:14">
      <c r="A618" t="s">
        <v>1110</v>
      </c>
      <c r="B618" t="s">
        <v>3335</v>
      </c>
      <c r="C618" t="s">
        <v>965</v>
      </c>
      <c r="D618" t="s">
        <v>20</v>
      </c>
      <c r="E618" s="7">
        <v>45632</v>
      </c>
      <c r="F618" t="s">
        <v>2327</v>
      </c>
      <c r="G618">
        <v>0</v>
      </c>
      <c r="H618" t="s">
        <v>22</v>
      </c>
      <c r="I618" t="s">
        <v>16</v>
      </c>
      <c r="J618" t="s">
        <v>16</v>
      </c>
      <c r="K618" s="16" t="str">
        <f>VLOOKUP(C618,CheckName!A:B,2,0)</f>
        <v>Add</v>
      </c>
      <c r="L618">
        <v>0</v>
      </c>
      <c r="M618" s="16">
        <f t="shared" si="23"/>
        <v>6</v>
      </c>
      <c r="N618" t="str">
        <f>TEXT(MTDRejection[[#This Row],[RejectionDate]],"dddd")</f>
        <v>Friday</v>
      </c>
    </row>
    <row r="619" spans="1:14">
      <c r="A619" t="s">
        <v>200</v>
      </c>
      <c r="B619" t="s">
        <v>3336</v>
      </c>
      <c r="C619" t="s">
        <v>25</v>
      </c>
      <c r="D619" t="s">
        <v>20</v>
      </c>
      <c r="E619" s="7">
        <v>45632</v>
      </c>
      <c r="F619" t="s">
        <v>2327</v>
      </c>
      <c r="G619">
        <v>0</v>
      </c>
      <c r="H619" t="s">
        <v>22</v>
      </c>
      <c r="I619" t="s">
        <v>16</v>
      </c>
      <c r="J619" t="s">
        <v>16</v>
      </c>
      <c r="K619" s="16" t="str">
        <f>VLOOKUP(C619,CheckName!A:B,2,0)</f>
        <v>Add</v>
      </c>
      <c r="L619">
        <v>0</v>
      </c>
      <c r="M619" s="16">
        <f t="shared" si="23"/>
        <v>6</v>
      </c>
      <c r="N619" t="str">
        <f>TEXT(MTDRejection[[#This Row],[RejectionDate]],"dddd")</f>
        <v>Friday</v>
      </c>
    </row>
    <row r="620" spans="1:14">
      <c r="A620" t="s">
        <v>200</v>
      </c>
      <c r="B620" t="s">
        <v>3337</v>
      </c>
      <c r="C620" t="s">
        <v>25</v>
      </c>
      <c r="D620" t="s">
        <v>20</v>
      </c>
      <c r="E620" s="7">
        <v>45632</v>
      </c>
      <c r="F620" t="s">
        <v>2327</v>
      </c>
      <c r="G620">
        <v>0</v>
      </c>
      <c r="H620" t="s">
        <v>22</v>
      </c>
      <c r="I620" t="s">
        <v>16</v>
      </c>
      <c r="J620" t="s">
        <v>16</v>
      </c>
      <c r="K620" s="16" t="str">
        <f>VLOOKUP(C620,CheckName!A:B,2,0)</f>
        <v>Add</v>
      </c>
      <c r="L620">
        <v>0</v>
      </c>
      <c r="M620" s="16">
        <f t="shared" si="23"/>
        <v>6</v>
      </c>
      <c r="N620" t="str">
        <f>TEXT(MTDRejection[[#This Row],[RejectionDate]],"dddd")</f>
        <v>Friday</v>
      </c>
    </row>
    <row r="621" spans="1:14">
      <c r="A621" t="s">
        <v>131</v>
      </c>
      <c r="B621" t="s">
        <v>3338</v>
      </c>
      <c r="C621" t="s">
        <v>19</v>
      </c>
      <c r="D621" t="s">
        <v>20</v>
      </c>
      <c r="E621" s="7">
        <v>45632</v>
      </c>
      <c r="F621" t="s">
        <v>273</v>
      </c>
      <c r="G621">
        <v>0</v>
      </c>
      <c r="H621" t="s">
        <v>22</v>
      </c>
      <c r="I621" t="s">
        <v>16</v>
      </c>
      <c r="J621" t="s">
        <v>16</v>
      </c>
      <c r="K621" s="16" t="str">
        <f>VLOOKUP(C621,CheckName!A:B,2,0)</f>
        <v>Add</v>
      </c>
      <c r="L621">
        <v>0</v>
      </c>
      <c r="M621" s="16">
        <f>DAY(E621)</f>
        <v>6</v>
      </c>
      <c r="N621" t="str">
        <f>TEXT(MTDRejection[[#This Row],[RejectionDate]],"dddd")</f>
        <v>Friday</v>
      </c>
    </row>
    <row r="622" spans="1:14">
      <c r="A622" t="s">
        <v>84</v>
      </c>
      <c r="B622" t="s">
        <v>3339</v>
      </c>
      <c r="C622" t="s">
        <v>467</v>
      </c>
      <c r="D622" t="s">
        <v>26</v>
      </c>
      <c r="E622" s="7">
        <v>45632</v>
      </c>
      <c r="F622" t="s">
        <v>236</v>
      </c>
      <c r="G622">
        <v>0</v>
      </c>
      <c r="H622" t="s">
        <v>27</v>
      </c>
      <c r="I622" t="s">
        <v>16</v>
      </c>
      <c r="J622" t="s">
        <v>16</v>
      </c>
      <c r="K622" s="16" t="str">
        <f>VLOOKUP(C622,CheckName!A:B,2,0)</f>
        <v>Special Check</v>
      </c>
      <c r="L622">
        <v>0</v>
      </c>
      <c r="M622" s="16">
        <f t="shared" ref="M622:M630" si="24">DAY(E622)</f>
        <v>6</v>
      </c>
      <c r="N622" t="str">
        <f>TEXT(MTDRejection[[#This Row],[RejectionDate]],"dddd")</f>
        <v>Friday</v>
      </c>
    </row>
    <row r="623" spans="1:14">
      <c r="A623" t="s">
        <v>84</v>
      </c>
      <c r="B623" t="s">
        <v>3340</v>
      </c>
      <c r="C623" t="s">
        <v>467</v>
      </c>
      <c r="D623" t="s">
        <v>26</v>
      </c>
      <c r="E623" s="7">
        <v>45632</v>
      </c>
      <c r="F623" t="s">
        <v>236</v>
      </c>
      <c r="G623">
        <v>0</v>
      </c>
      <c r="H623" t="s">
        <v>95</v>
      </c>
      <c r="I623" t="s">
        <v>16</v>
      </c>
      <c r="J623" t="s">
        <v>16</v>
      </c>
      <c r="K623" s="16" t="str">
        <f>VLOOKUP(C623,CheckName!A:B,2,0)</f>
        <v>Special Check</v>
      </c>
      <c r="L623">
        <v>0</v>
      </c>
      <c r="M623" s="16">
        <f t="shared" si="24"/>
        <v>6</v>
      </c>
      <c r="N623" t="str">
        <f>TEXT(MTDRejection[[#This Row],[RejectionDate]],"dddd")</f>
        <v>Friday</v>
      </c>
    </row>
    <row r="624" spans="1:14">
      <c r="A624" t="s">
        <v>432</v>
      </c>
      <c r="B624" t="s">
        <v>3341</v>
      </c>
      <c r="C624" t="s">
        <v>125</v>
      </c>
      <c r="D624" t="s">
        <v>51</v>
      </c>
      <c r="E624" s="7">
        <v>45632</v>
      </c>
      <c r="F624" t="s">
        <v>555</v>
      </c>
      <c r="G624">
        <v>0</v>
      </c>
      <c r="H624" t="s">
        <v>53</v>
      </c>
      <c r="I624" t="s">
        <v>16</v>
      </c>
      <c r="J624" t="s">
        <v>16</v>
      </c>
      <c r="K624" s="16" t="str">
        <f>VLOOKUP(C624,CheckName!A:B,2,0)</f>
        <v>Emp</v>
      </c>
      <c r="L624">
        <v>0</v>
      </c>
      <c r="M624" s="16">
        <f t="shared" si="24"/>
        <v>6</v>
      </c>
      <c r="N624" t="str">
        <f>TEXT(MTDRejection[[#This Row],[RejectionDate]],"dddd")</f>
        <v>Friday</v>
      </c>
    </row>
    <row r="625" spans="1:14">
      <c r="A625" t="s">
        <v>432</v>
      </c>
      <c r="B625" t="s">
        <v>2427</v>
      </c>
      <c r="C625" t="s">
        <v>467</v>
      </c>
      <c r="D625" t="s">
        <v>51</v>
      </c>
      <c r="E625" s="7">
        <v>45632</v>
      </c>
      <c r="F625" t="s">
        <v>555</v>
      </c>
      <c r="G625">
        <v>0</v>
      </c>
      <c r="H625" t="s">
        <v>53</v>
      </c>
      <c r="I625" t="s">
        <v>16</v>
      </c>
      <c r="J625" t="s">
        <v>16</v>
      </c>
      <c r="K625" s="16" t="str">
        <f>VLOOKUP(C625,CheckName!A:B,2,0)</f>
        <v>Special Check</v>
      </c>
      <c r="L625">
        <v>0</v>
      </c>
      <c r="M625" s="16">
        <f t="shared" si="24"/>
        <v>6</v>
      </c>
      <c r="N625" t="str">
        <f>TEXT(MTDRejection[[#This Row],[RejectionDate]],"dddd")</f>
        <v>Friday</v>
      </c>
    </row>
    <row r="626" spans="1:14">
      <c r="A626" t="s">
        <v>432</v>
      </c>
      <c r="B626" t="s">
        <v>3342</v>
      </c>
      <c r="C626" t="s">
        <v>36</v>
      </c>
      <c r="D626" t="s">
        <v>51</v>
      </c>
      <c r="E626" s="7">
        <v>45632</v>
      </c>
      <c r="F626" t="s">
        <v>555</v>
      </c>
      <c r="G626">
        <v>0</v>
      </c>
      <c r="H626" t="s">
        <v>53</v>
      </c>
      <c r="I626" t="s">
        <v>16</v>
      </c>
      <c r="J626" t="s">
        <v>16</v>
      </c>
      <c r="K626" s="16" t="str">
        <f>VLOOKUP(C626,CheckName!A:B,2,0)</f>
        <v>Emp</v>
      </c>
      <c r="L626">
        <v>0</v>
      </c>
      <c r="M626" s="16">
        <f t="shared" si="24"/>
        <v>6</v>
      </c>
      <c r="N626" t="str">
        <f>TEXT(MTDRejection[[#This Row],[RejectionDate]],"dddd")</f>
        <v>Friday</v>
      </c>
    </row>
    <row r="627" spans="1:14">
      <c r="A627" t="s">
        <v>432</v>
      </c>
      <c r="B627" t="s">
        <v>3343</v>
      </c>
      <c r="C627" t="s">
        <v>36</v>
      </c>
      <c r="D627" t="s">
        <v>51</v>
      </c>
      <c r="E627" s="7">
        <v>45632</v>
      </c>
      <c r="F627" t="s">
        <v>555</v>
      </c>
      <c r="G627">
        <v>0</v>
      </c>
      <c r="H627" t="s">
        <v>53</v>
      </c>
      <c r="I627" t="s">
        <v>16</v>
      </c>
      <c r="J627" t="s">
        <v>16</v>
      </c>
      <c r="K627" s="16" t="str">
        <f>VLOOKUP(C627,CheckName!A:B,2,0)</f>
        <v>Emp</v>
      </c>
      <c r="L627">
        <v>0</v>
      </c>
      <c r="M627" s="16">
        <f t="shared" si="24"/>
        <v>6</v>
      </c>
      <c r="N627" t="str">
        <f>TEXT(MTDRejection[[#This Row],[RejectionDate]],"dddd")</f>
        <v>Friday</v>
      </c>
    </row>
    <row r="628" spans="1:14">
      <c r="A628" t="s">
        <v>432</v>
      </c>
      <c r="B628" t="s">
        <v>3344</v>
      </c>
      <c r="C628" t="s">
        <v>467</v>
      </c>
      <c r="D628" t="s">
        <v>51</v>
      </c>
      <c r="E628" s="7">
        <v>45632</v>
      </c>
      <c r="F628" t="s">
        <v>555</v>
      </c>
      <c r="G628">
        <v>0</v>
      </c>
      <c r="H628" t="s">
        <v>53</v>
      </c>
      <c r="I628" t="s">
        <v>16</v>
      </c>
      <c r="J628" t="s">
        <v>16</v>
      </c>
      <c r="K628" s="16" t="str">
        <f>VLOOKUP(C628,CheckName!A:B,2,0)</f>
        <v>Special Check</v>
      </c>
      <c r="L628">
        <v>0</v>
      </c>
      <c r="M628" s="16">
        <f t="shared" si="24"/>
        <v>6</v>
      </c>
      <c r="N628" t="str">
        <f>TEXT(MTDRejection[[#This Row],[RejectionDate]],"dddd")</f>
        <v>Friday</v>
      </c>
    </row>
    <row r="629" spans="1:14">
      <c r="A629" t="s">
        <v>432</v>
      </c>
      <c r="B629" t="s">
        <v>3345</v>
      </c>
      <c r="C629" t="s">
        <v>125</v>
      </c>
      <c r="D629" t="s">
        <v>51</v>
      </c>
      <c r="E629" s="7">
        <v>45632</v>
      </c>
      <c r="F629" t="s">
        <v>555</v>
      </c>
      <c r="G629">
        <v>0</v>
      </c>
      <c r="H629" t="s">
        <v>53</v>
      </c>
      <c r="I629" t="s">
        <v>16</v>
      </c>
      <c r="J629" t="s">
        <v>16</v>
      </c>
      <c r="K629" s="16" t="str">
        <f>VLOOKUP(C629,CheckName!A:B,2,0)</f>
        <v>Emp</v>
      </c>
      <c r="L629">
        <v>0</v>
      </c>
      <c r="M629" s="16">
        <f t="shared" si="24"/>
        <v>6</v>
      </c>
      <c r="N629" t="str">
        <f>TEXT(MTDRejection[[#This Row],[RejectionDate]],"dddd")</f>
        <v>Friday</v>
      </c>
    </row>
    <row r="630" spans="1:14">
      <c r="A630" t="s">
        <v>245</v>
      </c>
      <c r="B630" t="s">
        <v>3346</v>
      </c>
      <c r="C630" t="s">
        <v>36</v>
      </c>
      <c r="D630" t="s">
        <v>38</v>
      </c>
      <c r="E630" s="7">
        <v>45632</v>
      </c>
      <c r="F630" t="s">
        <v>39</v>
      </c>
      <c r="G630">
        <v>0</v>
      </c>
      <c r="H630" t="s">
        <v>42</v>
      </c>
      <c r="I630" t="s">
        <v>16</v>
      </c>
      <c r="J630" t="s">
        <v>16</v>
      </c>
      <c r="K630" s="16" t="str">
        <f>VLOOKUP(C630,CheckName!A:B,2,0)</f>
        <v>Emp</v>
      </c>
      <c r="L630">
        <v>0</v>
      </c>
      <c r="M630" s="16">
        <f t="shared" si="24"/>
        <v>6</v>
      </c>
      <c r="N630" t="str">
        <f>TEXT(MTDRejection[[#This Row],[RejectionDate]],"dddd")</f>
        <v>Friday</v>
      </c>
    </row>
    <row r="631" spans="1:14">
      <c r="A631" t="s">
        <v>47</v>
      </c>
      <c r="B631" t="s">
        <v>3347</v>
      </c>
      <c r="C631" t="s">
        <v>36</v>
      </c>
      <c r="D631" t="s">
        <v>13</v>
      </c>
      <c r="E631" s="7">
        <v>45632</v>
      </c>
      <c r="F631" t="s">
        <v>1451</v>
      </c>
      <c r="G631">
        <v>0</v>
      </c>
      <c r="H631" t="s">
        <v>15</v>
      </c>
      <c r="I631" t="s">
        <v>16</v>
      </c>
      <c r="J631" t="s">
        <v>16</v>
      </c>
      <c r="K631" s="16" t="str">
        <f>VLOOKUP(C631,CheckName!A:B,2,0)</f>
        <v>Emp</v>
      </c>
      <c r="L631">
        <v>0</v>
      </c>
      <c r="M631" s="16">
        <f t="shared" ref="M631:M632" si="25">DAY(E631)</f>
        <v>6</v>
      </c>
      <c r="N631" t="str">
        <f>TEXT(MTDRejection[[#This Row],[RejectionDate]],"dddd")</f>
        <v>Friday</v>
      </c>
    </row>
    <row r="632" spans="1:14">
      <c r="A632" t="s">
        <v>47</v>
      </c>
      <c r="B632" t="s">
        <v>2428</v>
      </c>
      <c r="C632" t="s">
        <v>12</v>
      </c>
      <c r="D632" t="s">
        <v>13</v>
      </c>
      <c r="E632" s="7">
        <v>45632</v>
      </c>
      <c r="F632" t="s">
        <v>1451</v>
      </c>
      <c r="G632">
        <v>0</v>
      </c>
      <c r="H632" t="s">
        <v>15</v>
      </c>
      <c r="I632" t="s">
        <v>16</v>
      </c>
      <c r="J632" t="s">
        <v>16</v>
      </c>
      <c r="K632" s="16" t="str">
        <f>VLOOKUP(C632,CheckName!A:B,2,0)</f>
        <v>Emp</v>
      </c>
      <c r="L632">
        <v>0</v>
      </c>
      <c r="M632" s="16">
        <f t="shared" si="25"/>
        <v>6</v>
      </c>
      <c r="N632" t="str">
        <f>TEXT(MTDRejection[[#This Row],[RejectionDate]],"dddd")</f>
        <v>Friday</v>
      </c>
    </row>
    <row r="633" spans="1:14">
      <c r="A633" t="s">
        <v>91</v>
      </c>
      <c r="B633" t="s">
        <v>3348</v>
      </c>
      <c r="C633" t="s">
        <v>93</v>
      </c>
      <c r="D633" t="s">
        <v>26</v>
      </c>
      <c r="E633" s="7">
        <v>45632</v>
      </c>
      <c r="F633" t="s">
        <v>63</v>
      </c>
      <c r="G633">
        <v>0</v>
      </c>
      <c r="H633" t="s">
        <v>27</v>
      </c>
      <c r="I633" t="s">
        <v>16</v>
      </c>
      <c r="J633" t="s">
        <v>16</v>
      </c>
      <c r="K633" s="16" t="str">
        <f>VLOOKUP(C633,CheckName!A:B,2,0)</f>
        <v>Edu</v>
      </c>
      <c r="L633">
        <v>0</v>
      </c>
      <c r="M633" s="16">
        <f t="shared" ref="M633:M634" si="26">DAY(E633)</f>
        <v>6</v>
      </c>
      <c r="N633" t="str">
        <f>TEXT(MTDRejection[[#This Row],[RejectionDate]],"dddd")</f>
        <v>Friday</v>
      </c>
    </row>
    <row r="634" spans="1:14">
      <c r="A634" t="s">
        <v>1758</v>
      </c>
      <c r="B634" t="s">
        <v>3349</v>
      </c>
      <c r="C634" t="s">
        <v>54</v>
      </c>
      <c r="D634" t="s">
        <v>26</v>
      </c>
      <c r="E634" s="7">
        <v>45632</v>
      </c>
      <c r="F634" t="s">
        <v>63</v>
      </c>
      <c r="G634">
        <v>0</v>
      </c>
      <c r="H634" t="s">
        <v>425</v>
      </c>
      <c r="I634" t="s">
        <v>16</v>
      </c>
      <c r="J634" t="s">
        <v>16</v>
      </c>
      <c r="K634" s="16" t="str">
        <f>VLOOKUP(C634,CheckName!A:B,2,0)</f>
        <v>Edu</v>
      </c>
      <c r="L634">
        <v>0</v>
      </c>
      <c r="M634" s="16">
        <f t="shared" si="26"/>
        <v>6</v>
      </c>
      <c r="N634" t="str">
        <f>TEXT(MTDRejection[[#This Row],[RejectionDate]],"dddd")</f>
        <v>Friday</v>
      </c>
    </row>
    <row r="635" spans="1:14">
      <c r="A635" t="s">
        <v>73</v>
      </c>
      <c r="B635" t="s">
        <v>3350</v>
      </c>
      <c r="C635" t="s">
        <v>54</v>
      </c>
      <c r="D635" t="s">
        <v>26</v>
      </c>
      <c r="E635" s="7">
        <v>45632</v>
      </c>
      <c r="F635" t="s">
        <v>63</v>
      </c>
      <c r="G635">
        <v>0</v>
      </c>
      <c r="H635" t="s">
        <v>27</v>
      </c>
      <c r="I635" t="s">
        <v>16</v>
      </c>
      <c r="J635" t="s">
        <v>16</v>
      </c>
      <c r="K635" s="16" t="str">
        <f>VLOOKUP(C635,CheckName!A:B,2,0)</f>
        <v>Edu</v>
      </c>
      <c r="L635">
        <v>0</v>
      </c>
      <c r="M635" s="16">
        <f>DAY(E635)</f>
        <v>6</v>
      </c>
      <c r="N635" t="str">
        <f>TEXT(MTDRejection[[#This Row],[RejectionDate]],"dddd")</f>
        <v>Friday</v>
      </c>
    </row>
    <row r="636" spans="1:14">
      <c r="A636" t="s">
        <v>419</v>
      </c>
      <c r="B636" t="s">
        <v>3351</v>
      </c>
      <c r="C636" t="s">
        <v>54</v>
      </c>
      <c r="D636" t="s">
        <v>13</v>
      </c>
      <c r="E636" s="7">
        <v>45632</v>
      </c>
      <c r="F636" t="s">
        <v>706</v>
      </c>
      <c r="G636">
        <v>0</v>
      </c>
      <c r="H636" t="s">
        <v>15</v>
      </c>
      <c r="I636" t="s">
        <v>16</v>
      </c>
      <c r="J636" t="s">
        <v>16</v>
      </c>
      <c r="K636" s="16" t="str">
        <f>VLOOKUP(C636,CheckName!A:B,2,0)</f>
        <v>Edu</v>
      </c>
      <c r="L636">
        <v>0</v>
      </c>
      <c r="M636" s="16">
        <f t="shared" ref="M636:M637" si="27">DAY(E636)</f>
        <v>6</v>
      </c>
      <c r="N636" t="str">
        <f>TEXT(MTDRejection[[#This Row],[RejectionDate]],"dddd")</f>
        <v>Friday</v>
      </c>
    </row>
    <row r="637" spans="1:14">
      <c r="A637" t="s">
        <v>45</v>
      </c>
      <c r="B637" t="s">
        <v>1849</v>
      </c>
      <c r="C637" t="s">
        <v>1068</v>
      </c>
      <c r="D637" t="s">
        <v>13</v>
      </c>
      <c r="E637" s="7">
        <v>45632</v>
      </c>
      <c r="F637" t="s">
        <v>706</v>
      </c>
      <c r="G637">
        <v>0</v>
      </c>
      <c r="H637" t="s">
        <v>15</v>
      </c>
      <c r="I637" t="s">
        <v>16</v>
      </c>
      <c r="J637" t="s">
        <v>16</v>
      </c>
      <c r="K637" s="16" t="str">
        <f>VLOOKUP(C637,CheckName!A:B,2,0)</f>
        <v>Special Check</v>
      </c>
      <c r="L637">
        <v>0</v>
      </c>
      <c r="M637" s="16">
        <f t="shared" si="27"/>
        <v>6</v>
      </c>
      <c r="N637" t="str">
        <f>TEXT(MTDRejection[[#This Row],[RejectionDate]],"dddd")</f>
        <v>Friday</v>
      </c>
    </row>
    <row r="638" spans="1:14">
      <c r="A638" t="s">
        <v>1140</v>
      </c>
      <c r="B638" t="s">
        <v>2429</v>
      </c>
      <c r="C638" t="s">
        <v>54</v>
      </c>
      <c r="D638" t="s">
        <v>26</v>
      </c>
      <c r="E638" s="7">
        <v>45632</v>
      </c>
      <c r="F638" t="s">
        <v>188</v>
      </c>
      <c r="G638">
        <v>0</v>
      </c>
      <c r="H638" t="s">
        <v>22</v>
      </c>
      <c r="I638" t="s">
        <v>16</v>
      </c>
      <c r="J638" t="s">
        <v>16</v>
      </c>
      <c r="K638" s="16" t="str">
        <f>VLOOKUP(C638,CheckName!A:B,2,0)</f>
        <v>Edu</v>
      </c>
      <c r="L638">
        <v>0</v>
      </c>
      <c r="M638" s="16">
        <f t="shared" ref="M638:M639" si="28">DAY(E638)</f>
        <v>6</v>
      </c>
      <c r="N638" t="str">
        <f>TEXT(MTDRejection[[#This Row],[RejectionDate]],"dddd")</f>
        <v>Friday</v>
      </c>
    </row>
    <row r="639" spans="1:14">
      <c r="A639" t="s">
        <v>285</v>
      </c>
      <c r="B639" t="s">
        <v>2430</v>
      </c>
      <c r="C639" t="s">
        <v>54</v>
      </c>
      <c r="D639" t="s">
        <v>26</v>
      </c>
      <c r="E639" s="7">
        <v>45632</v>
      </c>
      <c r="F639" t="s">
        <v>504</v>
      </c>
      <c r="G639">
        <v>0</v>
      </c>
      <c r="H639" t="s">
        <v>27</v>
      </c>
      <c r="I639" t="s">
        <v>16</v>
      </c>
      <c r="J639" t="s">
        <v>16</v>
      </c>
      <c r="K639" s="16" t="str">
        <f>VLOOKUP(C639,CheckName!A:B,2,0)</f>
        <v>Edu</v>
      </c>
      <c r="L639">
        <v>0</v>
      </c>
      <c r="M639" s="16">
        <f t="shared" si="28"/>
        <v>6</v>
      </c>
      <c r="N639" t="str">
        <f>TEXT(MTDRejection[[#This Row],[RejectionDate]],"dddd")</f>
        <v>Friday</v>
      </c>
    </row>
    <row r="640" spans="1:14">
      <c r="A640" t="s">
        <v>1770</v>
      </c>
      <c r="B640" t="s">
        <v>3352</v>
      </c>
      <c r="C640" t="s">
        <v>12</v>
      </c>
      <c r="D640" t="s">
        <v>26</v>
      </c>
      <c r="E640" s="7">
        <v>45632</v>
      </c>
      <c r="F640" t="s">
        <v>2354</v>
      </c>
      <c r="G640">
        <v>0</v>
      </c>
      <c r="H640" t="s">
        <v>27</v>
      </c>
      <c r="I640" t="s">
        <v>16</v>
      </c>
      <c r="J640" t="s">
        <v>16</v>
      </c>
      <c r="K640" s="16" t="str">
        <f>VLOOKUP(C640,CheckName!A:B,2,0)</f>
        <v>Emp</v>
      </c>
      <c r="L640">
        <v>0</v>
      </c>
      <c r="M640" s="16">
        <f>DAY(E640)</f>
        <v>6</v>
      </c>
      <c r="N640" t="str">
        <f>TEXT(MTDRejection[[#This Row],[RejectionDate]],"dddd")</f>
        <v>Friday</v>
      </c>
    </row>
    <row r="641" spans="1:14">
      <c r="A641" t="s">
        <v>84</v>
      </c>
      <c r="B641" t="s">
        <v>3353</v>
      </c>
      <c r="C641" t="s">
        <v>125</v>
      </c>
      <c r="D641" t="s">
        <v>26</v>
      </c>
      <c r="E641" s="7">
        <v>45632</v>
      </c>
      <c r="F641" t="s">
        <v>2341</v>
      </c>
      <c r="G641">
        <v>0</v>
      </c>
      <c r="H641" t="s">
        <v>22</v>
      </c>
      <c r="I641" t="s">
        <v>16</v>
      </c>
      <c r="J641" t="s">
        <v>16</v>
      </c>
      <c r="K641" s="16" t="str">
        <f>VLOOKUP(C641,CheckName!A:B,2,0)</f>
        <v>Emp</v>
      </c>
      <c r="L641">
        <v>0</v>
      </c>
      <c r="M641" s="16">
        <f t="shared" ref="M641:M648" si="29">DAY(E641)</f>
        <v>6</v>
      </c>
      <c r="N641" t="str">
        <f>TEXT(MTDRejection[[#This Row],[RejectionDate]],"dddd")</f>
        <v>Friday</v>
      </c>
    </row>
    <row r="642" spans="1:14">
      <c r="A642" t="s">
        <v>100</v>
      </c>
      <c r="B642" t="s">
        <v>2431</v>
      </c>
      <c r="C642" t="s">
        <v>255</v>
      </c>
      <c r="D642" t="s">
        <v>51</v>
      </c>
      <c r="E642" s="7">
        <v>45632</v>
      </c>
      <c r="F642" t="s">
        <v>2349</v>
      </c>
      <c r="G642">
        <v>0</v>
      </c>
      <c r="H642" t="s">
        <v>53</v>
      </c>
      <c r="I642" t="s">
        <v>16</v>
      </c>
      <c r="J642" t="s">
        <v>16</v>
      </c>
      <c r="K642" s="16" t="str">
        <f>VLOOKUP(C642,CheckName!A:B,2,0)</f>
        <v>Special Check</v>
      </c>
      <c r="L642">
        <v>0</v>
      </c>
      <c r="M642" s="16">
        <f t="shared" si="29"/>
        <v>6</v>
      </c>
      <c r="N642" t="str">
        <f>TEXT(MTDRejection[[#This Row],[RejectionDate]],"dddd")</f>
        <v>Friday</v>
      </c>
    </row>
    <row r="643" spans="1:14">
      <c r="A643" t="s">
        <v>100</v>
      </c>
      <c r="B643" t="s">
        <v>3354</v>
      </c>
      <c r="C643" t="s">
        <v>1334</v>
      </c>
      <c r="D643" t="s">
        <v>51</v>
      </c>
      <c r="E643" s="7">
        <v>45632</v>
      </c>
      <c r="F643" t="s">
        <v>2349</v>
      </c>
      <c r="G643">
        <v>0</v>
      </c>
      <c r="H643" t="s">
        <v>53</v>
      </c>
      <c r="I643" t="s">
        <v>16</v>
      </c>
      <c r="J643" t="s">
        <v>16</v>
      </c>
      <c r="K643" s="16" t="str">
        <f>VLOOKUP(C643,CheckName!A:B,2,0)</f>
        <v>CRC</v>
      </c>
      <c r="L643">
        <v>0</v>
      </c>
      <c r="M643" s="16">
        <f t="shared" si="29"/>
        <v>6</v>
      </c>
      <c r="N643" t="str">
        <f>TEXT(MTDRejection[[#This Row],[RejectionDate]],"dddd")</f>
        <v>Friday</v>
      </c>
    </row>
    <row r="644" spans="1:14">
      <c r="A644" t="s">
        <v>306</v>
      </c>
      <c r="B644" t="s">
        <v>2432</v>
      </c>
      <c r="C644" t="s">
        <v>56</v>
      </c>
      <c r="D644" t="s">
        <v>51</v>
      </c>
      <c r="E644" s="7">
        <v>45632</v>
      </c>
      <c r="F644" t="s">
        <v>2349</v>
      </c>
      <c r="G644">
        <v>0</v>
      </c>
      <c r="H644" t="s">
        <v>53</v>
      </c>
      <c r="I644" t="s">
        <v>16</v>
      </c>
      <c r="J644" t="s">
        <v>16</v>
      </c>
      <c r="K644" s="16" t="str">
        <f>VLOOKUP(C644,CheckName!A:B,2,0)</f>
        <v>Special Check</v>
      </c>
      <c r="L644">
        <v>0</v>
      </c>
      <c r="M644" s="16">
        <f t="shared" si="29"/>
        <v>6</v>
      </c>
      <c r="N644" t="str">
        <f>TEXT(MTDRejection[[#This Row],[RejectionDate]],"dddd")</f>
        <v>Friday</v>
      </c>
    </row>
    <row r="645" spans="1:14">
      <c r="A645" t="s">
        <v>100</v>
      </c>
      <c r="B645" t="s">
        <v>3355</v>
      </c>
      <c r="C645" t="s">
        <v>775</v>
      </c>
      <c r="D645" t="s">
        <v>26</v>
      </c>
      <c r="E645" s="7">
        <v>45632</v>
      </c>
      <c r="F645" t="s">
        <v>380</v>
      </c>
      <c r="G645">
        <v>0</v>
      </c>
      <c r="H645" t="s">
        <v>27</v>
      </c>
      <c r="I645" t="s">
        <v>16</v>
      </c>
      <c r="J645" t="s">
        <v>16</v>
      </c>
      <c r="K645" s="16" t="str">
        <f>VLOOKUP(C645,CheckName!A:B,2,0)</f>
        <v>Emp</v>
      </c>
      <c r="L645">
        <v>0</v>
      </c>
      <c r="M645" s="16">
        <f t="shared" si="29"/>
        <v>6</v>
      </c>
      <c r="N645" t="str">
        <f>TEXT(MTDRejection[[#This Row],[RejectionDate]],"dddd")</f>
        <v>Friday</v>
      </c>
    </row>
    <row r="646" spans="1:14">
      <c r="A646" t="s">
        <v>203</v>
      </c>
      <c r="B646" t="s">
        <v>3356</v>
      </c>
      <c r="C646" t="s">
        <v>36</v>
      </c>
      <c r="D646" t="s">
        <v>26</v>
      </c>
      <c r="E646" s="7">
        <v>45632</v>
      </c>
      <c r="F646" t="s">
        <v>184</v>
      </c>
      <c r="G646">
        <v>0</v>
      </c>
      <c r="H646" t="s">
        <v>27</v>
      </c>
      <c r="I646" t="s">
        <v>16</v>
      </c>
      <c r="J646" t="s">
        <v>16</v>
      </c>
      <c r="K646" s="16" t="str">
        <f>VLOOKUP(C646,CheckName!A:B,2,0)</f>
        <v>Emp</v>
      </c>
      <c r="L646">
        <v>0</v>
      </c>
      <c r="M646" s="16">
        <f t="shared" si="29"/>
        <v>6</v>
      </c>
      <c r="N646" t="str">
        <f>TEXT(MTDRejection[[#This Row],[RejectionDate]],"dddd")</f>
        <v>Friday</v>
      </c>
    </row>
    <row r="647" spans="1:14">
      <c r="A647" t="s">
        <v>186</v>
      </c>
      <c r="B647" t="s">
        <v>857</v>
      </c>
      <c r="C647" t="s">
        <v>12</v>
      </c>
      <c r="D647" t="s">
        <v>26</v>
      </c>
      <c r="E647" s="7">
        <v>45632</v>
      </c>
      <c r="F647" t="s">
        <v>184</v>
      </c>
      <c r="G647">
        <v>0</v>
      </c>
      <c r="H647" t="s">
        <v>27</v>
      </c>
      <c r="I647" t="s">
        <v>16</v>
      </c>
      <c r="J647" t="s">
        <v>16</v>
      </c>
      <c r="K647" s="16" t="str">
        <f>VLOOKUP(C647,CheckName!A:B,2,0)</f>
        <v>Emp</v>
      </c>
      <c r="L647">
        <v>0</v>
      </c>
      <c r="M647" s="16">
        <f t="shared" si="29"/>
        <v>6</v>
      </c>
      <c r="N647" t="str">
        <f>TEXT(MTDRejection[[#This Row],[RejectionDate]],"dddd")</f>
        <v>Friday</v>
      </c>
    </row>
    <row r="648" spans="1:14">
      <c r="A648" t="s">
        <v>306</v>
      </c>
      <c r="B648" t="s">
        <v>3357</v>
      </c>
      <c r="C648" t="s">
        <v>12</v>
      </c>
      <c r="D648" t="s">
        <v>26</v>
      </c>
      <c r="E648" s="7">
        <v>45632</v>
      </c>
      <c r="F648" t="s">
        <v>277</v>
      </c>
      <c r="G648">
        <v>0</v>
      </c>
      <c r="H648" t="s">
        <v>27</v>
      </c>
      <c r="I648" t="s">
        <v>16</v>
      </c>
      <c r="J648" t="s">
        <v>16</v>
      </c>
      <c r="K648" s="16" t="str">
        <f>VLOOKUP(C648,CheckName!A:B,2,0)</f>
        <v>Emp</v>
      </c>
      <c r="L648">
        <v>0</v>
      </c>
      <c r="M648" s="16">
        <f t="shared" si="29"/>
        <v>6</v>
      </c>
      <c r="N648" t="str">
        <f>TEXT(MTDRejection[[#This Row],[RejectionDate]],"dddd")</f>
        <v>Friday</v>
      </c>
    </row>
    <row r="649" spans="1:14">
      <c r="A649" t="s">
        <v>189</v>
      </c>
      <c r="B649" t="s">
        <v>3358</v>
      </c>
      <c r="C649" t="s">
        <v>12</v>
      </c>
      <c r="D649" t="s">
        <v>26</v>
      </c>
      <c r="E649" s="7">
        <v>45632</v>
      </c>
      <c r="F649" t="s">
        <v>184</v>
      </c>
      <c r="G649">
        <v>0</v>
      </c>
      <c r="H649" t="s">
        <v>27</v>
      </c>
      <c r="I649" t="s">
        <v>16</v>
      </c>
      <c r="J649" t="s">
        <v>16</v>
      </c>
      <c r="K649" s="16" t="str">
        <f>VLOOKUP(C649,CheckName!A:B,2,0)</f>
        <v>Emp</v>
      </c>
      <c r="L649">
        <v>0</v>
      </c>
      <c r="M649" s="16">
        <f>DAY(E649)</f>
        <v>6</v>
      </c>
      <c r="N649" t="str">
        <f>TEXT(MTDRejection[[#This Row],[RejectionDate]],"dddd")</f>
        <v>Friday</v>
      </c>
    </row>
    <row r="650" spans="1:14">
      <c r="A650" t="s">
        <v>137</v>
      </c>
      <c r="B650" t="s">
        <v>2510</v>
      </c>
      <c r="C650" t="s">
        <v>12</v>
      </c>
      <c r="D650" t="s">
        <v>26</v>
      </c>
      <c r="E650" s="7">
        <v>45632</v>
      </c>
      <c r="F650" t="s">
        <v>277</v>
      </c>
      <c r="G650">
        <v>0</v>
      </c>
      <c r="H650" t="s">
        <v>30</v>
      </c>
      <c r="I650" t="s">
        <v>16</v>
      </c>
      <c r="J650" t="s">
        <v>16</v>
      </c>
      <c r="K650" s="16" t="str">
        <f>VLOOKUP(C650,CheckName!A:B,2,0)</f>
        <v>Emp</v>
      </c>
      <c r="L650">
        <v>0</v>
      </c>
      <c r="M650" s="16">
        <f t="shared" ref="M650:M657" si="30">DAY(E650)</f>
        <v>6</v>
      </c>
      <c r="N650" t="str">
        <f>TEXT(MTDRejection[[#This Row],[RejectionDate]],"dddd")</f>
        <v>Friday</v>
      </c>
    </row>
    <row r="651" spans="1:14">
      <c r="A651" t="s">
        <v>45</v>
      </c>
      <c r="B651" t="s">
        <v>3359</v>
      </c>
      <c r="C651" t="s">
        <v>36</v>
      </c>
      <c r="D651" t="s">
        <v>26</v>
      </c>
      <c r="E651" s="7">
        <v>45632</v>
      </c>
      <c r="F651" t="s">
        <v>311</v>
      </c>
      <c r="G651">
        <v>0</v>
      </c>
      <c r="H651" t="s">
        <v>27</v>
      </c>
      <c r="I651" t="s">
        <v>16</v>
      </c>
      <c r="J651" t="s">
        <v>16</v>
      </c>
      <c r="K651" s="16" t="str">
        <f>VLOOKUP(C651,CheckName!A:B,2,0)</f>
        <v>Emp</v>
      </c>
      <c r="L651">
        <v>0</v>
      </c>
      <c r="M651" s="16">
        <f t="shared" si="30"/>
        <v>6</v>
      </c>
      <c r="N651" t="str">
        <f>TEXT(MTDRejection[[#This Row],[RejectionDate]],"dddd")</f>
        <v>Friday</v>
      </c>
    </row>
    <row r="652" spans="1:14">
      <c r="A652" t="s">
        <v>465</v>
      </c>
      <c r="B652" t="s">
        <v>2434</v>
      </c>
      <c r="C652" t="s">
        <v>12</v>
      </c>
      <c r="D652" t="s">
        <v>26</v>
      </c>
      <c r="E652" s="7">
        <v>45632</v>
      </c>
      <c r="F652" t="s">
        <v>721</v>
      </c>
      <c r="G652">
        <v>0</v>
      </c>
      <c r="H652" t="s">
        <v>27</v>
      </c>
      <c r="I652" t="s">
        <v>16</v>
      </c>
      <c r="J652" t="s">
        <v>16</v>
      </c>
      <c r="K652" s="16" t="str">
        <f>VLOOKUP(C652,CheckName!A:B,2,0)</f>
        <v>Emp</v>
      </c>
      <c r="L652">
        <v>0</v>
      </c>
      <c r="M652" s="16">
        <f t="shared" si="30"/>
        <v>6</v>
      </c>
      <c r="N652" t="str">
        <f>TEXT(MTDRejection[[#This Row],[RejectionDate]],"dddd")</f>
        <v>Friday</v>
      </c>
    </row>
    <row r="653" spans="1:14">
      <c r="A653" t="s">
        <v>292</v>
      </c>
      <c r="B653" t="s">
        <v>3360</v>
      </c>
      <c r="C653" t="s">
        <v>220</v>
      </c>
      <c r="D653" t="s">
        <v>26</v>
      </c>
      <c r="E653" s="7">
        <v>45632</v>
      </c>
      <c r="F653" t="s">
        <v>330</v>
      </c>
      <c r="G653">
        <v>0</v>
      </c>
      <c r="H653" t="s">
        <v>27</v>
      </c>
      <c r="I653" t="s">
        <v>16</v>
      </c>
      <c r="J653" t="s">
        <v>16</v>
      </c>
      <c r="K653" s="16" t="str">
        <f>VLOOKUP(C653,CheckName!A:B,2,0)</f>
        <v>Ref</v>
      </c>
      <c r="L653">
        <v>0</v>
      </c>
      <c r="M653" s="16">
        <f t="shared" si="30"/>
        <v>6</v>
      </c>
      <c r="N653" t="str">
        <f>TEXT(MTDRejection[[#This Row],[RejectionDate]],"dddd")</f>
        <v>Friday</v>
      </c>
    </row>
    <row r="654" spans="1:14">
      <c r="A654" t="s">
        <v>1771</v>
      </c>
      <c r="B654" t="s">
        <v>2435</v>
      </c>
      <c r="C654" t="s">
        <v>54</v>
      </c>
      <c r="D654" t="s">
        <v>26</v>
      </c>
      <c r="E654" s="7">
        <v>45632</v>
      </c>
      <c r="F654" t="s">
        <v>297</v>
      </c>
      <c r="G654">
        <v>0</v>
      </c>
      <c r="H654" t="s">
        <v>30</v>
      </c>
      <c r="I654" t="s">
        <v>16</v>
      </c>
      <c r="J654" t="s">
        <v>16</v>
      </c>
      <c r="K654" s="16" t="str">
        <f>VLOOKUP(C654,CheckName!A:B,2,0)</f>
        <v>Edu</v>
      </c>
      <c r="L654">
        <v>0</v>
      </c>
      <c r="M654" s="16">
        <f t="shared" si="30"/>
        <v>6</v>
      </c>
      <c r="N654" t="str">
        <f>TEXT(MTDRejection[[#This Row],[RejectionDate]],"dddd")</f>
        <v>Friday</v>
      </c>
    </row>
    <row r="655" spans="1:14">
      <c r="A655" t="s">
        <v>73</v>
      </c>
      <c r="B655" t="s">
        <v>3361</v>
      </c>
      <c r="C655" t="s">
        <v>12</v>
      </c>
      <c r="D655" t="s">
        <v>26</v>
      </c>
      <c r="E655" s="7">
        <v>45632</v>
      </c>
      <c r="F655" t="s">
        <v>159</v>
      </c>
      <c r="G655">
        <v>0</v>
      </c>
      <c r="H655" t="s">
        <v>27</v>
      </c>
      <c r="I655" t="s">
        <v>16</v>
      </c>
      <c r="J655" t="s">
        <v>16</v>
      </c>
      <c r="K655" s="16" t="str">
        <f>VLOOKUP(C655,CheckName!A:B,2,0)</f>
        <v>Emp</v>
      </c>
      <c r="L655">
        <v>0</v>
      </c>
      <c r="M655" s="16">
        <f t="shared" si="30"/>
        <v>6</v>
      </c>
      <c r="N655" t="str">
        <f>TEXT(MTDRejection[[#This Row],[RejectionDate]],"dddd")</f>
        <v>Friday</v>
      </c>
    </row>
    <row r="656" spans="1:14">
      <c r="A656" t="s">
        <v>45</v>
      </c>
      <c r="B656" t="s">
        <v>3362</v>
      </c>
      <c r="C656" t="s">
        <v>1068</v>
      </c>
      <c r="D656" t="s">
        <v>38</v>
      </c>
      <c r="E656" s="7">
        <v>45632</v>
      </c>
      <c r="F656" t="s">
        <v>108</v>
      </c>
      <c r="G656">
        <v>0</v>
      </c>
      <c r="H656" t="s">
        <v>22</v>
      </c>
      <c r="I656" t="s">
        <v>16</v>
      </c>
      <c r="J656" t="s">
        <v>16</v>
      </c>
      <c r="K656" s="16" t="str">
        <f>VLOOKUP(C656,CheckName!A:B,2,0)</f>
        <v>Special Check</v>
      </c>
      <c r="L656">
        <v>0</v>
      </c>
      <c r="M656" s="16">
        <f t="shared" si="30"/>
        <v>6</v>
      </c>
      <c r="N656" t="str">
        <f>TEXT(MTDRejection[[#This Row],[RejectionDate]],"dddd")</f>
        <v>Friday</v>
      </c>
    </row>
    <row r="657" spans="1:14">
      <c r="A657" t="s">
        <v>47</v>
      </c>
      <c r="B657" t="s">
        <v>3363</v>
      </c>
      <c r="C657" t="s">
        <v>54</v>
      </c>
      <c r="D657" t="s">
        <v>13</v>
      </c>
      <c r="E657" s="7">
        <v>45632</v>
      </c>
      <c r="F657" t="s">
        <v>821</v>
      </c>
      <c r="G657">
        <v>0</v>
      </c>
      <c r="H657" t="s">
        <v>15</v>
      </c>
      <c r="I657" t="s">
        <v>16</v>
      </c>
      <c r="J657" t="s">
        <v>16</v>
      </c>
      <c r="K657" s="16" t="str">
        <f>VLOOKUP(C657,CheckName!A:B,2,0)</f>
        <v>Edu</v>
      </c>
      <c r="L657">
        <v>0</v>
      </c>
      <c r="M657" s="16">
        <f t="shared" si="30"/>
        <v>6</v>
      </c>
      <c r="N657" t="str">
        <f>TEXT(MTDRejection[[#This Row],[RejectionDate]],"dddd")</f>
        <v>Friday</v>
      </c>
    </row>
    <row r="658" spans="1:14">
      <c r="A658" t="s">
        <v>1181</v>
      </c>
      <c r="B658" t="s">
        <v>3364</v>
      </c>
      <c r="C658" t="s">
        <v>54</v>
      </c>
      <c r="D658" t="s">
        <v>13</v>
      </c>
      <c r="E658" s="7">
        <v>45632</v>
      </c>
      <c r="F658" t="s">
        <v>540</v>
      </c>
      <c r="G658">
        <v>0</v>
      </c>
      <c r="H658" t="s">
        <v>15</v>
      </c>
      <c r="I658" t="s">
        <v>16</v>
      </c>
      <c r="J658" t="s">
        <v>16</v>
      </c>
      <c r="K658" s="16" t="str">
        <f>VLOOKUP(C658,CheckName!A:B,2,0)</f>
        <v>Edu</v>
      </c>
      <c r="L658">
        <v>0</v>
      </c>
      <c r="M658" s="16">
        <f>DAY(E658)</f>
        <v>6</v>
      </c>
      <c r="N658" t="str">
        <f>TEXT(MTDRejection[[#This Row],[RejectionDate]],"dddd")</f>
        <v>Friday</v>
      </c>
    </row>
    <row r="659" spans="1:14">
      <c r="A659" t="s">
        <v>47</v>
      </c>
      <c r="B659" t="s">
        <v>3365</v>
      </c>
      <c r="C659" t="s">
        <v>54</v>
      </c>
      <c r="D659" t="s">
        <v>13</v>
      </c>
      <c r="E659" s="7">
        <v>45632</v>
      </c>
      <c r="F659" t="s">
        <v>540</v>
      </c>
      <c r="G659">
        <v>0</v>
      </c>
      <c r="H659" t="s">
        <v>15</v>
      </c>
      <c r="I659" t="s">
        <v>16</v>
      </c>
      <c r="J659" t="s">
        <v>16</v>
      </c>
      <c r="K659" s="16" t="str">
        <f>VLOOKUP(C659,CheckName!A:B,2,0)</f>
        <v>Edu</v>
      </c>
      <c r="L659">
        <v>0</v>
      </c>
      <c r="M659" s="16">
        <f t="shared" ref="M659:M667" si="31">DAY(E659)</f>
        <v>6</v>
      </c>
      <c r="N659" t="str">
        <f>TEXT(MTDRejection[[#This Row],[RejectionDate]],"dddd")</f>
        <v>Friday</v>
      </c>
    </row>
    <row r="660" spans="1:14">
      <c r="A660" t="s">
        <v>47</v>
      </c>
      <c r="B660" t="s">
        <v>2593</v>
      </c>
      <c r="C660" t="s">
        <v>54</v>
      </c>
      <c r="D660" t="s">
        <v>13</v>
      </c>
      <c r="E660" s="7">
        <v>45632</v>
      </c>
      <c r="F660" t="s">
        <v>540</v>
      </c>
      <c r="G660">
        <v>0</v>
      </c>
      <c r="H660" t="s">
        <v>15</v>
      </c>
      <c r="I660" t="s">
        <v>16</v>
      </c>
      <c r="J660" t="s">
        <v>16</v>
      </c>
      <c r="K660" s="16" t="str">
        <f>VLOOKUP(C660,CheckName!A:B,2,0)</f>
        <v>Edu</v>
      </c>
      <c r="L660">
        <v>0</v>
      </c>
      <c r="M660" s="16">
        <f t="shared" si="31"/>
        <v>6</v>
      </c>
      <c r="N660" t="str">
        <f>TEXT(MTDRejection[[#This Row],[RejectionDate]],"dddd")</f>
        <v>Friday</v>
      </c>
    </row>
    <row r="661" spans="1:14">
      <c r="A661" t="s">
        <v>766</v>
      </c>
      <c r="B661" t="s">
        <v>2436</v>
      </c>
      <c r="C661" t="s">
        <v>36</v>
      </c>
      <c r="D661" t="s">
        <v>26</v>
      </c>
      <c r="E661" s="7">
        <v>45632</v>
      </c>
      <c r="F661" t="s">
        <v>115</v>
      </c>
      <c r="G661">
        <v>0</v>
      </c>
      <c r="H661" t="s">
        <v>27</v>
      </c>
      <c r="I661" t="s">
        <v>16</v>
      </c>
      <c r="J661" t="s">
        <v>16</v>
      </c>
      <c r="K661" s="16" t="str">
        <f>VLOOKUP(C661,CheckName!A:B,2,0)</f>
        <v>Emp</v>
      </c>
      <c r="L661">
        <v>0</v>
      </c>
      <c r="M661" s="16">
        <f t="shared" si="31"/>
        <v>6</v>
      </c>
      <c r="N661" t="str">
        <f>TEXT(MTDRejection[[#This Row],[RejectionDate]],"dddd")</f>
        <v>Friday</v>
      </c>
    </row>
    <row r="662" spans="1:14">
      <c r="A662" t="s">
        <v>465</v>
      </c>
      <c r="B662" t="s">
        <v>2437</v>
      </c>
      <c r="C662" t="s">
        <v>12</v>
      </c>
      <c r="D662" t="s">
        <v>26</v>
      </c>
      <c r="E662" s="7">
        <v>45632</v>
      </c>
      <c r="F662" t="s">
        <v>115</v>
      </c>
      <c r="G662">
        <v>0</v>
      </c>
      <c r="H662" t="s">
        <v>27</v>
      </c>
      <c r="I662" t="s">
        <v>16</v>
      </c>
      <c r="J662" t="s">
        <v>16</v>
      </c>
      <c r="K662" s="16" t="str">
        <f>VLOOKUP(C662,CheckName!A:B,2,0)</f>
        <v>Emp</v>
      </c>
      <c r="L662">
        <v>0</v>
      </c>
      <c r="M662" s="16">
        <f t="shared" si="31"/>
        <v>6</v>
      </c>
      <c r="N662" t="str">
        <f>TEXT(MTDRejection[[#This Row],[RejectionDate]],"dddd")</f>
        <v>Friday</v>
      </c>
    </row>
    <row r="663" spans="1:14">
      <c r="A663" t="s">
        <v>1772</v>
      </c>
      <c r="B663" t="s">
        <v>3366</v>
      </c>
      <c r="C663" t="s">
        <v>12</v>
      </c>
      <c r="D663" t="s">
        <v>26</v>
      </c>
      <c r="E663" s="7">
        <v>45632</v>
      </c>
      <c r="F663" t="s">
        <v>2337</v>
      </c>
      <c r="G663">
        <v>0</v>
      </c>
      <c r="H663" t="s">
        <v>27</v>
      </c>
      <c r="I663" t="s">
        <v>16</v>
      </c>
      <c r="J663" t="s">
        <v>16</v>
      </c>
      <c r="K663" s="16" t="str">
        <f>VLOOKUP(C663,CheckName!A:B,2,0)</f>
        <v>Emp</v>
      </c>
      <c r="L663">
        <v>0</v>
      </c>
      <c r="M663" s="16">
        <f t="shared" si="31"/>
        <v>6</v>
      </c>
      <c r="N663" t="str">
        <f>TEXT(MTDRejection[[#This Row],[RejectionDate]],"dddd")</f>
        <v>Friday</v>
      </c>
    </row>
    <row r="664" spans="1:14">
      <c r="A664" t="s">
        <v>461</v>
      </c>
      <c r="B664" t="s">
        <v>3367</v>
      </c>
      <c r="C664" t="s">
        <v>36</v>
      </c>
      <c r="D664" t="s">
        <v>26</v>
      </c>
      <c r="E664" s="7">
        <v>45632</v>
      </c>
      <c r="F664" t="s">
        <v>2337</v>
      </c>
      <c r="G664">
        <v>0</v>
      </c>
      <c r="H664" t="s">
        <v>27</v>
      </c>
      <c r="I664" t="s">
        <v>16</v>
      </c>
      <c r="J664" t="s">
        <v>16</v>
      </c>
      <c r="K664" s="16" t="str">
        <f>VLOOKUP(C664,CheckName!A:B,2,0)</f>
        <v>Emp</v>
      </c>
      <c r="L664">
        <v>0</v>
      </c>
      <c r="M664" s="16">
        <f t="shared" si="31"/>
        <v>6</v>
      </c>
      <c r="N664" t="str">
        <f>TEXT(MTDRejection[[#This Row],[RejectionDate]],"dddd")</f>
        <v>Friday</v>
      </c>
    </row>
    <row r="665" spans="1:14">
      <c r="A665" t="s">
        <v>84</v>
      </c>
      <c r="B665" t="s">
        <v>3368</v>
      </c>
      <c r="C665" t="s">
        <v>12</v>
      </c>
      <c r="D665" t="s">
        <v>26</v>
      </c>
      <c r="E665" s="7">
        <v>45632</v>
      </c>
      <c r="F665" t="s">
        <v>115</v>
      </c>
      <c r="G665">
        <v>0</v>
      </c>
      <c r="H665" t="s">
        <v>27</v>
      </c>
      <c r="I665" t="s">
        <v>16</v>
      </c>
      <c r="J665" t="s">
        <v>16</v>
      </c>
      <c r="K665" s="16" t="str">
        <f>VLOOKUP(C665,CheckName!A:B,2,0)</f>
        <v>Emp</v>
      </c>
      <c r="L665">
        <v>0</v>
      </c>
      <c r="M665" s="16">
        <f t="shared" si="31"/>
        <v>6</v>
      </c>
      <c r="N665" t="str">
        <f>TEXT(MTDRejection[[#This Row],[RejectionDate]],"dddd")</f>
        <v>Friday</v>
      </c>
    </row>
    <row r="666" spans="1:14">
      <c r="A666" t="s">
        <v>160</v>
      </c>
      <c r="B666" t="s">
        <v>2438</v>
      </c>
      <c r="C666" t="s">
        <v>19</v>
      </c>
      <c r="D666" t="s">
        <v>20</v>
      </c>
      <c r="E666" s="7">
        <v>45632</v>
      </c>
      <c r="F666" t="s">
        <v>129</v>
      </c>
      <c r="G666">
        <v>0</v>
      </c>
      <c r="H666" t="s">
        <v>22</v>
      </c>
      <c r="I666" t="s">
        <v>16</v>
      </c>
      <c r="J666" t="s">
        <v>16</v>
      </c>
      <c r="K666" s="16" t="str">
        <f>VLOOKUP(C666,CheckName!A:B,2,0)</f>
        <v>Add</v>
      </c>
      <c r="L666">
        <v>0</v>
      </c>
      <c r="M666" s="16">
        <f t="shared" si="31"/>
        <v>6</v>
      </c>
      <c r="N666" t="str">
        <f>TEXT(MTDRejection[[#This Row],[RejectionDate]],"dddd")</f>
        <v>Friday</v>
      </c>
    </row>
    <row r="667" spans="1:14">
      <c r="A667" t="s">
        <v>868</v>
      </c>
      <c r="B667" t="s">
        <v>3369</v>
      </c>
      <c r="C667" t="s">
        <v>25</v>
      </c>
      <c r="D667" t="s">
        <v>20</v>
      </c>
      <c r="E667" s="7">
        <v>45632</v>
      </c>
      <c r="F667" t="s">
        <v>129</v>
      </c>
      <c r="G667">
        <v>0</v>
      </c>
      <c r="H667" t="s">
        <v>22</v>
      </c>
      <c r="I667" t="s">
        <v>16</v>
      </c>
      <c r="J667" t="s">
        <v>16</v>
      </c>
      <c r="K667" s="16" t="str">
        <f>VLOOKUP(C667,CheckName!A:B,2,0)</f>
        <v>Add</v>
      </c>
      <c r="L667">
        <v>0</v>
      </c>
      <c r="M667" s="16">
        <f t="shared" si="31"/>
        <v>6</v>
      </c>
      <c r="N667" t="str">
        <f>TEXT(MTDRejection[[#This Row],[RejectionDate]],"dddd")</f>
        <v>Friday</v>
      </c>
    </row>
    <row r="668" spans="1:14">
      <c r="A668" t="s">
        <v>510</v>
      </c>
      <c r="B668" t="s">
        <v>3370</v>
      </c>
      <c r="C668" t="s">
        <v>19</v>
      </c>
      <c r="D668" t="s">
        <v>20</v>
      </c>
      <c r="E668" s="7">
        <v>45632</v>
      </c>
      <c r="F668" t="s">
        <v>129</v>
      </c>
      <c r="G668">
        <v>0</v>
      </c>
      <c r="H668" t="s">
        <v>22</v>
      </c>
      <c r="I668" t="s">
        <v>16</v>
      </c>
      <c r="J668" t="s">
        <v>16</v>
      </c>
      <c r="K668" s="16" t="str">
        <f>VLOOKUP(C668,CheckName!A:B,2,0)</f>
        <v>Add</v>
      </c>
      <c r="L668">
        <v>0</v>
      </c>
      <c r="M668" s="16">
        <f t="shared" ref="M668:M673" si="32">DAY(E668)</f>
        <v>6</v>
      </c>
      <c r="N668" t="str">
        <f>TEXT(MTDRejection[[#This Row],[RejectionDate]],"dddd")</f>
        <v>Friday</v>
      </c>
    </row>
    <row r="669" spans="1:14">
      <c r="A669" t="s">
        <v>176</v>
      </c>
      <c r="B669" t="s">
        <v>3371</v>
      </c>
      <c r="C669" t="s">
        <v>12</v>
      </c>
      <c r="D669" t="s">
        <v>26</v>
      </c>
      <c r="E669" s="7">
        <v>45631</v>
      </c>
      <c r="F669" t="s">
        <v>184</v>
      </c>
      <c r="G669">
        <v>1</v>
      </c>
      <c r="H669" t="s">
        <v>27</v>
      </c>
      <c r="I669" t="s">
        <v>16</v>
      </c>
      <c r="J669" t="s">
        <v>16</v>
      </c>
      <c r="K669" s="16" t="str">
        <f>VLOOKUP(C669,CheckName!A:B,2,0)</f>
        <v>Emp</v>
      </c>
      <c r="L669">
        <v>0</v>
      </c>
      <c r="M669" s="16">
        <f t="shared" si="32"/>
        <v>5</v>
      </c>
      <c r="N669" t="str">
        <f>TEXT(MTDRejection[[#This Row],[RejectionDate]],"dddd")</f>
        <v>Thursday</v>
      </c>
    </row>
    <row r="670" spans="1:14">
      <c r="A670" t="s">
        <v>45</v>
      </c>
      <c r="B670" t="s">
        <v>3372</v>
      </c>
      <c r="C670" t="s">
        <v>54</v>
      </c>
      <c r="D670" t="s">
        <v>26</v>
      </c>
      <c r="E670" s="7">
        <v>45630</v>
      </c>
      <c r="F670" t="s">
        <v>63</v>
      </c>
      <c r="G670">
        <v>2</v>
      </c>
      <c r="H670" t="s">
        <v>27</v>
      </c>
      <c r="I670" t="s">
        <v>16</v>
      </c>
      <c r="J670" t="s">
        <v>16</v>
      </c>
      <c r="K670" s="16" t="str">
        <f>VLOOKUP(C670,CheckName!A:B,2,0)</f>
        <v>Edu</v>
      </c>
      <c r="L670">
        <v>0</v>
      </c>
      <c r="M670" s="16">
        <f t="shared" si="32"/>
        <v>4</v>
      </c>
      <c r="N670" t="str">
        <f>TEXT(MTDRejection[[#This Row],[RejectionDate]],"dddd")</f>
        <v>Wednesday</v>
      </c>
    </row>
    <row r="671" spans="1:14">
      <c r="A671" t="s">
        <v>64</v>
      </c>
      <c r="B671" t="s">
        <v>3373</v>
      </c>
      <c r="C671" t="s">
        <v>54</v>
      </c>
      <c r="D671" t="s">
        <v>26</v>
      </c>
      <c r="E671" s="7">
        <v>45630</v>
      </c>
      <c r="F671" t="s">
        <v>188</v>
      </c>
      <c r="G671">
        <v>2</v>
      </c>
      <c r="H671" t="s">
        <v>27</v>
      </c>
      <c r="I671" t="s">
        <v>16</v>
      </c>
      <c r="J671" t="s">
        <v>16</v>
      </c>
      <c r="K671" s="16" t="str">
        <f>VLOOKUP(C671,CheckName!A:B,2,0)</f>
        <v>Edu</v>
      </c>
      <c r="L671">
        <v>0</v>
      </c>
      <c r="M671" s="16">
        <f t="shared" si="32"/>
        <v>4</v>
      </c>
      <c r="N671" t="str">
        <f>TEXT(MTDRejection[[#This Row],[RejectionDate]],"dddd")</f>
        <v>Wednesday</v>
      </c>
    </row>
    <row r="672" spans="1:14">
      <c r="A672" t="s">
        <v>131</v>
      </c>
      <c r="B672" t="s">
        <v>3374</v>
      </c>
      <c r="C672" t="s">
        <v>269</v>
      </c>
      <c r="D672" t="s">
        <v>26</v>
      </c>
      <c r="E672" s="7">
        <v>45629</v>
      </c>
      <c r="F672" t="s">
        <v>236</v>
      </c>
      <c r="G672">
        <v>3</v>
      </c>
      <c r="H672" t="s">
        <v>27</v>
      </c>
      <c r="I672" t="s">
        <v>16</v>
      </c>
      <c r="J672" t="s">
        <v>16</v>
      </c>
      <c r="K672" s="16" t="str">
        <f>VLOOKUP(C672,CheckName!A:B,2,0)</f>
        <v>Emp</v>
      </c>
      <c r="L672">
        <v>0</v>
      </c>
      <c r="M672" s="16">
        <f t="shared" si="32"/>
        <v>3</v>
      </c>
      <c r="N672" t="str">
        <f>TEXT(MTDRejection[[#This Row],[RejectionDate]],"dddd")</f>
        <v>Tuesday</v>
      </c>
    </row>
    <row r="673" spans="1:14">
      <c r="A673" t="s">
        <v>100</v>
      </c>
      <c r="B673" t="s">
        <v>3375</v>
      </c>
      <c r="C673" t="s">
        <v>775</v>
      </c>
      <c r="D673" t="s">
        <v>26</v>
      </c>
      <c r="E673" s="7">
        <v>45628</v>
      </c>
      <c r="F673" t="s">
        <v>380</v>
      </c>
      <c r="G673">
        <v>4</v>
      </c>
      <c r="H673" t="s">
        <v>27</v>
      </c>
      <c r="I673" t="s">
        <v>16</v>
      </c>
      <c r="J673" t="s">
        <v>16</v>
      </c>
      <c r="K673" s="16" t="str">
        <f>VLOOKUP(C673,CheckName!A:B,2,0)</f>
        <v>Emp</v>
      </c>
      <c r="L673">
        <v>0</v>
      </c>
      <c r="M673" s="16">
        <f t="shared" si="32"/>
        <v>2</v>
      </c>
      <c r="N673" t="str">
        <f>TEXT(MTDRejection[[#This Row],[RejectionDate]],"dddd")</f>
        <v>Monday</v>
      </c>
    </row>
    <row r="674" spans="1:14">
      <c r="A674" t="s">
        <v>556</v>
      </c>
      <c r="B674" t="s">
        <v>3376</v>
      </c>
      <c r="C674" t="s">
        <v>54</v>
      </c>
      <c r="D674" t="s">
        <v>13</v>
      </c>
      <c r="E674" s="7">
        <v>45633</v>
      </c>
      <c r="F674" t="s">
        <v>1310</v>
      </c>
      <c r="G674">
        <v>0</v>
      </c>
      <c r="H674" t="s">
        <v>15</v>
      </c>
      <c r="I674" t="s">
        <v>16</v>
      </c>
      <c r="J674" t="s">
        <v>16</v>
      </c>
      <c r="K674" s="16" t="str">
        <f>VLOOKUP(C674,CheckName!A:B,2,0)</f>
        <v>Edu</v>
      </c>
      <c r="L674">
        <v>0</v>
      </c>
      <c r="M674" s="16">
        <f t="shared" ref="M674:M681" si="33">DAY(E674)</f>
        <v>7</v>
      </c>
      <c r="N674" t="str">
        <f>TEXT(MTDRejection[[#This Row],[RejectionDate]],"dddd")</f>
        <v>Saturday</v>
      </c>
    </row>
    <row r="675" spans="1:14">
      <c r="A675" t="s">
        <v>996</v>
      </c>
      <c r="B675" t="s">
        <v>3377</v>
      </c>
      <c r="C675" t="s">
        <v>125</v>
      </c>
      <c r="D675" t="s">
        <v>13</v>
      </c>
      <c r="E675" s="7">
        <v>45633</v>
      </c>
      <c r="F675" t="s">
        <v>230</v>
      </c>
      <c r="G675">
        <v>0</v>
      </c>
      <c r="H675" t="s">
        <v>30</v>
      </c>
      <c r="I675" t="s">
        <v>16</v>
      </c>
      <c r="J675" t="s">
        <v>16</v>
      </c>
      <c r="K675" s="16" t="str">
        <f>VLOOKUP(C675,CheckName!A:B,2,0)</f>
        <v>Emp</v>
      </c>
      <c r="L675">
        <v>0</v>
      </c>
      <c r="M675" s="16">
        <f t="shared" si="33"/>
        <v>7</v>
      </c>
      <c r="N675" t="str">
        <f>TEXT(MTDRejection[[#This Row],[RejectionDate]],"dddd")</f>
        <v>Saturday</v>
      </c>
    </row>
    <row r="676" spans="1:14">
      <c r="A676" t="s">
        <v>682</v>
      </c>
      <c r="B676" t="s">
        <v>3378</v>
      </c>
      <c r="C676" t="s">
        <v>12</v>
      </c>
      <c r="D676" t="s">
        <v>38</v>
      </c>
      <c r="E676" s="7">
        <v>45633</v>
      </c>
      <c r="F676" t="s">
        <v>39</v>
      </c>
      <c r="G676">
        <v>0</v>
      </c>
      <c r="H676" t="s">
        <v>42</v>
      </c>
      <c r="I676" t="s">
        <v>16</v>
      </c>
      <c r="J676" t="s">
        <v>16</v>
      </c>
      <c r="K676" s="16" t="str">
        <f>VLOOKUP(C676,CheckName!A:B,2,0)</f>
        <v>Emp</v>
      </c>
      <c r="L676">
        <v>0</v>
      </c>
      <c r="M676" s="16">
        <f t="shared" si="33"/>
        <v>7</v>
      </c>
      <c r="N676" t="str">
        <f>TEXT(MTDRejection[[#This Row],[RejectionDate]],"dddd")</f>
        <v>Saturday</v>
      </c>
    </row>
    <row r="677" spans="1:14">
      <c r="A677" t="s">
        <v>1437</v>
      </c>
      <c r="B677" t="s">
        <v>3379</v>
      </c>
      <c r="C677" t="s">
        <v>56</v>
      </c>
      <c r="D677" t="s">
        <v>13</v>
      </c>
      <c r="E677" s="7">
        <v>45633</v>
      </c>
      <c r="F677" t="s">
        <v>1421</v>
      </c>
      <c r="G677">
        <v>0</v>
      </c>
      <c r="H677" t="s">
        <v>30</v>
      </c>
      <c r="I677" t="s">
        <v>16</v>
      </c>
      <c r="J677" t="s">
        <v>16</v>
      </c>
      <c r="K677" s="16" t="str">
        <f>VLOOKUP(C677,CheckName!A:B,2,0)</f>
        <v>Special Check</v>
      </c>
      <c r="L677">
        <v>0</v>
      </c>
      <c r="M677" s="16">
        <f t="shared" si="33"/>
        <v>7</v>
      </c>
      <c r="N677" t="str">
        <f>TEXT(MTDRejection[[#This Row],[RejectionDate]],"dddd")</f>
        <v>Saturday</v>
      </c>
    </row>
    <row r="678" spans="1:14">
      <c r="A678" t="s">
        <v>465</v>
      </c>
      <c r="B678" t="s">
        <v>3380</v>
      </c>
      <c r="C678" t="s">
        <v>36</v>
      </c>
      <c r="D678" t="s">
        <v>13</v>
      </c>
      <c r="E678" s="7">
        <v>45633</v>
      </c>
      <c r="F678" t="s">
        <v>1745</v>
      </c>
      <c r="G678">
        <v>0</v>
      </c>
      <c r="H678" t="s">
        <v>15</v>
      </c>
      <c r="I678" t="s">
        <v>16</v>
      </c>
      <c r="J678" t="s">
        <v>16</v>
      </c>
      <c r="K678" s="16" t="str">
        <f>VLOOKUP(C678,CheckName!A:B,2,0)</f>
        <v>Emp</v>
      </c>
      <c r="L678">
        <v>0</v>
      </c>
      <c r="M678" s="16">
        <f t="shared" si="33"/>
        <v>7</v>
      </c>
      <c r="N678" t="str">
        <f>TEXT(MTDRejection[[#This Row],[RejectionDate]],"dddd")</f>
        <v>Saturday</v>
      </c>
    </row>
    <row r="679" spans="1:14">
      <c r="A679" t="s">
        <v>119</v>
      </c>
      <c r="B679" t="s">
        <v>3381</v>
      </c>
      <c r="C679" t="s">
        <v>125</v>
      </c>
      <c r="D679" t="s">
        <v>13</v>
      </c>
      <c r="E679" s="7">
        <v>45633</v>
      </c>
      <c r="F679" t="s">
        <v>579</v>
      </c>
      <c r="G679">
        <v>0</v>
      </c>
      <c r="H679" t="s">
        <v>15</v>
      </c>
      <c r="I679" t="s">
        <v>16</v>
      </c>
      <c r="J679" t="s">
        <v>16</v>
      </c>
      <c r="K679" s="16" t="str">
        <f>VLOOKUP(C679,CheckName!A:B,2,0)</f>
        <v>Emp</v>
      </c>
      <c r="L679">
        <v>0</v>
      </c>
      <c r="M679" s="16">
        <f t="shared" si="33"/>
        <v>7</v>
      </c>
      <c r="N679" t="str">
        <f>TEXT(MTDRejection[[#This Row],[RejectionDate]],"dddd")</f>
        <v>Saturday</v>
      </c>
    </row>
    <row r="680" spans="1:14">
      <c r="A680" t="s">
        <v>165</v>
      </c>
      <c r="B680" t="s">
        <v>3382</v>
      </c>
      <c r="C680" t="s">
        <v>106</v>
      </c>
      <c r="D680" t="s">
        <v>26</v>
      </c>
      <c r="E680" s="7">
        <v>45633</v>
      </c>
      <c r="F680" t="s">
        <v>294</v>
      </c>
      <c r="G680">
        <v>0</v>
      </c>
      <c r="H680" t="s">
        <v>27</v>
      </c>
      <c r="I680" t="s">
        <v>16</v>
      </c>
      <c r="J680" t="s">
        <v>16</v>
      </c>
      <c r="K680" s="16" t="str">
        <f>VLOOKUP(C680,CheckName!A:B,2,0)</f>
        <v>Ref</v>
      </c>
      <c r="L680">
        <v>0</v>
      </c>
      <c r="M680" s="16">
        <f t="shared" si="33"/>
        <v>7</v>
      </c>
      <c r="N680" t="str">
        <f>TEXT(MTDRejection[[#This Row],[RejectionDate]],"dddd")</f>
        <v>Saturday</v>
      </c>
    </row>
    <row r="681" spans="1:14">
      <c r="A681" t="s">
        <v>160</v>
      </c>
      <c r="B681" t="s">
        <v>3383</v>
      </c>
      <c r="C681" t="s">
        <v>49</v>
      </c>
      <c r="D681" t="s">
        <v>38</v>
      </c>
      <c r="E681" s="7">
        <v>45633</v>
      </c>
      <c r="F681" t="s">
        <v>108</v>
      </c>
      <c r="G681">
        <v>0</v>
      </c>
      <c r="H681" t="s">
        <v>42</v>
      </c>
      <c r="I681" t="s">
        <v>16</v>
      </c>
      <c r="J681" t="s">
        <v>16</v>
      </c>
      <c r="K681" s="16" t="str">
        <f>VLOOKUP(C681,CheckName!A:B,2,0)</f>
        <v>CRC</v>
      </c>
      <c r="L681">
        <v>0</v>
      </c>
      <c r="M681" s="16">
        <f t="shared" si="33"/>
        <v>7</v>
      </c>
      <c r="N681" t="str">
        <f>TEXT(MTDRejection[[#This Row],[RejectionDate]],"dddd")</f>
        <v>Saturday</v>
      </c>
    </row>
    <row r="682" spans="1:14">
      <c r="A682" t="s">
        <v>165</v>
      </c>
      <c r="B682" t="s">
        <v>3384</v>
      </c>
      <c r="C682" t="s">
        <v>106</v>
      </c>
      <c r="D682" t="s">
        <v>26</v>
      </c>
      <c r="E682" s="7">
        <v>45632</v>
      </c>
      <c r="F682" t="s">
        <v>294</v>
      </c>
      <c r="G682">
        <v>1</v>
      </c>
      <c r="H682" t="s">
        <v>22</v>
      </c>
      <c r="I682" t="s">
        <v>16</v>
      </c>
      <c r="J682" t="s">
        <v>16</v>
      </c>
      <c r="K682" s="16" t="str">
        <f>VLOOKUP(C682,CheckName!A:B,2,0)</f>
        <v>Ref</v>
      </c>
      <c r="L682">
        <v>0</v>
      </c>
      <c r="M682" s="16">
        <f>DAY(E682)</f>
        <v>6</v>
      </c>
      <c r="N682" t="str">
        <f>TEXT(MTDRejection[[#This Row],[RejectionDate]],"dddd")</f>
        <v>Friday</v>
      </c>
    </row>
    <row r="683" spans="1:14">
      <c r="A683" t="s">
        <v>160</v>
      </c>
      <c r="B683" t="s">
        <v>3385</v>
      </c>
      <c r="C683" t="s">
        <v>93</v>
      </c>
      <c r="D683" t="s">
        <v>13</v>
      </c>
      <c r="E683" s="7">
        <v>45632</v>
      </c>
      <c r="F683" t="s">
        <v>540</v>
      </c>
      <c r="G683">
        <v>1</v>
      </c>
      <c r="H683" t="s">
        <v>15</v>
      </c>
      <c r="I683" t="s">
        <v>16</v>
      </c>
      <c r="J683" t="s">
        <v>16</v>
      </c>
      <c r="K683" s="16" t="str">
        <f>VLOOKUP(C683,CheckName!A:B,2,0)</f>
        <v>Edu</v>
      </c>
      <c r="L683">
        <v>1</v>
      </c>
      <c r="M683" s="16">
        <f t="shared" ref="M683:M684" si="34">DAY(E683)</f>
        <v>6</v>
      </c>
      <c r="N683" t="str">
        <f>TEXT(MTDRejection[[#This Row],[RejectionDate]],"dddd")</f>
        <v>Friday</v>
      </c>
    </row>
    <row r="684" spans="1:14">
      <c r="A684" t="s">
        <v>64</v>
      </c>
      <c r="B684" t="s">
        <v>2439</v>
      </c>
      <c r="C684" t="s">
        <v>54</v>
      </c>
      <c r="D684" t="s">
        <v>26</v>
      </c>
      <c r="E684" s="7">
        <v>45632</v>
      </c>
      <c r="F684" t="s">
        <v>121</v>
      </c>
      <c r="G684">
        <v>1</v>
      </c>
      <c r="H684" t="s">
        <v>27</v>
      </c>
      <c r="I684" t="s">
        <v>16</v>
      </c>
      <c r="J684" t="s">
        <v>16</v>
      </c>
      <c r="K684" s="16" t="str">
        <f>VLOOKUP(C684,CheckName!A:B,2,0)</f>
        <v>Edu</v>
      </c>
      <c r="L684">
        <v>0</v>
      </c>
      <c r="M684" s="16">
        <f t="shared" si="34"/>
        <v>6</v>
      </c>
      <c r="N684" t="str">
        <f>TEXT(MTDRejection[[#This Row],[RejectionDate]],"dddd")</f>
        <v>Friday</v>
      </c>
    </row>
    <row r="685" spans="1:14">
      <c r="A685" t="s">
        <v>10</v>
      </c>
      <c r="B685" t="s">
        <v>3386</v>
      </c>
      <c r="C685" t="s">
        <v>54</v>
      </c>
      <c r="D685" t="s">
        <v>26</v>
      </c>
      <c r="E685" s="7">
        <v>45632</v>
      </c>
      <c r="F685" t="s">
        <v>121</v>
      </c>
      <c r="G685">
        <v>1</v>
      </c>
      <c r="H685" t="s">
        <v>27</v>
      </c>
      <c r="I685" t="s">
        <v>16</v>
      </c>
      <c r="J685" t="s">
        <v>16</v>
      </c>
      <c r="K685" s="16" t="str">
        <f>VLOOKUP(C685,CheckName!A:B,2,0)</f>
        <v>Edu</v>
      </c>
      <c r="L685">
        <v>0</v>
      </c>
      <c r="M685" s="16">
        <f t="shared" ref="M685:M687" si="35">DAY(E685)</f>
        <v>6</v>
      </c>
      <c r="N685" t="str">
        <f>TEXT(MTDRejection[[#This Row],[RejectionDate]],"dddd")</f>
        <v>Friday</v>
      </c>
    </row>
    <row r="686" spans="1:14">
      <c r="A686" t="s">
        <v>1302</v>
      </c>
      <c r="B686" t="s">
        <v>2440</v>
      </c>
      <c r="C686" t="s">
        <v>12</v>
      </c>
      <c r="D686" t="s">
        <v>26</v>
      </c>
      <c r="E686" s="7">
        <v>45632</v>
      </c>
      <c r="F686" t="s">
        <v>2337</v>
      </c>
      <c r="G686">
        <v>1</v>
      </c>
      <c r="H686" t="s">
        <v>27</v>
      </c>
      <c r="I686" t="s">
        <v>16</v>
      </c>
      <c r="J686" t="s">
        <v>16</v>
      </c>
      <c r="K686" s="16" t="str">
        <f>VLOOKUP(C686,CheckName!A:B,2,0)</f>
        <v>Emp</v>
      </c>
      <c r="L686">
        <v>0</v>
      </c>
      <c r="M686" s="16">
        <f t="shared" si="35"/>
        <v>6</v>
      </c>
      <c r="N686" t="str">
        <f>TEXT(MTDRejection[[#This Row],[RejectionDate]],"dddd")</f>
        <v>Friday</v>
      </c>
    </row>
    <row r="687" spans="1:14">
      <c r="A687" t="s">
        <v>40</v>
      </c>
      <c r="B687" t="s">
        <v>3387</v>
      </c>
      <c r="C687" t="s">
        <v>12</v>
      </c>
      <c r="D687" t="s">
        <v>26</v>
      </c>
      <c r="E687" s="7">
        <v>45632</v>
      </c>
      <c r="F687" t="s">
        <v>2337</v>
      </c>
      <c r="G687">
        <v>1</v>
      </c>
      <c r="H687" t="s">
        <v>27</v>
      </c>
      <c r="I687" t="s">
        <v>16</v>
      </c>
      <c r="J687" t="s">
        <v>16</v>
      </c>
      <c r="K687" s="16" t="str">
        <f>VLOOKUP(C687,CheckName!A:B,2,0)</f>
        <v>Emp</v>
      </c>
      <c r="L687">
        <v>0</v>
      </c>
      <c r="M687" s="16">
        <f t="shared" si="35"/>
        <v>6</v>
      </c>
      <c r="N687" t="str">
        <f>TEXT(MTDRejection[[#This Row],[RejectionDate]],"dddd")</f>
        <v>Friday</v>
      </c>
    </row>
    <row r="688" spans="1:14">
      <c r="A688" t="s">
        <v>45</v>
      </c>
      <c r="B688" t="s">
        <v>3388</v>
      </c>
      <c r="C688" t="s">
        <v>54</v>
      </c>
      <c r="D688" t="s">
        <v>13</v>
      </c>
      <c r="E688" s="7">
        <v>45632</v>
      </c>
      <c r="F688" t="s">
        <v>1013</v>
      </c>
      <c r="G688">
        <v>1</v>
      </c>
      <c r="H688" t="s">
        <v>15</v>
      </c>
      <c r="I688" t="s">
        <v>16</v>
      </c>
      <c r="J688" t="s">
        <v>16</v>
      </c>
      <c r="K688" s="16" t="str">
        <f>VLOOKUP(C688,CheckName!A:B,2,0)</f>
        <v>Edu</v>
      </c>
      <c r="L688">
        <v>0</v>
      </c>
      <c r="M688" s="16">
        <f>DAY(E688)</f>
        <v>6</v>
      </c>
      <c r="N688" t="str">
        <f>TEXT(MTDRejection[[#This Row],[RejectionDate]],"dddd")</f>
        <v>Friday</v>
      </c>
    </row>
    <row r="689" spans="1:14">
      <c r="A689" t="s">
        <v>139</v>
      </c>
      <c r="B689" t="s">
        <v>3389</v>
      </c>
      <c r="C689" t="s">
        <v>12</v>
      </c>
      <c r="D689" t="s">
        <v>26</v>
      </c>
      <c r="E689" s="7">
        <v>45632</v>
      </c>
      <c r="F689" t="s">
        <v>721</v>
      </c>
      <c r="G689">
        <v>1</v>
      </c>
      <c r="H689" t="s">
        <v>22</v>
      </c>
      <c r="I689" t="s">
        <v>16</v>
      </c>
      <c r="J689" t="s">
        <v>16</v>
      </c>
      <c r="K689" s="16" t="str">
        <f>VLOOKUP(C689,CheckName!A:B,2,0)</f>
        <v>Emp</v>
      </c>
      <c r="L689">
        <v>0</v>
      </c>
      <c r="M689" s="16">
        <f>DAY(E689)</f>
        <v>6</v>
      </c>
      <c r="N689" t="str">
        <f>TEXT(MTDRejection[[#This Row],[RejectionDate]],"dddd")</f>
        <v>Friday</v>
      </c>
    </row>
    <row r="690" spans="1:14">
      <c r="A690" t="s">
        <v>644</v>
      </c>
      <c r="B690" t="s">
        <v>3390</v>
      </c>
      <c r="C690" t="s">
        <v>12</v>
      </c>
      <c r="D690" t="s">
        <v>26</v>
      </c>
      <c r="E690" s="7">
        <v>45632</v>
      </c>
      <c r="F690" t="s">
        <v>311</v>
      </c>
      <c r="G690">
        <v>1</v>
      </c>
      <c r="H690" t="s">
        <v>27</v>
      </c>
      <c r="I690" t="s">
        <v>16</v>
      </c>
      <c r="J690" t="s">
        <v>16</v>
      </c>
      <c r="K690" s="16" t="str">
        <f>VLOOKUP(C690,CheckName!A:B,2,0)</f>
        <v>Emp</v>
      </c>
      <c r="L690">
        <v>0</v>
      </c>
      <c r="M690" s="16">
        <f>DAY(E690)</f>
        <v>6</v>
      </c>
      <c r="N690" t="str">
        <f>TEXT(MTDRejection[[#This Row],[RejectionDate]],"dddd")</f>
        <v>Friday</v>
      </c>
    </row>
    <row r="691" spans="1:14">
      <c r="A691" t="s">
        <v>1775</v>
      </c>
      <c r="B691" t="s">
        <v>3391</v>
      </c>
      <c r="C691" t="s">
        <v>54</v>
      </c>
      <c r="D691" t="s">
        <v>26</v>
      </c>
      <c r="E691" s="7">
        <v>45632</v>
      </c>
      <c r="F691" t="s">
        <v>103</v>
      </c>
      <c r="G691">
        <v>1</v>
      </c>
      <c r="H691" t="s">
        <v>27</v>
      </c>
      <c r="I691" t="s">
        <v>16</v>
      </c>
      <c r="J691" t="s">
        <v>16</v>
      </c>
      <c r="K691" s="16" t="str">
        <f>VLOOKUP(C691,CheckName!A:B,2,0)</f>
        <v>Edu</v>
      </c>
      <c r="L691">
        <v>0</v>
      </c>
      <c r="M691" s="16">
        <f t="shared" ref="M691:M695" si="36">DAY(E691)</f>
        <v>6</v>
      </c>
      <c r="N691" t="str">
        <f>TEXT(MTDRejection[[#This Row],[RejectionDate]],"dddd")</f>
        <v>Friday</v>
      </c>
    </row>
    <row r="692" spans="1:14">
      <c r="A692" t="s">
        <v>45</v>
      </c>
      <c r="B692" t="s">
        <v>3392</v>
      </c>
      <c r="C692" t="s">
        <v>54</v>
      </c>
      <c r="D692" t="s">
        <v>26</v>
      </c>
      <c r="E692" s="7">
        <v>45632</v>
      </c>
      <c r="F692" t="s">
        <v>103</v>
      </c>
      <c r="G692">
        <v>1</v>
      </c>
      <c r="H692" t="s">
        <v>425</v>
      </c>
      <c r="I692" t="s">
        <v>16</v>
      </c>
      <c r="J692" t="s">
        <v>16</v>
      </c>
      <c r="K692" s="16" t="str">
        <f>VLOOKUP(C692,CheckName!A:B,2,0)</f>
        <v>Edu</v>
      </c>
      <c r="L692">
        <v>0</v>
      </c>
      <c r="M692" s="16">
        <f t="shared" si="36"/>
        <v>6</v>
      </c>
      <c r="N692" t="str">
        <f>TEXT(MTDRejection[[#This Row],[RejectionDate]],"dddd")</f>
        <v>Friday</v>
      </c>
    </row>
    <row r="693" spans="1:14">
      <c r="A693" t="s">
        <v>84</v>
      </c>
      <c r="B693" t="s">
        <v>3393</v>
      </c>
      <c r="C693" t="s">
        <v>49</v>
      </c>
      <c r="D693" t="s">
        <v>13</v>
      </c>
      <c r="E693" s="7">
        <v>45632</v>
      </c>
      <c r="F693" t="s">
        <v>706</v>
      </c>
      <c r="G693">
        <v>1</v>
      </c>
      <c r="H693" t="s">
        <v>15</v>
      </c>
      <c r="I693" t="s">
        <v>16</v>
      </c>
      <c r="J693" t="s">
        <v>16</v>
      </c>
      <c r="K693" s="16" t="str">
        <f>VLOOKUP(C693,CheckName!A:B,2,0)</f>
        <v>CRC</v>
      </c>
      <c r="L693">
        <v>0</v>
      </c>
      <c r="M693" s="16">
        <f t="shared" si="36"/>
        <v>6</v>
      </c>
      <c r="N693" t="str">
        <f>TEXT(MTDRejection[[#This Row],[RejectionDate]],"dddd")</f>
        <v>Friday</v>
      </c>
    </row>
    <row r="694" spans="1:14">
      <c r="A694" t="s">
        <v>84</v>
      </c>
      <c r="B694" t="s">
        <v>3394</v>
      </c>
      <c r="C694" t="s">
        <v>54</v>
      </c>
      <c r="D694" t="s">
        <v>13</v>
      </c>
      <c r="E694" s="7">
        <v>45632</v>
      </c>
      <c r="F694" t="s">
        <v>706</v>
      </c>
      <c r="G694">
        <v>1</v>
      </c>
      <c r="H694" t="s">
        <v>15</v>
      </c>
      <c r="I694" t="s">
        <v>16</v>
      </c>
      <c r="J694" t="s">
        <v>16</v>
      </c>
      <c r="K694" s="16" t="str">
        <f>VLOOKUP(C694,CheckName!A:B,2,0)</f>
        <v>Edu</v>
      </c>
      <c r="L694">
        <v>0</v>
      </c>
      <c r="M694" s="16">
        <f t="shared" si="36"/>
        <v>6</v>
      </c>
      <c r="N694" t="str">
        <f>TEXT(MTDRejection[[#This Row],[RejectionDate]],"dddd")</f>
        <v>Friday</v>
      </c>
    </row>
    <row r="695" spans="1:14">
      <c r="A695" t="s">
        <v>100</v>
      </c>
      <c r="B695" t="s">
        <v>3395</v>
      </c>
      <c r="C695" t="s">
        <v>102</v>
      </c>
      <c r="D695" t="s">
        <v>13</v>
      </c>
      <c r="E695" s="7">
        <v>45632</v>
      </c>
      <c r="F695" t="s">
        <v>706</v>
      </c>
      <c r="G695">
        <v>1</v>
      </c>
      <c r="H695" t="s">
        <v>15</v>
      </c>
      <c r="I695" t="s">
        <v>16</v>
      </c>
      <c r="J695" t="s">
        <v>16</v>
      </c>
      <c r="K695" s="16" t="str">
        <f>VLOOKUP(C695,CheckName!A:B,2,0)</f>
        <v>Edu</v>
      </c>
      <c r="L695">
        <v>0</v>
      </c>
      <c r="M695" s="16">
        <f t="shared" si="36"/>
        <v>6</v>
      </c>
      <c r="N695" t="str">
        <f>TEXT(MTDRejection[[#This Row],[RejectionDate]],"dddd")</f>
        <v>Friday</v>
      </c>
    </row>
    <row r="696" spans="1:14">
      <c r="A696" t="s">
        <v>682</v>
      </c>
      <c r="B696" t="s">
        <v>3396</v>
      </c>
      <c r="C696" t="s">
        <v>12</v>
      </c>
      <c r="D696" t="s">
        <v>26</v>
      </c>
      <c r="E696" s="7">
        <v>45632</v>
      </c>
      <c r="F696" t="s">
        <v>2341</v>
      </c>
      <c r="G696">
        <v>1</v>
      </c>
      <c r="H696" t="s">
        <v>27</v>
      </c>
      <c r="I696" t="s">
        <v>16</v>
      </c>
      <c r="J696" t="s">
        <v>16</v>
      </c>
      <c r="K696" s="16" t="str">
        <f>VLOOKUP(C696,CheckName!A:B,2,0)</f>
        <v>Emp</v>
      </c>
      <c r="L696">
        <v>0</v>
      </c>
      <c r="M696" s="16">
        <f t="shared" ref="M696:M697" si="37">DAY(E696)</f>
        <v>6</v>
      </c>
      <c r="N696" t="str">
        <f>TEXT(MTDRejection[[#This Row],[RejectionDate]],"dddd")</f>
        <v>Friday</v>
      </c>
    </row>
    <row r="697" spans="1:14">
      <c r="A697" t="s">
        <v>682</v>
      </c>
      <c r="B697" t="s">
        <v>3397</v>
      </c>
      <c r="C697" t="s">
        <v>12</v>
      </c>
      <c r="D697" t="s">
        <v>26</v>
      </c>
      <c r="E697" s="7">
        <v>45632</v>
      </c>
      <c r="F697" t="s">
        <v>80</v>
      </c>
      <c r="G697">
        <v>1</v>
      </c>
      <c r="H697" t="s">
        <v>27</v>
      </c>
      <c r="I697" t="s">
        <v>16</v>
      </c>
      <c r="J697" t="s">
        <v>16</v>
      </c>
      <c r="K697" s="16" t="str">
        <f>VLOOKUP(C697,CheckName!A:B,2,0)</f>
        <v>Emp</v>
      </c>
      <c r="L697">
        <v>0</v>
      </c>
      <c r="M697" s="16">
        <f t="shared" si="37"/>
        <v>6</v>
      </c>
      <c r="N697" t="str">
        <f>TEXT(MTDRejection[[#This Row],[RejectionDate]],"dddd")</f>
        <v>Friday</v>
      </c>
    </row>
    <row r="698" spans="1:14">
      <c r="A698" t="s">
        <v>697</v>
      </c>
      <c r="B698" t="s">
        <v>3398</v>
      </c>
      <c r="C698" t="s">
        <v>36</v>
      </c>
      <c r="D698" t="s">
        <v>26</v>
      </c>
      <c r="E698" s="7">
        <v>45632</v>
      </c>
      <c r="F698" t="s">
        <v>80</v>
      </c>
      <c r="G698">
        <v>1</v>
      </c>
      <c r="H698" t="s">
        <v>27</v>
      </c>
      <c r="I698" t="s">
        <v>16</v>
      </c>
      <c r="J698" t="s">
        <v>16</v>
      </c>
      <c r="K698" s="16" t="str">
        <f>VLOOKUP(C698,CheckName!A:B,2,0)</f>
        <v>Emp</v>
      </c>
      <c r="L698">
        <v>0</v>
      </c>
      <c r="M698" s="16">
        <f t="shared" ref="M698:M699" si="38">DAY(E698)</f>
        <v>6</v>
      </c>
      <c r="N698" t="str">
        <f>TEXT(MTDRejection[[#This Row],[RejectionDate]],"dddd")</f>
        <v>Friday</v>
      </c>
    </row>
    <row r="699" spans="1:14">
      <c r="A699" t="s">
        <v>45</v>
      </c>
      <c r="B699" t="s">
        <v>3399</v>
      </c>
      <c r="C699" t="s">
        <v>259</v>
      </c>
      <c r="D699" t="s">
        <v>26</v>
      </c>
      <c r="E699" s="7">
        <v>45632</v>
      </c>
      <c r="F699" t="s">
        <v>2354</v>
      </c>
      <c r="G699">
        <v>1</v>
      </c>
      <c r="H699" t="s">
        <v>27</v>
      </c>
      <c r="I699" t="s">
        <v>16</v>
      </c>
      <c r="J699" t="s">
        <v>16</v>
      </c>
      <c r="K699" s="16" t="str">
        <f>VLOOKUP(C699,CheckName!A:B,2,0)</f>
        <v>Emp</v>
      </c>
      <c r="L699">
        <v>0</v>
      </c>
      <c r="M699" s="16">
        <f t="shared" si="38"/>
        <v>6</v>
      </c>
      <c r="N699" t="str">
        <f>TEXT(MTDRejection[[#This Row],[RejectionDate]],"dddd")</f>
        <v>Friday</v>
      </c>
    </row>
    <row r="700" spans="1:14">
      <c r="A700" t="s">
        <v>96</v>
      </c>
      <c r="B700" t="s">
        <v>3400</v>
      </c>
      <c r="C700" t="s">
        <v>54</v>
      </c>
      <c r="D700" t="s">
        <v>26</v>
      </c>
      <c r="E700" s="7">
        <v>45632</v>
      </c>
      <c r="F700" t="s">
        <v>852</v>
      </c>
      <c r="G700">
        <v>1</v>
      </c>
      <c r="H700" t="s">
        <v>22</v>
      </c>
      <c r="I700" t="s">
        <v>16</v>
      </c>
      <c r="J700" t="s">
        <v>16</v>
      </c>
      <c r="K700" s="16" t="str">
        <f>VLOOKUP(C700,CheckName!A:B,2,0)</f>
        <v>Edu</v>
      </c>
      <c r="L700">
        <v>0</v>
      </c>
      <c r="M700" s="16">
        <f>DAY(E700)</f>
        <v>6</v>
      </c>
      <c r="N700" t="str">
        <f>TEXT(MTDRejection[[#This Row],[RejectionDate]],"dddd")</f>
        <v>Friday</v>
      </c>
    </row>
    <row r="701" spans="1:14">
      <c r="A701" t="s">
        <v>306</v>
      </c>
      <c r="B701" t="s">
        <v>3401</v>
      </c>
      <c r="C701" t="s">
        <v>54</v>
      </c>
      <c r="D701" t="s">
        <v>38</v>
      </c>
      <c r="E701" s="7">
        <v>45632</v>
      </c>
      <c r="F701" t="s">
        <v>1776</v>
      </c>
      <c r="G701">
        <v>1</v>
      </c>
      <c r="H701" t="s">
        <v>42</v>
      </c>
      <c r="I701" t="s">
        <v>16</v>
      </c>
      <c r="J701" t="s">
        <v>16</v>
      </c>
      <c r="K701" s="16" t="str">
        <f>VLOOKUP(C701,CheckName!A:B,2,0)</f>
        <v>Edu</v>
      </c>
      <c r="L701">
        <v>0</v>
      </c>
      <c r="M701" s="16">
        <f t="shared" ref="M701:M706" si="39">DAY(E701)</f>
        <v>6</v>
      </c>
      <c r="N701" t="str">
        <f>TEXT(MTDRejection[[#This Row],[RejectionDate]],"dddd")</f>
        <v>Friday</v>
      </c>
    </row>
    <row r="702" spans="1:14">
      <c r="A702" t="s">
        <v>186</v>
      </c>
      <c r="B702" t="s">
        <v>3402</v>
      </c>
      <c r="C702" t="s">
        <v>12</v>
      </c>
      <c r="D702" t="s">
        <v>38</v>
      </c>
      <c r="E702" s="7">
        <v>45632</v>
      </c>
      <c r="F702" t="s">
        <v>39</v>
      </c>
      <c r="G702">
        <v>1</v>
      </c>
      <c r="H702" t="s">
        <v>42</v>
      </c>
      <c r="I702" t="s">
        <v>16</v>
      </c>
      <c r="J702" t="s">
        <v>16</v>
      </c>
      <c r="K702" s="16" t="str">
        <f>VLOOKUP(C702,CheckName!A:B,2,0)</f>
        <v>Emp</v>
      </c>
      <c r="L702">
        <v>0</v>
      </c>
      <c r="M702" s="16">
        <f t="shared" si="39"/>
        <v>6</v>
      </c>
      <c r="N702" t="str">
        <f>TEXT(MTDRejection[[#This Row],[RejectionDate]],"dddd")</f>
        <v>Friday</v>
      </c>
    </row>
    <row r="703" spans="1:14">
      <c r="A703" t="s">
        <v>160</v>
      </c>
      <c r="B703" t="s">
        <v>3403</v>
      </c>
      <c r="C703" t="s">
        <v>125</v>
      </c>
      <c r="D703" t="s">
        <v>26</v>
      </c>
      <c r="E703" s="7">
        <v>45632</v>
      </c>
      <c r="F703" t="s">
        <v>675</v>
      </c>
      <c r="G703">
        <v>1</v>
      </c>
      <c r="H703" t="s">
        <v>22</v>
      </c>
      <c r="I703" t="s">
        <v>16</v>
      </c>
      <c r="J703" t="s">
        <v>16</v>
      </c>
      <c r="K703" s="16" t="str">
        <f>VLOOKUP(C703,CheckName!A:B,2,0)</f>
        <v>Emp</v>
      </c>
      <c r="L703">
        <v>0</v>
      </c>
      <c r="M703" s="16">
        <f t="shared" si="39"/>
        <v>6</v>
      </c>
      <c r="N703" t="str">
        <f>TEXT(MTDRejection[[#This Row],[RejectionDate]],"dddd")</f>
        <v>Friday</v>
      </c>
    </row>
    <row r="704" spans="1:14">
      <c r="A704" t="s">
        <v>84</v>
      </c>
      <c r="B704" t="s">
        <v>3404</v>
      </c>
      <c r="C704" t="s">
        <v>54</v>
      </c>
      <c r="D704" t="s">
        <v>38</v>
      </c>
      <c r="E704" s="7">
        <v>45632</v>
      </c>
      <c r="F704" t="s">
        <v>1776</v>
      </c>
      <c r="G704">
        <v>1</v>
      </c>
      <c r="H704" t="s">
        <v>42</v>
      </c>
      <c r="I704" t="s">
        <v>16</v>
      </c>
      <c r="J704" t="s">
        <v>16</v>
      </c>
      <c r="K704" s="16" t="str">
        <f>VLOOKUP(C704,CheckName!A:B,2,0)</f>
        <v>Edu</v>
      </c>
      <c r="L704">
        <v>0</v>
      </c>
      <c r="M704" s="16">
        <f t="shared" si="39"/>
        <v>6</v>
      </c>
      <c r="N704" t="str">
        <f>TEXT(MTDRejection[[#This Row],[RejectionDate]],"dddd")</f>
        <v>Friday</v>
      </c>
    </row>
    <row r="705" spans="1:14">
      <c r="A705" t="s">
        <v>144</v>
      </c>
      <c r="B705" t="s">
        <v>3405</v>
      </c>
      <c r="C705" t="s">
        <v>25</v>
      </c>
      <c r="D705" t="s">
        <v>20</v>
      </c>
      <c r="E705" s="7">
        <v>45632</v>
      </c>
      <c r="F705" t="s">
        <v>2327</v>
      </c>
      <c r="G705">
        <v>1</v>
      </c>
      <c r="H705" t="s">
        <v>22</v>
      </c>
      <c r="I705" t="s">
        <v>16</v>
      </c>
      <c r="J705" t="s">
        <v>16</v>
      </c>
      <c r="K705" s="16" t="str">
        <f>VLOOKUP(C705,CheckName!A:B,2,0)</f>
        <v>Add</v>
      </c>
      <c r="L705">
        <v>0</v>
      </c>
      <c r="M705" s="16">
        <f t="shared" si="39"/>
        <v>6</v>
      </c>
      <c r="N705" t="str">
        <f>TEXT(MTDRejection[[#This Row],[RejectionDate]],"dddd")</f>
        <v>Friday</v>
      </c>
    </row>
    <row r="706" spans="1:14">
      <c r="A706" t="s">
        <v>625</v>
      </c>
      <c r="B706" t="s">
        <v>3406</v>
      </c>
      <c r="C706" t="s">
        <v>54</v>
      </c>
      <c r="D706" t="s">
        <v>13</v>
      </c>
      <c r="E706" s="7">
        <v>45632</v>
      </c>
      <c r="F706" t="s">
        <v>1310</v>
      </c>
      <c r="G706">
        <v>1</v>
      </c>
      <c r="H706" t="s">
        <v>15</v>
      </c>
      <c r="I706" t="s">
        <v>16</v>
      </c>
      <c r="J706" t="s">
        <v>16</v>
      </c>
      <c r="K706" s="16" t="str">
        <f>VLOOKUP(C706,CheckName!A:B,2,0)</f>
        <v>Edu</v>
      </c>
      <c r="L706">
        <v>0</v>
      </c>
      <c r="M706" s="16">
        <f t="shared" si="39"/>
        <v>6</v>
      </c>
      <c r="N706" t="str">
        <f>TEXT(MTDRejection[[#This Row],[RejectionDate]],"dddd")</f>
        <v>Friday</v>
      </c>
    </row>
    <row r="707" spans="1:14">
      <c r="A707" t="s">
        <v>84</v>
      </c>
      <c r="B707" t="s">
        <v>3407</v>
      </c>
      <c r="C707" t="s">
        <v>467</v>
      </c>
      <c r="D707" t="s">
        <v>26</v>
      </c>
      <c r="E707" s="7">
        <v>45632</v>
      </c>
      <c r="F707" t="s">
        <v>236</v>
      </c>
      <c r="G707">
        <v>1</v>
      </c>
      <c r="H707" t="s">
        <v>22</v>
      </c>
      <c r="I707" t="s">
        <v>16</v>
      </c>
      <c r="J707" t="s">
        <v>16</v>
      </c>
      <c r="K707" s="16" t="str">
        <f>VLOOKUP(C707,CheckName!A:B,2,0)</f>
        <v>Special Check</v>
      </c>
      <c r="L707">
        <v>0</v>
      </c>
      <c r="M707" s="16">
        <f>DAY(E707)</f>
        <v>6</v>
      </c>
      <c r="N707" t="str">
        <f>TEXT(MTDRejection[[#This Row],[RejectionDate]],"dddd")</f>
        <v>Friday</v>
      </c>
    </row>
    <row r="708" spans="1:14">
      <c r="A708" t="s">
        <v>1110</v>
      </c>
      <c r="B708" t="s">
        <v>3408</v>
      </c>
      <c r="C708" t="s">
        <v>965</v>
      </c>
      <c r="D708" t="s">
        <v>26</v>
      </c>
      <c r="E708" s="7">
        <v>45632</v>
      </c>
      <c r="F708" t="s">
        <v>2327</v>
      </c>
      <c r="G708">
        <v>1</v>
      </c>
      <c r="H708" t="s">
        <v>27</v>
      </c>
      <c r="I708" t="s">
        <v>16</v>
      </c>
      <c r="J708" t="s">
        <v>16</v>
      </c>
      <c r="K708" s="16" t="str">
        <f>VLOOKUP(C708,CheckName!A:B,2,0)</f>
        <v>Add</v>
      </c>
      <c r="L708">
        <v>0</v>
      </c>
      <c r="M708" s="16">
        <f>DAY(E708)</f>
        <v>6</v>
      </c>
      <c r="N708" t="str">
        <f>TEXT(MTDRejection[[#This Row],[RejectionDate]],"dddd")</f>
        <v>Friday</v>
      </c>
    </row>
    <row r="709" spans="1:14">
      <c r="A709" t="s">
        <v>119</v>
      </c>
      <c r="B709" t="s">
        <v>3409</v>
      </c>
      <c r="C709" t="s">
        <v>125</v>
      </c>
      <c r="D709" t="s">
        <v>51</v>
      </c>
      <c r="E709" s="7">
        <v>45632</v>
      </c>
      <c r="F709" t="s">
        <v>52</v>
      </c>
      <c r="G709">
        <v>1</v>
      </c>
      <c r="H709" t="s">
        <v>53</v>
      </c>
      <c r="I709" t="s">
        <v>16</v>
      </c>
      <c r="J709" t="s">
        <v>16</v>
      </c>
      <c r="K709" s="16" t="str">
        <f>VLOOKUP(C709,CheckName!A:B,2,0)</f>
        <v>Emp</v>
      </c>
      <c r="L709">
        <v>0</v>
      </c>
      <c r="M709" s="16">
        <f t="shared" ref="M709:M712" si="40">DAY(E709)</f>
        <v>6</v>
      </c>
      <c r="N709" t="str">
        <f>TEXT(MTDRejection[[#This Row],[RejectionDate]],"dddd")</f>
        <v>Friday</v>
      </c>
    </row>
    <row r="710" spans="1:14">
      <c r="A710" t="s">
        <v>96</v>
      </c>
      <c r="B710" t="s">
        <v>3410</v>
      </c>
      <c r="C710" t="s">
        <v>54</v>
      </c>
      <c r="D710" t="s">
        <v>13</v>
      </c>
      <c r="E710" s="7">
        <v>45632</v>
      </c>
      <c r="F710" t="s">
        <v>492</v>
      </c>
      <c r="G710">
        <v>1</v>
      </c>
      <c r="H710" t="s">
        <v>15</v>
      </c>
      <c r="I710" t="s">
        <v>16</v>
      </c>
      <c r="J710" t="s">
        <v>16</v>
      </c>
      <c r="K710" s="16" t="str">
        <f>VLOOKUP(C710,CheckName!A:B,2,0)</f>
        <v>Edu</v>
      </c>
      <c r="L710">
        <v>0</v>
      </c>
      <c r="M710" s="16">
        <f t="shared" si="40"/>
        <v>6</v>
      </c>
      <c r="N710" t="str">
        <f>TEXT(MTDRejection[[#This Row],[RejectionDate]],"dddd")</f>
        <v>Friday</v>
      </c>
    </row>
    <row r="711" spans="1:14">
      <c r="A711" t="s">
        <v>100</v>
      </c>
      <c r="B711" t="s">
        <v>3411</v>
      </c>
      <c r="C711" t="s">
        <v>357</v>
      </c>
      <c r="D711" t="s">
        <v>13</v>
      </c>
      <c r="E711" s="7">
        <v>45632</v>
      </c>
      <c r="F711" t="s">
        <v>492</v>
      </c>
      <c r="G711">
        <v>1</v>
      </c>
      <c r="H711" t="s">
        <v>30</v>
      </c>
      <c r="I711" t="s">
        <v>16</v>
      </c>
      <c r="J711" t="s">
        <v>16</v>
      </c>
      <c r="K711" s="16" t="str">
        <f>VLOOKUP(C711,CheckName!A:B,2,0)</f>
        <v>Emp</v>
      </c>
      <c r="L711">
        <v>0</v>
      </c>
      <c r="M711" s="16">
        <f t="shared" si="40"/>
        <v>6</v>
      </c>
      <c r="N711" t="str">
        <f>TEXT(MTDRejection[[#This Row],[RejectionDate]],"dddd")</f>
        <v>Friday</v>
      </c>
    </row>
    <row r="712" spans="1:14">
      <c r="A712" t="s">
        <v>45</v>
      </c>
      <c r="B712" t="s">
        <v>3412</v>
      </c>
      <c r="C712" t="s">
        <v>36</v>
      </c>
      <c r="D712" t="s">
        <v>26</v>
      </c>
      <c r="E712" s="7">
        <v>45632</v>
      </c>
      <c r="F712" t="s">
        <v>222</v>
      </c>
      <c r="G712">
        <v>1</v>
      </c>
      <c r="H712" t="s">
        <v>22</v>
      </c>
      <c r="I712" t="s">
        <v>16</v>
      </c>
      <c r="J712" t="s">
        <v>16</v>
      </c>
      <c r="K712" s="16" t="str">
        <f>VLOOKUP(C712,CheckName!A:B,2,0)</f>
        <v>Emp</v>
      </c>
      <c r="L712">
        <v>0</v>
      </c>
      <c r="M712" s="16">
        <f t="shared" si="40"/>
        <v>6</v>
      </c>
      <c r="N712" t="str">
        <f>TEXT(MTDRejection[[#This Row],[RejectionDate]],"dddd")</f>
        <v>Friday</v>
      </c>
    </row>
    <row r="713" spans="1:14">
      <c r="A713" t="s">
        <v>84</v>
      </c>
      <c r="B713" t="s">
        <v>3413</v>
      </c>
      <c r="C713" t="s">
        <v>36</v>
      </c>
      <c r="D713" t="s">
        <v>26</v>
      </c>
      <c r="E713" s="7">
        <v>45632</v>
      </c>
      <c r="F713" t="s">
        <v>222</v>
      </c>
      <c r="G713">
        <v>1</v>
      </c>
      <c r="H713" t="s">
        <v>27</v>
      </c>
      <c r="I713" t="s">
        <v>16</v>
      </c>
      <c r="J713" t="s">
        <v>16</v>
      </c>
      <c r="K713" s="16" t="str">
        <f>VLOOKUP(C713,CheckName!A:B,2,0)</f>
        <v>Emp</v>
      </c>
      <c r="L713">
        <v>0</v>
      </c>
      <c r="M713" s="16">
        <f t="shared" ref="M713:M714" si="41">DAY(E713)</f>
        <v>6</v>
      </c>
      <c r="N713" t="str">
        <f>TEXT(MTDRejection[[#This Row],[RejectionDate]],"dddd")</f>
        <v>Friday</v>
      </c>
    </row>
    <row r="714" spans="1:14">
      <c r="A714" t="s">
        <v>986</v>
      </c>
      <c r="B714" t="s">
        <v>3414</v>
      </c>
      <c r="C714" t="s">
        <v>12</v>
      </c>
      <c r="D714" t="s">
        <v>13</v>
      </c>
      <c r="E714" s="7">
        <v>45632</v>
      </c>
      <c r="F714" t="s">
        <v>1219</v>
      </c>
      <c r="G714">
        <v>1</v>
      </c>
      <c r="H714" t="s">
        <v>15</v>
      </c>
      <c r="I714" t="s">
        <v>16</v>
      </c>
      <c r="J714" t="s">
        <v>16</v>
      </c>
      <c r="K714" s="16" t="str">
        <f>VLOOKUP(C714,CheckName!A:B,2,0)</f>
        <v>Emp</v>
      </c>
      <c r="L714">
        <v>0</v>
      </c>
      <c r="M714" s="16">
        <f t="shared" si="41"/>
        <v>6</v>
      </c>
      <c r="N714" t="str">
        <f>TEXT(MTDRejection[[#This Row],[RejectionDate]],"dddd")</f>
        <v>Friday</v>
      </c>
    </row>
    <row r="715" spans="1:14">
      <c r="A715" t="s">
        <v>391</v>
      </c>
      <c r="B715" t="s">
        <v>3415</v>
      </c>
      <c r="C715" t="s">
        <v>25</v>
      </c>
      <c r="D715" t="s">
        <v>26</v>
      </c>
      <c r="E715" s="7">
        <v>45632</v>
      </c>
      <c r="F715" t="s">
        <v>66</v>
      </c>
      <c r="G715">
        <v>1</v>
      </c>
      <c r="H715" t="s">
        <v>27</v>
      </c>
      <c r="I715" t="s">
        <v>16</v>
      </c>
      <c r="J715" t="s">
        <v>16</v>
      </c>
      <c r="K715" s="16" t="str">
        <f>VLOOKUP(C715,CheckName!A:B,2,0)</f>
        <v>Add</v>
      </c>
      <c r="L715">
        <v>0</v>
      </c>
      <c r="M715" s="16">
        <f>DAY(E715)</f>
        <v>6</v>
      </c>
      <c r="N715" t="str">
        <f>TEXT(MTDRejection[[#This Row],[RejectionDate]],"dddd")</f>
        <v>Friday</v>
      </c>
    </row>
    <row r="716" spans="1:14">
      <c r="A716" t="s">
        <v>91</v>
      </c>
      <c r="B716" t="s">
        <v>3416</v>
      </c>
      <c r="C716" t="s">
        <v>587</v>
      </c>
      <c r="D716" t="s">
        <v>20</v>
      </c>
      <c r="E716" s="7">
        <v>45632</v>
      </c>
      <c r="F716" t="s">
        <v>2330</v>
      </c>
      <c r="G716">
        <v>1</v>
      </c>
      <c r="H716" t="s">
        <v>22</v>
      </c>
      <c r="I716" t="s">
        <v>16</v>
      </c>
      <c r="J716" t="s">
        <v>16</v>
      </c>
      <c r="K716" s="16" t="str">
        <f>VLOOKUP(C716,CheckName!A:B,2,0)</f>
        <v>Add</v>
      </c>
      <c r="L716">
        <v>0</v>
      </c>
      <c r="M716" s="16">
        <f>DAY(E716)</f>
        <v>6</v>
      </c>
      <c r="N716" t="str">
        <f>TEXT(MTDRejection[[#This Row],[RejectionDate]],"dddd")</f>
        <v>Friday</v>
      </c>
    </row>
    <row r="717" spans="1:14">
      <c r="A717" t="s">
        <v>362</v>
      </c>
      <c r="B717" t="s">
        <v>3417</v>
      </c>
      <c r="C717" t="s">
        <v>25</v>
      </c>
      <c r="D717" t="s">
        <v>26</v>
      </c>
      <c r="E717" s="7">
        <v>45632</v>
      </c>
      <c r="F717" t="s">
        <v>66</v>
      </c>
      <c r="G717">
        <v>1</v>
      </c>
      <c r="H717" t="s">
        <v>27</v>
      </c>
      <c r="I717" t="s">
        <v>16</v>
      </c>
      <c r="J717" t="s">
        <v>16</v>
      </c>
      <c r="K717" s="16" t="str">
        <f>VLOOKUP(C717,CheckName!A:B,2,0)</f>
        <v>Add</v>
      </c>
      <c r="L717">
        <v>0</v>
      </c>
      <c r="M717" s="16">
        <f>DAY(E717)</f>
        <v>6</v>
      </c>
      <c r="N717" t="str">
        <f>TEXT(MTDRejection[[#This Row],[RejectionDate]],"dddd")</f>
        <v>Friday</v>
      </c>
    </row>
    <row r="718" spans="1:14">
      <c r="A718" t="s">
        <v>96</v>
      </c>
      <c r="B718" t="s">
        <v>3418</v>
      </c>
      <c r="C718" t="s">
        <v>54</v>
      </c>
      <c r="D718" t="s">
        <v>38</v>
      </c>
      <c r="E718" s="7">
        <v>45630</v>
      </c>
      <c r="F718" t="s">
        <v>1776</v>
      </c>
      <c r="G718">
        <v>3</v>
      </c>
      <c r="H718" t="s">
        <v>42</v>
      </c>
      <c r="I718" t="s">
        <v>16</v>
      </c>
      <c r="J718" t="s">
        <v>16</v>
      </c>
      <c r="K718" s="16" t="str">
        <f>VLOOKUP(C718,CheckName!A:B,2,0)</f>
        <v>Edu</v>
      </c>
      <c r="L718">
        <v>0</v>
      </c>
      <c r="M718" s="16">
        <f>DAY(E718)</f>
        <v>4</v>
      </c>
      <c r="N718" t="str">
        <f>TEXT(MTDRejection[[#This Row],[RejectionDate]],"dddd")</f>
        <v>Wednesday</v>
      </c>
    </row>
    <row r="719" spans="1:14">
      <c r="A719" t="s">
        <v>10</v>
      </c>
      <c r="B719" t="s">
        <v>3419</v>
      </c>
      <c r="C719" t="s">
        <v>12</v>
      </c>
      <c r="D719" t="s">
        <v>13</v>
      </c>
      <c r="E719" s="7">
        <v>45633</v>
      </c>
      <c r="F719" t="s">
        <v>2326</v>
      </c>
      <c r="G719">
        <v>0</v>
      </c>
      <c r="H719" t="s">
        <v>15</v>
      </c>
      <c r="I719" t="s">
        <v>16</v>
      </c>
      <c r="J719" t="s">
        <v>16</v>
      </c>
      <c r="K719" s="16" t="str">
        <f>VLOOKUP(C719,CheckName!A:B,2,0)</f>
        <v>Emp</v>
      </c>
      <c r="L719">
        <v>0</v>
      </c>
      <c r="M719" s="16">
        <f t="shared" ref="M719:M721" si="42">DAY(E719)</f>
        <v>7</v>
      </c>
      <c r="N719" t="str">
        <f>TEXT(MTDRejection[[#This Row],[RejectionDate]],"dddd")</f>
        <v>Saturday</v>
      </c>
    </row>
    <row r="720" spans="1:14">
      <c r="A720" t="s">
        <v>510</v>
      </c>
      <c r="B720" t="s">
        <v>3420</v>
      </c>
      <c r="C720" t="s">
        <v>19</v>
      </c>
      <c r="D720" t="s">
        <v>20</v>
      </c>
      <c r="E720" s="7">
        <v>45633</v>
      </c>
      <c r="F720" t="s">
        <v>273</v>
      </c>
      <c r="G720">
        <v>0</v>
      </c>
      <c r="H720" t="s">
        <v>22</v>
      </c>
      <c r="I720" t="s">
        <v>16</v>
      </c>
      <c r="J720" t="s">
        <v>16</v>
      </c>
      <c r="K720" s="16" t="str">
        <f>VLOOKUP(C720,CheckName!A:B,2,0)</f>
        <v>Add</v>
      </c>
      <c r="L720">
        <v>0</v>
      </c>
      <c r="M720" s="16">
        <f t="shared" si="42"/>
        <v>7</v>
      </c>
      <c r="N720" t="str">
        <f>TEXT(MTDRejection[[#This Row],[RejectionDate]],"dddd")</f>
        <v>Saturday</v>
      </c>
    </row>
    <row r="721" spans="1:14">
      <c r="A721" t="s">
        <v>510</v>
      </c>
      <c r="B721" t="s">
        <v>3421</v>
      </c>
      <c r="C721" t="s">
        <v>19</v>
      </c>
      <c r="D721" t="s">
        <v>20</v>
      </c>
      <c r="E721" s="7">
        <v>45633</v>
      </c>
      <c r="F721" t="s">
        <v>273</v>
      </c>
      <c r="G721">
        <v>0</v>
      </c>
      <c r="H721" t="s">
        <v>22</v>
      </c>
      <c r="I721" t="s">
        <v>16</v>
      </c>
      <c r="J721" t="s">
        <v>16</v>
      </c>
      <c r="K721" s="16" t="str">
        <f>VLOOKUP(C721,CheckName!A:B,2,0)</f>
        <v>Add</v>
      </c>
      <c r="L721">
        <v>0</v>
      </c>
      <c r="M721" s="16">
        <f t="shared" si="42"/>
        <v>7</v>
      </c>
      <c r="N721" t="str">
        <f>TEXT(MTDRejection[[#This Row],[RejectionDate]],"dddd")</f>
        <v>Saturday</v>
      </c>
    </row>
    <row r="722" spans="1:14">
      <c r="A722" t="s">
        <v>667</v>
      </c>
      <c r="B722" t="s">
        <v>3422</v>
      </c>
      <c r="C722" t="s">
        <v>259</v>
      </c>
      <c r="D722" t="s">
        <v>51</v>
      </c>
      <c r="E722" s="7">
        <v>45633</v>
      </c>
      <c r="F722" t="s">
        <v>52</v>
      </c>
      <c r="G722">
        <v>0</v>
      </c>
      <c r="H722" t="s">
        <v>53</v>
      </c>
      <c r="I722" t="s">
        <v>16</v>
      </c>
      <c r="J722" t="s">
        <v>16</v>
      </c>
      <c r="K722" s="16" t="str">
        <f>VLOOKUP(C722,CheckName!A:B,2,0)</f>
        <v>Emp</v>
      </c>
      <c r="L722">
        <v>0</v>
      </c>
      <c r="M722" s="16">
        <f t="shared" ref="M722:M725" si="43">DAY(E722)</f>
        <v>7</v>
      </c>
      <c r="N722" t="str">
        <f>TEXT(MTDRejection[[#This Row],[RejectionDate]],"dddd")</f>
        <v>Saturday</v>
      </c>
    </row>
    <row r="723" spans="1:14">
      <c r="A723" t="s">
        <v>45</v>
      </c>
      <c r="B723" t="s">
        <v>3423</v>
      </c>
      <c r="C723" t="s">
        <v>125</v>
      </c>
      <c r="D723" t="s">
        <v>26</v>
      </c>
      <c r="E723" s="7">
        <v>45633</v>
      </c>
      <c r="F723" t="s">
        <v>224</v>
      </c>
      <c r="G723">
        <v>0</v>
      </c>
      <c r="H723" t="s">
        <v>27</v>
      </c>
      <c r="I723" t="s">
        <v>16</v>
      </c>
      <c r="J723" t="s">
        <v>16</v>
      </c>
      <c r="K723" s="16" t="str">
        <f>VLOOKUP(C723,CheckName!A:B,2,0)</f>
        <v>Emp</v>
      </c>
      <c r="L723">
        <v>0</v>
      </c>
      <c r="M723" s="16">
        <f t="shared" si="43"/>
        <v>7</v>
      </c>
      <c r="N723" t="str">
        <f>TEXT(MTDRejection[[#This Row],[RejectionDate]],"dddd")</f>
        <v>Saturday</v>
      </c>
    </row>
    <row r="724" spans="1:14">
      <c r="A724" t="s">
        <v>45</v>
      </c>
      <c r="B724" t="s">
        <v>3424</v>
      </c>
      <c r="C724" t="s">
        <v>125</v>
      </c>
      <c r="D724" t="s">
        <v>26</v>
      </c>
      <c r="E724" s="7">
        <v>45633</v>
      </c>
      <c r="F724" t="s">
        <v>224</v>
      </c>
      <c r="G724">
        <v>0</v>
      </c>
      <c r="H724" t="s">
        <v>27</v>
      </c>
      <c r="I724" t="s">
        <v>16</v>
      </c>
      <c r="J724" t="s">
        <v>16</v>
      </c>
      <c r="K724" s="16" t="str">
        <f>VLOOKUP(C724,CheckName!A:B,2,0)</f>
        <v>Emp</v>
      </c>
      <c r="L724">
        <v>0</v>
      </c>
      <c r="M724" s="16">
        <f t="shared" si="43"/>
        <v>7</v>
      </c>
      <c r="N724" t="str">
        <f>TEXT(MTDRejection[[#This Row],[RejectionDate]],"dddd")</f>
        <v>Saturday</v>
      </c>
    </row>
    <row r="725" spans="1:14">
      <c r="A725" t="s">
        <v>45</v>
      </c>
      <c r="B725" t="s">
        <v>2443</v>
      </c>
      <c r="C725" t="s">
        <v>12</v>
      </c>
      <c r="D725" t="s">
        <v>26</v>
      </c>
      <c r="E725" s="7">
        <v>45633</v>
      </c>
      <c r="F725" t="s">
        <v>224</v>
      </c>
      <c r="G725">
        <v>0</v>
      </c>
      <c r="H725" t="s">
        <v>22</v>
      </c>
      <c r="I725" t="s">
        <v>16</v>
      </c>
      <c r="J725" t="s">
        <v>16</v>
      </c>
      <c r="K725" s="16" t="str">
        <f>VLOOKUP(C725,CheckName!A:B,2,0)</f>
        <v>Emp</v>
      </c>
      <c r="L725">
        <v>0</v>
      </c>
      <c r="M725" s="16">
        <f t="shared" si="43"/>
        <v>7</v>
      </c>
      <c r="N725" t="str">
        <f>TEXT(MTDRejection[[#This Row],[RejectionDate]],"dddd")</f>
        <v>Saturday</v>
      </c>
    </row>
    <row r="726" spans="1:14">
      <c r="A726" t="s">
        <v>45</v>
      </c>
      <c r="B726" t="s">
        <v>1762</v>
      </c>
      <c r="C726" t="s">
        <v>12</v>
      </c>
      <c r="D726" t="s">
        <v>26</v>
      </c>
      <c r="E726" s="7">
        <v>45633</v>
      </c>
      <c r="F726" t="s">
        <v>2341</v>
      </c>
      <c r="G726">
        <v>0</v>
      </c>
      <c r="H726" t="s">
        <v>30</v>
      </c>
      <c r="I726" t="s">
        <v>16</v>
      </c>
      <c r="J726" t="s">
        <v>16</v>
      </c>
      <c r="K726" s="16" t="str">
        <f>VLOOKUP(C726,CheckName!A:B,2,0)</f>
        <v>Emp</v>
      </c>
      <c r="L726">
        <v>0</v>
      </c>
      <c r="M726" s="16">
        <f t="shared" ref="M726:M727" si="44">DAY(E726)</f>
        <v>7</v>
      </c>
      <c r="N726" t="str">
        <f>TEXT(MTDRejection[[#This Row],[RejectionDate]],"dddd")</f>
        <v>Saturday</v>
      </c>
    </row>
    <row r="727" spans="1:14">
      <c r="A727" t="s">
        <v>362</v>
      </c>
      <c r="B727" t="s">
        <v>3425</v>
      </c>
      <c r="C727" t="s">
        <v>54</v>
      </c>
      <c r="D727" t="s">
        <v>51</v>
      </c>
      <c r="E727" s="7">
        <v>45633</v>
      </c>
      <c r="F727" t="s">
        <v>2349</v>
      </c>
      <c r="G727">
        <v>0</v>
      </c>
      <c r="H727" t="s">
        <v>53</v>
      </c>
      <c r="I727" t="s">
        <v>16</v>
      </c>
      <c r="J727" t="s">
        <v>16</v>
      </c>
      <c r="K727" s="16" t="str">
        <f>VLOOKUP(C727,CheckName!A:B,2,0)</f>
        <v>Edu</v>
      </c>
      <c r="L727">
        <v>0</v>
      </c>
      <c r="M727" s="16">
        <f t="shared" si="44"/>
        <v>7</v>
      </c>
      <c r="N727" t="str">
        <f>TEXT(MTDRejection[[#This Row],[RejectionDate]],"dddd")</f>
        <v>Saturday</v>
      </c>
    </row>
    <row r="728" spans="1:14">
      <c r="A728" t="s">
        <v>47</v>
      </c>
      <c r="B728" t="s">
        <v>3426</v>
      </c>
      <c r="C728" t="s">
        <v>36</v>
      </c>
      <c r="D728" t="s">
        <v>13</v>
      </c>
      <c r="E728" s="7">
        <v>45633</v>
      </c>
      <c r="F728" t="s">
        <v>579</v>
      </c>
      <c r="G728">
        <v>0</v>
      </c>
      <c r="H728" t="s">
        <v>15</v>
      </c>
      <c r="I728" t="s">
        <v>16</v>
      </c>
      <c r="J728" t="s">
        <v>16</v>
      </c>
      <c r="K728" s="16" t="str">
        <f>VLOOKUP(C728,CheckName!A:B,2,0)</f>
        <v>Emp</v>
      </c>
      <c r="L728">
        <v>0</v>
      </c>
      <c r="M728" s="16">
        <f>DAY(E728)</f>
        <v>7</v>
      </c>
      <c r="N728" t="str">
        <f>TEXT(MTDRejection[[#This Row],[RejectionDate]],"dddd")</f>
        <v>Saturday</v>
      </c>
    </row>
    <row r="729" spans="1:14">
      <c r="A729" t="s">
        <v>432</v>
      </c>
      <c r="B729" t="s">
        <v>3427</v>
      </c>
      <c r="C729" t="s">
        <v>36</v>
      </c>
      <c r="D729" t="s">
        <v>26</v>
      </c>
      <c r="E729" s="7">
        <v>45633</v>
      </c>
      <c r="F729" t="s">
        <v>115</v>
      </c>
      <c r="G729">
        <v>0</v>
      </c>
      <c r="H729" t="s">
        <v>27</v>
      </c>
      <c r="I729" t="s">
        <v>16</v>
      </c>
      <c r="J729" t="s">
        <v>16</v>
      </c>
      <c r="K729" s="16" t="str">
        <f>VLOOKUP(C729,CheckName!A:B,2,0)</f>
        <v>Emp</v>
      </c>
      <c r="L729">
        <v>0</v>
      </c>
      <c r="M729" s="16">
        <f>DAY(E729)</f>
        <v>7</v>
      </c>
      <c r="N729" t="str">
        <f>TEXT(MTDRejection[[#This Row],[RejectionDate]],"dddd")</f>
        <v>Saturday</v>
      </c>
    </row>
    <row r="730" spans="1:14">
      <c r="A730" t="s">
        <v>517</v>
      </c>
      <c r="B730" t="s">
        <v>3428</v>
      </c>
      <c r="C730" t="s">
        <v>54</v>
      </c>
      <c r="D730" t="s">
        <v>51</v>
      </c>
      <c r="E730" s="7">
        <v>45632</v>
      </c>
      <c r="F730" t="s">
        <v>2349</v>
      </c>
      <c r="G730">
        <v>1</v>
      </c>
      <c r="H730" t="s">
        <v>53</v>
      </c>
      <c r="I730" t="s">
        <v>16</v>
      </c>
      <c r="J730" t="s">
        <v>16</v>
      </c>
      <c r="K730" s="16" t="str">
        <f>VLOOKUP(C730,CheckName!A:B,2,0)</f>
        <v>Edu</v>
      </c>
      <c r="L730">
        <v>0</v>
      </c>
      <c r="M730" s="16">
        <f>DAY(E730)</f>
        <v>6</v>
      </c>
      <c r="N730" t="str">
        <f>TEXT(MTDRejection[[#This Row],[RejectionDate]],"dddd")</f>
        <v>Friday</v>
      </c>
    </row>
    <row r="731" spans="1:14">
      <c r="A731" t="s">
        <v>1483</v>
      </c>
      <c r="B731" t="s">
        <v>3429</v>
      </c>
      <c r="C731" t="s">
        <v>12</v>
      </c>
      <c r="D731" t="s">
        <v>26</v>
      </c>
      <c r="E731" s="7">
        <v>45632</v>
      </c>
      <c r="F731" t="s">
        <v>277</v>
      </c>
      <c r="G731">
        <v>1</v>
      </c>
      <c r="H731" t="s">
        <v>27</v>
      </c>
      <c r="I731" t="s">
        <v>16</v>
      </c>
      <c r="J731" t="s">
        <v>16</v>
      </c>
      <c r="K731" s="16" t="str">
        <f>VLOOKUP(C731,CheckName!A:B,2,0)</f>
        <v>Emp</v>
      </c>
      <c r="L731">
        <v>0</v>
      </c>
      <c r="M731" s="16">
        <f>DAY(E731)</f>
        <v>6</v>
      </c>
      <c r="N731" t="str">
        <f>TEXT(MTDRejection[[#This Row],[RejectionDate]],"dddd")</f>
        <v>Friday</v>
      </c>
    </row>
    <row r="732" spans="1:14">
      <c r="A732" t="s">
        <v>1778</v>
      </c>
      <c r="B732" t="s">
        <v>3430</v>
      </c>
      <c r="C732" t="s">
        <v>12</v>
      </c>
      <c r="D732" t="s">
        <v>38</v>
      </c>
      <c r="E732" s="7">
        <v>45632</v>
      </c>
      <c r="F732" t="s">
        <v>39</v>
      </c>
      <c r="G732">
        <v>1</v>
      </c>
      <c r="H732" t="s">
        <v>42</v>
      </c>
      <c r="I732" t="s">
        <v>16</v>
      </c>
      <c r="J732" t="s">
        <v>16</v>
      </c>
      <c r="K732" s="16" t="str">
        <f>VLOOKUP(C732,CheckName!A:B,2,0)</f>
        <v>Emp</v>
      </c>
      <c r="L732">
        <v>0</v>
      </c>
      <c r="M732" s="16">
        <f>DAY(E732)</f>
        <v>6</v>
      </c>
      <c r="N732" t="str">
        <f>TEXT(MTDRejection[[#This Row],[RejectionDate]],"dddd")</f>
        <v>Friday</v>
      </c>
    </row>
    <row r="733" spans="1:14">
      <c r="A733" t="s">
        <v>84</v>
      </c>
      <c r="B733" t="s">
        <v>3431</v>
      </c>
      <c r="C733" t="s">
        <v>12</v>
      </c>
      <c r="D733" t="s">
        <v>38</v>
      </c>
      <c r="E733" s="7">
        <v>45631</v>
      </c>
      <c r="F733" t="s">
        <v>39</v>
      </c>
      <c r="G733">
        <v>2</v>
      </c>
      <c r="H733" t="s">
        <v>42</v>
      </c>
      <c r="I733" t="s">
        <v>16</v>
      </c>
      <c r="J733" t="s">
        <v>16</v>
      </c>
      <c r="K733" s="16" t="str">
        <f>VLOOKUP(C733,CheckName!A:B,2,0)</f>
        <v>Emp</v>
      </c>
      <c r="L733">
        <v>0</v>
      </c>
      <c r="M733" s="16">
        <f t="shared" ref="M733:M776" si="45">DAY(E733)</f>
        <v>5</v>
      </c>
      <c r="N733" t="str">
        <f>TEXT(MTDRejection[[#This Row],[RejectionDate]],"dddd")</f>
        <v>Thursday</v>
      </c>
    </row>
    <row r="734" spans="1:14">
      <c r="A734" t="s">
        <v>452</v>
      </c>
      <c r="B734" t="s">
        <v>3432</v>
      </c>
      <c r="C734" t="s">
        <v>19</v>
      </c>
      <c r="D734" t="s">
        <v>20</v>
      </c>
      <c r="E734" s="7">
        <v>45633</v>
      </c>
      <c r="F734" t="s">
        <v>273</v>
      </c>
      <c r="G734">
        <v>0</v>
      </c>
      <c r="H734" t="s">
        <v>22</v>
      </c>
      <c r="I734" t="s">
        <v>16</v>
      </c>
      <c r="J734" t="s">
        <v>16</v>
      </c>
      <c r="K734" s="16" t="str">
        <f>VLOOKUP(C734,CheckName!A:B,2,0)</f>
        <v>Add</v>
      </c>
      <c r="L734">
        <v>0</v>
      </c>
      <c r="M734" s="16">
        <f t="shared" si="45"/>
        <v>7</v>
      </c>
      <c r="N734" t="str">
        <f>TEXT(MTDRejection[[#This Row],[RejectionDate]],"dddd")</f>
        <v>Saturday</v>
      </c>
    </row>
    <row r="735" spans="1:14">
      <c r="A735" t="s">
        <v>312</v>
      </c>
      <c r="B735" t="s">
        <v>3433</v>
      </c>
      <c r="C735" t="s">
        <v>19</v>
      </c>
      <c r="D735" t="s">
        <v>20</v>
      </c>
      <c r="E735" s="7">
        <v>45633</v>
      </c>
      <c r="F735" t="s">
        <v>2327</v>
      </c>
      <c r="G735">
        <v>0</v>
      </c>
      <c r="H735" t="s">
        <v>22</v>
      </c>
      <c r="I735" t="s">
        <v>16</v>
      </c>
      <c r="J735" t="s">
        <v>16</v>
      </c>
      <c r="K735" s="16" t="str">
        <f>VLOOKUP(C735,CheckName!A:B,2,0)</f>
        <v>Add</v>
      </c>
      <c r="L735">
        <v>0</v>
      </c>
      <c r="M735" s="16">
        <f t="shared" si="45"/>
        <v>7</v>
      </c>
      <c r="N735" t="str">
        <f>TEXT(MTDRejection[[#This Row],[RejectionDate]],"dddd")</f>
        <v>Saturday</v>
      </c>
    </row>
    <row r="736" spans="1:14">
      <c r="A736" t="s">
        <v>84</v>
      </c>
      <c r="B736" t="s">
        <v>3434</v>
      </c>
      <c r="C736" t="s">
        <v>467</v>
      </c>
      <c r="D736" t="s">
        <v>26</v>
      </c>
      <c r="E736" s="7">
        <v>45633</v>
      </c>
      <c r="F736" t="s">
        <v>236</v>
      </c>
      <c r="G736">
        <v>0</v>
      </c>
      <c r="H736" t="s">
        <v>130</v>
      </c>
      <c r="I736" t="s">
        <v>16</v>
      </c>
      <c r="J736" t="s">
        <v>16</v>
      </c>
      <c r="K736" s="16" t="str">
        <f>VLOOKUP(C736,CheckName!A:B,2,0)</f>
        <v>Special Check</v>
      </c>
      <c r="L736">
        <v>0</v>
      </c>
      <c r="M736" s="16">
        <f t="shared" si="45"/>
        <v>7</v>
      </c>
      <c r="N736" t="str">
        <f>TEXT(MTDRejection[[#This Row],[RejectionDate]],"dddd")</f>
        <v>Saturday</v>
      </c>
    </row>
    <row r="737" spans="1:14">
      <c r="A737" t="s">
        <v>84</v>
      </c>
      <c r="B737" t="s">
        <v>3435</v>
      </c>
      <c r="C737" t="s">
        <v>467</v>
      </c>
      <c r="D737" t="s">
        <v>26</v>
      </c>
      <c r="E737" s="7">
        <v>45633</v>
      </c>
      <c r="F737" t="s">
        <v>236</v>
      </c>
      <c r="G737">
        <v>0</v>
      </c>
      <c r="H737" t="s">
        <v>27</v>
      </c>
      <c r="I737" t="s">
        <v>16</v>
      </c>
      <c r="J737" t="s">
        <v>16</v>
      </c>
      <c r="K737" s="16" t="str">
        <f>VLOOKUP(C737,CheckName!A:B,2,0)</f>
        <v>Special Check</v>
      </c>
      <c r="L737">
        <v>0</v>
      </c>
      <c r="M737" s="16">
        <f t="shared" si="45"/>
        <v>7</v>
      </c>
      <c r="N737" t="str">
        <f>TEXT(MTDRejection[[#This Row],[RejectionDate]],"dddd")</f>
        <v>Saturday</v>
      </c>
    </row>
    <row r="738" spans="1:14">
      <c r="A738" t="s">
        <v>84</v>
      </c>
      <c r="B738" t="s">
        <v>3436</v>
      </c>
      <c r="C738" t="s">
        <v>467</v>
      </c>
      <c r="D738" t="s">
        <v>26</v>
      </c>
      <c r="E738" s="7">
        <v>45633</v>
      </c>
      <c r="F738" t="s">
        <v>236</v>
      </c>
      <c r="G738">
        <v>0</v>
      </c>
      <c r="H738" t="s">
        <v>22</v>
      </c>
      <c r="I738" t="s">
        <v>16</v>
      </c>
      <c r="J738" t="s">
        <v>16</v>
      </c>
      <c r="K738" s="16" t="str">
        <f>VLOOKUP(C738,CheckName!A:B,2,0)</f>
        <v>Special Check</v>
      </c>
      <c r="L738">
        <v>0</v>
      </c>
      <c r="M738" s="16">
        <f t="shared" si="45"/>
        <v>7</v>
      </c>
      <c r="N738" t="str">
        <f>TEXT(MTDRejection[[#This Row],[RejectionDate]],"dddd")</f>
        <v>Saturday</v>
      </c>
    </row>
    <row r="739" spans="1:14">
      <c r="A739" t="s">
        <v>84</v>
      </c>
      <c r="B739" t="s">
        <v>3437</v>
      </c>
      <c r="C739" t="s">
        <v>467</v>
      </c>
      <c r="D739" t="s">
        <v>26</v>
      </c>
      <c r="E739" s="7">
        <v>45633</v>
      </c>
      <c r="F739" t="s">
        <v>236</v>
      </c>
      <c r="G739">
        <v>0</v>
      </c>
      <c r="H739" t="s">
        <v>22</v>
      </c>
      <c r="I739" t="s">
        <v>16</v>
      </c>
      <c r="J739" t="s">
        <v>16</v>
      </c>
      <c r="K739" s="16" t="str">
        <f>VLOOKUP(C739,CheckName!A:B,2,0)</f>
        <v>Special Check</v>
      </c>
      <c r="L739">
        <v>0</v>
      </c>
      <c r="M739" s="16">
        <f t="shared" si="45"/>
        <v>7</v>
      </c>
      <c r="N739" t="str">
        <f>TEXT(MTDRejection[[#This Row],[RejectionDate]],"dddd")</f>
        <v>Saturday</v>
      </c>
    </row>
    <row r="740" spans="1:14">
      <c r="A740" t="s">
        <v>510</v>
      </c>
      <c r="B740" t="s">
        <v>3438</v>
      </c>
      <c r="C740" t="s">
        <v>19</v>
      </c>
      <c r="D740" t="s">
        <v>20</v>
      </c>
      <c r="E740" s="7">
        <v>45633</v>
      </c>
      <c r="F740" t="s">
        <v>273</v>
      </c>
      <c r="G740">
        <v>0</v>
      </c>
      <c r="H740" t="s">
        <v>22</v>
      </c>
      <c r="I740" t="s">
        <v>16</v>
      </c>
      <c r="J740" t="s">
        <v>16</v>
      </c>
      <c r="K740" s="16" t="str">
        <f>VLOOKUP(C740,CheckName!A:B,2,0)</f>
        <v>Add</v>
      </c>
      <c r="L740">
        <v>0</v>
      </c>
      <c r="M740" s="16">
        <f t="shared" si="45"/>
        <v>7</v>
      </c>
      <c r="N740" t="str">
        <f>TEXT(MTDRejection[[#This Row],[RejectionDate]],"dddd")</f>
        <v>Saturday</v>
      </c>
    </row>
    <row r="741" spans="1:14">
      <c r="A741" t="s">
        <v>510</v>
      </c>
      <c r="B741" t="s">
        <v>1827</v>
      </c>
      <c r="C741" t="s">
        <v>19</v>
      </c>
      <c r="D741" t="s">
        <v>20</v>
      </c>
      <c r="E741" s="7">
        <v>45633</v>
      </c>
      <c r="F741" t="s">
        <v>273</v>
      </c>
      <c r="G741">
        <v>0</v>
      </c>
      <c r="H741" t="s">
        <v>130</v>
      </c>
      <c r="I741" t="s">
        <v>16</v>
      </c>
      <c r="J741" t="s">
        <v>16</v>
      </c>
      <c r="K741" s="16" t="str">
        <f>VLOOKUP(C741,CheckName!A:B,2,0)</f>
        <v>Add</v>
      </c>
      <c r="L741">
        <v>0</v>
      </c>
      <c r="M741" s="16">
        <f t="shared" si="45"/>
        <v>7</v>
      </c>
      <c r="N741" t="str">
        <f>TEXT(MTDRejection[[#This Row],[RejectionDate]],"dddd")</f>
        <v>Saturday</v>
      </c>
    </row>
    <row r="742" spans="1:14">
      <c r="A742" t="s">
        <v>131</v>
      </c>
      <c r="B742" t="s">
        <v>3439</v>
      </c>
      <c r="C742" t="s">
        <v>25</v>
      </c>
      <c r="D742" t="s">
        <v>20</v>
      </c>
      <c r="E742" s="7">
        <v>45633</v>
      </c>
      <c r="F742" t="s">
        <v>273</v>
      </c>
      <c r="G742">
        <v>0</v>
      </c>
      <c r="H742" t="s">
        <v>22</v>
      </c>
      <c r="I742" t="s">
        <v>16</v>
      </c>
      <c r="J742" t="s">
        <v>16</v>
      </c>
      <c r="K742" s="16" t="str">
        <f>VLOOKUP(C742,CheckName!A:B,2,0)</f>
        <v>Add</v>
      </c>
      <c r="L742">
        <v>0</v>
      </c>
      <c r="M742" s="16">
        <f t="shared" si="45"/>
        <v>7</v>
      </c>
      <c r="N742" t="str">
        <f>TEXT(MTDRejection[[#This Row],[RejectionDate]],"dddd")</f>
        <v>Saturday</v>
      </c>
    </row>
    <row r="743" spans="1:14">
      <c r="A743" t="s">
        <v>242</v>
      </c>
      <c r="B743" t="s">
        <v>3440</v>
      </c>
      <c r="C743" t="s">
        <v>25</v>
      </c>
      <c r="D743" t="s">
        <v>20</v>
      </c>
      <c r="E743" s="7">
        <v>45633</v>
      </c>
      <c r="F743" t="s">
        <v>2327</v>
      </c>
      <c r="G743">
        <v>0</v>
      </c>
      <c r="H743" t="s">
        <v>27</v>
      </c>
      <c r="I743" t="s">
        <v>16</v>
      </c>
      <c r="J743" t="s">
        <v>16</v>
      </c>
      <c r="K743" s="16" t="str">
        <f>VLOOKUP(C743,CheckName!A:B,2,0)</f>
        <v>Add</v>
      </c>
      <c r="L743">
        <v>0</v>
      </c>
      <c r="M743" s="16">
        <f t="shared" si="45"/>
        <v>7</v>
      </c>
      <c r="N743" t="str">
        <f>TEXT(MTDRejection[[#This Row],[RejectionDate]],"dddd")</f>
        <v>Saturday</v>
      </c>
    </row>
    <row r="744" spans="1:14">
      <c r="A744" t="s">
        <v>360</v>
      </c>
      <c r="B744" t="s">
        <v>3441</v>
      </c>
      <c r="C744" t="s">
        <v>980</v>
      </c>
      <c r="D744" t="s">
        <v>20</v>
      </c>
      <c r="E744" s="7">
        <v>45633</v>
      </c>
      <c r="F744" t="s">
        <v>2327</v>
      </c>
      <c r="G744">
        <v>0</v>
      </c>
      <c r="H744" t="s">
        <v>22</v>
      </c>
      <c r="I744" t="s">
        <v>16</v>
      </c>
      <c r="J744" t="s">
        <v>16</v>
      </c>
      <c r="K744" s="16" t="str">
        <f>VLOOKUP(C744,CheckName!A:B,2,0)</f>
        <v>Add</v>
      </c>
      <c r="L744">
        <v>0</v>
      </c>
      <c r="M744" s="16">
        <f t="shared" si="45"/>
        <v>7</v>
      </c>
      <c r="N744" t="str">
        <f>TEXT(MTDRejection[[#This Row],[RejectionDate]],"dddd")</f>
        <v>Saturday</v>
      </c>
    </row>
    <row r="745" spans="1:14">
      <c r="A745" t="s">
        <v>360</v>
      </c>
      <c r="B745" t="s">
        <v>3442</v>
      </c>
      <c r="C745" t="s">
        <v>980</v>
      </c>
      <c r="D745" t="s">
        <v>20</v>
      </c>
      <c r="E745" s="7">
        <v>45633</v>
      </c>
      <c r="F745" t="s">
        <v>2327</v>
      </c>
      <c r="G745">
        <v>0</v>
      </c>
      <c r="H745" t="s">
        <v>22</v>
      </c>
      <c r="I745" t="s">
        <v>16</v>
      </c>
      <c r="J745" t="s">
        <v>16</v>
      </c>
      <c r="K745" s="16" t="str">
        <f>VLOOKUP(C745,CheckName!A:B,2,0)</f>
        <v>Add</v>
      </c>
      <c r="L745">
        <v>0</v>
      </c>
      <c r="M745" s="16">
        <f t="shared" si="45"/>
        <v>7</v>
      </c>
      <c r="N745" t="str">
        <f>TEXT(MTDRejection[[#This Row],[RejectionDate]],"dddd")</f>
        <v>Saturday</v>
      </c>
    </row>
    <row r="746" spans="1:14">
      <c r="A746" t="s">
        <v>945</v>
      </c>
      <c r="B746" t="s">
        <v>3443</v>
      </c>
      <c r="C746" t="s">
        <v>25</v>
      </c>
      <c r="D746" t="s">
        <v>20</v>
      </c>
      <c r="E746" s="7">
        <v>45633</v>
      </c>
      <c r="F746" t="s">
        <v>273</v>
      </c>
      <c r="G746">
        <v>0</v>
      </c>
      <c r="H746" t="s">
        <v>22</v>
      </c>
      <c r="I746" t="s">
        <v>16</v>
      </c>
      <c r="J746" t="s">
        <v>16</v>
      </c>
      <c r="K746" s="16" t="str">
        <f>VLOOKUP(C746,CheckName!A:B,2,0)</f>
        <v>Add</v>
      </c>
      <c r="L746">
        <v>0</v>
      </c>
      <c r="M746" s="16">
        <f t="shared" si="45"/>
        <v>7</v>
      </c>
      <c r="N746" t="str">
        <f>TEXT(MTDRejection[[#This Row],[RejectionDate]],"dddd")</f>
        <v>Saturday</v>
      </c>
    </row>
    <row r="747" spans="1:14">
      <c r="A747" t="s">
        <v>1779</v>
      </c>
      <c r="B747" t="s">
        <v>3444</v>
      </c>
      <c r="C747" t="s">
        <v>25</v>
      </c>
      <c r="D747" t="s">
        <v>20</v>
      </c>
      <c r="E747" s="7">
        <v>45633</v>
      </c>
      <c r="F747" t="s">
        <v>273</v>
      </c>
      <c r="G747">
        <v>0</v>
      </c>
      <c r="H747" t="s">
        <v>30</v>
      </c>
      <c r="I747" t="s">
        <v>16</v>
      </c>
      <c r="J747" t="s">
        <v>16</v>
      </c>
      <c r="K747" s="16" t="str">
        <f>VLOOKUP(C747,CheckName!A:B,2,0)</f>
        <v>Add</v>
      </c>
      <c r="L747">
        <v>0</v>
      </c>
      <c r="M747" s="16">
        <f t="shared" si="45"/>
        <v>7</v>
      </c>
      <c r="N747" t="str">
        <f>TEXT(MTDRejection[[#This Row],[RejectionDate]],"dddd")</f>
        <v>Saturday</v>
      </c>
    </row>
    <row r="748" spans="1:14">
      <c r="A748" t="s">
        <v>661</v>
      </c>
      <c r="B748" t="s">
        <v>3445</v>
      </c>
      <c r="C748" t="s">
        <v>12</v>
      </c>
      <c r="D748" t="s">
        <v>26</v>
      </c>
      <c r="E748" s="7">
        <v>45633</v>
      </c>
      <c r="F748" t="s">
        <v>37</v>
      </c>
      <c r="G748">
        <v>0</v>
      </c>
      <c r="H748" t="s">
        <v>27</v>
      </c>
      <c r="I748" t="s">
        <v>16</v>
      </c>
      <c r="J748" t="s">
        <v>16</v>
      </c>
      <c r="K748" s="16" t="str">
        <f>VLOOKUP(C748,CheckName!A:B,2,0)</f>
        <v>Emp</v>
      </c>
      <c r="L748">
        <v>0</v>
      </c>
      <c r="M748" s="16">
        <f t="shared" si="45"/>
        <v>7</v>
      </c>
      <c r="N748" t="str">
        <f>TEXT(MTDRejection[[#This Row],[RejectionDate]],"dddd")</f>
        <v>Saturday</v>
      </c>
    </row>
    <row r="749" spans="1:14">
      <c r="A749" t="s">
        <v>1780</v>
      </c>
      <c r="B749" t="s">
        <v>3446</v>
      </c>
      <c r="C749" t="s">
        <v>12</v>
      </c>
      <c r="D749" t="s">
        <v>38</v>
      </c>
      <c r="E749" s="7">
        <v>45633</v>
      </c>
      <c r="F749" t="s">
        <v>39</v>
      </c>
      <c r="G749">
        <v>0</v>
      </c>
      <c r="H749" t="s">
        <v>42</v>
      </c>
      <c r="I749" t="s">
        <v>16</v>
      </c>
      <c r="J749" t="s">
        <v>16</v>
      </c>
      <c r="K749" s="16" t="str">
        <f>VLOOKUP(C749,CheckName!A:B,2,0)</f>
        <v>Emp</v>
      </c>
      <c r="L749">
        <v>0</v>
      </c>
      <c r="M749" s="16">
        <f t="shared" si="45"/>
        <v>7</v>
      </c>
      <c r="N749" t="str">
        <f>TEXT(MTDRejection[[#This Row],[RejectionDate]],"dddd")</f>
        <v>Saturday</v>
      </c>
    </row>
    <row r="750" spans="1:14">
      <c r="A750" t="s">
        <v>45</v>
      </c>
      <c r="B750" t="s">
        <v>3447</v>
      </c>
      <c r="C750" t="s">
        <v>112</v>
      </c>
      <c r="D750" t="s">
        <v>38</v>
      </c>
      <c r="E750" s="7">
        <v>45633</v>
      </c>
      <c r="F750" t="s">
        <v>39</v>
      </c>
      <c r="G750">
        <v>0</v>
      </c>
      <c r="H750" t="s">
        <v>42</v>
      </c>
      <c r="I750" t="s">
        <v>16</v>
      </c>
      <c r="J750" t="s">
        <v>16</v>
      </c>
      <c r="K750" s="16" t="str">
        <f>VLOOKUP(C750,CheckName!A:B,2,0)</f>
        <v>Emp</v>
      </c>
      <c r="L750">
        <v>0</v>
      </c>
      <c r="M750" s="16">
        <f t="shared" si="45"/>
        <v>7</v>
      </c>
      <c r="N750" t="str">
        <f>TEXT(MTDRejection[[#This Row],[RejectionDate]],"dddd")</f>
        <v>Saturday</v>
      </c>
    </row>
    <row r="751" spans="1:14">
      <c r="A751" t="s">
        <v>45</v>
      </c>
      <c r="B751" t="s">
        <v>3448</v>
      </c>
      <c r="C751" t="s">
        <v>12</v>
      </c>
      <c r="D751" t="s">
        <v>38</v>
      </c>
      <c r="E751" s="7">
        <v>45633</v>
      </c>
      <c r="F751" t="s">
        <v>39</v>
      </c>
      <c r="G751">
        <v>0</v>
      </c>
      <c r="H751" t="s">
        <v>42</v>
      </c>
      <c r="I751" t="s">
        <v>16</v>
      </c>
      <c r="J751" t="s">
        <v>16</v>
      </c>
      <c r="K751" s="16" t="str">
        <f>VLOOKUP(C751,CheckName!A:B,2,0)</f>
        <v>Emp</v>
      </c>
      <c r="L751">
        <v>0</v>
      </c>
      <c r="M751" s="16">
        <f t="shared" si="45"/>
        <v>7</v>
      </c>
      <c r="N751" t="str">
        <f>TEXT(MTDRejection[[#This Row],[RejectionDate]],"dddd")</f>
        <v>Saturday</v>
      </c>
    </row>
    <row r="752" spans="1:14">
      <c r="A752" t="s">
        <v>45</v>
      </c>
      <c r="B752" t="s">
        <v>3449</v>
      </c>
      <c r="C752" t="s">
        <v>25</v>
      </c>
      <c r="D752" t="s">
        <v>20</v>
      </c>
      <c r="E752" s="7">
        <v>45633</v>
      </c>
      <c r="F752" t="s">
        <v>2330</v>
      </c>
      <c r="G752">
        <v>0</v>
      </c>
      <c r="H752" t="s">
        <v>22</v>
      </c>
      <c r="I752" t="s">
        <v>16</v>
      </c>
      <c r="J752" t="s">
        <v>16</v>
      </c>
      <c r="K752" s="16" t="str">
        <f>VLOOKUP(C752,CheckName!A:B,2,0)</f>
        <v>Add</v>
      </c>
      <c r="L752">
        <v>0</v>
      </c>
      <c r="M752" s="16">
        <f t="shared" si="45"/>
        <v>7</v>
      </c>
      <c r="N752" t="str">
        <f>TEXT(MTDRejection[[#This Row],[RejectionDate]],"dddd")</f>
        <v>Saturday</v>
      </c>
    </row>
    <row r="753" spans="1:14">
      <c r="A753" t="s">
        <v>893</v>
      </c>
      <c r="B753" t="s">
        <v>3450</v>
      </c>
      <c r="C753" t="s">
        <v>25</v>
      </c>
      <c r="D753" t="s">
        <v>20</v>
      </c>
      <c r="E753" s="7">
        <v>45633</v>
      </c>
      <c r="F753" t="s">
        <v>2330</v>
      </c>
      <c r="G753">
        <v>0</v>
      </c>
      <c r="H753" t="s">
        <v>22</v>
      </c>
      <c r="I753" t="s">
        <v>16</v>
      </c>
      <c r="J753" t="s">
        <v>16</v>
      </c>
      <c r="K753" s="16" t="str">
        <f>VLOOKUP(C753,CheckName!A:B,2,0)</f>
        <v>Add</v>
      </c>
      <c r="L753">
        <v>0</v>
      </c>
      <c r="M753" s="16">
        <f t="shared" si="45"/>
        <v>7</v>
      </c>
      <c r="N753" t="str">
        <f>TEXT(MTDRejection[[#This Row],[RejectionDate]],"dddd")</f>
        <v>Saturday</v>
      </c>
    </row>
    <row r="754" spans="1:14">
      <c r="A754" t="s">
        <v>160</v>
      </c>
      <c r="B754" t="s">
        <v>3451</v>
      </c>
      <c r="C754" t="s">
        <v>36</v>
      </c>
      <c r="D754" t="s">
        <v>26</v>
      </c>
      <c r="E754" s="7">
        <v>45633</v>
      </c>
      <c r="F754" t="s">
        <v>80</v>
      </c>
      <c r="G754">
        <v>0</v>
      </c>
      <c r="H754" t="s">
        <v>27</v>
      </c>
      <c r="I754" t="s">
        <v>16</v>
      </c>
      <c r="J754" t="s">
        <v>16</v>
      </c>
      <c r="K754" s="16" t="str">
        <f>VLOOKUP(C754,CheckName!A:B,2,0)</f>
        <v>Emp</v>
      </c>
      <c r="L754">
        <v>0</v>
      </c>
      <c r="M754" s="16">
        <f t="shared" si="45"/>
        <v>7</v>
      </c>
      <c r="N754" t="str">
        <f>TEXT(MTDRejection[[#This Row],[RejectionDate]],"dddd")</f>
        <v>Saturday</v>
      </c>
    </row>
    <row r="755" spans="1:14">
      <c r="A755" t="s">
        <v>160</v>
      </c>
      <c r="B755" t="s">
        <v>3452</v>
      </c>
      <c r="C755" t="s">
        <v>36</v>
      </c>
      <c r="D755" t="s">
        <v>26</v>
      </c>
      <c r="E755" s="7">
        <v>45633</v>
      </c>
      <c r="F755" t="s">
        <v>2354</v>
      </c>
      <c r="G755">
        <v>0</v>
      </c>
      <c r="H755" t="s">
        <v>22</v>
      </c>
      <c r="I755" t="s">
        <v>16</v>
      </c>
      <c r="J755" t="s">
        <v>16</v>
      </c>
      <c r="K755" s="16" t="str">
        <f>VLOOKUP(C755,CheckName!A:B,2,0)</f>
        <v>Emp</v>
      </c>
      <c r="L755">
        <v>0</v>
      </c>
      <c r="M755" s="16">
        <f t="shared" si="45"/>
        <v>7</v>
      </c>
      <c r="N755" t="str">
        <f>TEXT(MTDRejection[[#This Row],[RejectionDate]],"dddd")</f>
        <v>Saturday</v>
      </c>
    </row>
    <row r="756" spans="1:14">
      <c r="A756" t="s">
        <v>644</v>
      </c>
      <c r="B756" t="s">
        <v>3453</v>
      </c>
      <c r="C756" t="s">
        <v>36</v>
      </c>
      <c r="D756" t="s">
        <v>26</v>
      </c>
      <c r="E756" s="7">
        <v>45633</v>
      </c>
      <c r="F756" t="s">
        <v>184</v>
      </c>
      <c r="G756">
        <v>0</v>
      </c>
      <c r="H756" t="s">
        <v>27</v>
      </c>
      <c r="I756" t="s">
        <v>16</v>
      </c>
      <c r="J756" t="s">
        <v>16</v>
      </c>
      <c r="K756" s="16" t="str">
        <f>VLOOKUP(C756,CheckName!A:B,2,0)</f>
        <v>Emp</v>
      </c>
      <c r="L756">
        <v>0</v>
      </c>
      <c r="M756" s="16">
        <f t="shared" si="45"/>
        <v>7</v>
      </c>
      <c r="N756" t="str">
        <f>TEXT(MTDRejection[[#This Row],[RejectionDate]],"dddd")</f>
        <v>Saturday</v>
      </c>
    </row>
    <row r="757" spans="1:14">
      <c r="A757" t="s">
        <v>667</v>
      </c>
      <c r="B757" t="s">
        <v>3454</v>
      </c>
      <c r="C757" t="s">
        <v>36</v>
      </c>
      <c r="D757" t="s">
        <v>26</v>
      </c>
      <c r="E757" s="7">
        <v>45633</v>
      </c>
      <c r="F757" t="s">
        <v>355</v>
      </c>
      <c r="G757">
        <v>0</v>
      </c>
      <c r="H757" t="s">
        <v>130</v>
      </c>
      <c r="I757" t="s">
        <v>16</v>
      </c>
      <c r="J757" t="s">
        <v>16</v>
      </c>
      <c r="K757" s="16" t="str">
        <f>VLOOKUP(C757,CheckName!A:B,2,0)</f>
        <v>Emp</v>
      </c>
      <c r="L757">
        <v>0</v>
      </c>
      <c r="M757" s="16">
        <f t="shared" si="45"/>
        <v>7</v>
      </c>
      <c r="N757" t="str">
        <f>TEXT(MTDRejection[[#This Row],[RejectionDate]],"dddd")</f>
        <v>Saturday</v>
      </c>
    </row>
    <row r="758" spans="1:14">
      <c r="A758" t="s">
        <v>1455</v>
      </c>
      <c r="B758" t="s">
        <v>3455</v>
      </c>
      <c r="C758" t="s">
        <v>36</v>
      </c>
      <c r="D758" t="s">
        <v>26</v>
      </c>
      <c r="E758" s="7">
        <v>45633</v>
      </c>
      <c r="F758" t="s">
        <v>83</v>
      </c>
      <c r="G758">
        <v>0</v>
      </c>
      <c r="H758" t="s">
        <v>27</v>
      </c>
      <c r="I758" t="s">
        <v>16</v>
      </c>
      <c r="J758" t="s">
        <v>16</v>
      </c>
      <c r="K758" s="16" t="str">
        <f>VLOOKUP(C758,CheckName!A:B,2,0)</f>
        <v>Emp</v>
      </c>
      <c r="L758">
        <v>0</v>
      </c>
      <c r="M758" s="16">
        <f t="shared" si="45"/>
        <v>7</v>
      </c>
      <c r="N758" t="str">
        <f>TEXT(MTDRejection[[#This Row],[RejectionDate]],"dddd")</f>
        <v>Saturday</v>
      </c>
    </row>
    <row r="759" spans="1:14">
      <c r="A759" t="s">
        <v>84</v>
      </c>
      <c r="B759" t="s">
        <v>3456</v>
      </c>
      <c r="C759" t="s">
        <v>36</v>
      </c>
      <c r="D759" t="s">
        <v>26</v>
      </c>
      <c r="E759" s="7">
        <v>45633</v>
      </c>
      <c r="F759" t="s">
        <v>83</v>
      </c>
      <c r="G759">
        <v>0</v>
      </c>
      <c r="H759" t="s">
        <v>27</v>
      </c>
      <c r="I759" t="s">
        <v>16</v>
      </c>
      <c r="J759" t="s">
        <v>16</v>
      </c>
      <c r="K759" s="16" t="str">
        <f>VLOOKUP(C759,CheckName!A:B,2,0)</f>
        <v>Emp</v>
      </c>
      <c r="L759">
        <v>0</v>
      </c>
      <c r="M759" s="16">
        <f t="shared" si="45"/>
        <v>7</v>
      </c>
      <c r="N759" t="str">
        <f>TEXT(MTDRejection[[#This Row],[RejectionDate]],"dddd")</f>
        <v>Saturday</v>
      </c>
    </row>
    <row r="760" spans="1:14">
      <c r="A760" t="s">
        <v>189</v>
      </c>
      <c r="B760" t="s">
        <v>3457</v>
      </c>
      <c r="C760" t="s">
        <v>12</v>
      </c>
      <c r="D760" t="s">
        <v>26</v>
      </c>
      <c r="E760" s="7">
        <v>45633</v>
      </c>
      <c r="F760" t="s">
        <v>721</v>
      </c>
      <c r="G760">
        <v>0</v>
      </c>
      <c r="H760" t="s">
        <v>27</v>
      </c>
      <c r="I760" t="s">
        <v>16</v>
      </c>
      <c r="J760" t="s">
        <v>16</v>
      </c>
      <c r="K760" s="16" t="str">
        <f>VLOOKUP(C760,CheckName!A:B,2,0)</f>
        <v>Emp</v>
      </c>
      <c r="L760">
        <v>0</v>
      </c>
      <c r="M760" s="16">
        <f t="shared" si="45"/>
        <v>7</v>
      </c>
      <c r="N760" t="str">
        <f>TEXT(MTDRejection[[#This Row],[RejectionDate]],"dddd")</f>
        <v>Saturday</v>
      </c>
    </row>
    <row r="761" spans="1:14">
      <c r="A761" t="s">
        <v>64</v>
      </c>
      <c r="B761" t="s">
        <v>3458</v>
      </c>
      <c r="C761" t="s">
        <v>36</v>
      </c>
      <c r="D761" t="s">
        <v>26</v>
      </c>
      <c r="E761" s="7">
        <v>45633</v>
      </c>
      <c r="F761" t="s">
        <v>721</v>
      </c>
      <c r="G761">
        <v>0</v>
      </c>
      <c r="H761" t="s">
        <v>130</v>
      </c>
      <c r="I761" t="s">
        <v>16</v>
      </c>
      <c r="J761" t="s">
        <v>16</v>
      </c>
      <c r="K761" s="16" t="str">
        <f>VLOOKUP(C761,CheckName!A:B,2,0)</f>
        <v>Emp</v>
      </c>
      <c r="L761">
        <v>0</v>
      </c>
      <c r="M761" s="16">
        <f t="shared" si="45"/>
        <v>7</v>
      </c>
      <c r="N761" t="str">
        <f>TEXT(MTDRejection[[#This Row],[RejectionDate]],"dddd")</f>
        <v>Saturday</v>
      </c>
    </row>
    <row r="762" spans="1:14">
      <c r="A762" t="s">
        <v>1781</v>
      </c>
      <c r="B762" t="s">
        <v>3459</v>
      </c>
      <c r="C762" t="s">
        <v>54</v>
      </c>
      <c r="D762" t="s">
        <v>26</v>
      </c>
      <c r="E762" s="7">
        <v>45633</v>
      </c>
      <c r="F762" t="s">
        <v>535</v>
      </c>
      <c r="G762">
        <v>0</v>
      </c>
      <c r="H762" t="s">
        <v>27</v>
      </c>
      <c r="I762" t="s">
        <v>16</v>
      </c>
      <c r="J762" t="s">
        <v>16</v>
      </c>
      <c r="K762" s="16" t="str">
        <f>VLOOKUP(C762,CheckName!A:B,2,0)</f>
        <v>Edu</v>
      </c>
      <c r="L762">
        <v>0</v>
      </c>
      <c r="M762" s="16">
        <f t="shared" si="45"/>
        <v>7</v>
      </c>
      <c r="N762" t="str">
        <f>TEXT(MTDRejection[[#This Row],[RejectionDate]],"dddd")</f>
        <v>Saturday</v>
      </c>
    </row>
    <row r="763" spans="1:14">
      <c r="A763" t="s">
        <v>285</v>
      </c>
      <c r="B763" t="s">
        <v>3460</v>
      </c>
      <c r="C763" t="s">
        <v>54</v>
      </c>
      <c r="D763" t="s">
        <v>26</v>
      </c>
      <c r="E763" s="7">
        <v>45633</v>
      </c>
      <c r="F763" t="s">
        <v>538</v>
      </c>
      <c r="G763">
        <v>0</v>
      </c>
      <c r="H763" t="s">
        <v>27</v>
      </c>
      <c r="I763" t="s">
        <v>16</v>
      </c>
      <c r="J763" t="s">
        <v>16</v>
      </c>
      <c r="K763" s="16" t="str">
        <f>VLOOKUP(C763,CheckName!A:B,2,0)</f>
        <v>Edu</v>
      </c>
      <c r="L763">
        <v>0</v>
      </c>
      <c r="M763" s="16">
        <f t="shared" si="45"/>
        <v>7</v>
      </c>
      <c r="N763" t="str">
        <f>TEXT(MTDRejection[[#This Row],[RejectionDate]],"dddd")</f>
        <v>Saturday</v>
      </c>
    </row>
    <row r="764" spans="1:14">
      <c r="A764" t="s">
        <v>100</v>
      </c>
      <c r="B764" t="s">
        <v>2445</v>
      </c>
      <c r="C764" t="s">
        <v>102</v>
      </c>
      <c r="D764" t="s">
        <v>26</v>
      </c>
      <c r="E764" s="7">
        <v>45633</v>
      </c>
      <c r="F764" t="s">
        <v>103</v>
      </c>
      <c r="G764">
        <v>0</v>
      </c>
      <c r="H764" t="s">
        <v>27</v>
      </c>
      <c r="I764" t="s">
        <v>16</v>
      </c>
      <c r="J764" t="s">
        <v>16</v>
      </c>
      <c r="K764" s="16" t="str">
        <f>VLOOKUP(C764,CheckName!A:B,2,0)</f>
        <v>Edu</v>
      </c>
      <c r="L764">
        <v>0</v>
      </c>
      <c r="M764" s="16">
        <f t="shared" si="45"/>
        <v>7</v>
      </c>
      <c r="N764" t="str">
        <f>TEXT(MTDRejection[[#This Row],[RejectionDate]],"dddd")</f>
        <v>Saturday</v>
      </c>
    </row>
    <row r="765" spans="1:14">
      <c r="A765" t="s">
        <v>1782</v>
      </c>
      <c r="B765" t="s">
        <v>3461</v>
      </c>
      <c r="C765" t="s">
        <v>36</v>
      </c>
      <c r="D765" t="s">
        <v>26</v>
      </c>
      <c r="E765" s="7">
        <v>45633</v>
      </c>
      <c r="F765" t="s">
        <v>2335</v>
      </c>
      <c r="G765">
        <v>0</v>
      </c>
      <c r="H765" t="s">
        <v>30</v>
      </c>
      <c r="I765" t="s">
        <v>16</v>
      </c>
      <c r="J765" t="s">
        <v>16</v>
      </c>
      <c r="K765" s="16" t="str">
        <f>VLOOKUP(C765,CheckName!A:B,2,0)</f>
        <v>Emp</v>
      </c>
      <c r="L765">
        <v>0</v>
      </c>
      <c r="M765" s="16">
        <f t="shared" si="45"/>
        <v>7</v>
      </c>
      <c r="N765" t="str">
        <f>TEXT(MTDRejection[[#This Row],[RejectionDate]],"dddd")</f>
        <v>Saturday</v>
      </c>
    </row>
    <row r="766" spans="1:14">
      <c r="A766" t="s">
        <v>1552</v>
      </c>
      <c r="B766" t="s">
        <v>3462</v>
      </c>
      <c r="C766" t="s">
        <v>1686</v>
      </c>
      <c r="D766" t="s">
        <v>26</v>
      </c>
      <c r="E766" s="7">
        <v>45633</v>
      </c>
      <c r="F766" t="s">
        <v>118</v>
      </c>
      <c r="G766">
        <v>0</v>
      </c>
      <c r="H766" t="s">
        <v>27</v>
      </c>
      <c r="I766" t="s">
        <v>16</v>
      </c>
      <c r="J766" t="s">
        <v>16</v>
      </c>
      <c r="K766" s="16" t="str">
        <f>VLOOKUP(C766,CheckName!A:B,2,0)</f>
        <v>CRC</v>
      </c>
      <c r="L766">
        <v>0</v>
      </c>
      <c r="M766" s="16">
        <f t="shared" si="45"/>
        <v>7</v>
      </c>
      <c r="N766" t="str">
        <f>TEXT(MTDRejection[[#This Row],[RejectionDate]],"dddd")</f>
        <v>Saturday</v>
      </c>
    </row>
    <row r="767" spans="1:14">
      <c r="A767" t="s">
        <v>1552</v>
      </c>
      <c r="B767" t="s">
        <v>3463</v>
      </c>
      <c r="C767" t="s">
        <v>1686</v>
      </c>
      <c r="D767" t="s">
        <v>26</v>
      </c>
      <c r="E767" s="7">
        <v>45633</v>
      </c>
      <c r="F767" t="s">
        <v>118</v>
      </c>
      <c r="G767">
        <v>0</v>
      </c>
      <c r="H767" t="s">
        <v>27</v>
      </c>
      <c r="I767" t="s">
        <v>16</v>
      </c>
      <c r="J767" t="s">
        <v>16</v>
      </c>
      <c r="K767" s="16" t="str">
        <f>VLOOKUP(C767,CheckName!A:B,2,0)</f>
        <v>CRC</v>
      </c>
      <c r="L767">
        <v>0</v>
      </c>
      <c r="M767" s="16">
        <f t="shared" si="45"/>
        <v>7</v>
      </c>
      <c r="N767" t="str">
        <f>TEXT(MTDRejection[[#This Row],[RejectionDate]],"dddd")</f>
        <v>Saturday</v>
      </c>
    </row>
    <row r="768" spans="1:14">
      <c r="A768" t="s">
        <v>60</v>
      </c>
      <c r="B768" t="s">
        <v>3464</v>
      </c>
      <c r="C768" t="s">
        <v>54</v>
      </c>
      <c r="D768" t="s">
        <v>26</v>
      </c>
      <c r="E768" s="7">
        <v>45633</v>
      </c>
      <c r="F768" t="s">
        <v>121</v>
      </c>
      <c r="G768">
        <v>0</v>
      </c>
      <c r="H768" t="s">
        <v>27</v>
      </c>
      <c r="I768" t="s">
        <v>16</v>
      </c>
      <c r="J768" t="s">
        <v>16</v>
      </c>
      <c r="K768" s="16" t="str">
        <f>VLOOKUP(C768,CheckName!A:B,2,0)</f>
        <v>Edu</v>
      </c>
      <c r="L768">
        <v>0</v>
      </c>
      <c r="M768" s="16">
        <f t="shared" si="45"/>
        <v>7</v>
      </c>
      <c r="N768" t="str">
        <f>TEXT(MTDRejection[[#This Row],[RejectionDate]],"dddd")</f>
        <v>Saturday</v>
      </c>
    </row>
    <row r="769" spans="1:14">
      <c r="A769" t="s">
        <v>391</v>
      </c>
      <c r="B769" t="s">
        <v>2446</v>
      </c>
      <c r="C769" t="s">
        <v>54</v>
      </c>
      <c r="D769" t="s">
        <v>26</v>
      </c>
      <c r="E769" s="7">
        <v>45633</v>
      </c>
      <c r="F769" t="s">
        <v>121</v>
      </c>
      <c r="G769">
        <v>0</v>
      </c>
      <c r="H769" t="s">
        <v>27</v>
      </c>
      <c r="I769" t="s">
        <v>16</v>
      </c>
      <c r="J769" t="s">
        <v>16</v>
      </c>
      <c r="K769" s="16" t="str">
        <f>VLOOKUP(C769,CheckName!A:B,2,0)</f>
        <v>Edu</v>
      </c>
      <c r="L769">
        <v>0</v>
      </c>
      <c r="M769" s="16">
        <f t="shared" si="45"/>
        <v>7</v>
      </c>
      <c r="N769" t="str">
        <f>TEXT(MTDRejection[[#This Row],[RejectionDate]],"dddd")</f>
        <v>Saturday</v>
      </c>
    </row>
    <row r="770" spans="1:14">
      <c r="A770" t="s">
        <v>299</v>
      </c>
      <c r="B770" t="s">
        <v>3465</v>
      </c>
      <c r="C770" t="s">
        <v>54</v>
      </c>
      <c r="D770" t="s">
        <v>26</v>
      </c>
      <c r="E770" s="7">
        <v>45633</v>
      </c>
      <c r="F770" t="s">
        <v>309</v>
      </c>
      <c r="G770">
        <v>0</v>
      </c>
      <c r="H770" t="s">
        <v>27</v>
      </c>
      <c r="I770" t="s">
        <v>16</v>
      </c>
      <c r="J770" t="s">
        <v>16</v>
      </c>
      <c r="K770" s="16" t="str">
        <f>VLOOKUP(C770,CheckName!A:B,2,0)</f>
        <v>Edu</v>
      </c>
      <c r="L770">
        <v>0</v>
      </c>
      <c r="M770" s="16">
        <f t="shared" si="45"/>
        <v>7</v>
      </c>
      <c r="N770" t="str">
        <f>TEXT(MTDRejection[[#This Row],[RejectionDate]],"dddd")</f>
        <v>Saturday</v>
      </c>
    </row>
    <row r="771" spans="1:14">
      <c r="A771" t="s">
        <v>362</v>
      </c>
      <c r="B771" t="s">
        <v>3466</v>
      </c>
      <c r="C771" t="s">
        <v>12</v>
      </c>
      <c r="D771" t="s">
        <v>26</v>
      </c>
      <c r="E771" s="7">
        <v>45632</v>
      </c>
      <c r="F771" t="s">
        <v>2355</v>
      </c>
      <c r="G771">
        <v>1</v>
      </c>
      <c r="H771" t="s">
        <v>27</v>
      </c>
      <c r="I771" t="s">
        <v>16</v>
      </c>
      <c r="J771" t="s">
        <v>16</v>
      </c>
      <c r="K771" s="16" t="str">
        <f>VLOOKUP(C771,CheckName!A:B,2,0)</f>
        <v>Emp</v>
      </c>
      <c r="L771">
        <v>0</v>
      </c>
      <c r="M771" s="16">
        <f t="shared" si="45"/>
        <v>6</v>
      </c>
      <c r="N771" t="str">
        <f>TEXT(MTDRejection[[#This Row],[RejectionDate]],"dddd")</f>
        <v>Friday</v>
      </c>
    </row>
    <row r="772" spans="1:14">
      <c r="A772" t="s">
        <v>465</v>
      </c>
      <c r="B772" t="s">
        <v>3467</v>
      </c>
      <c r="C772" t="s">
        <v>54</v>
      </c>
      <c r="D772" t="s">
        <v>26</v>
      </c>
      <c r="E772" s="7">
        <v>45632</v>
      </c>
      <c r="F772" t="s">
        <v>297</v>
      </c>
      <c r="G772">
        <v>1</v>
      </c>
      <c r="H772" t="s">
        <v>22</v>
      </c>
      <c r="I772" t="s">
        <v>16</v>
      </c>
      <c r="J772" t="s">
        <v>16</v>
      </c>
      <c r="K772" s="16" t="str">
        <f>VLOOKUP(C772,CheckName!A:B,2,0)</f>
        <v>Edu</v>
      </c>
      <c r="L772">
        <v>0</v>
      </c>
      <c r="M772" s="16">
        <f t="shared" si="45"/>
        <v>6</v>
      </c>
      <c r="N772" t="str">
        <f>TEXT(MTDRejection[[#This Row],[RejectionDate]],"dddd")</f>
        <v>Friday</v>
      </c>
    </row>
    <row r="773" spans="1:14">
      <c r="A773" t="s">
        <v>100</v>
      </c>
      <c r="B773" t="s">
        <v>3468</v>
      </c>
      <c r="C773" t="s">
        <v>359</v>
      </c>
      <c r="D773" t="s">
        <v>26</v>
      </c>
      <c r="E773" s="7">
        <v>45632</v>
      </c>
      <c r="F773" t="s">
        <v>380</v>
      </c>
      <c r="G773">
        <v>1</v>
      </c>
      <c r="H773" t="s">
        <v>30</v>
      </c>
      <c r="I773" t="s">
        <v>16</v>
      </c>
      <c r="J773" t="s">
        <v>16</v>
      </c>
      <c r="K773" s="16" t="str">
        <f>VLOOKUP(C773,CheckName!A:B,2,0)</f>
        <v>Emp</v>
      </c>
      <c r="L773">
        <v>0</v>
      </c>
      <c r="M773" s="16">
        <f t="shared" si="45"/>
        <v>6</v>
      </c>
      <c r="N773" t="str">
        <f>TEXT(MTDRejection[[#This Row],[RejectionDate]],"dddd")</f>
        <v>Friday</v>
      </c>
    </row>
    <row r="774" spans="1:14">
      <c r="A774" t="s">
        <v>1088</v>
      </c>
      <c r="B774" t="s">
        <v>3469</v>
      </c>
      <c r="C774" t="s">
        <v>125</v>
      </c>
      <c r="D774" t="s">
        <v>26</v>
      </c>
      <c r="E774" s="7">
        <v>45632</v>
      </c>
      <c r="F774" t="s">
        <v>224</v>
      </c>
      <c r="G774">
        <v>1</v>
      </c>
      <c r="H774" t="s">
        <v>27</v>
      </c>
      <c r="I774" t="s">
        <v>16</v>
      </c>
      <c r="J774" t="s">
        <v>16</v>
      </c>
      <c r="K774" s="16" t="str">
        <f>VLOOKUP(C774,CheckName!A:B,2,0)</f>
        <v>Emp</v>
      </c>
      <c r="L774">
        <v>0</v>
      </c>
      <c r="M774" s="16">
        <f t="shared" si="45"/>
        <v>6</v>
      </c>
      <c r="N774" t="str">
        <f>TEXT(MTDRejection[[#This Row],[RejectionDate]],"dddd")</f>
        <v>Friday</v>
      </c>
    </row>
    <row r="775" spans="1:14">
      <c r="A775" t="s">
        <v>1784</v>
      </c>
      <c r="B775" t="s">
        <v>3470</v>
      </c>
      <c r="C775" t="s">
        <v>54</v>
      </c>
      <c r="D775" t="s">
        <v>26</v>
      </c>
      <c r="E775" s="7">
        <v>45631</v>
      </c>
      <c r="F775" t="s">
        <v>103</v>
      </c>
      <c r="G775">
        <v>2</v>
      </c>
      <c r="H775" t="s">
        <v>27</v>
      </c>
      <c r="I775" t="s">
        <v>16</v>
      </c>
      <c r="J775" t="s">
        <v>16</v>
      </c>
      <c r="K775" s="16" t="str">
        <f>VLOOKUP(C775,CheckName!A:B,2,0)</f>
        <v>Edu</v>
      </c>
      <c r="L775">
        <v>0</v>
      </c>
      <c r="M775" s="16">
        <f t="shared" si="45"/>
        <v>5</v>
      </c>
      <c r="N775" t="str">
        <f>TEXT(MTDRejection[[#This Row],[RejectionDate]],"dddd")</f>
        <v>Thursday</v>
      </c>
    </row>
    <row r="776" spans="1:14">
      <c r="A776" t="s">
        <v>45</v>
      </c>
      <c r="B776" t="s">
        <v>3471</v>
      </c>
      <c r="C776" t="s">
        <v>125</v>
      </c>
      <c r="D776" t="s">
        <v>38</v>
      </c>
      <c r="E776" s="7">
        <v>45630</v>
      </c>
      <c r="F776" t="s">
        <v>39</v>
      </c>
      <c r="G776">
        <v>3</v>
      </c>
      <c r="H776" t="s">
        <v>42</v>
      </c>
      <c r="I776" t="s">
        <v>16</v>
      </c>
      <c r="J776" t="s">
        <v>16</v>
      </c>
      <c r="K776" s="16" t="str">
        <f>VLOOKUP(C776,CheckName!A:B,2,0)</f>
        <v>Emp</v>
      </c>
      <c r="L776">
        <v>0</v>
      </c>
      <c r="M776" s="16">
        <f t="shared" si="45"/>
        <v>4</v>
      </c>
      <c r="N776" t="str">
        <f>TEXT(MTDRejection[[#This Row],[RejectionDate]],"dddd")</f>
        <v>Wednesday</v>
      </c>
    </row>
    <row r="777" spans="1:14">
      <c r="A777" t="s">
        <v>1358</v>
      </c>
      <c r="B777" t="s">
        <v>3472</v>
      </c>
      <c r="C777" t="s">
        <v>19</v>
      </c>
      <c r="D777" t="s">
        <v>20</v>
      </c>
      <c r="E777" s="7">
        <v>45633</v>
      </c>
      <c r="F777" t="s">
        <v>273</v>
      </c>
      <c r="G777">
        <v>0</v>
      </c>
      <c r="H777" t="s">
        <v>22</v>
      </c>
      <c r="I777" t="s">
        <v>16</v>
      </c>
      <c r="J777" t="s">
        <v>16</v>
      </c>
      <c r="K777" s="16" t="str">
        <f>VLOOKUP(C777,CheckName!A:B,2,0)</f>
        <v>Add</v>
      </c>
      <c r="L777">
        <v>0</v>
      </c>
      <c r="M777" s="16">
        <f>DAY(E777)</f>
        <v>7</v>
      </c>
      <c r="N777" t="str">
        <f>TEXT(MTDRejection[[#This Row],[RejectionDate]],"dddd")</f>
        <v>Saturday</v>
      </c>
    </row>
    <row r="778" spans="1:14">
      <c r="A778" t="s">
        <v>1110</v>
      </c>
      <c r="B778" t="s">
        <v>3473</v>
      </c>
      <c r="C778" t="s">
        <v>965</v>
      </c>
      <c r="D778" t="s">
        <v>20</v>
      </c>
      <c r="E778" s="7">
        <v>45633</v>
      </c>
      <c r="F778" t="s">
        <v>273</v>
      </c>
      <c r="G778">
        <v>0</v>
      </c>
      <c r="H778" t="s">
        <v>22</v>
      </c>
      <c r="I778" t="s">
        <v>16</v>
      </c>
      <c r="J778" t="s">
        <v>16</v>
      </c>
      <c r="K778" s="16" t="str">
        <f>VLOOKUP(C778,CheckName!A:B,2,0)</f>
        <v>Add</v>
      </c>
      <c r="L778">
        <v>0</v>
      </c>
      <c r="M778" s="16">
        <f t="shared" ref="M778:M783" si="46">DAY(E778)</f>
        <v>7</v>
      </c>
      <c r="N778" t="str">
        <f>TEXT(MTDRejection[[#This Row],[RejectionDate]],"dddd")</f>
        <v>Saturday</v>
      </c>
    </row>
    <row r="779" spans="1:14">
      <c r="A779" t="s">
        <v>100</v>
      </c>
      <c r="B779" t="s">
        <v>3474</v>
      </c>
      <c r="C779" t="s">
        <v>1333</v>
      </c>
      <c r="D779" t="s">
        <v>51</v>
      </c>
      <c r="E779" s="7">
        <v>45633</v>
      </c>
      <c r="F779" t="s">
        <v>555</v>
      </c>
      <c r="G779">
        <v>0</v>
      </c>
      <c r="H779" t="s">
        <v>53</v>
      </c>
      <c r="I779" t="s">
        <v>16</v>
      </c>
      <c r="J779" t="s">
        <v>16</v>
      </c>
      <c r="K779" s="16" t="str">
        <f>VLOOKUP(C779,CheckName!A:B,2,0)</f>
        <v>CRC</v>
      </c>
      <c r="L779">
        <v>0</v>
      </c>
      <c r="M779" s="16">
        <f t="shared" si="46"/>
        <v>7</v>
      </c>
      <c r="N779" t="str">
        <f>TEXT(MTDRejection[[#This Row],[RejectionDate]],"dddd")</f>
        <v>Saturday</v>
      </c>
    </row>
    <row r="780" spans="1:14">
      <c r="A780" t="s">
        <v>100</v>
      </c>
      <c r="B780" t="s">
        <v>3475</v>
      </c>
      <c r="C780" t="s">
        <v>1334</v>
      </c>
      <c r="D780" t="s">
        <v>51</v>
      </c>
      <c r="E780" s="7">
        <v>45633</v>
      </c>
      <c r="F780" t="s">
        <v>555</v>
      </c>
      <c r="G780">
        <v>0</v>
      </c>
      <c r="H780" t="s">
        <v>53</v>
      </c>
      <c r="I780" t="s">
        <v>16</v>
      </c>
      <c r="J780" t="s">
        <v>16</v>
      </c>
      <c r="K780" s="16" t="str">
        <f>VLOOKUP(C780,CheckName!A:B,2,0)</f>
        <v>CRC</v>
      </c>
      <c r="L780">
        <v>0</v>
      </c>
      <c r="M780" s="16">
        <f t="shared" si="46"/>
        <v>7</v>
      </c>
      <c r="N780" t="str">
        <f>TEXT(MTDRejection[[#This Row],[RejectionDate]],"dddd")</f>
        <v>Saturday</v>
      </c>
    </row>
    <row r="781" spans="1:14">
      <c r="A781" t="s">
        <v>644</v>
      </c>
      <c r="B781" t="s">
        <v>3476</v>
      </c>
      <c r="C781" t="s">
        <v>12</v>
      </c>
      <c r="D781" t="s">
        <v>13</v>
      </c>
      <c r="E781" s="7">
        <v>45633</v>
      </c>
      <c r="F781" t="s">
        <v>230</v>
      </c>
      <c r="G781">
        <v>0</v>
      </c>
      <c r="H781" t="s">
        <v>15</v>
      </c>
      <c r="I781" t="s">
        <v>16</v>
      </c>
      <c r="J781" t="s">
        <v>16</v>
      </c>
      <c r="K781" s="16" t="str">
        <f>VLOOKUP(C781,CheckName!A:B,2,0)</f>
        <v>Emp</v>
      </c>
      <c r="L781">
        <v>0</v>
      </c>
      <c r="M781" s="16">
        <f t="shared" si="46"/>
        <v>7</v>
      </c>
      <c r="N781" t="str">
        <f>TEXT(MTDRejection[[#This Row],[RejectionDate]],"dddd")</f>
        <v>Saturday</v>
      </c>
    </row>
    <row r="782" spans="1:14">
      <c r="A782" t="s">
        <v>116</v>
      </c>
      <c r="B782" t="s">
        <v>3477</v>
      </c>
      <c r="C782" t="s">
        <v>533</v>
      </c>
      <c r="D782" t="s">
        <v>13</v>
      </c>
      <c r="E782" s="7">
        <v>45633</v>
      </c>
      <c r="F782" t="s">
        <v>33</v>
      </c>
      <c r="G782">
        <v>0</v>
      </c>
      <c r="H782" t="s">
        <v>15</v>
      </c>
      <c r="I782" t="s">
        <v>16</v>
      </c>
      <c r="J782" t="s">
        <v>16</v>
      </c>
      <c r="K782" s="16" t="str">
        <f>VLOOKUP(C782,CheckName!A:B,2,0)</f>
        <v>CRC</v>
      </c>
      <c r="L782">
        <v>0</v>
      </c>
      <c r="M782" s="16">
        <f t="shared" si="46"/>
        <v>7</v>
      </c>
      <c r="N782" t="str">
        <f>TEXT(MTDRejection[[#This Row],[RejectionDate]],"dddd")</f>
        <v>Saturday</v>
      </c>
    </row>
    <row r="783" spans="1:14">
      <c r="A783" t="s">
        <v>116</v>
      </c>
      <c r="B783" t="s">
        <v>3478</v>
      </c>
      <c r="C783" t="s">
        <v>531</v>
      </c>
      <c r="D783" t="s">
        <v>13</v>
      </c>
      <c r="E783" s="7">
        <v>45633</v>
      </c>
      <c r="F783" t="s">
        <v>33</v>
      </c>
      <c r="G783">
        <v>0</v>
      </c>
      <c r="H783" t="s">
        <v>15</v>
      </c>
      <c r="I783" t="s">
        <v>16</v>
      </c>
      <c r="J783" t="s">
        <v>16</v>
      </c>
      <c r="K783" s="16" t="str">
        <f>VLOOKUP(C783,CheckName!A:B,2,0)</f>
        <v>Special Check</v>
      </c>
      <c r="L783">
        <v>0</v>
      </c>
      <c r="M783" s="16">
        <f t="shared" si="46"/>
        <v>7</v>
      </c>
      <c r="N783" t="str">
        <f>TEXT(MTDRejection[[#This Row],[RejectionDate]],"dddd")</f>
        <v>Saturday</v>
      </c>
    </row>
    <row r="784" spans="1:14">
      <c r="A784" t="s">
        <v>176</v>
      </c>
      <c r="B784" t="s">
        <v>3479</v>
      </c>
      <c r="C784" t="s">
        <v>36</v>
      </c>
      <c r="D784" t="s">
        <v>38</v>
      </c>
      <c r="E784" s="7">
        <v>45633</v>
      </c>
      <c r="F784" t="s">
        <v>39</v>
      </c>
      <c r="G784">
        <v>0</v>
      </c>
      <c r="H784" t="s">
        <v>22</v>
      </c>
      <c r="I784" t="s">
        <v>16</v>
      </c>
      <c r="J784" t="s">
        <v>16</v>
      </c>
      <c r="K784" s="16" t="str">
        <f>VLOOKUP(C784,CheckName!A:B,2,0)</f>
        <v>Emp</v>
      </c>
      <c r="L784">
        <v>0</v>
      </c>
      <c r="M784" s="16">
        <f t="shared" ref="M784:M785" si="47">DAY(E784)</f>
        <v>7</v>
      </c>
      <c r="N784" t="str">
        <f>TEXT(MTDRejection[[#This Row],[RejectionDate]],"dddd")</f>
        <v>Saturday</v>
      </c>
    </row>
    <row r="785" spans="1:14">
      <c r="A785" t="s">
        <v>1491</v>
      </c>
      <c r="B785" t="s">
        <v>2447</v>
      </c>
      <c r="C785" t="s">
        <v>54</v>
      </c>
      <c r="D785" t="s">
        <v>38</v>
      </c>
      <c r="E785" s="7">
        <v>45633</v>
      </c>
      <c r="F785" t="s">
        <v>1776</v>
      </c>
      <c r="G785">
        <v>0</v>
      </c>
      <c r="H785" t="s">
        <v>42</v>
      </c>
      <c r="I785" t="s">
        <v>16</v>
      </c>
      <c r="J785" t="s">
        <v>16</v>
      </c>
      <c r="K785" s="16" t="str">
        <f>VLOOKUP(C785,CheckName!A:B,2,0)</f>
        <v>Edu</v>
      </c>
      <c r="L785">
        <v>0</v>
      </c>
      <c r="M785" s="16">
        <f t="shared" si="47"/>
        <v>7</v>
      </c>
      <c r="N785" t="str">
        <f>TEXT(MTDRejection[[#This Row],[RejectionDate]],"dddd")</f>
        <v>Saturday</v>
      </c>
    </row>
    <row r="786" spans="1:14">
      <c r="A786" t="s">
        <v>81</v>
      </c>
      <c r="B786" t="s">
        <v>3480</v>
      </c>
      <c r="C786" t="s">
        <v>54</v>
      </c>
      <c r="D786" t="s">
        <v>26</v>
      </c>
      <c r="E786" s="7">
        <v>45633</v>
      </c>
      <c r="F786" t="s">
        <v>63</v>
      </c>
      <c r="G786">
        <v>0</v>
      </c>
      <c r="H786" t="s">
        <v>27</v>
      </c>
      <c r="I786" t="s">
        <v>16</v>
      </c>
      <c r="J786" t="s">
        <v>16</v>
      </c>
      <c r="K786" s="16" t="str">
        <f>VLOOKUP(C786,CheckName!A:B,2,0)</f>
        <v>Edu</v>
      </c>
      <c r="L786">
        <v>0</v>
      </c>
      <c r="M786" s="16">
        <f>DAY(E786)</f>
        <v>7</v>
      </c>
      <c r="N786" t="str">
        <f>TEXT(MTDRejection[[#This Row],[RejectionDate]],"dddd")</f>
        <v>Saturday</v>
      </c>
    </row>
    <row r="787" spans="1:14">
      <c r="A787" t="s">
        <v>160</v>
      </c>
      <c r="B787" t="s">
        <v>3481</v>
      </c>
      <c r="C787" t="s">
        <v>125</v>
      </c>
      <c r="D787" t="s">
        <v>26</v>
      </c>
      <c r="E787" s="7">
        <v>45633</v>
      </c>
      <c r="F787" t="s">
        <v>1139</v>
      </c>
      <c r="G787">
        <v>0</v>
      </c>
      <c r="H787" t="s">
        <v>27</v>
      </c>
      <c r="I787" t="s">
        <v>16</v>
      </c>
      <c r="J787" t="s">
        <v>16</v>
      </c>
      <c r="K787" s="16" t="str">
        <f>VLOOKUP(C787,CheckName!A:B,2,0)</f>
        <v>Emp</v>
      </c>
      <c r="L787">
        <v>0</v>
      </c>
      <c r="M787" s="16">
        <f>DAY(E787)</f>
        <v>7</v>
      </c>
      <c r="N787" t="str">
        <f>TEXT(MTDRejection[[#This Row],[RejectionDate]],"dddd")</f>
        <v>Saturday</v>
      </c>
    </row>
    <row r="788" spans="1:14">
      <c r="A788" t="s">
        <v>1786</v>
      </c>
      <c r="B788" t="s">
        <v>2448</v>
      </c>
      <c r="C788" t="s">
        <v>54</v>
      </c>
      <c r="D788" t="s">
        <v>26</v>
      </c>
      <c r="E788" s="7">
        <v>45633</v>
      </c>
      <c r="F788" t="s">
        <v>103</v>
      </c>
      <c r="G788">
        <v>0</v>
      </c>
      <c r="H788" t="s">
        <v>27</v>
      </c>
      <c r="I788" t="s">
        <v>16</v>
      </c>
      <c r="J788" t="s">
        <v>16</v>
      </c>
      <c r="K788" s="16" t="str">
        <f>VLOOKUP(C788,CheckName!A:B,2,0)</f>
        <v>Edu</v>
      </c>
      <c r="L788">
        <v>0</v>
      </c>
      <c r="M788" s="16">
        <f t="shared" ref="M788:M792" si="48">DAY(E788)</f>
        <v>7</v>
      </c>
      <c r="N788" t="str">
        <f>TEXT(MTDRejection[[#This Row],[RejectionDate]],"dddd")</f>
        <v>Saturday</v>
      </c>
    </row>
    <row r="789" spans="1:14">
      <c r="A789" t="s">
        <v>203</v>
      </c>
      <c r="B789" t="s">
        <v>3482</v>
      </c>
      <c r="C789" t="s">
        <v>54</v>
      </c>
      <c r="D789" t="s">
        <v>26</v>
      </c>
      <c r="E789" s="7">
        <v>45633</v>
      </c>
      <c r="F789" t="s">
        <v>103</v>
      </c>
      <c r="G789">
        <v>0</v>
      </c>
      <c r="H789" t="s">
        <v>27</v>
      </c>
      <c r="I789" t="s">
        <v>16</v>
      </c>
      <c r="J789" t="s">
        <v>16</v>
      </c>
      <c r="K789" s="16" t="str">
        <f>VLOOKUP(C789,CheckName!A:B,2,0)</f>
        <v>Edu</v>
      </c>
      <c r="L789">
        <v>0</v>
      </c>
      <c r="M789" s="16">
        <f t="shared" si="48"/>
        <v>7</v>
      </c>
      <c r="N789" t="str">
        <f>TEXT(MTDRejection[[#This Row],[RejectionDate]],"dddd")</f>
        <v>Saturday</v>
      </c>
    </row>
    <row r="790" spans="1:14">
      <c r="A790" t="s">
        <v>186</v>
      </c>
      <c r="B790" t="s">
        <v>3483</v>
      </c>
      <c r="C790" t="s">
        <v>54</v>
      </c>
      <c r="D790" t="s">
        <v>26</v>
      </c>
      <c r="E790" s="7">
        <v>45633</v>
      </c>
      <c r="F790" t="s">
        <v>604</v>
      </c>
      <c r="G790">
        <v>0</v>
      </c>
      <c r="H790" t="s">
        <v>27</v>
      </c>
      <c r="I790" t="s">
        <v>16</v>
      </c>
      <c r="J790" t="s">
        <v>16</v>
      </c>
      <c r="K790" s="16" t="str">
        <f>VLOOKUP(C790,CheckName!A:B,2,0)</f>
        <v>Edu</v>
      </c>
      <c r="L790">
        <v>0</v>
      </c>
      <c r="M790" s="16">
        <f t="shared" si="48"/>
        <v>7</v>
      </c>
      <c r="N790" t="str">
        <f>TEXT(MTDRejection[[#This Row],[RejectionDate]],"dddd")</f>
        <v>Saturday</v>
      </c>
    </row>
    <row r="791" spans="1:14">
      <c r="A791" t="s">
        <v>1787</v>
      </c>
      <c r="B791" t="s">
        <v>3484</v>
      </c>
      <c r="C791" t="s">
        <v>12</v>
      </c>
      <c r="D791" t="s">
        <v>13</v>
      </c>
      <c r="E791" s="7">
        <v>45633</v>
      </c>
      <c r="F791" t="s">
        <v>579</v>
      </c>
      <c r="G791">
        <v>0</v>
      </c>
      <c r="H791" t="s">
        <v>30</v>
      </c>
      <c r="I791" t="s">
        <v>16</v>
      </c>
      <c r="J791" t="s">
        <v>16</v>
      </c>
      <c r="K791" s="16" t="str">
        <f>VLOOKUP(C791,CheckName!A:B,2,0)</f>
        <v>Emp</v>
      </c>
      <c r="L791">
        <v>0</v>
      </c>
      <c r="M791" s="16">
        <f t="shared" si="48"/>
        <v>7</v>
      </c>
      <c r="N791" t="str">
        <f>TEXT(MTDRejection[[#This Row],[RejectionDate]],"dddd")</f>
        <v>Saturday</v>
      </c>
    </row>
    <row r="792" spans="1:14">
      <c r="A792" t="s">
        <v>1552</v>
      </c>
      <c r="B792" t="s">
        <v>3485</v>
      </c>
      <c r="C792" t="s">
        <v>1686</v>
      </c>
      <c r="D792" t="s">
        <v>38</v>
      </c>
      <c r="E792" s="7">
        <v>45633</v>
      </c>
      <c r="F792" t="s">
        <v>108</v>
      </c>
      <c r="G792">
        <v>0</v>
      </c>
      <c r="H792" t="s">
        <v>42</v>
      </c>
      <c r="I792" t="s">
        <v>16</v>
      </c>
      <c r="J792" t="s">
        <v>16</v>
      </c>
      <c r="K792" s="16" t="str">
        <f>VLOOKUP(C792,CheckName!A:B,2,0)</f>
        <v>CRC</v>
      </c>
      <c r="L792">
        <v>0</v>
      </c>
      <c r="M792" s="16">
        <f t="shared" si="48"/>
        <v>7</v>
      </c>
      <c r="N792" t="str">
        <f>TEXT(MTDRejection[[#This Row],[RejectionDate]],"dddd")</f>
        <v>Saturday</v>
      </c>
    </row>
    <row r="793" spans="1:14">
      <c r="A793" t="s">
        <v>391</v>
      </c>
      <c r="B793" t="s">
        <v>3486</v>
      </c>
      <c r="C793" t="s">
        <v>12</v>
      </c>
      <c r="D793" t="s">
        <v>26</v>
      </c>
      <c r="E793" s="7">
        <v>45633</v>
      </c>
      <c r="F793" t="s">
        <v>2336</v>
      </c>
      <c r="G793">
        <v>0</v>
      </c>
      <c r="H793" t="s">
        <v>27</v>
      </c>
      <c r="I793" t="s">
        <v>16</v>
      </c>
      <c r="J793" t="s">
        <v>16</v>
      </c>
      <c r="K793" s="16" t="str">
        <f>VLOOKUP(C793,CheckName!A:B,2,0)</f>
        <v>Emp</v>
      </c>
      <c r="L793">
        <v>0</v>
      </c>
      <c r="M793" s="16">
        <f>DAY(E793)</f>
        <v>7</v>
      </c>
      <c r="N793" t="str">
        <f>TEXT(MTDRejection[[#This Row],[RejectionDate]],"dddd")</f>
        <v>Saturday</v>
      </c>
    </row>
    <row r="794" spans="1:14">
      <c r="A794" t="s">
        <v>91</v>
      </c>
      <c r="B794" t="s">
        <v>1788</v>
      </c>
      <c r="C794" t="s">
        <v>12</v>
      </c>
      <c r="D794" t="s">
        <v>13</v>
      </c>
      <c r="E794" s="7">
        <v>45633</v>
      </c>
      <c r="F794" t="s">
        <v>2326</v>
      </c>
      <c r="G794">
        <v>0</v>
      </c>
      <c r="H794" t="s">
        <v>15</v>
      </c>
      <c r="I794" t="s">
        <v>16</v>
      </c>
      <c r="J794" t="s">
        <v>16</v>
      </c>
      <c r="K794" s="16" t="str">
        <f>VLOOKUP(C794,CheckName!A:B,2,0)</f>
        <v>Emp</v>
      </c>
      <c r="L794">
        <v>0</v>
      </c>
      <c r="M794" s="16">
        <f>DAY(E794)</f>
        <v>7</v>
      </c>
      <c r="N794" t="str">
        <f>TEXT(MTDRejection[[#This Row],[RejectionDate]],"dddd")</f>
        <v>Saturday</v>
      </c>
    </row>
    <row r="795" spans="1:14">
      <c r="A795" t="s">
        <v>1608</v>
      </c>
      <c r="B795" t="s">
        <v>2449</v>
      </c>
      <c r="C795" t="s">
        <v>12</v>
      </c>
      <c r="D795" t="s">
        <v>13</v>
      </c>
      <c r="E795" s="7">
        <v>45633</v>
      </c>
      <c r="F795" t="s">
        <v>1310</v>
      </c>
      <c r="G795">
        <v>0</v>
      </c>
      <c r="H795" t="s">
        <v>15</v>
      </c>
      <c r="I795" t="s">
        <v>16</v>
      </c>
      <c r="J795" t="s">
        <v>16</v>
      </c>
      <c r="K795" s="16" t="str">
        <f>VLOOKUP(C795,CheckName!A:B,2,0)</f>
        <v>Emp</v>
      </c>
      <c r="L795">
        <v>0</v>
      </c>
      <c r="M795" s="16">
        <f>DAY(E795)</f>
        <v>7</v>
      </c>
      <c r="N795" t="str">
        <f>TEXT(MTDRejection[[#This Row],[RejectionDate]],"dddd")</f>
        <v>Saturday</v>
      </c>
    </row>
    <row r="796" spans="1:14">
      <c r="A796" t="s">
        <v>360</v>
      </c>
      <c r="B796" t="s">
        <v>3487</v>
      </c>
      <c r="C796" t="s">
        <v>125</v>
      </c>
      <c r="D796" t="s">
        <v>26</v>
      </c>
      <c r="E796" s="7">
        <v>45633</v>
      </c>
      <c r="F796" t="s">
        <v>325</v>
      </c>
      <c r="G796">
        <v>0</v>
      </c>
      <c r="H796" t="s">
        <v>22</v>
      </c>
      <c r="I796" t="s">
        <v>16</v>
      </c>
      <c r="J796" t="s">
        <v>16</v>
      </c>
      <c r="K796" s="16" t="str">
        <f>VLOOKUP(C796,CheckName!A:B,2,0)</f>
        <v>Emp</v>
      </c>
      <c r="L796">
        <v>0</v>
      </c>
      <c r="M796" s="16">
        <f>DAY(E796)</f>
        <v>7</v>
      </c>
      <c r="N796" t="str">
        <f>TEXT(MTDRejection[[#This Row],[RejectionDate]],"dddd")</f>
        <v>Saturday</v>
      </c>
    </row>
    <row r="797" spans="1:14">
      <c r="A797" t="s">
        <v>1110</v>
      </c>
      <c r="B797" t="s">
        <v>3488</v>
      </c>
      <c r="C797" t="s">
        <v>965</v>
      </c>
      <c r="D797" t="s">
        <v>20</v>
      </c>
      <c r="E797" s="7">
        <v>45633</v>
      </c>
      <c r="F797" t="s">
        <v>273</v>
      </c>
      <c r="G797">
        <v>0</v>
      </c>
      <c r="H797" t="s">
        <v>22</v>
      </c>
      <c r="I797" t="s">
        <v>16</v>
      </c>
      <c r="J797" t="s">
        <v>16</v>
      </c>
      <c r="K797" s="16" t="str">
        <f>VLOOKUP(C797,CheckName!A:B,2,0)</f>
        <v>Add</v>
      </c>
      <c r="L797">
        <v>0</v>
      </c>
      <c r="M797" s="16">
        <f>DAY(E797)</f>
        <v>7</v>
      </c>
      <c r="N797" t="str">
        <f>TEXT(MTDRejection[[#This Row],[RejectionDate]],"dddd")</f>
        <v>Saturday</v>
      </c>
    </row>
    <row r="798" spans="1:14">
      <c r="A798" t="s">
        <v>242</v>
      </c>
      <c r="B798" t="s">
        <v>3489</v>
      </c>
      <c r="C798" t="s">
        <v>19</v>
      </c>
      <c r="D798" t="s">
        <v>26</v>
      </c>
      <c r="E798" s="7">
        <v>45633</v>
      </c>
      <c r="F798" t="s">
        <v>2327</v>
      </c>
      <c r="G798">
        <v>0</v>
      </c>
      <c r="H798" t="s">
        <v>27</v>
      </c>
      <c r="I798" t="s">
        <v>16</v>
      </c>
      <c r="J798" t="s">
        <v>16</v>
      </c>
      <c r="K798" s="16" t="str">
        <f>VLOOKUP(C798,CheckName!A:B,2,0)</f>
        <v>Add</v>
      </c>
      <c r="L798">
        <v>0</v>
      </c>
      <c r="M798" s="16">
        <f t="shared" ref="M798:M801" si="49">DAY(E798)</f>
        <v>7</v>
      </c>
      <c r="N798" t="str">
        <f>TEXT(MTDRejection[[#This Row],[RejectionDate]],"dddd")</f>
        <v>Saturday</v>
      </c>
    </row>
    <row r="799" spans="1:14">
      <c r="A799" t="s">
        <v>200</v>
      </c>
      <c r="B799" t="s">
        <v>3490</v>
      </c>
      <c r="C799" t="s">
        <v>19</v>
      </c>
      <c r="D799" t="s">
        <v>26</v>
      </c>
      <c r="E799" s="7">
        <v>45633</v>
      </c>
      <c r="F799" t="s">
        <v>2327</v>
      </c>
      <c r="G799">
        <v>0</v>
      </c>
      <c r="H799" t="s">
        <v>27</v>
      </c>
      <c r="I799" t="s">
        <v>16</v>
      </c>
      <c r="J799" t="s">
        <v>16</v>
      </c>
      <c r="K799" s="16" t="str">
        <f>VLOOKUP(C799,CheckName!A:B,2,0)</f>
        <v>Add</v>
      </c>
      <c r="L799">
        <v>0</v>
      </c>
      <c r="M799" s="16">
        <f t="shared" si="49"/>
        <v>7</v>
      </c>
      <c r="N799" t="str">
        <f>TEXT(MTDRejection[[#This Row],[RejectionDate]],"dddd")</f>
        <v>Saturday</v>
      </c>
    </row>
    <row r="800" spans="1:14">
      <c r="A800" t="s">
        <v>432</v>
      </c>
      <c r="B800" t="s">
        <v>3491</v>
      </c>
      <c r="C800" t="s">
        <v>467</v>
      </c>
      <c r="D800" t="s">
        <v>26</v>
      </c>
      <c r="E800" s="7">
        <v>45633</v>
      </c>
      <c r="F800" t="s">
        <v>236</v>
      </c>
      <c r="G800">
        <v>0</v>
      </c>
      <c r="H800" t="s">
        <v>27</v>
      </c>
      <c r="I800" t="s">
        <v>16</v>
      </c>
      <c r="J800" t="s">
        <v>16</v>
      </c>
      <c r="K800" s="16" t="str">
        <f>VLOOKUP(C800,CheckName!A:B,2,0)</f>
        <v>Special Check</v>
      </c>
      <c r="L800">
        <v>0</v>
      </c>
      <c r="M800" s="16">
        <f t="shared" si="49"/>
        <v>7</v>
      </c>
      <c r="N800" t="str">
        <f>TEXT(MTDRejection[[#This Row],[RejectionDate]],"dddd")</f>
        <v>Saturday</v>
      </c>
    </row>
    <row r="801" spans="1:14">
      <c r="A801" t="s">
        <v>320</v>
      </c>
      <c r="B801" t="s">
        <v>3492</v>
      </c>
      <c r="C801" t="s">
        <v>1685</v>
      </c>
      <c r="D801" t="s">
        <v>26</v>
      </c>
      <c r="E801" s="7">
        <v>45633</v>
      </c>
      <c r="F801" t="s">
        <v>325</v>
      </c>
      <c r="G801">
        <v>0</v>
      </c>
      <c r="H801" t="s">
        <v>27</v>
      </c>
      <c r="I801" t="s">
        <v>16</v>
      </c>
      <c r="J801" t="s">
        <v>16</v>
      </c>
      <c r="K801" s="16" t="str">
        <f>VLOOKUP(C801,CheckName!A:B,2,0)</f>
        <v>Emp</v>
      </c>
      <c r="L801">
        <v>0</v>
      </c>
      <c r="M801" s="16">
        <f t="shared" si="49"/>
        <v>7</v>
      </c>
      <c r="N801" t="str">
        <f>TEXT(MTDRejection[[#This Row],[RejectionDate]],"dddd")</f>
        <v>Saturday</v>
      </c>
    </row>
    <row r="802" spans="1:14">
      <c r="A802" t="s">
        <v>766</v>
      </c>
      <c r="B802" t="s">
        <v>3493</v>
      </c>
      <c r="C802" t="s">
        <v>36</v>
      </c>
      <c r="D802" t="s">
        <v>13</v>
      </c>
      <c r="E802" s="7">
        <v>45633</v>
      </c>
      <c r="F802" t="s">
        <v>230</v>
      </c>
      <c r="G802">
        <v>0</v>
      </c>
      <c r="H802" t="s">
        <v>15</v>
      </c>
      <c r="I802" t="s">
        <v>16</v>
      </c>
      <c r="J802" t="s">
        <v>16</v>
      </c>
      <c r="K802" s="16" t="str">
        <f>VLOOKUP(C802,CheckName!A:B,2,0)</f>
        <v>Emp</v>
      </c>
      <c r="L802">
        <v>0</v>
      </c>
      <c r="M802" s="16">
        <f>DAY(E802)</f>
        <v>7</v>
      </c>
      <c r="N802" t="str">
        <f>TEXT(MTDRejection[[#This Row],[RejectionDate]],"dddd")</f>
        <v>Saturday</v>
      </c>
    </row>
    <row r="803" spans="1:14">
      <c r="A803" t="s">
        <v>625</v>
      </c>
      <c r="B803" t="s">
        <v>3494</v>
      </c>
      <c r="C803" t="s">
        <v>12</v>
      </c>
      <c r="D803" t="s">
        <v>26</v>
      </c>
      <c r="E803" s="7">
        <v>45633</v>
      </c>
      <c r="F803" t="s">
        <v>37</v>
      </c>
      <c r="G803">
        <v>0</v>
      </c>
      <c r="H803" t="s">
        <v>27</v>
      </c>
      <c r="I803" t="s">
        <v>16</v>
      </c>
      <c r="J803" t="s">
        <v>16</v>
      </c>
      <c r="K803" s="16" t="str">
        <f>VLOOKUP(C803,CheckName!A:B,2,0)</f>
        <v>Emp</v>
      </c>
      <c r="L803">
        <v>0</v>
      </c>
      <c r="M803" s="16">
        <f t="shared" ref="M803:M804" si="50">DAY(E803)</f>
        <v>7</v>
      </c>
      <c r="N803" t="str">
        <f>TEXT(MTDRejection[[#This Row],[RejectionDate]],"dddd")</f>
        <v>Saturday</v>
      </c>
    </row>
    <row r="804" spans="1:14">
      <c r="A804" t="s">
        <v>288</v>
      </c>
      <c r="B804" t="s">
        <v>3495</v>
      </c>
      <c r="C804" t="s">
        <v>12</v>
      </c>
      <c r="D804" t="s">
        <v>38</v>
      </c>
      <c r="E804" s="7">
        <v>45633</v>
      </c>
      <c r="F804" t="s">
        <v>39</v>
      </c>
      <c r="G804">
        <v>0</v>
      </c>
      <c r="H804" t="s">
        <v>42</v>
      </c>
      <c r="I804" t="s">
        <v>16</v>
      </c>
      <c r="J804" t="s">
        <v>16</v>
      </c>
      <c r="K804" s="16" t="str">
        <f>VLOOKUP(C804,CheckName!A:B,2,0)</f>
        <v>Emp</v>
      </c>
      <c r="L804">
        <v>0</v>
      </c>
      <c r="M804" s="16">
        <f t="shared" si="50"/>
        <v>7</v>
      </c>
      <c r="N804" t="str">
        <f>TEXT(MTDRejection[[#This Row],[RejectionDate]],"dddd")</f>
        <v>Saturday</v>
      </c>
    </row>
    <row r="805" spans="1:14">
      <c r="A805" t="s">
        <v>45</v>
      </c>
      <c r="B805" t="s">
        <v>3496</v>
      </c>
      <c r="C805" t="s">
        <v>125</v>
      </c>
      <c r="D805" t="s">
        <v>26</v>
      </c>
      <c r="E805" s="7">
        <v>45633</v>
      </c>
      <c r="F805" t="s">
        <v>222</v>
      </c>
      <c r="G805">
        <v>0</v>
      </c>
      <c r="H805" t="s">
        <v>27</v>
      </c>
      <c r="I805" t="s">
        <v>16</v>
      </c>
      <c r="J805" t="s">
        <v>16</v>
      </c>
      <c r="K805" s="16" t="str">
        <f>VLOOKUP(C805,CheckName!A:B,2,0)</f>
        <v>Emp</v>
      </c>
      <c r="L805">
        <v>0</v>
      </c>
      <c r="M805" s="16">
        <f t="shared" ref="M805:M811" si="51">DAY(E805)</f>
        <v>7</v>
      </c>
      <c r="N805" t="str">
        <f>TEXT(MTDRejection[[#This Row],[RejectionDate]],"dddd")</f>
        <v>Saturday</v>
      </c>
    </row>
    <row r="806" spans="1:14">
      <c r="A806" t="s">
        <v>45</v>
      </c>
      <c r="B806" t="s">
        <v>3497</v>
      </c>
      <c r="C806" t="s">
        <v>12</v>
      </c>
      <c r="D806" t="s">
        <v>26</v>
      </c>
      <c r="E806" s="7">
        <v>45633</v>
      </c>
      <c r="F806" t="s">
        <v>224</v>
      </c>
      <c r="G806">
        <v>0</v>
      </c>
      <c r="H806" t="s">
        <v>27</v>
      </c>
      <c r="I806" t="s">
        <v>16</v>
      </c>
      <c r="J806" t="s">
        <v>16</v>
      </c>
      <c r="K806" s="16" t="str">
        <f>VLOOKUP(C806,CheckName!A:B,2,0)</f>
        <v>Emp</v>
      </c>
      <c r="L806">
        <v>0</v>
      </c>
      <c r="M806" s="16">
        <f t="shared" si="51"/>
        <v>7</v>
      </c>
      <c r="N806" t="str">
        <f>TEXT(MTDRejection[[#This Row],[RejectionDate]],"dddd")</f>
        <v>Saturday</v>
      </c>
    </row>
    <row r="807" spans="1:14">
      <c r="A807" t="s">
        <v>84</v>
      </c>
      <c r="B807" t="s">
        <v>3498</v>
      </c>
      <c r="C807" t="s">
        <v>12</v>
      </c>
      <c r="D807" t="s">
        <v>26</v>
      </c>
      <c r="E807" s="7">
        <v>45633</v>
      </c>
      <c r="F807" t="s">
        <v>222</v>
      </c>
      <c r="G807">
        <v>0</v>
      </c>
      <c r="H807" t="s">
        <v>27</v>
      </c>
      <c r="I807" t="s">
        <v>16</v>
      </c>
      <c r="J807" t="s">
        <v>16</v>
      </c>
      <c r="K807" s="16" t="str">
        <f>VLOOKUP(C807,CheckName!A:B,2,0)</f>
        <v>Emp</v>
      </c>
      <c r="L807">
        <v>0</v>
      </c>
      <c r="M807" s="16">
        <f t="shared" si="51"/>
        <v>7</v>
      </c>
      <c r="N807" t="str">
        <f>TEXT(MTDRejection[[#This Row],[RejectionDate]],"dddd")</f>
        <v>Saturday</v>
      </c>
    </row>
    <row r="808" spans="1:14">
      <c r="A808" t="s">
        <v>84</v>
      </c>
      <c r="B808" t="s">
        <v>3499</v>
      </c>
      <c r="C808" t="s">
        <v>12</v>
      </c>
      <c r="D808" t="s">
        <v>26</v>
      </c>
      <c r="E808" s="7">
        <v>45633</v>
      </c>
      <c r="F808" t="s">
        <v>222</v>
      </c>
      <c r="G808">
        <v>0</v>
      </c>
      <c r="H808" t="s">
        <v>27</v>
      </c>
      <c r="I808" t="s">
        <v>16</v>
      </c>
      <c r="J808" t="s">
        <v>16</v>
      </c>
      <c r="K808" s="16" t="str">
        <f>VLOOKUP(C808,CheckName!A:B,2,0)</f>
        <v>Emp</v>
      </c>
      <c r="L808">
        <v>0</v>
      </c>
      <c r="M808" s="16">
        <f t="shared" si="51"/>
        <v>7</v>
      </c>
      <c r="N808" t="str">
        <f>TEXT(MTDRejection[[#This Row],[RejectionDate]],"dddd")</f>
        <v>Saturday</v>
      </c>
    </row>
    <row r="809" spans="1:14">
      <c r="A809" t="s">
        <v>64</v>
      </c>
      <c r="B809" t="s">
        <v>3500</v>
      </c>
      <c r="C809" t="s">
        <v>19</v>
      </c>
      <c r="D809" t="s">
        <v>20</v>
      </c>
      <c r="E809" s="7">
        <v>45633</v>
      </c>
      <c r="F809" t="s">
        <v>2330</v>
      </c>
      <c r="G809">
        <v>0</v>
      </c>
      <c r="H809" t="s">
        <v>22</v>
      </c>
      <c r="I809" t="s">
        <v>16</v>
      </c>
      <c r="J809" t="s">
        <v>16</v>
      </c>
      <c r="K809" s="16" t="str">
        <f>VLOOKUP(C809,CheckName!A:B,2,0)</f>
        <v>Add</v>
      </c>
      <c r="L809">
        <v>0</v>
      </c>
      <c r="M809" s="16">
        <f t="shared" si="51"/>
        <v>7</v>
      </c>
      <c r="N809" t="str">
        <f>TEXT(MTDRejection[[#This Row],[RejectionDate]],"dddd")</f>
        <v>Saturday</v>
      </c>
    </row>
    <row r="810" spans="1:14">
      <c r="A810" t="s">
        <v>88</v>
      </c>
      <c r="B810" t="s">
        <v>3501</v>
      </c>
      <c r="C810" t="s">
        <v>25</v>
      </c>
      <c r="D810" t="s">
        <v>20</v>
      </c>
      <c r="E810" s="7">
        <v>45633</v>
      </c>
      <c r="F810" t="s">
        <v>2330</v>
      </c>
      <c r="G810">
        <v>0</v>
      </c>
      <c r="H810" t="s">
        <v>22</v>
      </c>
      <c r="I810" t="s">
        <v>16</v>
      </c>
      <c r="J810" t="s">
        <v>16</v>
      </c>
      <c r="K810" s="16" t="str">
        <f>VLOOKUP(C810,CheckName!A:B,2,0)</f>
        <v>Add</v>
      </c>
      <c r="L810">
        <v>0</v>
      </c>
      <c r="M810" s="16">
        <f t="shared" si="51"/>
        <v>7</v>
      </c>
      <c r="N810" t="str">
        <f>TEXT(MTDRejection[[#This Row],[RejectionDate]],"dddd")</f>
        <v>Saturday</v>
      </c>
    </row>
    <row r="811" spans="1:14">
      <c r="A811" t="s">
        <v>1552</v>
      </c>
      <c r="B811" t="s">
        <v>3502</v>
      </c>
      <c r="C811" t="s">
        <v>25</v>
      </c>
      <c r="D811" t="s">
        <v>26</v>
      </c>
      <c r="E811" s="7">
        <v>45633</v>
      </c>
      <c r="F811" t="s">
        <v>2330</v>
      </c>
      <c r="G811">
        <v>0</v>
      </c>
      <c r="H811" t="s">
        <v>27</v>
      </c>
      <c r="I811" t="s">
        <v>16</v>
      </c>
      <c r="J811" t="s">
        <v>16</v>
      </c>
      <c r="K811" s="16" t="str">
        <f>VLOOKUP(C811,CheckName!A:B,2,0)</f>
        <v>Add</v>
      </c>
      <c r="L811">
        <v>0</v>
      </c>
      <c r="M811" s="16">
        <f t="shared" si="51"/>
        <v>7</v>
      </c>
      <c r="N811" t="str">
        <f>TEXT(MTDRejection[[#This Row],[RejectionDate]],"dddd")</f>
        <v>Saturday</v>
      </c>
    </row>
    <row r="812" spans="1:14">
      <c r="A812" t="s">
        <v>84</v>
      </c>
      <c r="B812" t="s">
        <v>3503</v>
      </c>
      <c r="C812" t="s">
        <v>54</v>
      </c>
      <c r="D812" t="s">
        <v>26</v>
      </c>
      <c r="E812" s="7">
        <v>45633</v>
      </c>
      <c r="F812" t="s">
        <v>210</v>
      </c>
      <c r="G812">
        <v>0</v>
      </c>
      <c r="H812" t="s">
        <v>27</v>
      </c>
      <c r="I812" t="s">
        <v>16</v>
      </c>
      <c r="J812" t="s">
        <v>16</v>
      </c>
      <c r="K812" s="16" t="str">
        <f>VLOOKUP(C812,CheckName!A:B,2,0)</f>
        <v>Edu</v>
      </c>
      <c r="L812">
        <v>0</v>
      </c>
      <c r="M812" s="16">
        <f t="shared" ref="M812:M815" si="52">DAY(E812)</f>
        <v>7</v>
      </c>
      <c r="N812" t="str">
        <f>TEXT(MTDRejection[[#This Row],[RejectionDate]],"dddd")</f>
        <v>Saturday</v>
      </c>
    </row>
    <row r="813" spans="1:14">
      <c r="A813" t="s">
        <v>84</v>
      </c>
      <c r="B813" t="s">
        <v>3504</v>
      </c>
      <c r="C813" t="s">
        <v>54</v>
      </c>
      <c r="D813" t="s">
        <v>26</v>
      </c>
      <c r="E813" s="7">
        <v>45633</v>
      </c>
      <c r="F813" t="s">
        <v>63</v>
      </c>
      <c r="G813">
        <v>0</v>
      </c>
      <c r="H813" t="s">
        <v>27</v>
      </c>
      <c r="I813" t="s">
        <v>16</v>
      </c>
      <c r="J813" t="s">
        <v>16</v>
      </c>
      <c r="K813" s="16" t="str">
        <f>VLOOKUP(C813,CheckName!A:B,2,0)</f>
        <v>Edu</v>
      </c>
      <c r="L813">
        <v>0</v>
      </c>
      <c r="M813" s="16">
        <f t="shared" si="52"/>
        <v>7</v>
      </c>
      <c r="N813" t="str">
        <f>TEXT(MTDRejection[[#This Row],[RejectionDate]],"dddd")</f>
        <v>Saturday</v>
      </c>
    </row>
    <row r="814" spans="1:14">
      <c r="A814" t="s">
        <v>1789</v>
      </c>
      <c r="B814" t="s">
        <v>3505</v>
      </c>
      <c r="C814" t="s">
        <v>25</v>
      </c>
      <c r="D814" t="s">
        <v>20</v>
      </c>
      <c r="E814" s="7">
        <v>45633</v>
      </c>
      <c r="F814" t="s">
        <v>2330</v>
      </c>
      <c r="G814">
        <v>0</v>
      </c>
      <c r="H814" t="s">
        <v>22</v>
      </c>
      <c r="I814" t="s">
        <v>16</v>
      </c>
      <c r="J814" t="s">
        <v>16</v>
      </c>
      <c r="K814" s="16" t="str">
        <f>VLOOKUP(C814,CheckName!A:B,2,0)</f>
        <v>Add</v>
      </c>
      <c r="L814">
        <v>0</v>
      </c>
      <c r="M814" s="16">
        <f t="shared" si="52"/>
        <v>7</v>
      </c>
      <c r="N814" t="str">
        <f>TEXT(MTDRejection[[#This Row],[RejectionDate]],"dddd")</f>
        <v>Saturday</v>
      </c>
    </row>
    <row r="815" spans="1:14">
      <c r="A815" t="s">
        <v>131</v>
      </c>
      <c r="B815" t="s">
        <v>3506</v>
      </c>
      <c r="C815" t="s">
        <v>19</v>
      </c>
      <c r="D815" t="s">
        <v>20</v>
      </c>
      <c r="E815" s="7">
        <v>45633</v>
      </c>
      <c r="F815" t="s">
        <v>2330</v>
      </c>
      <c r="G815">
        <v>0</v>
      </c>
      <c r="H815" t="s">
        <v>22</v>
      </c>
      <c r="I815" t="s">
        <v>16</v>
      </c>
      <c r="J815" t="s">
        <v>16</v>
      </c>
      <c r="K815" s="16" t="str">
        <f>VLOOKUP(C815,CheckName!A:B,2,0)</f>
        <v>Add</v>
      </c>
      <c r="L815">
        <v>0</v>
      </c>
      <c r="M815" s="16">
        <f t="shared" si="52"/>
        <v>7</v>
      </c>
      <c r="N815" t="str">
        <f>TEXT(MTDRejection[[#This Row],[RejectionDate]],"dddd")</f>
        <v>Saturday</v>
      </c>
    </row>
    <row r="816" spans="1:14">
      <c r="A816" t="s">
        <v>170</v>
      </c>
      <c r="B816" t="s">
        <v>3507</v>
      </c>
      <c r="C816" t="s">
        <v>54</v>
      </c>
      <c r="D816" t="s">
        <v>26</v>
      </c>
      <c r="E816" s="7">
        <v>45633</v>
      </c>
      <c r="F816" t="s">
        <v>504</v>
      </c>
      <c r="G816">
        <v>0</v>
      </c>
      <c r="H816" t="s">
        <v>27</v>
      </c>
      <c r="I816" t="s">
        <v>16</v>
      </c>
      <c r="J816" t="s">
        <v>16</v>
      </c>
      <c r="K816" s="16" t="str">
        <f>VLOOKUP(C816,CheckName!A:B,2,0)</f>
        <v>Edu</v>
      </c>
      <c r="L816">
        <v>0</v>
      </c>
      <c r="M816" s="16">
        <f>DAY(E816)</f>
        <v>7</v>
      </c>
      <c r="N816" t="str">
        <f>TEXT(MTDRejection[[#This Row],[RejectionDate]],"dddd")</f>
        <v>Saturday</v>
      </c>
    </row>
    <row r="817" spans="1:14">
      <c r="A817" t="s">
        <v>45</v>
      </c>
      <c r="B817" t="s">
        <v>3508</v>
      </c>
      <c r="C817" t="s">
        <v>36</v>
      </c>
      <c r="D817" t="s">
        <v>26</v>
      </c>
      <c r="E817" s="7">
        <v>45633</v>
      </c>
      <c r="F817" t="s">
        <v>2354</v>
      </c>
      <c r="G817">
        <v>0</v>
      </c>
      <c r="H817" t="s">
        <v>27</v>
      </c>
      <c r="I817" t="s">
        <v>16</v>
      </c>
      <c r="J817" t="s">
        <v>16</v>
      </c>
      <c r="K817" s="16" t="str">
        <f>VLOOKUP(C817,CheckName!A:B,2,0)</f>
        <v>Emp</v>
      </c>
      <c r="L817">
        <v>0</v>
      </c>
      <c r="M817" s="16">
        <f>DAY(E817)</f>
        <v>7</v>
      </c>
      <c r="N817" t="str">
        <f>TEXT(MTDRejection[[#This Row],[RejectionDate]],"dddd")</f>
        <v>Saturday</v>
      </c>
    </row>
    <row r="818" spans="1:14">
      <c r="A818" t="s">
        <v>216</v>
      </c>
      <c r="B818" t="s">
        <v>3509</v>
      </c>
      <c r="C818" t="s">
        <v>1730</v>
      </c>
      <c r="D818" t="s">
        <v>51</v>
      </c>
      <c r="E818" s="7">
        <v>45633</v>
      </c>
      <c r="F818" t="s">
        <v>2349</v>
      </c>
      <c r="G818">
        <v>0</v>
      </c>
      <c r="H818" t="s">
        <v>53</v>
      </c>
      <c r="I818" t="s">
        <v>16</v>
      </c>
      <c r="J818" t="s">
        <v>16</v>
      </c>
      <c r="K818" s="16" t="str">
        <f>VLOOKUP(C818,CheckName!A:B,2,0)</f>
        <v>Special Check</v>
      </c>
      <c r="L818">
        <v>0</v>
      </c>
      <c r="M818" s="16">
        <f t="shared" ref="M818:M819" si="53">DAY(E818)</f>
        <v>7</v>
      </c>
      <c r="N818" t="str">
        <f>TEXT(MTDRejection[[#This Row],[RejectionDate]],"dddd")</f>
        <v>Saturday</v>
      </c>
    </row>
    <row r="819" spans="1:14">
      <c r="A819" t="s">
        <v>216</v>
      </c>
      <c r="B819" t="s">
        <v>3510</v>
      </c>
      <c r="C819" t="s">
        <v>25</v>
      </c>
      <c r="D819" t="s">
        <v>51</v>
      </c>
      <c r="E819" s="7">
        <v>45633</v>
      </c>
      <c r="F819" t="s">
        <v>2349</v>
      </c>
      <c r="G819">
        <v>0</v>
      </c>
      <c r="H819" t="s">
        <v>53</v>
      </c>
      <c r="I819" t="s">
        <v>16</v>
      </c>
      <c r="J819" t="s">
        <v>16</v>
      </c>
      <c r="K819" s="16" t="str">
        <f>VLOOKUP(C819,CheckName!A:B,2,0)</f>
        <v>Add</v>
      </c>
      <c r="L819">
        <v>0</v>
      </c>
      <c r="M819" s="16">
        <f t="shared" si="53"/>
        <v>7</v>
      </c>
      <c r="N819" t="str">
        <f>TEXT(MTDRejection[[#This Row],[RejectionDate]],"dddd")</f>
        <v>Saturday</v>
      </c>
    </row>
    <row r="820" spans="1:14">
      <c r="A820" t="s">
        <v>100</v>
      </c>
      <c r="B820" t="s">
        <v>3511</v>
      </c>
      <c r="C820" t="s">
        <v>775</v>
      </c>
      <c r="D820" t="s">
        <v>26</v>
      </c>
      <c r="E820" s="7">
        <v>45633</v>
      </c>
      <c r="F820" t="s">
        <v>380</v>
      </c>
      <c r="G820">
        <v>0</v>
      </c>
      <c r="H820" t="s">
        <v>27</v>
      </c>
      <c r="I820" t="s">
        <v>16</v>
      </c>
      <c r="J820" t="s">
        <v>16</v>
      </c>
      <c r="K820" s="16" t="str">
        <f>VLOOKUP(C820,CheckName!A:B,2,0)</f>
        <v>Emp</v>
      </c>
      <c r="L820">
        <v>0</v>
      </c>
      <c r="M820" s="16">
        <f t="shared" ref="M820:M822" si="54">DAY(E820)</f>
        <v>7</v>
      </c>
      <c r="N820" t="str">
        <f>TEXT(MTDRejection[[#This Row],[RejectionDate]],"dddd")</f>
        <v>Saturday</v>
      </c>
    </row>
    <row r="821" spans="1:14">
      <c r="A821" t="s">
        <v>100</v>
      </c>
      <c r="B821" t="s">
        <v>3512</v>
      </c>
      <c r="C821" t="s">
        <v>357</v>
      </c>
      <c r="D821" t="s">
        <v>26</v>
      </c>
      <c r="E821" s="7">
        <v>45633</v>
      </c>
      <c r="F821" t="s">
        <v>380</v>
      </c>
      <c r="G821">
        <v>0</v>
      </c>
      <c r="H821" t="s">
        <v>27</v>
      </c>
      <c r="I821" t="s">
        <v>16</v>
      </c>
      <c r="J821" t="s">
        <v>16</v>
      </c>
      <c r="K821" s="16" t="str">
        <f>VLOOKUP(C821,CheckName!A:B,2,0)</f>
        <v>Emp</v>
      </c>
      <c r="L821">
        <v>0</v>
      </c>
      <c r="M821" s="16">
        <f t="shared" si="54"/>
        <v>7</v>
      </c>
      <c r="N821" t="str">
        <f>TEXT(MTDRejection[[#This Row],[RejectionDate]],"dddd")</f>
        <v>Saturday</v>
      </c>
    </row>
    <row r="822" spans="1:14">
      <c r="A822" t="s">
        <v>28</v>
      </c>
      <c r="B822" t="s">
        <v>3513</v>
      </c>
      <c r="C822" t="s">
        <v>12</v>
      </c>
      <c r="D822" t="s">
        <v>26</v>
      </c>
      <c r="E822" s="7">
        <v>45633</v>
      </c>
      <c r="F822" t="s">
        <v>2347</v>
      </c>
      <c r="G822">
        <v>0</v>
      </c>
      <c r="H822" t="s">
        <v>27</v>
      </c>
      <c r="I822" t="s">
        <v>16</v>
      </c>
      <c r="J822" t="s">
        <v>16</v>
      </c>
      <c r="K822" s="16" t="str">
        <f>VLOOKUP(C822,CheckName!A:B,2,0)</f>
        <v>Emp</v>
      </c>
      <c r="L822">
        <v>0</v>
      </c>
      <c r="M822" s="16">
        <f t="shared" si="54"/>
        <v>7</v>
      </c>
      <c r="N822" t="str">
        <f>TEXT(MTDRejection[[#This Row],[RejectionDate]],"dddd")</f>
        <v>Saturday</v>
      </c>
    </row>
    <row r="823" spans="1:14">
      <c r="A823" t="s">
        <v>45</v>
      </c>
      <c r="B823" t="s">
        <v>3514</v>
      </c>
      <c r="C823" t="s">
        <v>125</v>
      </c>
      <c r="D823" t="s">
        <v>26</v>
      </c>
      <c r="E823" s="7">
        <v>45633</v>
      </c>
      <c r="F823" t="s">
        <v>179</v>
      </c>
      <c r="G823">
        <v>0</v>
      </c>
      <c r="H823" t="s">
        <v>27</v>
      </c>
      <c r="I823" t="s">
        <v>16</v>
      </c>
      <c r="J823" t="s">
        <v>16</v>
      </c>
      <c r="K823" s="16" t="str">
        <f>VLOOKUP(C823,CheckName!A:B,2,0)</f>
        <v>Emp</v>
      </c>
      <c r="L823">
        <v>0</v>
      </c>
      <c r="M823" s="16">
        <f>DAY(E823)</f>
        <v>7</v>
      </c>
      <c r="N823" t="str">
        <f>TEXT(MTDRejection[[#This Row],[RejectionDate]],"dddd")</f>
        <v>Saturday</v>
      </c>
    </row>
    <row r="824" spans="1:14">
      <c r="A824" t="s">
        <v>1790</v>
      </c>
      <c r="B824" t="s">
        <v>3515</v>
      </c>
      <c r="C824" t="s">
        <v>12</v>
      </c>
      <c r="D824" t="s">
        <v>26</v>
      </c>
      <c r="E824" s="7">
        <v>45633</v>
      </c>
      <c r="F824" t="s">
        <v>277</v>
      </c>
      <c r="G824">
        <v>0</v>
      </c>
      <c r="H824" t="s">
        <v>130</v>
      </c>
      <c r="I824" t="s">
        <v>16</v>
      </c>
      <c r="J824" t="s">
        <v>16</v>
      </c>
      <c r="K824" s="16" t="str">
        <f>VLOOKUP(C824,CheckName!A:B,2,0)</f>
        <v>Emp</v>
      </c>
      <c r="L824">
        <v>0</v>
      </c>
      <c r="M824" s="16">
        <f t="shared" ref="M824:M825" si="55">DAY(E824)</f>
        <v>7</v>
      </c>
      <c r="N824" t="str">
        <f>TEXT(MTDRejection[[#This Row],[RejectionDate]],"dddd")</f>
        <v>Saturday</v>
      </c>
    </row>
    <row r="825" spans="1:14">
      <c r="A825" t="s">
        <v>81</v>
      </c>
      <c r="B825" t="s">
        <v>3516</v>
      </c>
      <c r="C825" t="s">
        <v>36</v>
      </c>
      <c r="D825" t="s">
        <v>26</v>
      </c>
      <c r="E825" s="7">
        <v>45633</v>
      </c>
      <c r="F825" t="s">
        <v>277</v>
      </c>
      <c r="G825">
        <v>0</v>
      </c>
      <c r="H825" t="s">
        <v>22</v>
      </c>
      <c r="I825" t="s">
        <v>16</v>
      </c>
      <c r="J825" t="s">
        <v>16</v>
      </c>
      <c r="K825" s="16" t="str">
        <f>VLOOKUP(C825,CheckName!A:B,2,0)</f>
        <v>Emp</v>
      </c>
      <c r="L825">
        <v>0</v>
      </c>
      <c r="M825" s="16">
        <f t="shared" si="55"/>
        <v>7</v>
      </c>
      <c r="N825" t="str">
        <f>TEXT(MTDRejection[[#This Row],[RejectionDate]],"dddd")</f>
        <v>Saturday</v>
      </c>
    </row>
    <row r="826" spans="1:14">
      <c r="A826" t="s">
        <v>1204</v>
      </c>
      <c r="B826" t="s">
        <v>2450</v>
      </c>
      <c r="C826" t="s">
        <v>12</v>
      </c>
      <c r="D826" t="s">
        <v>26</v>
      </c>
      <c r="E826" s="7">
        <v>45633</v>
      </c>
      <c r="F826" t="s">
        <v>179</v>
      </c>
      <c r="G826">
        <v>0</v>
      </c>
      <c r="H826" t="s">
        <v>27</v>
      </c>
      <c r="I826" t="s">
        <v>16</v>
      </c>
      <c r="J826" t="s">
        <v>16</v>
      </c>
      <c r="K826" s="16" t="str">
        <f>VLOOKUP(C826,CheckName!A:B,2,0)</f>
        <v>Emp</v>
      </c>
      <c r="L826">
        <v>0</v>
      </c>
      <c r="M826" s="16">
        <f>DAY(E826)</f>
        <v>7</v>
      </c>
      <c r="N826" t="str">
        <f>TEXT(MTDRejection[[#This Row],[RejectionDate]],"dddd")</f>
        <v>Saturday</v>
      </c>
    </row>
    <row r="827" spans="1:14">
      <c r="A827" t="s">
        <v>47</v>
      </c>
      <c r="B827" t="s">
        <v>1768</v>
      </c>
      <c r="C827" t="s">
        <v>54</v>
      </c>
      <c r="D827" t="s">
        <v>13</v>
      </c>
      <c r="E827" s="7">
        <v>45633</v>
      </c>
      <c r="F827" t="s">
        <v>530</v>
      </c>
      <c r="G827">
        <v>0</v>
      </c>
      <c r="H827" t="s">
        <v>15</v>
      </c>
      <c r="I827" t="s">
        <v>16</v>
      </c>
      <c r="J827" t="s">
        <v>16</v>
      </c>
      <c r="K827" s="16" t="str">
        <f>VLOOKUP(C827,CheckName!A:B,2,0)</f>
        <v>Edu</v>
      </c>
      <c r="L827">
        <v>0</v>
      </c>
      <c r="M827" s="16">
        <f t="shared" ref="M827:M830" si="56">DAY(E827)</f>
        <v>7</v>
      </c>
      <c r="N827" t="str">
        <f>TEXT(MTDRejection[[#This Row],[RejectionDate]],"dddd")</f>
        <v>Saturday</v>
      </c>
    </row>
    <row r="828" spans="1:14">
      <c r="A828" t="s">
        <v>1789</v>
      </c>
      <c r="B828" t="s">
        <v>3517</v>
      </c>
      <c r="C828" t="s">
        <v>54</v>
      </c>
      <c r="D828" t="s">
        <v>13</v>
      </c>
      <c r="E828" s="7">
        <v>45633</v>
      </c>
      <c r="F828" t="s">
        <v>530</v>
      </c>
      <c r="G828">
        <v>0</v>
      </c>
      <c r="H828" t="s">
        <v>15</v>
      </c>
      <c r="I828" t="s">
        <v>16</v>
      </c>
      <c r="J828" t="s">
        <v>16</v>
      </c>
      <c r="K828" s="16" t="str">
        <f>VLOOKUP(C828,CheckName!A:B,2,0)</f>
        <v>Edu</v>
      </c>
      <c r="L828">
        <v>0</v>
      </c>
      <c r="M828" s="16">
        <f t="shared" si="56"/>
        <v>7</v>
      </c>
      <c r="N828" t="str">
        <f>TEXT(MTDRejection[[#This Row],[RejectionDate]],"dddd")</f>
        <v>Saturday</v>
      </c>
    </row>
    <row r="829" spans="1:14">
      <c r="A829" t="s">
        <v>176</v>
      </c>
      <c r="B829" t="s">
        <v>3518</v>
      </c>
      <c r="C829" t="s">
        <v>12</v>
      </c>
      <c r="D829" t="s">
        <v>26</v>
      </c>
      <c r="E829" s="7">
        <v>45633</v>
      </c>
      <c r="F829" t="s">
        <v>311</v>
      </c>
      <c r="G829">
        <v>0</v>
      </c>
      <c r="H829" t="s">
        <v>22</v>
      </c>
      <c r="I829" t="s">
        <v>16</v>
      </c>
      <c r="J829" t="s">
        <v>16</v>
      </c>
      <c r="K829" s="16" t="str">
        <f>VLOOKUP(C829,CheckName!A:B,2,0)</f>
        <v>Emp</v>
      </c>
      <c r="L829">
        <v>0</v>
      </c>
      <c r="M829" s="16">
        <f t="shared" si="56"/>
        <v>7</v>
      </c>
      <c r="N829" t="str">
        <f>TEXT(MTDRejection[[#This Row],[RejectionDate]],"dddd")</f>
        <v>Saturday</v>
      </c>
    </row>
    <row r="830" spans="1:14">
      <c r="A830" t="s">
        <v>996</v>
      </c>
      <c r="B830" t="s">
        <v>3519</v>
      </c>
      <c r="C830" t="s">
        <v>125</v>
      </c>
      <c r="D830" t="s">
        <v>26</v>
      </c>
      <c r="E830" s="7">
        <v>45633</v>
      </c>
      <c r="F830" t="s">
        <v>1139</v>
      </c>
      <c r="G830">
        <v>0</v>
      </c>
      <c r="H830" t="s">
        <v>27</v>
      </c>
      <c r="I830" t="s">
        <v>16</v>
      </c>
      <c r="J830" t="s">
        <v>16</v>
      </c>
      <c r="K830" s="16" t="str">
        <f>VLOOKUP(C830,CheckName!A:B,2,0)</f>
        <v>Emp</v>
      </c>
      <c r="L830">
        <v>0</v>
      </c>
      <c r="M830" s="16">
        <f t="shared" si="56"/>
        <v>7</v>
      </c>
      <c r="N830" t="str">
        <f>TEXT(MTDRejection[[#This Row],[RejectionDate]],"dddd")</f>
        <v>Saturday</v>
      </c>
    </row>
    <row r="831" spans="1:14">
      <c r="A831" t="s">
        <v>1770</v>
      </c>
      <c r="B831" t="s">
        <v>3520</v>
      </c>
      <c r="C831" t="s">
        <v>36</v>
      </c>
      <c r="D831" t="s">
        <v>26</v>
      </c>
      <c r="E831" s="7">
        <v>45633</v>
      </c>
      <c r="F831" t="s">
        <v>1139</v>
      </c>
      <c r="G831">
        <v>0</v>
      </c>
      <c r="H831" t="s">
        <v>22</v>
      </c>
      <c r="I831" t="s">
        <v>16</v>
      </c>
      <c r="J831" t="s">
        <v>16</v>
      </c>
      <c r="K831" s="16" t="str">
        <f>VLOOKUP(C831,CheckName!A:B,2,0)</f>
        <v>Emp</v>
      </c>
      <c r="L831">
        <v>0</v>
      </c>
      <c r="M831" s="16">
        <f t="shared" ref="M831:M850" si="57">DAY(E831)</f>
        <v>7</v>
      </c>
      <c r="N831" t="str">
        <f>TEXT(MTDRejection[[#This Row],[RejectionDate]],"dddd")</f>
        <v>Saturday</v>
      </c>
    </row>
    <row r="832" spans="1:14">
      <c r="A832" t="s">
        <v>160</v>
      </c>
      <c r="B832" t="s">
        <v>3521</v>
      </c>
      <c r="C832" t="s">
        <v>106</v>
      </c>
      <c r="D832" t="s">
        <v>26</v>
      </c>
      <c r="E832" s="7">
        <v>45633</v>
      </c>
      <c r="F832" t="s">
        <v>330</v>
      </c>
      <c r="G832">
        <v>0</v>
      </c>
      <c r="H832" t="s">
        <v>30</v>
      </c>
      <c r="I832" t="s">
        <v>16</v>
      </c>
      <c r="J832" t="s">
        <v>16</v>
      </c>
      <c r="K832" s="16" t="str">
        <f>VLOOKUP(C832,CheckName!A:B,2,0)</f>
        <v>Ref</v>
      </c>
      <c r="L832">
        <v>0</v>
      </c>
      <c r="M832" s="16">
        <f t="shared" si="57"/>
        <v>7</v>
      </c>
      <c r="N832" t="str">
        <f>TEXT(MTDRejection[[#This Row],[RejectionDate]],"dddd")</f>
        <v>Saturday</v>
      </c>
    </row>
    <row r="833" spans="1:14">
      <c r="A833" t="s">
        <v>1393</v>
      </c>
      <c r="B833" t="s">
        <v>3522</v>
      </c>
      <c r="C833" t="s">
        <v>1676</v>
      </c>
      <c r="D833" t="s">
        <v>26</v>
      </c>
      <c r="E833" s="7">
        <v>45633</v>
      </c>
      <c r="F833" t="s">
        <v>330</v>
      </c>
      <c r="G833">
        <v>0</v>
      </c>
      <c r="H833" t="s">
        <v>22</v>
      </c>
      <c r="I833" t="s">
        <v>16</v>
      </c>
      <c r="J833" t="s">
        <v>16</v>
      </c>
      <c r="K833" s="16" t="str">
        <f>VLOOKUP(C833,CheckName!A:B,2,0)</f>
        <v>Emp</v>
      </c>
      <c r="L833">
        <v>0</v>
      </c>
      <c r="M833" s="16">
        <f t="shared" si="57"/>
        <v>7</v>
      </c>
      <c r="N833" t="str">
        <f>TEXT(MTDRejection[[#This Row],[RejectionDate]],"dddd")</f>
        <v>Saturday</v>
      </c>
    </row>
    <row r="834" spans="1:14">
      <c r="A834" t="s">
        <v>1393</v>
      </c>
      <c r="B834" t="s">
        <v>3523</v>
      </c>
      <c r="C834" t="s">
        <v>1676</v>
      </c>
      <c r="D834" t="s">
        <v>26</v>
      </c>
      <c r="E834" s="7">
        <v>45633</v>
      </c>
      <c r="F834" t="s">
        <v>330</v>
      </c>
      <c r="G834">
        <v>0</v>
      </c>
      <c r="H834" t="s">
        <v>22</v>
      </c>
      <c r="I834" t="s">
        <v>16</v>
      </c>
      <c r="J834" t="s">
        <v>16</v>
      </c>
      <c r="K834" s="16" t="str">
        <f>VLOOKUP(C834,CheckName!A:B,2,0)</f>
        <v>Emp</v>
      </c>
      <c r="L834">
        <v>0</v>
      </c>
      <c r="M834" s="16">
        <f t="shared" si="57"/>
        <v>7</v>
      </c>
      <c r="N834" t="str">
        <f>TEXT(MTDRejection[[#This Row],[RejectionDate]],"dddd")</f>
        <v>Saturday</v>
      </c>
    </row>
    <row r="835" spans="1:14">
      <c r="A835" t="s">
        <v>1792</v>
      </c>
      <c r="B835" t="s">
        <v>3524</v>
      </c>
      <c r="C835" t="s">
        <v>106</v>
      </c>
      <c r="D835" t="s">
        <v>26</v>
      </c>
      <c r="E835" s="7">
        <v>45633</v>
      </c>
      <c r="F835" t="s">
        <v>330</v>
      </c>
      <c r="G835">
        <v>0</v>
      </c>
      <c r="H835" t="s">
        <v>22</v>
      </c>
      <c r="I835" t="s">
        <v>16</v>
      </c>
      <c r="J835" t="s">
        <v>16</v>
      </c>
      <c r="K835" s="16" t="str">
        <f>VLOOKUP(C835,CheckName!A:B,2,0)</f>
        <v>Ref</v>
      </c>
      <c r="L835">
        <v>0</v>
      </c>
      <c r="M835" s="16">
        <f t="shared" si="57"/>
        <v>7</v>
      </c>
      <c r="N835" t="str">
        <f>TEXT(MTDRejection[[#This Row],[RejectionDate]],"dddd")</f>
        <v>Saturday</v>
      </c>
    </row>
    <row r="836" spans="1:14">
      <c r="A836" t="s">
        <v>1792</v>
      </c>
      <c r="B836" t="s">
        <v>3525</v>
      </c>
      <c r="C836" t="s">
        <v>220</v>
      </c>
      <c r="D836" t="s">
        <v>26</v>
      </c>
      <c r="E836" s="7">
        <v>45633</v>
      </c>
      <c r="F836" t="s">
        <v>330</v>
      </c>
      <c r="G836">
        <v>0</v>
      </c>
      <c r="H836" t="s">
        <v>22</v>
      </c>
      <c r="I836" t="s">
        <v>16</v>
      </c>
      <c r="J836" t="s">
        <v>16</v>
      </c>
      <c r="K836" s="16" t="str">
        <f>VLOOKUP(C836,CheckName!A:B,2,0)</f>
        <v>Ref</v>
      </c>
      <c r="L836">
        <v>0</v>
      </c>
      <c r="M836" s="16">
        <f t="shared" si="57"/>
        <v>7</v>
      </c>
      <c r="N836" t="str">
        <f>TEXT(MTDRejection[[#This Row],[RejectionDate]],"dddd")</f>
        <v>Saturday</v>
      </c>
    </row>
    <row r="837" spans="1:14">
      <c r="A837" t="s">
        <v>60</v>
      </c>
      <c r="B837" t="s">
        <v>2451</v>
      </c>
      <c r="C837" t="s">
        <v>220</v>
      </c>
      <c r="D837" t="s">
        <v>26</v>
      </c>
      <c r="E837" s="7">
        <v>45633</v>
      </c>
      <c r="F837" t="s">
        <v>330</v>
      </c>
      <c r="G837">
        <v>0</v>
      </c>
      <c r="H837" t="s">
        <v>22</v>
      </c>
      <c r="I837" t="s">
        <v>16</v>
      </c>
      <c r="J837" t="s">
        <v>16</v>
      </c>
      <c r="K837" s="16" t="str">
        <f>VLOOKUP(C837,CheckName!A:B,2,0)</f>
        <v>Ref</v>
      </c>
      <c r="L837">
        <v>0</v>
      </c>
      <c r="M837" s="16">
        <f t="shared" si="57"/>
        <v>7</v>
      </c>
      <c r="N837" t="str">
        <f>TEXT(MTDRejection[[#This Row],[RejectionDate]],"dddd")</f>
        <v>Saturday</v>
      </c>
    </row>
    <row r="838" spans="1:14">
      <c r="A838" t="s">
        <v>1793</v>
      </c>
      <c r="B838" t="s">
        <v>3526</v>
      </c>
      <c r="C838" t="s">
        <v>125</v>
      </c>
      <c r="D838" t="s">
        <v>13</v>
      </c>
      <c r="E838" s="7">
        <v>45633</v>
      </c>
      <c r="F838" t="s">
        <v>2332</v>
      </c>
      <c r="G838">
        <v>0</v>
      </c>
      <c r="H838" t="s">
        <v>15</v>
      </c>
      <c r="I838" t="s">
        <v>16</v>
      </c>
      <c r="J838" t="s">
        <v>16</v>
      </c>
      <c r="K838" s="16" t="str">
        <f>VLOOKUP(C838,CheckName!A:B,2,0)</f>
        <v>Emp</v>
      </c>
      <c r="L838">
        <v>0</v>
      </c>
      <c r="M838" s="16">
        <f t="shared" si="57"/>
        <v>7</v>
      </c>
      <c r="N838" t="str">
        <f>TEXT(MTDRejection[[#This Row],[RejectionDate]],"dddd")</f>
        <v>Saturday</v>
      </c>
    </row>
    <row r="839" spans="1:14">
      <c r="A839" t="s">
        <v>73</v>
      </c>
      <c r="B839" t="s">
        <v>2452</v>
      </c>
      <c r="C839" t="s">
        <v>71</v>
      </c>
      <c r="D839" t="s">
        <v>13</v>
      </c>
      <c r="E839" s="7">
        <v>45633</v>
      </c>
      <c r="F839" t="s">
        <v>2332</v>
      </c>
      <c r="G839">
        <v>0</v>
      </c>
      <c r="H839" t="s">
        <v>15</v>
      </c>
      <c r="I839" t="s">
        <v>16</v>
      </c>
      <c r="J839" t="s">
        <v>16</v>
      </c>
      <c r="K839" s="16" t="str">
        <f>VLOOKUP(C839,CheckName!A:B,2,0)</f>
        <v>CRC</v>
      </c>
      <c r="L839">
        <v>0</v>
      </c>
      <c r="M839" s="16">
        <f t="shared" si="57"/>
        <v>7</v>
      </c>
      <c r="N839" t="str">
        <f>TEXT(MTDRejection[[#This Row],[RejectionDate]],"dddd")</f>
        <v>Saturday</v>
      </c>
    </row>
    <row r="840" spans="1:14">
      <c r="A840" t="s">
        <v>685</v>
      </c>
      <c r="B840" t="s">
        <v>3527</v>
      </c>
      <c r="C840" t="s">
        <v>12</v>
      </c>
      <c r="D840" t="s">
        <v>13</v>
      </c>
      <c r="E840" s="7">
        <v>45633</v>
      </c>
      <c r="F840" t="s">
        <v>2332</v>
      </c>
      <c r="G840">
        <v>0</v>
      </c>
      <c r="H840" t="s">
        <v>15</v>
      </c>
      <c r="I840" t="s">
        <v>16</v>
      </c>
      <c r="J840" t="s">
        <v>16</v>
      </c>
      <c r="K840" s="16" t="str">
        <f>VLOOKUP(C840,CheckName!A:B,2,0)</f>
        <v>Emp</v>
      </c>
      <c r="L840">
        <v>0</v>
      </c>
      <c r="M840" s="16">
        <f t="shared" si="57"/>
        <v>7</v>
      </c>
      <c r="N840" t="str">
        <f>TEXT(MTDRejection[[#This Row],[RejectionDate]],"dddd")</f>
        <v>Saturday</v>
      </c>
    </row>
    <row r="841" spans="1:14">
      <c r="A841" t="s">
        <v>685</v>
      </c>
      <c r="B841" t="s">
        <v>3528</v>
      </c>
      <c r="C841" t="s">
        <v>12</v>
      </c>
      <c r="D841" t="s">
        <v>13</v>
      </c>
      <c r="E841" s="7">
        <v>45633</v>
      </c>
      <c r="F841" t="s">
        <v>2332</v>
      </c>
      <c r="G841">
        <v>0</v>
      </c>
      <c r="H841" t="s">
        <v>15</v>
      </c>
      <c r="I841" t="s">
        <v>16</v>
      </c>
      <c r="J841" t="s">
        <v>16</v>
      </c>
      <c r="K841" s="16" t="str">
        <f>VLOOKUP(C841,CheckName!A:B,2,0)</f>
        <v>Emp</v>
      </c>
      <c r="L841">
        <v>0</v>
      </c>
      <c r="M841" s="16">
        <f t="shared" si="57"/>
        <v>7</v>
      </c>
      <c r="N841" t="str">
        <f>TEXT(MTDRejection[[#This Row],[RejectionDate]],"dddd")</f>
        <v>Saturday</v>
      </c>
    </row>
    <row r="842" spans="1:14">
      <c r="A842" t="s">
        <v>306</v>
      </c>
      <c r="B842" t="s">
        <v>3529</v>
      </c>
      <c r="C842" t="s">
        <v>1103</v>
      </c>
      <c r="D842" t="s">
        <v>13</v>
      </c>
      <c r="E842" s="7">
        <v>45633</v>
      </c>
      <c r="F842" t="s">
        <v>819</v>
      </c>
      <c r="G842">
        <v>0</v>
      </c>
      <c r="H842" t="s">
        <v>15</v>
      </c>
      <c r="I842" t="s">
        <v>16</v>
      </c>
      <c r="J842" t="s">
        <v>16</v>
      </c>
      <c r="K842" s="16" t="str">
        <f>VLOOKUP(C842,CheckName!A:B,2,0)</f>
        <v>CRC</v>
      </c>
      <c r="L842">
        <v>0</v>
      </c>
      <c r="M842" s="16">
        <f t="shared" si="57"/>
        <v>7</v>
      </c>
      <c r="N842" t="str">
        <f>TEXT(MTDRejection[[#This Row],[RejectionDate]],"dddd")</f>
        <v>Saturday</v>
      </c>
    </row>
    <row r="843" spans="1:14">
      <c r="A843" t="s">
        <v>1794</v>
      </c>
      <c r="B843" t="s">
        <v>3530</v>
      </c>
      <c r="C843" t="s">
        <v>220</v>
      </c>
      <c r="D843" t="s">
        <v>26</v>
      </c>
      <c r="E843" s="7">
        <v>45633</v>
      </c>
      <c r="F843" t="s">
        <v>294</v>
      </c>
      <c r="G843">
        <v>0</v>
      </c>
      <c r="H843" t="s">
        <v>27</v>
      </c>
      <c r="I843" t="s">
        <v>16</v>
      </c>
      <c r="J843" t="s">
        <v>16</v>
      </c>
      <c r="K843" s="16" t="str">
        <f>VLOOKUP(C843,CheckName!A:B,2,0)</f>
        <v>Ref</v>
      </c>
      <c r="L843">
        <v>0</v>
      </c>
      <c r="M843" s="16">
        <f t="shared" si="57"/>
        <v>7</v>
      </c>
      <c r="N843" t="str">
        <f>TEXT(MTDRejection[[#This Row],[RejectionDate]],"dddd")</f>
        <v>Saturday</v>
      </c>
    </row>
    <row r="844" spans="1:14">
      <c r="A844" t="s">
        <v>1794</v>
      </c>
      <c r="B844" t="s">
        <v>3531</v>
      </c>
      <c r="C844" t="s">
        <v>1710</v>
      </c>
      <c r="D844" t="s">
        <v>26</v>
      </c>
      <c r="E844" s="7">
        <v>45633</v>
      </c>
      <c r="F844" t="s">
        <v>294</v>
      </c>
      <c r="G844">
        <v>0</v>
      </c>
      <c r="H844" t="s">
        <v>27</v>
      </c>
      <c r="I844" t="s">
        <v>16</v>
      </c>
      <c r="J844" t="s">
        <v>16</v>
      </c>
      <c r="K844" s="16" t="str">
        <f>VLOOKUP(C844,CheckName!A:B,2,0)</f>
        <v>Ref</v>
      </c>
      <c r="L844">
        <v>0</v>
      </c>
      <c r="M844" s="16">
        <f t="shared" si="57"/>
        <v>7</v>
      </c>
      <c r="N844" t="str">
        <f>TEXT(MTDRejection[[#This Row],[RejectionDate]],"dddd")</f>
        <v>Saturday</v>
      </c>
    </row>
    <row r="845" spans="1:14">
      <c r="A845" t="s">
        <v>239</v>
      </c>
      <c r="B845" t="s">
        <v>3532</v>
      </c>
      <c r="C845" t="s">
        <v>106</v>
      </c>
      <c r="D845" t="s">
        <v>26</v>
      </c>
      <c r="E845" s="7">
        <v>45633</v>
      </c>
      <c r="F845" t="s">
        <v>294</v>
      </c>
      <c r="G845">
        <v>0</v>
      </c>
      <c r="H845" t="s">
        <v>22</v>
      </c>
      <c r="I845" t="s">
        <v>16</v>
      </c>
      <c r="J845" t="s">
        <v>16</v>
      </c>
      <c r="K845" s="16" t="str">
        <f>VLOOKUP(C845,CheckName!A:B,2,0)</f>
        <v>Ref</v>
      </c>
      <c r="L845">
        <v>0</v>
      </c>
      <c r="M845" s="16">
        <f t="shared" si="57"/>
        <v>7</v>
      </c>
      <c r="N845" t="str">
        <f>TEXT(MTDRejection[[#This Row],[RejectionDate]],"dddd")</f>
        <v>Saturday</v>
      </c>
    </row>
    <row r="846" spans="1:14">
      <c r="A846" t="s">
        <v>239</v>
      </c>
      <c r="B846" t="s">
        <v>3533</v>
      </c>
      <c r="C846" t="s">
        <v>106</v>
      </c>
      <c r="D846" t="s">
        <v>26</v>
      </c>
      <c r="E846" s="7">
        <v>45633</v>
      </c>
      <c r="F846" t="s">
        <v>294</v>
      </c>
      <c r="G846">
        <v>0</v>
      </c>
      <c r="H846" t="s">
        <v>95</v>
      </c>
      <c r="I846" t="s">
        <v>16</v>
      </c>
      <c r="J846" t="s">
        <v>16</v>
      </c>
      <c r="K846" s="16" t="str">
        <f>VLOOKUP(C846,CheckName!A:B,2,0)</f>
        <v>Ref</v>
      </c>
      <c r="L846">
        <v>0</v>
      </c>
      <c r="M846" s="16">
        <f t="shared" si="57"/>
        <v>7</v>
      </c>
      <c r="N846" t="str">
        <f>TEXT(MTDRejection[[#This Row],[RejectionDate]],"dddd")</f>
        <v>Saturday</v>
      </c>
    </row>
    <row r="847" spans="1:14">
      <c r="A847" t="s">
        <v>239</v>
      </c>
      <c r="B847" t="s">
        <v>3534</v>
      </c>
      <c r="C847" t="s">
        <v>106</v>
      </c>
      <c r="D847" t="s">
        <v>26</v>
      </c>
      <c r="E847" s="7">
        <v>45633</v>
      </c>
      <c r="F847" t="s">
        <v>294</v>
      </c>
      <c r="G847">
        <v>0</v>
      </c>
      <c r="H847" t="s">
        <v>290</v>
      </c>
      <c r="I847" t="s">
        <v>16</v>
      </c>
      <c r="J847" t="s">
        <v>16</v>
      </c>
      <c r="K847" s="16" t="str">
        <f>VLOOKUP(C847,CheckName!A:B,2,0)</f>
        <v>Ref</v>
      </c>
      <c r="L847">
        <v>0</v>
      </c>
      <c r="M847" s="16">
        <f t="shared" si="57"/>
        <v>7</v>
      </c>
      <c r="N847" t="str">
        <f>TEXT(MTDRejection[[#This Row],[RejectionDate]],"dddd")</f>
        <v>Saturday</v>
      </c>
    </row>
    <row r="848" spans="1:14">
      <c r="A848" t="s">
        <v>517</v>
      </c>
      <c r="B848" t="s">
        <v>3535</v>
      </c>
      <c r="C848" t="s">
        <v>106</v>
      </c>
      <c r="D848" t="s">
        <v>26</v>
      </c>
      <c r="E848" s="7">
        <v>45633</v>
      </c>
      <c r="F848" t="s">
        <v>294</v>
      </c>
      <c r="G848">
        <v>0</v>
      </c>
      <c r="H848" t="s">
        <v>27</v>
      </c>
      <c r="I848" t="s">
        <v>16</v>
      </c>
      <c r="J848" t="s">
        <v>16</v>
      </c>
      <c r="K848" s="16" t="str">
        <f>VLOOKUP(C848,CheckName!A:B,2,0)</f>
        <v>Ref</v>
      </c>
      <c r="L848">
        <v>0</v>
      </c>
      <c r="M848" s="16">
        <f t="shared" si="57"/>
        <v>7</v>
      </c>
      <c r="N848" t="str">
        <f>TEXT(MTDRejection[[#This Row],[RejectionDate]],"dddd")</f>
        <v>Saturday</v>
      </c>
    </row>
    <row r="849" spans="1:14">
      <c r="A849" t="s">
        <v>419</v>
      </c>
      <c r="B849" t="s">
        <v>2453</v>
      </c>
      <c r="C849" t="s">
        <v>106</v>
      </c>
      <c r="D849" t="s">
        <v>26</v>
      </c>
      <c r="E849" s="7">
        <v>45633</v>
      </c>
      <c r="F849" t="s">
        <v>294</v>
      </c>
      <c r="G849">
        <v>0</v>
      </c>
      <c r="H849" t="s">
        <v>27</v>
      </c>
      <c r="I849" t="s">
        <v>16</v>
      </c>
      <c r="J849" t="s">
        <v>16</v>
      </c>
      <c r="K849" s="16" t="str">
        <f>VLOOKUP(C849,CheckName!A:B,2,0)</f>
        <v>Ref</v>
      </c>
      <c r="L849">
        <v>0</v>
      </c>
      <c r="M849" s="16">
        <f t="shared" si="57"/>
        <v>7</v>
      </c>
      <c r="N849" t="str">
        <f>TEXT(MTDRejection[[#This Row],[RejectionDate]],"dddd")</f>
        <v>Saturday</v>
      </c>
    </row>
    <row r="850" spans="1:14">
      <c r="A850" t="s">
        <v>203</v>
      </c>
      <c r="B850" t="s">
        <v>2454</v>
      </c>
      <c r="C850" t="s">
        <v>125</v>
      </c>
      <c r="D850" t="s">
        <v>13</v>
      </c>
      <c r="E850" s="7">
        <v>45633</v>
      </c>
      <c r="F850" t="s">
        <v>540</v>
      </c>
      <c r="G850">
        <v>0</v>
      </c>
      <c r="H850" t="s">
        <v>15</v>
      </c>
      <c r="I850" t="s">
        <v>16</v>
      </c>
      <c r="J850" t="s">
        <v>16</v>
      </c>
      <c r="K850" s="16" t="str">
        <f>VLOOKUP(C850,CheckName!A:B,2,0)</f>
        <v>Emp</v>
      </c>
      <c r="L850">
        <v>0</v>
      </c>
      <c r="M850" s="16">
        <f t="shared" si="57"/>
        <v>7</v>
      </c>
      <c r="N850" t="str">
        <f>TEXT(MTDRejection[[#This Row],[RejectionDate]],"dddd")</f>
        <v>Saturday</v>
      </c>
    </row>
    <row r="851" spans="1:14">
      <c r="A851" t="s">
        <v>40</v>
      </c>
      <c r="B851" t="s">
        <v>3536</v>
      </c>
      <c r="C851" t="s">
        <v>12</v>
      </c>
      <c r="D851" t="s">
        <v>26</v>
      </c>
      <c r="E851" s="7">
        <v>45633</v>
      </c>
      <c r="F851" t="s">
        <v>115</v>
      </c>
      <c r="G851">
        <v>0</v>
      </c>
      <c r="H851" t="s">
        <v>27</v>
      </c>
      <c r="I851" t="s">
        <v>16</v>
      </c>
      <c r="J851" t="s">
        <v>16</v>
      </c>
      <c r="K851" s="16" t="str">
        <f>VLOOKUP(C851,CheckName!A:B,2,0)</f>
        <v>Emp</v>
      </c>
      <c r="L851">
        <v>0</v>
      </c>
      <c r="M851" s="16">
        <f t="shared" ref="M851:M852" si="58">DAY(E851)</f>
        <v>7</v>
      </c>
      <c r="N851" t="str">
        <f>TEXT(MTDRejection[[#This Row],[RejectionDate]],"dddd")</f>
        <v>Saturday</v>
      </c>
    </row>
    <row r="852" spans="1:14">
      <c r="A852" t="s">
        <v>1204</v>
      </c>
      <c r="B852" t="s">
        <v>3537</v>
      </c>
      <c r="C852" t="s">
        <v>12</v>
      </c>
      <c r="D852" t="s">
        <v>26</v>
      </c>
      <c r="E852" s="7">
        <v>45633</v>
      </c>
      <c r="F852" t="s">
        <v>115</v>
      </c>
      <c r="G852">
        <v>0</v>
      </c>
      <c r="H852" t="s">
        <v>27</v>
      </c>
      <c r="I852" t="s">
        <v>16</v>
      </c>
      <c r="J852" t="s">
        <v>16</v>
      </c>
      <c r="K852" s="16" t="str">
        <f>VLOOKUP(C852,CheckName!A:B,2,0)</f>
        <v>Emp</v>
      </c>
      <c r="L852">
        <v>0</v>
      </c>
      <c r="M852" s="16">
        <f t="shared" si="58"/>
        <v>7</v>
      </c>
      <c r="N852" t="str">
        <f>TEXT(MTDRejection[[#This Row],[RejectionDate]],"dddd")</f>
        <v>Saturday</v>
      </c>
    </row>
    <row r="853" spans="1:14">
      <c r="A853" t="s">
        <v>263</v>
      </c>
      <c r="B853" t="s">
        <v>3538</v>
      </c>
      <c r="C853" t="s">
        <v>54</v>
      </c>
      <c r="D853" t="s">
        <v>26</v>
      </c>
      <c r="E853" s="7">
        <v>45633</v>
      </c>
      <c r="F853" t="s">
        <v>121</v>
      </c>
      <c r="G853">
        <v>0</v>
      </c>
      <c r="H853" t="s">
        <v>130</v>
      </c>
      <c r="I853" t="s">
        <v>16</v>
      </c>
      <c r="J853" t="s">
        <v>16</v>
      </c>
      <c r="K853" s="16" t="str">
        <f>VLOOKUP(C853,CheckName!A:B,2,0)</f>
        <v>Edu</v>
      </c>
      <c r="L853">
        <v>0</v>
      </c>
      <c r="M853" s="16">
        <f t="shared" ref="M853:M860" si="59">DAY(E853)</f>
        <v>7</v>
      </c>
      <c r="N853" t="str">
        <f>TEXT(MTDRejection[[#This Row],[RejectionDate]],"dddd")</f>
        <v>Saturday</v>
      </c>
    </row>
    <row r="854" spans="1:14">
      <c r="A854" t="s">
        <v>501</v>
      </c>
      <c r="B854" t="s">
        <v>3539</v>
      </c>
      <c r="C854" t="s">
        <v>36</v>
      </c>
      <c r="D854" t="s">
        <v>26</v>
      </c>
      <c r="E854" s="7">
        <v>45633</v>
      </c>
      <c r="F854" t="s">
        <v>2355</v>
      </c>
      <c r="G854">
        <v>0</v>
      </c>
      <c r="H854" t="s">
        <v>27</v>
      </c>
      <c r="I854" t="s">
        <v>16</v>
      </c>
      <c r="J854" t="s">
        <v>16</v>
      </c>
      <c r="K854" s="16" t="str">
        <f>VLOOKUP(C854,CheckName!A:B,2,0)</f>
        <v>Emp</v>
      </c>
      <c r="L854">
        <v>0</v>
      </c>
      <c r="M854" s="16">
        <f t="shared" si="59"/>
        <v>7</v>
      </c>
      <c r="N854" t="str">
        <f>TEXT(MTDRejection[[#This Row],[RejectionDate]],"dddd")</f>
        <v>Saturday</v>
      </c>
    </row>
    <row r="855" spans="1:14">
      <c r="A855" t="s">
        <v>45</v>
      </c>
      <c r="B855" t="s">
        <v>3540</v>
      </c>
      <c r="C855" t="s">
        <v>125</v>
      </c>
      <c r="D855" t="s">
        <v>26</v>
      </c>
      <c r="E855" s="7">
        <v>45632</v>
      </c>
      <c r="F855" t="s">
        <v>2355</v>
      </c>
      <c r="G855">
        <v>1</v>
      </c>
      <c r="H855" t="s">
        <v>27</v>
      </c>
      <c r="I855" t="s">
        <v>16</v>
      </c>
      <c r="J855" t="s">
        <v>16</v>
      </c>
      <c r="K855" s="16" t="str">
        <f>VLOOKUP(C855,CheckName!A:B,2,0)</f>
        <v>Emp</v>
      </c>
      <c r="L855">
        <v>0</v>
      </c>
      <c r="M855" s="16">
        <f t="shared" si="59"/>
        <v>6</v>
      </c>
      <c r="N855" t="str">
        <f>TEXT(MTDRejection[[#This Row],[RejectionDate]],"dddd")</f>
        <v>Friday</v>
      </c>
    </row>
    <row r="856" spans="1:14">
      <c r="A856" t="s">
        <v>1455</v>
      </c>
      <c r="B856" t="s">
        <v>3541</v>
      </c>
      <c r="C856" t="s">
        <v>12</v>
      </c>
      <c r="D856" t="s">
        <v>26</v>
      </c>
      <c r="E856" s="7">
        <v>45632</v>
      </c>
      <c r="F856" t="s">
        <v>311</v>
      </c>
      <c r="G856">
        <v>1</v>
      </c>
      <c r="H856" t="s">
        <v>27</v>
      </c>
      <c r="I856" t="s">
        <v>16</v>
      </c>
      <c r="J856" t="s">
        <v>16</v>
      </c>
      <c r="K856" s="16" t="str">
        <f>VLOOKUP(C856,CheckName!A:B,2,0)</f>
        <v>Emp</v>
      </c>
      <c r="L856">
        <v>0</v>
      </c>
      <c r="M856" s="16">
        <f t="shared" si="59"/>
        <v>6</v>
      </c>
      <c r="N856" t="str">
        <f>TEXT(MTDRejection[[#This Row],[RejectionDate]],"dddd")</f>
        <v>Friday</v>
      </c>
    </row>
    <row r="857" spans="1:14">
      <c r="A857" t="s">
        <v>216</v>
      </c>
      <c r="B857" t="s">
        <v>3542</v>
      </c>
      <c r="C857" t="s">
        <v>1510</v>
      </c>
      <c r="D857" t="s">
        <v>26</v>
      </c>
      <c r="E857" s="7">
        <v>45631</v>
      </c>
      <c r="F857" t="s">
        <v>2340</v>
      </c>
      <c r="G857">
        <v>2</v>
      </c>
      <c r="H857" t="s">
        <v>27</v>
      </c>
      <c r="I857" t="s">
        <v>16</v>
      </c>
      <c r="J857" t="s">
        <v>16</v>
      </c>
      <c r="K857" s="16" t="str">
        <f>VLOOKUP(C857,CheckName!A:B,2,0)</f>
        <v>Add</v>
      </c>
      <c r="L857">
        <v>0</v>
      </c>
      <c r="M857" s="16">
        <f t="shared" si="59"/>
        <v>5</v>
      </c>
      <c r="N857" t="str">
        <f>TEXT(MTDRejection[[#This Row],[RejectionDate]],"dddd")</f>
        <v>Thursday</v>
      </c>
    </row>
    <row r="858" spans="1:14">
      <c r="A858" t="s">
        <v>43</v>
      </c>
      <c r="B858" t="s">
        <v>3543</v>
      </c>
      <c r="C858" t="s">
        <v>12</v>
      </c>
      <c r="D858" t="s">
        <v>26</v>
      </c>
      <c r="E858" s="7">
        <v>45630</v>
      </c>
      <c r="F858" t="s">
        <v>159</v>
      </c>
      <c r="G858">
        <v>3</v>
      </c>
      <c r="H858" t="s">
        <v>22</v>
      </c>
      <c r="I858" t="s">
        <v>16</v>
      </c>
      <c r="J858" t="s">
        <v>16</v>
      </c>
      <c r="K858" s="16" t="str">
        <f>VLOOKUP(C858,CheckName!A:B,2,0)</f>
        <v>Emp</v>
      </c>
      <c r="L858">
        <v>0</v>
      </c>
      <c r="M858" s="16">
        <f t="shared" si="59"/>
        <v>4</v>
      </c>
      <c r="N858" t="str">
        <f>TEXT(MTDRejection[[#This Row],[RejectionDate]],"dddd")</f>
        <v>Wednesday</v>
      </c>
    </row>
    <row r="859" spans="1:14">
      <c r="A859" t="s">
        <v>84</v>
      </c>
      <c r="B859" t="s">
        <v>2455</v>
      </c>
      <c r="C859" t="s">
        <v>12</v>
      </c>
      <c r="D859" t="s">
        <v>38</v>
      </c>
      <c r="E859" s="7">
        <v>45629</v>
      </c>
      <c r="F859" t="s">
        <v>39</v>
      </c>
      <c r="G859">
        <v>4</v>
      </c>
      <c r="H859" t="s">
        <v>42</v>
      </c>
      <c r="I859" t="s">
        <v>16</v>
      </c>
      <c r="J859" t="s">
        <v>16</v>
      </c>
      <c r="K859" s="16" t="str">
        <f>VLOOKUP(C859,CheckName!A:B,2,0)</f>
        <v>Emp</v>
      </c>
      <c r="L859">
        <v>0</v>
      </c>
      <c r="M859" s="16">
        <f t="shared" si="59"/>
        <v>3</v>
      </c>
      <c r="N859" t="str">
        <f>TEXT(MTDRejection[[#This Row],[RejectionDate]],"dddd")</f>
        <v>Tuesday</v>
      </c>
    </row>
    <row r="860" spans="1:14">
      <c r="A860" t="s">
        <v>216</v>
      </c>
      <c r="B860" t="s">
        <v>3544</v>
      </c>
      <c r="C860" t="s">
        <v>49</v>
      </c>
      <c r="D860" t="s">
        <v>38</v>
      </c>
      <c r="E860" s="7">
        <v>45628</v>
      </c>
      <c r="F860" t="s">
        <v>108</v>
      </c>
      <c r="G860">
        <v>5</v>
      </c>
      <c r="H860" t="s">
        <v>42</v>
      </c>
      <c r="I860" t="s">
        <v>16</v>
      </c>
      <c r="J860" t="s">
        <v>16</v>
      </c>
      <c r="K860" s="16" t="str">
        <f>VLOOKUP(C860,CheckName!A:B,2,0)</f>
        <v>CRC</v>
      </c>
      <c r="L860">
        <v>0</v>
      </c>
      <c r="M860" s="16">
        <f t="shared" si="59"/>
        <v>2</v>
      </c>
      <c r="N860" t="str">
        <f>TEXT(MTDRejection[[#This Row],[RejectionDate]],"dddd")</f>
        <v>Monday</v>
      </c>
    </row>
    <row r="861" spans="1:14">
      <c r="A861" t="s">
        <v>1596</v>
      </c>
      <c r="B861" t="s">
        <v>3545</v>
      </c>
      <c r="C861" t="s">
        <v>36</v>
      </c>
      <c r="D861" t="s">
        <v>38</v>
      </c>
      <c r="E861" s="7">
        <v>45633</v>
      </c>
      <c r="F861" t="s">
        <v>39</v>
      </c>
      <c r="G861">
        <v>1</v>
      </c>
      <c r="H861" t="s">
        <v>27</v>
      </c>
      <c r="I861" t="s">
        <v>16</v>
      </c>
      <c r="J861" t="s">
        <v>16</v>
      </c>
      <c r="K861" s="16" t="str">
        <f>VLOOKUP(C861,CheckName!A:B,2,0)</f>
        <v>Emp</v>
      </c>
      <c r="L861">
        <v>0</v>
      </c>
      <c r="M861" s="16">
        <f t="shared" ref="M861:M869" si="60">DAY(E861)</f>
        <v>7</v>
      </c>
      <c r="N861" t="str">
        <f>TEXT(MTDRejection[[#This Row],[RejectionDate]],"dddd")</f>
        <v>Saturday</v>
      </c>
    </row>
    <row r="862" spans="1:14">
      <c r="A862" t="s">
        <v>419</v>
      </c>
      <c r="B862" t="s">
        <v>3546</v>
      </c>
      <c r="C862" t="s">
        <v>36</v>
      </c>
      <c r="D862" t="s">
        <v>13</v>
      </c>
      <c r="E862" s="7">
        <v>45633</v>
      </c>
      <c r="F862" t="s">
        <v>1219</v>
      </c>
      <c r="G862">
        <v>1</v>
      </c>
      <c r="H862" t="s">
        <v>15</v>
      </c>
      <c r="I862" t="s">
        <v>16</v>
      </c>
      <c r="J862" t="s">
        <v>16</v>
      </c>
      <c r="K862" s="16" t="str">
        <f>VLOOKUP(C862,CheckName!A:B,2,0)</f>
        <v>Emp</v>
      </c>
      <c r="L862">
        <v>0</v>
      </c>
      <c r="M862" s="16">
        <f t="shared" si="60"/>
        <v>7</v>
      </c>
      <c r="N862" t="str">
        <f>TEXT(MTDRejection[[#This Row],[RejectionDate]],"dddd")</f>
        <v>Saturday</v>
      </c>
    </row>
    <row r="863" spans="1:14">
      <c r="A863" t="s">
        <v>1056</v>
      </c>
      <c r="B863" t="s">
        <v>3547</v>
      </c>
      <c r="C863" t="s">
        <v>25</v>
      </c>
      <c r="D863" t="s">
        <v>26</v>
      </c>
      <c r="E863" s="7">
        <v>45633</v>
      </c>
      <c r="F863" t="s">
        <v>2330</v>
      </c>
      <c r="G863">
        <v>1</v>
      </c>
      <c r="H863" t="s">
        <v>27</v>
      </c>
      <c r="I863" t="s">
        <v>16</v>
      </c>
      <c r="J863" t="s">
        <v>16</v>
      </c>
      <c r="K863" s="16" t="str">
        <f>VLOOKUP(C863,CheckName!A:B,2,0)</f>
        <v>Add</v>
      </c>
      <c r="L863">
        <v>0</v>
      </c>
      <c r="M863" s="16">
        <f t="shared" si="60"/>
        <v>7</v>
      </c>
      <c r="N863" t="str">
        <f>TEXT(MTDRejection[[#This Row],[RejectionDate]],"dddd")</f>
        <v>Saturday</v>
      </c>
    </row>
    <row r="864" spans="1:14">
      <c r="A864" t="s">
        <v>519</v>
      </c>
      <c r="B864" t="s">
        <v>3548</v>
      </c>
      <c r="C864" t="s">
        <v>12</v>
      </c>
      <c r="D864" t="s">
        <v>13</v>
      </c>
      <c r="E864" s="7">
        <v>45633</v>
      </c>
      <c r="F864" t="s">
        <v>72</v>
      </c>
      <c r="G864">
        <v>1</v>
      </c>
      <c r="H864" t="s">
        <v>15</v>
      </c>
      <c r="I864" t="s">
        <v>16</v>
      </c>
      <c r="J864" t="s">
        <v>16</v>
      </c>
      <c r="K864" s="16" t="str">
        <f>VLOOKUP(C864,CheckName!A:B,2,0)</f>
        <v>Emp</v>
      </c>
      <c r="L864">
        <v>0</v>
      </c>
      <c r="M864" s="16">
        <f t="shared" si="60"/>
        <v>7</v>
      </c>
      <c r="N864" t="str">
        <f>TEXT(MTDRejection[[#This Row],[RejectionDate]],"dddd")</f>
        <v>Saturday</v>
      </c>
    </row>
    <row r="865" spans="1:14">
      <c r="A865" t="s">
        <v>1795</v>
      </c>
      <c r="B865" t="s">
        <v>3549</v>
      </c>
      <c r="C865" t="s">
        <v>12</v>
      </c>
      <c r="D865" t="s">
        <v>13</v>
      </c>
      <c r="E865" s="7">
        <v>45633</v>
      </c>
      <c r="F865" t="s">
        <v>2332</v>
      </c>
      <c r="G865">
        <v>1</v>
      </c>
      <c r="H865" t="s">
        <v>15</v>
      </c>
      <c r="I865" t="s">
        <v>16</v>
      </c>
      <c r="J865" t="s">
        <v>16</v>
      </c>
      <c r="K865" s="16" t="str">
        <f>VLOOKUP(C865,CheckName!A:B,2,0)</f>
        <v>Emp</v>
      </c>
      <c r="L865">
        <v>0</v>
      </c>
      <c r="M865" s="16">
        <f t="shared" si="60"/>
        <v>7</v>
      </c>
      <c r="N865" t="str">
        <f>TEXT(MTDRejection[[#This Row],[RejectionDate]],"dddd")</f>
        <v>Saturday</v>
      </c>
    </row>
    <row r="866" spans="1:14">
      <c r="A866" t="s">
        <v>281</v>
      </c>
      <c r="B866" t="s">
        <v>3550</v>
      </c>
      <c r="C866" t="s">
        <v>122</v>
      </c>
      <c r="D866" t="s">
        <v>38</v>
      </c>
      <c r="E866" s="7">
        <v>45633</v>
      </c>
      <c r="F866" t="s">
        <v>118</v>
      </c>
      <c r="G866">
        <v>1</v>
      </c>
      <c r="H866" t="s">
        <v>42</v>
      </c>
      <c r="I866" t="s">
        <v>16</v>
      </c>
      <c r="J866" t="s">
        <v>16</v>
      </c>
      <c r="K866" s="16" t="str">
        <f>VLOOKUP(C866,CheckName!A:B,2,0)</f>
        <v>Special Check</v>
      </c>
      <c r="L866">
        <v>0</v>
      </c>
      <c r="M866" s="16">
        <f t="shared" si="60"/>
        <v>7</v>
      </c>
      <c r="N866" t="str">
        <f>TEXT(MTDRejection[[#This Row],[RejectionDate]],"dddd")</f>
        <v>Saturday</v>
      </c>
    </row>
    <row r="867" spans="1:14">
      <c r="A867" t="s">
        <v>216</v>
      </c>
      <c r="B867" t="s">
        <v>3551</v>
      </c>
      <c r="C867" t="s">
        <v>1103</v>
      </c>
      <c r="D867" t="s">
        <v>13</v>
      </c>
      <c r="E867" s="7">
        <v>45631</v>
      </c>
      <c r="F867" t="s">
        <v>1219</v>
      </c>
      <c r="G867">
        <v>3</v>
      </c>
      <c r="H867" t="s">
        <v>15</v>
      </c>
      <c r="I867" t="s">
        <v>16</v>
      </c>
      <c r="J867" t="s">
        <v>16</v>
      </c>
      <c r="K867" s="16" t="str">
        <f>VLOOKUP(C867,CheckName!A:B,2,0)</f>
        <v>CRC</v>
      </c>
      <c r="L867">
        <v>0</v>
      </c>
      <c r="M867" s="16">
        <f t="shared" si="60"/>
        <v>5</v>
      </c>
      <c r="N867" t="str">
        <f>TEXT(MTDRejection[[#This Row],[RejectionDate]],"dddd")</f>
        <v>Thursday</v>
      </c>
    </row>
    <row r="868" spans="1:14">
      <c r="A868" t="s">
        <v>45</v>
      </c>
      <c r="B868" t="s">
        <v>3552</v>
      </c>
      <c r="C868" t="s">
        <v>112</v>
      </c>
      <c r="D868" t="s">
        <v>26</v>
      </c>
      <c r="E868" s="7">
        <v>45630</v>
      </c>
      <c r="F868" t="s">
        <v>2354</v>
      </c>
      <c r="G868">
        <v>4</v>
      </c>
      <c r="H868" t="s">
        <v>27</v>
      </c>
      <c r="I868" t="s">
        <v>16</v>
      </c>
      <c r="J868" t="s">
        <v>16</v>
      </c>
      <c r="K868" s="16" t="str">
        <f>VLOOKUP(C868,CheckName!A:B,2,0)</f>
        <v>Emp</v>
      </c>
      <c r="L868">
        <v>0</v>
      </c>
      <c r="M868" s="16">
        <f t="shared" si="60"/>
        <v>4</v>
      </c>
      <c r="N868" t="str">
        <f>TEXT(MTDRejection[[#This Row],[RejectionDate]],"dddd")</f>
        <v>Wednesday</v>
      </c>
    </row>
    <row r="869" spans="1:14">
      <c r="A869" t="s">
        <v>360</v>
      </c>
      <c r="B869" t="s">
        <v>3553</v>
      </c>
      <c r="C869" t="s">
        <v>980</v>
      </c>
      <c r="D869" t="s">
        <v>20</v>
      </c>
      <c r="E869" s="7">
        <v>45635</v>
      </c>
      <c r="F869" t="s">
        <v>2327</v>
      </c>
      <c r="G869">
        <v>0</v>
      </c>
      <c r="H869" t="s">
        <v>22</v>
      </c>
      <c r="I869" t="s">
        <v>16</v>
      </c>
      <c r="J869" t="s">
        <v>16</v>
      </c>
      <c r="K869" s="16" t="str">
        <f>VLOOKUP(C869,CheckName!A:B,2,0)</f>
        <v>Add</v>
      </c>
      <c r="L869">
        <v>0</v>
      </c>
      <c r="M869" s="16">
        <f t="shared" si="60"/>
        <v>9</v>
      </c>
      <c r="N869" t="str">
        <f>TEXT(MTDRejection[[#This Row],[RejectionDate]],"dddd")</f>
        <v>Monday</v>
      </c>
    </row>
    <row r="870" spans="1:14">
      <c r="A870" t="s">
        <v>1246</v>
      </c>
      <c r="B870" t="s">
        <v>3554</v>
      </c>
      <c r="C870" t="s">
        <v>12</v>
      </c>
      <c r="D870" t="s">
        <v>38</v>
      </c>
      <c r="E870" s="7">
        <v>45635</v>
      </c>
      <c r="F870" t="s">
        <v>39</v>
      </c>
      <c r="G870">
        <v>0</v>
      </c>
      <c r="H870" t="s">
        <v>42</v>
      </c>
      <c r="I870" t="s">
        <v>16</v>
      </c>
      <c r="J870" t="s">
        <v>16</v>
      </c>
      <c r="K870" s="16" t="str">
        <f>VLOOKUP(C870,CheckName!A:B,2,0)</f>
        <v>Emp</v>
      </c>
      <c r="L870">
        <v>0</v>
      </c>
      <c r="M870" s="16">
        <f t="shared" ref="M870:M886" si="61">DAY(E870)</f>
        <v>9</v>
      </c>
      <c r="N870" t="str">
        <f>TEXT(MTDRejection[[#This Row],[RejectionDate]],"dddd")</f>
        <v>Monday</v>
      </c>
    </row>
    <row r="871" spans="1:14">
      <c r="A871" t="s">
        <v>432</v>
      </c>
      <c r="B871" t="s">
        <v>3555</v>
      </c>
      <c r="C871" t="s">
        <v>36</v>
      </c>
      <c r="D871" t="s">
        <v>38</v>
      </c>
      <c r="E871" s="7">
        <v>45635</v>
      </c>
      <c r="F871" t="s">
        <v>39</v>
      </c>
      <c r="G871">
        <v>0</v>
      </c>
      <c r="H871" t="s">
        <v>42</v>
      </c>
      <c r="I871" t="s">
        <v>16</v>
      </c>
      <c r="J871" t="s">
        <v>16</v>
      </c>
      <c r="K871" s="16" t="str">
        <f>VLOOKUP(C871,CheckName!A:B,2,0)</f>
        <v>Emp</v>
      </c>
      <c r="L871">
        <v>0</v>
      </c>
      <c r="M871" s="16">
        <f t="shared" si="61"/>
        <v>9</v>
      </c>
      <c r="N871" t="str">
        <f>TEXT(MTDRejection[[#This Row],[RejectionDate]],"dddd")</f>
        <v>Monday</v>
      </c>
    </row>
    <row r="872" spans="1:14">
      <c r="A872" t="s">
        <v>176</v>
      </c>
      <c r="B872" t="s">
        <v>3556</v>
      </c>
      <c r="C872" t="s">
        <v>1713</v>
      </c>
      <c r="D872" t="s">
        <v>38</v>
      </c>
      <c r="E872" s="7">
        <v>45635</v>
      </c>
      <c r="F872" t="s">
        <v>39</v>
      </c>
      <c r="G872">
        <v>0</v>
      </c>
      <c r="H872" t="s">
        <v>42</v>
      </c>
      <c r="I872" t="s">
        <v>16</v>
      </c>
      <c r="J872" t="s">
        <v>16</v>
      </c>
      <c r="K872" s="16" t="str">
        <f>VLOOKUP(C872,CheckName!A:B,2,0)</f>
        <v>Ref</v>
      </c>
      <c r="L872">
        <v>0</v>
      </c>
      <c r="M872" s="16">
        <f t="shared" si="61"/>
        <v>9</v>
      </c>
      <c r="N872" t="str">
        <f>TEXT(MTDRejection[[#This Row],[RejectionDate]],"dddd")</f>
        <v>Monday</v>
      </c>
    </row>
    <row r="873" spans="1:14">
      <c r="A873" t="s">
        <v>176</v>
      </c>
      <c r="B873" t="s">
        <v>3557</v>
      </c>
      <c r="C873" t="s">
        <v>418</v>
      </c>
      <c r="D873" t="s">
        <v>38</v>
      </c>
      <c r="E873" s="7">
        <v>45635</v>
      </c>
      <c r="F873" t="s">
        <v>39</v>
      </c>
      <c r="G873">
        <v>0</v>
      </c>
      <c r="H873" t="s">
        <v>42</v>
      </c>
      <c r="I873" t="s">
        <v>16</v>
      </c>
      <c r="J873" t="s">
        <v>16</v>
      </c>
      <c r="K873" s="16" t="str">
        <f>VLOOKUP(C873,CheckName!A:B,2,0)</f>
        <v>Ref</v>
      </c>
      <c r="L873">
        <v>0</v>
      </c>
      <c r="M873" s="16">
        <f t="shared" si="61"/>
        <v>9</v>
      </c>
      <c r="N873" t="str">
        <f>TEXT(MTDRejection[[#This Row],[RejectionDate]],"dddd")</f>
        <v>Monday</v>
      </c>
    </row>
    <row r="874" spans="1:14">
      <c r="A874" t="s">
        <v>1758</v>
      </c>
      <c r="B874" t="s">
        <v>3558</v>
      </c>
      <c r="C874" t="s">
        <v>54</v>
      </c>
      <c r="D874" t="s">
        <v>51</v>
      </c>
      <c r="E874" s="7">
        <v>45635</v>
      </c>
      <c r="F874" t="s">
        <v>52</v>
      </c>
      <c r="G874">
        <v>0</v>
      </c>
      <c r="H874" t="s">
        <v>53</v>
      </c>
      <c r="I874" t="s">
        <v>16</v>
      </c>
      <c r="J874" t="s">
        <v>16</v>
      </c>
      <c r="K874" s="16" t="str">
        <f>VLOOKUP(C874,CheckName!A:B,2,0)</f>
        <v>Edu</v>
      </c>
      <c r="L874">
        <v>0</v>
      </c>
      <c r="M874" s="16">
        <f t="shared" si="61"/>
        <v>9</v>
      </c>
      <c r="N874" t="str">
        <f>TEXT(MTDRejection[[#This Row],[RejectionDate]],"dddd")</f>
        <v>Monday</v>
      </c>
    </row>
    <row r="875" spans="1:14">
      <c r="A875" t="s">
        <v>211</v>
      </c>
      <c r="B875" t="s">
        <v>3559</v>
      </c>
      <c r="C875" t="s">
        <v>54</v>
      </c>
      <c r="D875" t="s">
        <v>51</v>
      </c>
      <c r="E875" s="7">
        <v>45635</v>
      </c>
      <c r="F875" t="s">
        <v>52</v>
      </c>
      <c r="G875">
        <v>0</v>
      </c>
      <c r="H875" t="s">
        <v>53</v>
      </c>
      <c r="I875" t="s">
        <v>16</v>
      </c>
      <c r="J875" t="s">
        <v>16</v>
      </c>
      <c r="K875" s="16" t="str">
        <f>VLOOKUP(C875,CheckName!A:B,2,0)</f>
        <v>Edu</v>
      </c>
      <c r="L875">
        <v>0</v>
      </c>
      <c r="M875" s="16">
        <f t="shared" si="61"/>
        <v>9</v>
      </c>
      <c r="N875" t="str">
        <f>TEXT(MTDRejection[[#This Row],[RejectionDate]],"dddd")</f>
        <v>Monday</v>
      </c>
    </row>
    <row r="876" spans="1:14">
      <c r="A876" t="s">
        <v>211</v>
      </c>
      <c r="B876" t="s">
        <v>3560</v>
      </c>
      <c r="C876" t="s">
        <v>36</v>
      </c>
      <c r="D876" t="s">
        <v>51</v>
      </c>
      <c r="E876" s="7">
        <v>45635</v>
      </c>
      <c r="F876" t="s">
        <v>52</v>
      </c>
      <c r="G876">
        <v>0</v>
      </c>
      <c r="H876" t="s">
        <v>53</v>
      </c>
      <c r="I876" t="s">
        <v>16</v>
      </c>
      <c r="J876" t="s">
        <v>16</v>
      </c>
      <c r="K876" s="16" t="str">
        <f>VLOOKUP(C876,CheckName!A:B,2,0)</f>
        <v>Emp</v>
      </c>
      <c r="L876">
        <v>0</v>
      </c>
      <c r="M876" s="16">
        <f t="shared" si="61"/>
        <v>9</v>
      </c>
      <c r="N876" t="str">
        <f>TEXT(MTDRejection[[#This Row],[RejectionDate]],"dddd")</f>
        <v>Monday</v>
      </c>
    </row>
    <row r="877" spans="1:14">
      <c r="A877" t="s">
        <v>45</v>
      </c>
      <c r="B877" t="s">
        <v>3561</v>
      </c>
      <c r="C877" t="s">
        <v>25</v>
      </c>
      <c r="D877" t="s">
        <v>20</v>
      </c>
      <c r="E877" s="7">
        <v>45635</v>
      </c>
      <c r="F877" t="s">
        <v>2330</v>
      </c>
      <c r="G877">
        <v>0</v>
      </c>
      <c r="H877" t="s">
        <v>22</v>
      </c>
      <c r="I877" t="s">
        <v>16</v>
      </c>
      <c r="J877" t="s">
        <v>16</v>
      </c>
      <c r="K877" s="16" t="str">
        <f>VLOOKUP(C877,CheckName!A:B,2,0)</f>
        <v>Add</v>
      </c>
      <c r="L877">
        <v>0</v>
      </c>
      <c r="M877" s="16">
        <f t="shared" si="61"/>
        <v>9</v>
      </c>
      <c r="N877" t="str">
        <f>TEXT(MTDRejection[[#This Row],[RejectionDate]],"dddd")</f>
        <v>Monday</v>
      </c>
    </row>
    <row r="878" spans="1:14">
      <c r="A878" t="s">
        <v>45</v>
      </c>
      <c r="B878" t="s">
        <v>3562</v>
      </c>
      <c r="C878" t="s">
        <v>25</v>
      </c>
      <c r="D878" t="s">
        <v>20</v>
      </c>
      <c r="E878" s="7">
        <v>45635</v>
      </c>
      <c r="F878" t="s">
        <v>2330</v>
      </c>
      <c r="G878">
        <v>0</v>
      </c>
      <c r="H878" t="s">
        <v>22</v>
      </c>
      <c r="I878" t="s">
        <v>16</v>
      </c>
      <c r="J878" t="s">
        <v>16</v>
      </c>
      <c r="K878" s="16" t="str">
        <f>VLOOKUP(C878,CheckName!A:B,2,0)</f>
        <v>Add</v>
      </c>
      <c r="L878">
        <v>0</v>
      </c>
      <c r="M878" s="16">
        <f t="shared" si="61"/>
        <v>9</v>
      </c>
      <c r="N878" t="str">
        <f>TEXT(MTDRejection[[#This Row],[RejectionDate]],"dddd")</f>
        <v>Monday</v>
      </c>
    </row>
    <row r="879" spans="1:14">
      <c r="A879" t="s">
        <v>45</v>
      </c>
      <c r="B879" t="s">
        <v>3563</v>
      </c>
      <c r="C879" t="s">
        <v>19</v>
      </c>
      <c r="D879" t="s">
        <v>20</v>
      </c>
      <c r="E879" s="7">
        <v>45635</v>
      </c>
      <c r="F879" t="s">
        <v>2330</v>
      </c>
      <c r="G879">
        <v>0</v>
      </c>
      <c r="H879" t="s">
        <v>22</v>
      </c>
      <c r="I879" t="s">
        <v>16</v>
      </c>
      <c r="J879" t="s">
        <v>16</v>
      </c>
      <c r="K879" s="16" t="str">
        <f>VLOOKUP(C879,CheckName!A:B,2,0)</f>
        <v>Add</v>
      </c>
      <c r="L879">
        <v>0</v>
      </c>
      <c r="M879" s="16">
        <f t="shared" si="61"/>
        <v>9</v>
      </c>
      <c r="N879" t="str">
        <f>TEXT(MTDRejection[[#This Row],[RejectionDate]],"dddd")</f>
        <v>Monday</v>
      </c>
    </row>
    <row r="880" spans="1:14">
      <c r="A880" t="s">
        <v>91</v>
      </c>
      <c r="B880" t="s">
        <v>3564</v>
      </c>
      <c r="C880" t="s">
        <v>12</v>
      </c>
      <c r="D880" t="s">
        <v>26</v>
      </c>
      <c r="E880" s="7">
        <v>45635</v>
      </c>
      <c r="F880" t="s">
        <v>182</v>
      </c>
      <c r="G880">
        <v>0</v>
      </c>
      <c r="H880" t="s">
        <v>27</v>
      </c>
      <c r="I880" t="s">
        <v>16</v>
      </c>
      <c r="J880" t="s">
        <v>16</v>
      </c>
      <c r="K880" s="16" t="str">
        <f>VLOOKUP(C880,CheckName!A:B,2,0)</f>
        <v>Emp</v>
      </c>
      <c r="L880">
        <v>0</v>
      </c>
      <c r="M880" s="16">
        <f t="shared" si="61"/>
        <v>9</v>
      </c>
      <c r="N880" t="str">
        <f>TEXT(MTDRejection[[#This Row],[RejectionDate]],"dddd")</f>
        <v>Monday</v>
      </c>
    </row>
    <row r="881" spans="1:14">
      <c r="A881" t="s">
        <v>84</v>
      </c>
      <c r="B881" t="s">
        <v>3565</v>
      </c>
      <c r="C881" t="s">
        <v>36</v>
      </c>
      <c r="D881" t="s">
        <v>26</v>
      </c>
      <c r="E881" s="7">
        <v>45635</v>
      </c>
      <c r="F881" t="s">
        <v>184</v>
      </c>
      <c r="G881">
        <v>0</v>
      </c>
      <c r="H881" t="s">
        <v>22</v>
      </c>
      <c r="I881" t="s">
        <v>16</v>
      </c>
      <c r="J881" t="s">
        <v>16</v>
      </c>
      <c r="K881" s="16" t="str">
        <f>VLOOKUP(C881,CheckName!A:B,2,0)</f>
        <v>Emp</v>
      </c>
      <c r="L881">
        <v>0</v>
      </c>
      <c r="M881" s="16">
        <f t="shared" si="61"/>
        <v>9</v>
      </c>
      <c r="N881" t="str">
        <f>TEXT(MTDRejection[[#This Row],[RejectionDate]],"dddd")</f>
        <v>Monday</v>
      </c>
    </row>
    <row r="882" spans="1:14">
      <c r="A882" t="s">
        <v>84</v>
      </c>
      <c r="B882" t="s">
        <v>3437</v>
      </c>
      <c r="C882" t="s">
        <v>36</v>
      </c>
      <c r="D882" t="s">
        <v>26</v>
      </c>
      <c r="E882" s="7">
        <v>45635</v>
      </c>
      <c r="F882" t="s">
        <v>184</v>
      </c>
      <c r="G882">
        <v>0</v>
      </c>
      <c r="H882" t="s">
        <v>22</v>
      </c>
      <c r="I882" t="s">
        <v>16</v>
      </c>
      <c r="J882" t="s">
        <v>16</v>
      </c>
      <c r="K882" s="16" t="str">
        <f>VLOOKUP(C882,CheckName!A:B,2,0)</f>
        <v>Emp</v>
      </c>
      <c r="L882">
        <v>0</v>
      </c>
      <c r="M882" s="16">
        <f t="shared" si="61"/>
        <v>9</v>
      </c>
      <c r="N882" t="str">
        <f>TEXT(MTDRejection[[#This Row],[RejectionDate]],"dddd")</f>
        <v>Monday</v>
      </c>
    </row>
    <row r="883" spans="1:14">
      <c r="A883" t="s">
        <v>176</v>
      </c>
      <c r="B883" t="s">
        <v>3566</v>
      </c>
      <c r="C883" t="s">
        <v>531</v>
      </c>
      <c r="D883" t="s">
        <v>13</v>
      </c>
      <c r="E883" s="7">
        <v>45635</v>
      </c>
      <c r="F883" t="s">
        <v>530</v>
      </c>
      <c r="G883">
        <v>0</v>
      </c>
      <c r="H883" t="s">
        <v>15</v>
      </c>
      <c r="I883" t="s">
        <v>16</v>
      </c>
      <c r="J883" t="s">
        <v>16</v>
      </c>
      <c r="K883" s="16" t="str">
        <f>VLOOKUP(C883,CheckName!A:B,2,0)</f>
        <v>Special Check</v>
      </c>
      <c r="L883">
        <v>0</v>
      </c>
      <c r="M883" s="16">
        <f t="shared" si="61"/>
        <v>9</v>
      </c>
      <c r="N883" t="str">
        <f>TEXT(MTDRejection[[#This Row],[RejectionDate]],"dddd")</f>
        <v>Monday</v>
      </c>
    </row>
    <row r="884" spans="1:14">
      <c r="A884" t="s">
        <v>306</v>
      </c>
      <c r="B884" t="s">
        <v>1809</v>
      </c>
      <c r="C884" t="s">
        <v>1321</v>
      </c>
      <c r="D884" t="s">
        <v>13</v>
      </c>
      <c r="E884" s="7">
        <v>45635</v>
      </c>
      <c r="F884" t="s">
        <v>2345</v>
      </c>
      <c r="G884">
        <v>0</v>
      </c>
      <c r="H884" t="s">
        <v>15</v>
      </c>
      <c r="I884" t="s">
        <v>16</v>
      </c>
      <c r="J884" t="s">
        <v>16</v>
      </c>
      <c r="K884" s="16" t="str">
        <f>VLOOKUP(C884,CheckName!A:B,2,0)</f>
        <v>Special Check</v>
      </c>
      <c r="L884">
        <v>0</v>
      </c>
      <c r="M884" s="16">
        <f t="shared" si="61"/>
        <v>9</v>
      </c>
      <c r="N884" t="str">
        <f>TEXT(MTDRejection[[#This Row],[RejectionDate]],"dddd")</f>
        <v>Monday</v>
      </c>
    </row>
    <row r="885" spans="1:14">
      <c r="A885" t="s">
        <v>186</v>
      </c>
      <c r="B885" t="s">
        <v>3567</v>
      </c>
      <c r="C885" t="s">
        <v>54</v>
      </c>
      <c r="D885" t="s">
        <v>26</v>
      </c>
      <c r="E885" s="7">
        <v>45635</v>
      </c>
      <c r="F885" t="s">
        <v>604</v>
      </c>
      <c r="G885">
        <v>0</v>
      </c>
      <c r="H885" t="s">
        <v>27</v>
      </c>
      <c r="I885" t="s">
        <v>16</v>
      </c>
      <c r="J885" t="s">
        <v>16</v>
      </c>
      <c r="K885" s="16" t="str">
        <f>VLOOKUP(C885,CheckName!A:B,2,0)</f>
        <v>Edu</v>
      </c>
      <c r="L885">
        <v>0</v>
      </c>
      <c r="M885" s="16">
        <f t="shared" si="61"/>
        <v>9</v>
      </c>
      <c r="N885" t="str">
        <f>TEXT(MTDRejection[[#This Row],[RejectionDate]],"dddd")</f>
        <v>Monday</v>
      </c>
    </row>
    <row r="886" spans="1:14">
      <c r="A886" t="s">
        <v>1796</v>
      </c>
      <c r="B886" t="s">
        <v>3568</v>
      </c>
      <c r="C886" t="s">
        <v>54</v>
      </c>
      <c r="D886" t="s">
        <v>26</v>
      </c>
      <c r="E886" s="7">
        <v>45634</v>
      </c>
      <c r="F886" t="s">
        <v>535</v>
      </c>
      <c r="G886">
        <v>1</v>
      </c>
      <c r="H886" t="s">
        <v>130</v>
      </c>
      <c r="I886" t="s">
        <v>16</v>
      </c>
      <c r="J886" t="s">
        <v>16</v>
      </c>
      <c r="K886" s="16" t="str">
        <f>VLOOKUP(C886,CheckName!A:B,2,0)</f>
        <v>Edu</v>
      </c>
      <c r="L886">
        <v>1</v>
      </c>
      <c r="M886" s="16">
        <f t="shared" si="61"/>
        <v>8</v>
      </c>
      <c r="N886" t="str">
        <f>TEXT(MTDRejection[[#This Row],[RejectionDate]],"dddd")</f>
        <v>Sunday</v>
      </c>
    </row>
    <row r="887" spans="1:14">
      <c r="A887" t="s">
        <v>45</v>
      </c>
      <c r="B887" t="s">
        <v>3569</v>
      </c>
      <c r="C887" t="s">
        <v>125</v>
      </c>
      <c r="D887" t="s">
        <v>38</v>
      </c>
      <c r="E887" s="7">
        <v>45630</v>
      </c>
      <c r="F887" t="s">
        <v>39</v>
      </c>
      <c r="G887">
        <v>5</v>
      </c>
      <c r="H887" t="s">
        <v>42</v>
      </c>
      <c r="I887" t="s">
        <v>16</v>
      </c>
      <c r="J887" t="s">
        <v>16</v>
      </c>
      <c r="K887" s="16" t="str">
        <f>VLOOKUP(C887,CheckName!A:B,2,0)</f>
        <v>Emp</v>
      </c>
      <c r="L887">
        <v>0</v>
      </c>
      <c r="M887" s="16">
        <f>DAY(E887)</f>
        <v>4</v>
      </c>
      <c r="N887" t="str">
        <f>TEXT(MTDRejection[[#This Row],[RejectionDate]],"dddd")</f>
        <v>Wednesday</v>
      </c>
    </row>
    <row r="888" spans="1:14">
      <c r="A888" t="s">
        <v>239</v>
      </c>
      <c r="B888" t="s">
        <v>3570</v>
      </c>
      <c r="C888" t="s">
        <v>19</v>
      </c>
      <c r="D888" t="s">
        <v>20</v>
      </c>
      <c r="E888" s="7">
        <v>45635</v>
      </c>
      <c r="F888" t="s">
        <v>273</v>
      </c>
      <c r="G888">
        <v>0</v>
      </c>
      <c r="H888" t="s">
        <v>22</v>
      </c>
      <c r="I888" t="s">
        <v>16</v>
      </c>
      <c r="J888" t="s">
        <v>16</v>
      </c>
      <c r="K888" s="16" t="str">
        <f>VLOOKUP(C888,CheckName!A:B,2,0)</f>
        <v>Add</v>
      </c>
      <c r="L888">
        <v>0</v>
      </c>
      <c r="M888" s="16">
        <f>DAY(E888)</f>
        <v>9</v>
      </c>
      <c r="N888" t="str">
        <f>TEXT(MTDRejection[[#This Row],[RejectionDate]],"dddd")</f>
        <v>Monday</v>
      </c>
    </row>
    <row r="889" spans="1:14">
      <c r="A889" t="s">
        <v>1110</v>
      </c>
      <c r="B889" t="s">
        <v>3571</v>
      </c>
      <c r="C889" t="s">
        <v>965</v>
      </c>
      <c r="D889" t="s">
        <v>20</v>
      </c>
      <c r="E889" s="7">
        <v>45635</v>
      </c>
      <c r="F889" t="s">
        <v>2327</v>
      </c>
      <c r="G889">
        <v>0</v>
      </c>
      <c r="H889" t="s">
        <v>22</v>
      </c>
      <c r="I889" t="s">
        <v>16</v>
      </c>
      <c r="J889" t="s">
        <v>16</v>
      </c>
      <c r="K889" s="16" t="str">
        <f>VLOOKUP(C889,CheckName!A:B,2,0)</f>
        <v>Add</v>
      </c>
      <c r="L889">
        <v>0</v>
      </c>
      <c r="M889" s="16">
        <f t="shared" ref="M889:M891" si="62">DAY(E889)</f>
        <v>9</v>
      </c>
      <c r="N889" t="str">
        <f>TEXT(MTDRejection[[#This Row],[RejectionDate]],"dddd")</f>
        <v>Monday</v>
      </c>
    </row>
    <row r="890" spans="1:14">
      <c r="A890" t="s">
        <v>119</v>
      </c>
      <c r="B890" t="s">
        <v>3572</v>
      </c>
      <c r="C890" t="s">
        <v>12</v>
      </c>
      <c r="D890" t="s">
        <v>13</v>
      </c>
      <c r="E890" s="7">
        <v>45635</v>
      </c>
      <c r="F890" t="s">
        <v>230</v>
      </c>
      <c r="G890">
        <v>0</v>
      </c>
      <c r="H890" t="s">
        <v>130</v>
      </c>
      <c r="I890" t="s">
        <v>16</v>
      </c>
      <c r="J890" t="s">
        <v>16</v>
      </c>
      <c r="K890" s="16" t="str">
        <f>VLOOKUP(C890,CheckName!A:B,2,0)</f>
        <v>Emp</v>
      </c>
      <c r="L890">
        <v>0</v>
      </c>
      <c r="M890" s="16">
        <f t="shared" si="62"/>
        <v>9</v>
      </c>
      <c r="N890" t="str">
        <f>TEXT(MTDRejection[[#This Row],[RejectionDate]],"dddd")</f>
        <v>Monday</v>
      </c>
    </row>
    <row r="891" spans="1:14">
      <c r="A891" t="s">
        <v>1221</v>
      </c>
      <c r="B891" t="s">
        <v>3573</v>
      </c>
      <c r="C891" t="s">
        <v>54</v>
      </c>
      <c r="D891" t="s">
        <v>26</v>
      </c>
      <c r="E891" s="7">
        <v>45635</v>
      </c>
      <c r="F891" t="s">
        <v>1798</v>
      </c>
      <c r="G891">
        <v>0</v>
      </c>
      <c r="H891" t="s">
        <v>27</v>
      </c>
      <c r="I891" t="s">
        <v>16</v>
      </c>
      <c r="J891" t="s">
        <v>16</v>
      </c>
      <c r="K891" s="16" t="str">
        <f>VLOOKUP(C891,CheckName!A:B,2,0)</f>
        <v>Edu</v>
      </c>
      <c r="L891">
        <v>0</v>
      </c>
      <c r="M891" s="16">
        <f t="shared" si="62"/>
        <v>9</v>
      </c>
      <c r="N891" t="str">
        <f>TEXT(MTDRejection[[#This Row],[RejectionDate]],"dddd")</f>
        <v>Monday</v>
      </c>
    </row>
    <row r="892" spans="1:14">
      <c r="A892" t="s">
        <v>1799</v>
      </c>
      <c r="B892" t="s">
        <v>3574</v>
      </c>
      <c r="C892" t="s">
        <v>54</v>
      </c>
      <c r="D892" t="s">
        <v>26</v>
      </c>
      <c r="E892" s="7">
        <v>45635</v>
      </c>
      <c r="F892" t="s">
        <v>63</v>
      </c>
      <c r="G892">
        <v>0</v>
      </c>
      <c r="H892" t="s">
        <v>95</v>
      </c>
      <c r="I892" t="s">
        <v>16</v>
      </c>
      <c r="J892" t="s">
        <v>16</v>
      </c>
      <c r="K892" s="16" t="str">
        <f>VLOOKUP(C892,CheckName!A:B,2,0)</f>
        <v>Edu</v>
      </c>
      <c r="L892">
        <v>0</v>
      </c>
      <c r="M892" s="16">
        <f t="shared" ref="M892:M895" si="63">DAY(E892)</f>
        <v>9</v>
      </c>
      <c r="N892" t="str">
        <f>TEXT(MTDRejection[[#This Row],[RejectionDate]],"dddd")</f>
        <v>Monday</v>
      </c>
    </row>
    <row r="893" spans="1:14">
      <c r="A893" t="s">
        <v>100</v>
      </c>
      <c r="B893" t="s">
        <v>3575</v>
      </c>
      <c r="C893" t="s">
        <v>102</v>
      </c>
      <c r="D893" t="s">
        <v>26</v>
      </c>
      <c r="E893" s="7">
        <v>45635</v>
      </c>
      <c r="F893" t="s">
        <v>210</v>
      </c>
      <c r="G893">
        <v>0</v>
      </c>
      <c r="H893" t="s">
        <v>27</v>
      </c>
      <c r="I893" t="s">
        <v>16</v>
      </c>
      <c r="J893" t="s">
        <v>16</v>
      </c>
      <c r="K893" s="16" t="str">
        <f>VLOOKUP(C893,CheckName!A:B,2,0)</f>
        <v>Edu</v>
      </c>
      <c r="L893">
        <v>0</v>
      </c>
      <c r="M893" s="16">
        <f t="shared" si="63"/>
        <v>9</v>
      </c>
      <c r="N893" t="str">
        <f>TEXT(MTDRejection[[#This Row],[RejectionDate]],"dddd")</f>
        <v>Monday</v>
      </c>
    </row>
    <row r="894" spans="1:14">
      <c r="A894" t="s">
        <v>100</v>
      </c>
      <c r="B894" t="s">
        <v>3576</v>
      </c>
      <c r="C894" t="s">
        <v>102</v>
      </c>
      <c r="D894" t="s">
        <v>26</v>
      </c>
      <c r="E894" s="7">
        <v>45635</v>
      </c>
      <c r="F894" t="s">
        <v>210</v>
      </c>
      <c r="G894">
        <v>0</v>
      </c>
      <c r="H894" t="s">
        <v>30</v>
      </c>
      <c r="I894" t="s">
        <v>16</v>
      </c>
      <c r="J894" t="s">
        <v>16</v>
      </c>
      <c r="K894" s="16" t="str">
        <f>VLOOKUP(C894,CheckName!A:B,2,0)</f>
        <v>Edu</v>
      </c>
      <c r="L894">
        <v>0</v>
      </c>
      <c r="M894" s="16">
        <f t="shared" si="63"/>
        <v>9</v>
      </c>
      <c r="N894" t="str">
        <f>TEXT(MTDRejection[[#This Row],[RejectionDate]],"dddd")</f>
        <v>Monday</v>
      </c>
    </row>
    <row r="895" spans="1:14">
      <c r="A895" t="s">
        <v>306</v>
      </c>
      <c r="B895" t="s">
        <v>3577</v>
      </c>
      <c r="C895" t="s">
        <v>54</v>
      </c>
      <c r="D895" t="s">
        <v>26</v>
      </c>
      <c r="E895" s="7">
        <v>45635</v>
      </c>
      <c r="F895" t="s">
        <v>63</v>
      </c>
      <c r="G895">
        <v>0</v>
      </c>
      <c r="H895" t="s">
        <v>30</v>
      </c>
      <c r="I895" t="s">
        <v>16</v>
      </c>
      <c r="J895" t="s">
        <v>16</v>
      </c>
      <c r="K895" s="16" t="str">
        <f>VLOOKUP(C895,CheckName!A:B,2,0)</f>
        <v>Edu</v>
      </c>
      <c r="L895">
        <v>0</v>
      </c>
      <c r="M895" s="16">
        <f t="shared" si="63"/>
        <v>9</v>
      </c>
      <c r="N895" t="str">
        <f>TEXT(MTDRejection[[#This Row],[RejectionDate]],"dddd")</f>
        <v>Monday</v>
      </c>
    </row>
    <row r="896" spans="1:14">
      <c r="A896" t="s">
        <v>45</v>
      </c>
      <c r="B896" t="s">
        <v>3578</v>
      </c>
      <c r="C896" t="s">
        <v>54</v>
      </c>
      <c r="D896" t="s">
        <v>26</v>
      </c>
      <c r="E896" s="7">
        <v>45635</v>
      </c>
      <c r="F896" t="s">
        <v>63</v>
      </c>
      <c r="G896">
        <v>0</v>
      </c>
      <c r="H896" t="s">
        <v>22</v>
      </c>
      <c r="I896" t="s">
        <v>16</v>
      </c>
      <c r="J896" t="s">
        <v>16</v>
      </c>
      <c r="K896" s="16" t="str">
        <f>VLOOKUP(C896,CheckName!A:B,2,0)</f>
        <v>Edu</v>
      </c>
      <c r="L896">
        <v>0</v>
      </c>
      <c r="M896" s="16">
        <f>DAY(E896)</f>
        <v>9</v>
      </c>
      <c r="N896" t="str">
        <f>TEXT(MTDRejection[[#This Row],[RejectionDate]],"dddd")</f>
        <v>Monday</v>
      </c>
    </row>
    <row r="897" spans="1:14">
      <c r="A897" t="s">
        <v>205</v>
      </c>
      <c r="B897" t="s">
        <v>3579</v>
      </c>
      <c r="C897" t="s">
        <v>36</v>
      </c>
      <c r="D897" t="s">
        <v>26</v>
      </c>
      <c r="E897" s="7">
        <v>45635</v>
      </c>
      <c r="F897" t="s">
        <v>2347</v>
      </c>
      <c r="G897">
        <v>0</v>
      </c>
      <c r="H897" t="s">
        <v>27</v>
      </c>
      <c r="I897" t="s">
        <v>16</v>
      </c>
      <c r="J897" t="s">
        <v>16</v>
      </c>
      <c r="K897" s="16" t="str">
        <f>VLOOKUP(C897,CheckName!A:B,2,0)</f>
        <v>Emp</v>
      </c>
      <c r="L897">
        <v>0</v>
      </c>
      <c r="M897" s="16">
        <f t="shared" ref="M897:M905" si="64">DAY(E897)</f>
        <v>9</v>
      </c>
      <c r="N897" t="str">
        <f>TEXT(MTDRejection[[#This Row],[RejectionDate]],"dddd")</f>
        <v>Monday</v>
      </c>
    </row>
    <row r="898" spans="1:14">
      <c r="A898" t="s">
        <v>471</v>
      </c>
      <c r="B898" t="s">
        <v>3580</v>
      </c>
      <c r="C898" t="s">
        <v>54</v>
      </c>
      <c r="D898" t="s">
        <v>26</v>
      </c>
      <c r="E898" s="7">
        <v>45635</v>
      </c>
      <c r="F898" t="s">
        <v>535</v>
      </c>
      <c r="G898">
        <v>0</v>
      </c>
      <c r="H898" t="s">
        <v>27</v>
      </c>
      <c r="I898" t="s">
        <v>16</v>
      </c>
      <c r="J898" t="s">
        <v>16</v>
      </c>
      <c r="K898" s="16" t="str">
        <f>VLOOKUP(C898,CheckName!A:B,2,0)</f>
        <v>Edu</v>
      </c>
      <c r="L898">
        <v>0</v>
      </c>
      <c r="M898" s="16">
        <f t="shared" si="64"/>
        <v>9</v>
      </c>
      <c r="N898" t="str">
        <f>TEXT(MTDRejection[[#This Row],[RejectionDate]],"dddd")</f>
        <v>Monday</v>
      </c>
    </row>
    <row r="899" spans="1:14">
      <c r="A899" t="s">
        <v>292</v>
      </c>
      <c r="B899" t="s">
        <v>3581</v>
      </c>
      <c r="C899" t="s">
        <v>220</v>
      </c>
      <c r="D899" t="s">
        <v>26</v>
      </c>
      <c r="E899" s="7">
        <v>45635</v>
      </c>
      <c r="F899" t="s">
        <v>330</v>
      </c>
      <c r="G899">
        <v>0</v>
      </c>
      <c r="H899" t="s">
        <v>27</v>
      </c>
      <c r="I899" t="s">
        <v>16</v>
      </c>
      <c r="J899" t="s">
        <v>16</v>
      </c>
      <c r="K899" s="16" t="str">
        <f>VLOOKUP(C899,CheckName!A:B,2,0)</f>
        <v>Ref</v>
      </c>
      <c r="L899">
        <v>0</v>
      </c>
      <c r="M899" s="16">
        <f t="shared" si="64"/>
        <v>9</v>
      </c>
      <c r="N899" t="str">
        <f>TEXT(MTDRejection[[#This Row],[RejectionDate]],"dddd")</f>
        <v>Monday</v>
      </c>
    </row>
    <row r="900" spans="1:14">
      <c r="A900" t="s">
        <v>396</v>
      </c>
      <c r="B900" t="s">
        <v>3582</v>
      </c>
      <c r="C900" t="s">
        <v>36</v>
      </c>
      <c r="D900" t="s">
        <v>26</v>
      </c>
      <c r="E900" s="7">
        <v>45635</v>
      </c>
      <c r="F900" t="s">
        <v>159</v>
      </c>
      <c r="G900">
        <v>0</v>
      </c>
      <c r="H900" t="s">
        <v>27</v>
      </c>
      <c r="I900" t="s">
        <v>16</v>
      </c>
      <c r="J900" t="s">
        <v>16</v>
      </c>
      <c r="K900" s="16" t="str">
        <f>VLOOKUP(C900,CheckName!A:B,2,0)</f>
        <v>Emp</v>
      </c>
      <c r="L900">
        <v>0</v>
      </c>
      <c r="M900" s="16">
        <f t="shared" si="64"/>
        <v>9</v>
      </c>
      <c r="N900" t="str">
        <f>TEXT(MTDRejection[[#This Row],[RejectionDate]],"dddd")</f>
        <v>Monday</v>
      </c>
    </row>
    <row r="901" spans="1:14">
      <c r="A901" t="s">
        <v>306</v>
      </c>
      <c r="B901" t="s">
        <v>3583</v>
      </c>
      <c r="C901" t="s">
        <v>49</v>
      </c>
      <c r="D901" t="s">
        <v>38</v>
      </c>
      <c r="E901" s="7">
        <v>45635</v>
      </c>
      <c r="F901" t="s">
        <v>108</v>
      </c>
      <c r="G901">
        <v>0</v>
      </c>
      <c r="H901" t="s">
        <v>42</v>
      </c>
      <c r="I901" t="s">
        <v>16</v>
      </c>
      <c r="J901" t="s">
        <v>16</v>
      </c>
      <c r="K901" s="16" t="str">
        <f>VLOOKUP(C901,CheckName!A:B,2,0)</f>
        <v>CRC</v>
      </c>
      <c r="L901">
        <v>0</v>
      </c>
      <c r="M901" s="16">
        <f t="shared" si="64"/>
        <v>9</v>
      </c>
      <c r="N901" t="str">
        <f>TEXT(MTDRejection[[#This Row],[RejectionDate]],"dddd")</f>
        <v>Monday</v>
      </c>
    </row>
    <row r="902" spans="1:14">
      <c r="A902" t="s">
        <v>306</v>
      </c>
      <c r="B902" t="s">
        <v>3584</v>
      </c>
      <c r="C902" t="s">
        <v>71</v>
      </c>
      <c r="D902" t="s">
        <v>38</v>
      </c>
      <c r="E902" s="7">
        <v>45635</v>
      </c>
      <c r="F902" t="s">
        <v>108</v>
      </c>
      <c r="G902">
        <v>0</v>
      </c>
      <c r="H902" t="s">
        <v>42</v>
      </c>
      <c r="I902" t="s">
        <v>16</v>
      </c>
      <c r="J902" t="s">
        <v>16</v>
      </c>
      <c r="K902" s="16" t="str">
        <f>VLOOKUP(C902,CheckName!A:B,2,0)</f>
        <v>CRC</v>
      </c>
      <c r="L902">
        <v>0</v>
      </c>
      <c r="M902" s="16">
        <f t="shared" si="64"/>
        <v>9</v>
      </c>
      <c r="N902" t="str">
        <f>TEXT(MTDRejection[[#This Row],[RejectionDate]],"dddd")</f>
        <v>Monday</v>
      </c>
    </row>
    <row r="903" spans="1:14">
      <c r="A903" t="s">
        <v>160</v>
      </c>
      <c r="B903" t="s">
        <v>2456</v>
      </c>
      <c r="C903" t="s">
        <v>125</v>
      </c>
      <c r="D903" t="s">
        <v>26</v>
      </c>
      <c r="E903" s="7">
        <v>45635</v>
      </c>
      <c r="F903" t="s">
        <v>2333</v>
      </c>
      <c r="G903">
        <v>0</v>
      </c>
      <c r="H903" t="s">
        <v>27</v>
      </c>
      <c r="I903" t="s">
        <v>16</v>
      </c>
      <c r="J903" t="s">
        <v>16</v>
      </c>
      <c r="K903" s="16" t="str">
        <f>VLOOKUP(C903,CheckName!A:B,2,0)</f>
        <v>Emp</v>
      </c>
      <c r="L903">
        <v>0</v>
      </c>
      <c r="M903" s="16">
        <f t="shared" si="64"/>
        <v>9</v>
      </c>
      <c r="N903" t="str">
        <f>TEXT(MTDRejection[[#This Row],[RejectionDate]],"dddd")</f>
        <v>Monday</v>
      </c>
    </row>
    <row r="904" spans="1:14">
      <c r="A904" t="s">
        <v>84</v>
      </c>
      <c r="B904" t="s">
        <v>3585</v>
      </c>
      <c r="C904" t="s">
        <v>12</v>
      </c>
      <c r="D904" t="s">
        <v>26</v>
      </c>
      <c r="E904" s="7">
        <v>45635</v>
      </c>
      <c r="F904" t="s">
        <v>151</v>
      </c>
      <c r="G904">
        <v>0</v>
      </c>
      <c r="H904" t="s">
        <v>27</v>
      </c>
      <c r="I904" t="s">
        <v>16</v>
      </c>
      <c r="J904" t="s">
        <v>16</v>
      </c>
      <c r="K904" s="16" t="str">
        <f>VLOOKUP(C904,CheckName!A:B,2,0)</f>
        <v>Emp</v>
      </c>
      <c r="L904">
        <v>0</v>
      </c>
      <c r="M904" s="16">
        <f t="shared" si="64"/>
        <v>9</v>
      </c>
      <c r="N904" t="str">
        <f>TEXT(MTDRejection[[#This Row],[RejectionDate]],"dddd")</f>
        <v>Monday</v>
      </c>
    </row>
    <row r="905" spans="1:14">
      <c r="A905" t="s">
        <v>306</v>
      </c>
      <c r="B905" t="s">
        <v>2370</v>
      </c>
      <c r="C905" t="s">
        <v>59</v>
      </c>
      <c r="D905" t="s">
        <v>38</v>
      </c>
      <c r="E905" s="7">
        <v>45635</v>
      </c>
      <c r="F905" t="s">
        <v>118</v>
      </c>
      <c r="G905">
        <v>0</v>
      </c>
      <c r="H905" t="s">
        <v>42</v>
      </c>
      <c r="I905" t="s">
        <v>16</v>
      </c>
      <c r="J905" t="s">
        <v>16</v>
      </c>
      <c r="K905" s="16" t="str">
        <f>VLOOKUP(C905,CheckName!A:B,2,0)</f>
        <v>Special Check</v>
      </c>
      <c r="L905">
        <v>0</v>
      </c>
      <c r="M905" s="16">
        <f t="shared" si="64"/>
        <v>9</v>
      </c>
      <c r="N905" t="str">
        <f>TEXT(MTDRejection[[#This Row],[RejectionDate]],"dddd")</f>
        <v>Monday</v>
      </c>
    </row>
    <row r="906" spans="1:14">
      <c r="A906" t="s">
        <v>84</v>
      </c>
      <c r="B906" t="s">
        <v>3586</v>
      </c>
      <c r="C906" t="s">
        <v>36</v>
      </c>
      <c r="D906" t="s">
        <v>26</v>
      </c>
      <c r="E906" s="7">
        <v>45628</v>
      </c>
      <c r="F906" t="s">
        <v>80</v>
      </c>
      <c r="G906">
        <v>7</v>
      </c>
      <c r="H906" t="s">
        <v>27</v>
      </c>
      <c r="I906" t="s">
        <v>16</v>
      </c>
      <c r="J906" t="s">
        <v>16</v>
      </c>
      <c r="K906" s="16" t="str">
        <f>VLOOKUP(C906,CheckName!A:B,2,0)</f>
        <v>Emp</v>
      </c>
      <c r="L906">
        <v>0</v>
      </c>
      <c r="M906" s="16">
        <f>DAY(E906)</f>
        <v>2</v>
      </c>
      <c r="N906" t="str">
        <f>TEXT(MTDRejection[[#This Row],[RejectionDate]],"dddd")</f>
        <v>Monday</v>
      </c>
    </row>
    <row r="907" spans="1:14">
      <c r="A907" t="s">
        <v>1795</v>
      </c>
      <c r="B907" t="s">
        <v>3587</v>
      </c>
      <c r="C907" t="s">
        <v>54</v>
      </c>
      <c r="D907" t="s">
        <v>13</v>
      </c>
      <c r="E907" s="7">
        <v>45635</v>
      </c>
      <c r="F907" t="s">
        <v>2326</v>
      </c>
      <c r="G907">
        <v>0</v>
      </c>
      <c r="H907" t="s">
        <v>15</v>
      </c>
      <c r="I907" t="s">
        <v>16</v>
      </c>
      <c r="J907" t="s">
        <v>16</v>
      </c>
      <c r="K907" s="16" t="str">
        <f>VLOOKUP(C907,CheckName!A:B,2,0)</f>
        <v>Edu</v>
      </c>
      <c r="L907">
        <v>0</v>
      </c>
      <c r="M907" s="16">
        <f t="shared" ref="M907:M909" si="65">DAY(E907)</f>
        <v>9</v>
      </c>
      <c r="N907" t="str">
        <f>TEXT(MTDRejection[[#This Row],[RejectionDate]],"dddd")</f>
        <v>Monday</v>
      </c>
    </row>
    <row r="908" spans="1:14">
      <c r="A908" t="s">
        <v>495</v>
      </c>
      <c r="B908" t="s">
        <v>3588</v>
      </c>
      <c r="C908" t="s">
        <v>54</v>
      </c>
      <c r="D908" t="s">
        <v>13</v>
      </c>
      <c r="E908" s="7">
        <v>45635</v>
      </c>
      <c r="F908" t="s">
        <v>1310</v>
      </c>
      <c r="G908">
        <v>0</v>
      </c>
      <c r="H908" t="s">
        <v>15</v>
      </c>
      <c r="I908" t="s">
        <v>16</v>
      </c>
      <c r="J908" t="s">
        <v>16</v>
      </c>
      <c r="K908" s="16" t="str">
        <f>VLOOKUP(C908,CheckName!A:B,2,0)</f>
        <v>Edu</v>
      </c>
      <c r="L908">
        <v>0</v>
      </c>
      <c r="M908" s="16">
        <f t="shared" si="65"/>
        <v>9</v>
      </c>
      <c r="N908" t="str">
        <f>TEXT(MTDRejection[[#This Row],[RejectionDate]],"dddd")</f>
        <v>Monday</v>
      </c>
    </row>
    <row r="909" spans="1:14">
      <c r="A909" t="s">
        <v>746</v>
      </c>
      <c r="B909" t="s">
        <v>3589</v>
      </c>
      <c r="C909" t="s">
        <v>467</v>
      </c>
      <c r="D909" t="s">
        <v>26</v>
      </c>
      <c r="E909" s="7">
        <v>45635</v>
      </c>
      <c r="F909" t="s">
        <v>236</v>
      </c>
      <c r="G909">
        <v>0</v>
      </c>
      <c r="H909" t="s">
        <v>27</v>
      </c>
      <c r="I909" t="s">
        <v>16</v>
      </c>
      <c r="J909" t="s">
        <v>16</v>
      </c>
      <c r="K909" s="16" t="str">
        <f>VLOOKUP(C909,CheckName!A:B,2,0)</f>
        <v>Special Check</v>
      </c>
      <c r="L909">
        <v>0</v>
      </c>
      <c r="M909" s="16">
        <f t="shared" si="65"/>
        <v>9</v>
      </c>
      <c r="N909" t="str">
        <f>TEXT(MTDRejection[[#This Row],[RejectionDate]],"dddd")</f>
        <v>Monday</v>
      </c>
    </row>
    <row r="910" spans="1:14">
      <c r="A910" t="s">
        <v>963</v>
      </c>
      <c r="B910" t="s">
        <v>3590</v>
      </c>
      <c r="C910" t="s">
        <v>25</v>
      </c>
      <c r="D910" t="s">
        <v>20</v>
      </c>
      <c r="E910" s="7">
        <v>45635</v>
      </c>
      <c r="F910" t="s">
        <v>273</v>
      </c>
      <c r="G910">
        <v>0</v>
      </c>
      <c r="H910" t="s">
        <v>22</v>
      </c>
      <c r="I910" t="s">
        <v>16</v>
      </c>
      <c r="J910" t="s">
        <v>16</v>
      </c>
      <c r="K910" s="16" t="str">
        <f>VLOOKUP(C910,CheckName!A:B,2,0)</f>
        <v>Add</v>
      </c>
      <c r="L910">
        <v>0</v>
      </c>
      <c r="M910" s="16">
        <f t="shared" ref="M910:M914" si="66">DAY(E910)</f>
        <v>9</v>
      </c>
      <c r="N910" t="str">
        <f>TEXT(MTDRejection[[#This Row],[RejectionDate]],"dddd")</f>
        <v>Monday</v>
      </c>
    </row>
    <row r="911" spans="1:14">
      <c r="A911" t="s">
        <v>119</v>
      </c>
      <c r="B911" t="s">
        <v>3591</v>
      </c>
      <c r="C911" t="s">
        <v>25</v>
      </c>
      <c r="D911" t="s">
        <v>20</v>
      </c>
      <c r="E911" s="7">
        <v>45635</v>
      </c>
      <c r="F911" t="s">
        <v>273</v>
      </c>
      <c r="G911">
        <v>0</v>
      </c>
      <c r="H911" t="s">
        <v>425</v>
      </c>
      <c r="I911" t="s">
        <v>16</v>
      </c>
      <c r="J911" t="s">
        <v>16</v>
      </c>
      <c r="K911" s="16" t="str">
        <f>VLOOKUP(C911,CheckName!A:B,2,0)</f>
        <v>Add</v>
      </c>
      <c r="L911">
        <v>0</v>
      </c>
      <c r="M911" s="16">
        <f t="shared" si="66"/>
        <v>9</v>
      </c>
      <c r="N911" t="str">
        <f>TEXT(MTDRejection[[#This Row],[RejectionDate]],"dddd")</f>
        <v>Monday</v>
      </c>
    </row>
    <row r="912" spans="1:14">
      <c r="A912" t="s">
        <v>119</v>
      </c>
      <c r="B912" t="s">
        <v>3592</v>
      </c>
      <c r="C912" t="s">
        <v>25</v>
      </c>
      <c r="D912" t="s">
        <v>20</v>
      </c>
      <c r="E912" s="7">
        <v>45635</v>
      </c>
      <c r="F912" t="s">
        <v>273</v>
      </c>
      <c r="G912">
        <v>0</v>
      </c>
      <c r="H912" t="s">
        <v>27</v>
      </c>
      <c r="I912" t="s">
        <v>16</v>
      </c>
      <c r="J912" t="s">
        <v>16</v>
      </c>
      <c r="K912" s="16" t="str">
        <f>VLOOKUP(C912,CheckName!A:B,2,0)</f>
        <v>Add</v>
      </c>
      <c r="L912">
        <v>0</v>
      </c>
      <c r="M912" s="16">
        <f t="shared" si="66"/>
        <v>9</v>
      </c>
      <c r="N912" t="str">
        <f>TEXT(MTDRejection[[#This Row],[RejectionDate]],"dddd")</f>
        <v>Monday</v>
      </c>
    </row>
    <row r="913" spans="1:14">
      <c r="A913" t="s">
        <v>119</v>
      </c>
      <c r="B913" t="s">
        <v>2457</v>
      </c>
      <c r="C913" t="s">
        <v>25</v>
      </c>
      <c r="D913" t="s">
        <v>20</v>
      </c>
      <c r="E913" s="7">
        <v>45635</v>
      </c>
      <c r="F913" t="s">
        <v>273</v>
      </c>
      <c r="G913">
        <v>0</v>
      </c>
      <c r="H913" t="s">
        <v>27</v>
      </c>
      <c r="I913" t="s">
        <v>16</v>
      </c>
      <c r="J913" t="s">
        <v>16</v>
      </c>
      <c r="K913" s="16" t="str">
        <f>VLOOKUP(C913,CheckName!A:B,2,0)</f>
        <v>Add</v>
      </c>
      <c r="L913">
        <v>0</v>
      </c>
      <c r="M913" s="16">
        <f t="shared" si="66"/>
        <v>9</v>
      </c>
      <c r="N913" t="str">
        <f>TEXT(MTDRejection[[#This Row],[RejectionDate]],"dddd")</f>
        <v>Monday</v>
      </c>
    </row>
    <row r="914" spans="1:14">
      <c r="A914" t="s">
        <v>119</v>
      </c>
      <c r="B914" t="s">
        <v>1773</v>
      </c>
      <c r="C914" t="s">
        <v>25</v>
      </c>
      <c r="D914" t="s">
        <v>20</v>
      </c>
      <c r="E914" s="7">
        <v>45635</v>
      </c>
      <c r="F914" t="s">
        <v>273</v>
      </c>
      <c r="G914">
        <v>0</v>
      </c>
      <c r="H914" t="s">
        <v>22</v>
      </c>
      <c r="I914" t="s">
        <v>16</v>
      </c>
      <c r="J914" t="s">
        <v>16</v>
      </c>
      <c r="K914" s="16" t="str">
        <f>VLOOKUP(C914,CheckName!A:B,2,0)</f>
        <v>Add</v>
      </c>
      <c r="L914">
        <v>0</v>
      </c>
      <c r="M914" s="16">
        <f t="shared" si="66"/>
        <v>9</v>
      </c>
      <c r="N914" t="str">
        <f>TEXT(MTDRejection[[#This Row],[RejectionDate]],"dddd")</f>
        <v>Monday</v>
      </c>
    </row>
    <row r="915" spans="1:14">
      <c r="A915" t="s">
        <v>432</v>
      </c>
      <c r="B915" t="s">
        <v>3593</v>
      </c>
      <c r="C915" t="s">
        <v>467</v>
      </c>
      <c r="D915" t="s">
        <v>26</v>
      </c>
      <c r="E915" s="7">
        <v>45635</v>
      </c>
      <c r="F915" t="s">
        <v>236</v>
      </c>
      <c r="G915">
        <v>0</v>
      </c>
      <c r="H915" t="s">
        <v>22</v>
      </c>
      <c r="I915" t="s">
        <v>16</v>
      </c>
      <c r="J915" t="s">
        <v>16</v>
      </c>
      <c r="K915" s="16" t="str">
        <f>VLOOKUP(C915,CheckName!A:B,2,0)</f>
        <v>Special Check</v>
      </c>
      <c r="L915">
        <v>0</v>
      </c>
      <c r="M915" s="16">
        <f t="shared" ref="M915:M921" si="67">DAY(E915)</f>
        <v>9</v>
      </c>
      <c r="N915" t="str">
        <f>TEXT(MTDRejection[[#This Row],[RejectionDate]],"dddd")</f>
        <v>Monday</v>
      </c>
    </row>
    <row r="916" spans="1:14">
      <c r="A916" t="s">
        <v>432</v>
      </c>
      <c r="B916" t="s">
        <v>3594</v>
      </c>
      <c r="C916" t="s">
        <v>467</v>
      </c>
      <c r="D916" t="s">
        <v>26</v>
      </c>
      <c r="E916" s="7">
        <v>45635</v>
      </c>
      <c r="F916" t="s">
        <v>236</v>
      </c>
      <c r="G916">
        <v>0</v>
      </c>
      <c r="H916" t="s">
        <v>22</v>
      </c>
      <c r="I916" t="s">
        <v>16</v>
      </c>
      <c r="J916" t="s">
        <v>16</v>
      </c>
      <c r="K916" s="16" t="str">
        <f>VLOOKUP(C916,CheckName!A:B,2,0)</f>
        <v>Special Check</v>
      </c>
      <c r="L916">
        <v>0</v>
      </c>
      <c r="M916" s="16">
        <f t="shared" si="67"/>
        <v>9</v>
      </c>
      <c r="N916" t="str">
        <f>TEXT(MTDRejection[[#This Row],[RejectionDate]],"dddd")</f>
        <v>Monday</v>
      </c>
    </row>
    <row r="917" spans="1:14">
      <c r="A917" t="s">
        <v>432</v>
      </c>
      <c r="B917" t="s">
        <v>3595</v>
      </c>
      <c r="C917" t="s">
        <v>467</v>
      </c>
      <c r="D917" t="s">
        <v>26</v>
      </c>
      <c r="E917" s="7">
        <v>45635</v>
      </c>
      <c r="F917" t="s">
        <v>236</v>
      </c>
      <c r="G917">
        <v>0</v>
      </c>
      <c r="H917" t="s">
        <v>22</v>
      </c>
      <c r="I917" t="s">
        <v>16</v>
      </c>
      <c r="J917" t="s">
        <v>16</v>
      </c>
      <c r="K917" s="16" t="str">
        <f>VLOOKUP(C917,CheckName!A:B,2,0)</f>
        <v>Special Check</v>
      </c>
      <c r="L917">
        <v>0</v>
      </c>
      <c r="M917" s="16">
        <f t="shared" si="67"/>
        <v>9</v>
      </c>
      <c r="N917" t="str">
        <f>TEXT(MTDRejection[[#This Row],[RejectionDate]],"dddd")</f>
        <v>Monday</v>
      </c>
    </row>
    <row r="918" spans="1:14">
      <c r="A918" t="s">
        <v>912</v>
      </c>
      <c r="B918" t="s">
        <v>3596</v>
      </c>
      <c r="C918" t="s">
        <v>467</v>
      </c>
      <c r="D918" t="s">
        <v>26</v>
      </c>
      <c r="E918" s="7">
        <v>45635</v>
      </c>
      <c r="F918" t="s">
        <v>236</v>
      </c>
      <c r="G918">
        <v>0</v>
      </c>
      <c r="H918" t="s">
        <v>27</v>
      </c>
      <c r="I918" t="s">
        <v>16</v>
      </c>
      <c r="J918" t="s">
        <v>16</v>
      </c>
      <c r="K918" s="16" t="str">
        <f>VLOOKUP(C918,CheckName!A:B,2,0)</f>
        <v>Special Check</v>
      </c>
      <c r="L918">
        <v>0</v>
      </c>
      <c r="M918" s="16">
        <f t="shared" si="67"/>
        <v>9</v>
      </c>
      <c r="N918" t="str">
        <f>TEXT(MTDRejection[[#This Row],[RejectionDate]],"dddd")</f>
        <v>Monday</v>
      </c>
    </row>
    <row r="919" spans="1:14">
      <c r="A919" t="s">
        <v>1801</v>
      </c>
      <c r="B919" t="s">
        <v>3597</v>
      </c>
      <c r="C919" t="s">
        <v>25</v>
      </c>
      <c r="D919" t="s">
        <v>20</v>
      </c>
      <c r="E919" s="7">
        <v>45635</v>
      </c>
      <c r="F919" t="s">
        <v>2327</v>
      </c>
      <c r="G919">
        <v>0</v>
      </c>
      <c r="H919" t="s">
        <v>27</v>
      </c>
      <c r="I919" t="s">
        <v>16</v>
      </c>
      <c r="J919" t="s">
        <v>16</v>
      </c>
      <c r="K919" s="16" t="str">
        <f>VLOOKUP(C919,CheckName!A:B,2,0)</f>
        <v>Add</v>
      </c>
      <c r="L919">
        <v>0</v>
      </c>
      <c r="M919" s="16">
        <f t="shared" si="67"/>
        <v>9</v>
      </c>
      <c r="N919" t="str">
        <f>TEXT(MTDRejection[[#This Row],[RejectionDate]],"dddd")</f>
        <v>Monday</v>
      </c>
    </row>
    <row r="920" spans="1:14">
      <c r="A920" t="s">
        <v>1110</v>
      </c>
      <c r="B920" t="s">
        <v>3598</v>
      </c>
      <c r="C920" t="s">
        <v>965</v>
      </c>
      <c r="D920" t="s">
        <v>20</v>
      </c>
      <c r="E920" s="7">
        <v>45635</v>
      </c>
      <c r="F920" t="s">
        <v>2327</v>
      </c>
      <c r="G920">
        <v>0</v>
      </c>
      <c r="H920" t="s">
        <v>22</v>
      </c>
      <c r="I920" t="s">
        <v>16</v>
      </c>
      <c r="J920" t="s">
        <v>16</v>
      </c>
      <c r="K920" s="16" t="str">
        <f>VLOOKUP(C920,CheckName!A:B,2,0)</f>
        <v>Add</v>
      </c>
      <c r="L920">
        <v>0</v>
      </c>
      <c r="M920" s="16">
        <f t="shared" si="67"/>
        <v>9</v>
      </c>
      <c r="N920" t="str">
        <f>TEXT(MTDRejection[[#This Row],[RejectionDate]],"dddd")</f>
        <v>Monday</v>
      </c>
    </row>
    <row r="921" spans="1:14">
      <c r="A921" t="s">
        <v>176</v>
      </c>
      <c r="B921" t="s">
        <v>3599</v>
      </c>
      <c r="C921" t="s">
        <v>12</v>
      </c>
      <c r="D921" t="s">
        <v>38</v>
      </c>
      <c r="E921" s="7">
        <v>45635</v>
      </c>
      <c r="F921" t="s">
        <v>39</v>
      </c>
      <c r="G921">
        <v>0</v>
      </c>
      <c r="H921" t="s">
        <v>42</v>
      </c>
      <c r="I921" t="s">
        <v>16</v>
      </c>
      <c r="J921" t="s">
        <v>16</v>
      </c>
      <c r="K921" s="16" t="str">
        <f>VLOOKUP(C921,CheckName!A:B,2,0)</f>
        <v>Emp</v>
      </c>
      <c r="L921">
        <v>0</v>
      </c>
      <c r="M921" s="16">
        <f t="shared" si="67"/>
        <v>9</v>
      </c>
      <c r="N921" t="str">
        <f>TEXT(MTDRejection[[#This Row],[RejectionDate]],"dddd")</f>
        <v>Monday</v>
      </c>
    </row>
    <row r="922" spans="1:14">
      <c r="A922" t="s">
        <v>45</v>
      </c>
      <c r="B922" t="s">
        <v>3600</v>
      </c>
      <c r="C922" t="s">
        <v>12</v>
      </c>
      <c r="D922" t="s">
        <v>38</v>
      </c>
      <c r="E922" s="7">
        <v>45635</v>
      </c>
      <c r="F922" t="s">
        <v>39</v>
      </c>
      <c r="G922">
        <v>0</v>
      </c>
      <c r="H922" t="s">
        <v>42</v>
      </c>
      <c r="I922" t="s">
        <v>16</v>
      </c>
      <c r="J922" t="s">
        <v>16</v>
      </c>
      <c r="K922" s="16" t="str">
        <f>VLOOKUP(C922,CheckName!A:B,2,0)</f>
        <v>Emp</v>
      </c>
      <c r="L922">
        <v>0</v>
      </c>
      <c r="M922" s="16">
        <f t="shared" ref="M922:M925" si="68">DAY(E922)</f>
        <v>9</v>
      </c>
      <c r="N922" t="str">
        <f>TEXT(MTDRejection[[#This Row],[RejectionDate]],"dddd")</f>
        <v>Monday</v>
      </c>
    </row>
    <row r="923" spans="1:14">
      <c r="A923" t="s">
        <v>100</v>
      </c>
      <c r="B923" t="s">
        <v>3601</v>
      </c>
      <c r="C923" t="s">
        <v>359</v>
      </c>
      <c r="D923" t="s">
        <v>26</v>
      </c>
      <c r="E923" s="7">
        <v>45635</v>
      </c>
      <c r="F923" t="s">
        <v>222</v>
      </c>
      <c r="G923">
        <v>0</v>
      </c>
      <c r="H923" t="s">
        <v>22</v>
      </c>
      <c r="I923" t="s">
        <v>16</v>
      </c>
      <c r="J923" t="s">
        <v>16</v>
      </c>
      <c r="K923" s="16" t="str">
        <f>VLOOKUP(C923,CheckName!A:B,2,0)</f>
        <v>Emp</v>
      </c>
      <c r="L923">
        <v>0</v>
      </c>
      <c r="M923" s="16">
        <f t="shared" si="68"/>
        <v>9</v>
      </c>
      <c r="N923" t="str">
        <f>TEXT(MTDRejection[[#This Row],[RejectionDate]],"dddd")</f>
        <v>Monday</v>
      </c>
    </row>
    <row r="924" spans="1:14">
      <c r="A924" t="s">
        <v>1802</v>
      </c>
      <c r="B924" t="s">
        <v>3602</v>
      </c>
      <c r="C924" t="s">
        <v>12</v>
      </c>
      <c r="D924" t="s">
        <v>26</v>
      </c>
      <c r="E924" s="7">
        <v>45635</v>
      </c>
      <c r="F924" t="s">
        <v>1055</v>
      </c>
      <c r="G924">
        <v>0</v>
      </c>
      <c r="H924" t="s">
        <v>22</v>
      </c>
      <c r="I924" t="s">
        <v>16</v>
      </c>
      <c r="J924" t="s">
        <v>16</v>
      </c>
      <c r="K924" s="16" t="str">
        <f>VLOOKUP(C924,CheckName!A:B,2,0)</f>
        <v>Emp</v>
      </c>
      <c r="L924">
        <v>0</v>
      </c>
      <c r="M924" s="16">
        <f t="shared" si="68"/>
        <v>9</v>
      </c>
      <c r="N924" t="str">
        <f>TEXT(MTDRejection[[#This Row],[RejectionDate]],"dddd")</f>
        <v>Monday</v>
      </c>
    </row>
    <row r="925" spans="1:14">
      <c r="A925" t="s">
        <v>84</v>
      </c>
      <c r="B925" t="s">
        <v>3603</v>
      </c>
      <c r="C925" t="s">
        <v>12</v>
      </c>
      <c r="D925" t="s">
        <v>26</v>
      </c>
      <c r="E925" s="7">
        <v>45635</v>
      </c>
      <c r="F925" t="s">
        <v>222</v>
      </c>
      <c r="G925">
        <v>0</v>
      </c>
      <c r="H925" t="s">
        <v>27</v>
      </c>
      <c r="I925" t="s">
        <v>16</v>
      </c>
      <c r="J925" t="s">
        <v>16</v>
      </c>
      <c r="K925" s="16" t="str">
        <f>VLOOKUP(C925,CheckName!A:B,2,0)</f>
        <v>Emp</v>
      </c>
      <c r="L925">
        <v>0</v>
      </c>
      <c r="M925" s="16">
        <f t="shared" si="68"/>
        <v>9</v>
      </c>
      <c r="N925" t="str">
        <f>TEXT(MTDRejection[[#This Row],[RejectionDate]],"dddd")</f>
        <v>Monday</v>
      </c>
    </row>
    <row r="926" spans="1:14">
      <c r="A926" t="s">
        <v>396</v>
      </c>
      <c r="B926" t="s">
        <v>3604</v>
      </c>
      <c r="C926" t="s">
        <v>36</v>
      </c>
      <c r="D926" t="s">
        <v>26</v>
      </c>
      <c r="E926" s="7">
        <v>45635</v>
      </c>
      <c r="F926" t="s">
        <v>80</v>
      </c>
      <c r="G926">
        <v>0</v>
      </c>
      <c r="H926" t="s">
        <v>27</v>
      </c>
      <c r="I926" t="s">
        <v>16</v>
      </c>
      <c r="J926" t="s">
        <v>16</v>
      </c>
      <c r="K926" s="16" t="str">
        <f>VLOOKUP(C926,CheckName!A:B,2,0)</f>
        <v>Emp</v>
      </c>
      <c r="L926">
        <v>0</v>
      </c>
      <c r="M926" s="16">
        <f>DAY(E926)</f>
        <v>9</v>
      </c>
      <c r="N926" t="str">
        <f>TEXT(MTDRejection[[#This Row],[RejectionDate]],"dddd")</f>
        <v>Monday</v>
      </c>
    </row>
    <row r="927" spans="1:14">
      <c r="A927" t="s">
        <v>160</v>
      </c>
      <c r="B927" t="s">
        <v>3605</v>
      </c>
      <c r="C927" t="s">
        <v>125</v>
      </c>
      <c r="D927" t="s">
        <v>26</v>
      </c>
      <c r="E927" s="7">
        <v>45635</v>
      </c>
      <c r="F927" t="s">
        <v>2354</v>
      </c>
      <c r="G927">
        <v>0</v>
      </c>
      <c r="H927" t="s">
        <v>22</v>
      </c>
      <c r="I927" t="s">
        <v>16</v>
      </c>
      <c r="J927" t="s">
        <v>16</v>
      </c>
      <c r="K927" s="16" t="str">
        <f>VLOOKUP(C927,CheckName!A:B,2,0)</f>
        <v>Emp</v>
      </c>
      <c r="L927">
        <v>0</v>
      </c>
      <c r="M927" s="16">
        <f t="shared" ref="M927:M932" si="69">DAY(E927)</f>
        <v>9</v>
      </c>
      <c r="N927" t="str">
        <f>TEXT(MTDRejection[[#This Row],[RejectionDate]],"dddd")</f>
        <v>Monday</v>
      </c>
    </row>
    <row r="928" spans="1:14">
      <c r="A928" t="s">
        <v>100</v>
      </c>
      <c r="B928" t="s">
        <v>3606</v>
      </c>
      <c r="C928" t="s">
        <v>359</v>
      </c>
      <c r="D928" t="s">
        <v>26</v>
      </c>
      <c r="E928" s="7">
        <v>45635</v>
      </c>
      <c r="F928" t="s">
        <v>380</v>
      </c>
      <c r="G928">
        <v>0</v>
      </c>
      <c r="H928" t="s">
        <v>27</v>
      </c>
      <c r="I928" t="s">
        <v>16</v>
      </c>
      <c r="J928" t="s">
        <v>16</v>
      </c>
      <c r="K928" s="16" t="str">
        <f>VLOOKUP(C928,CheckName!A:B,2,0)</f>
        <v>Emp</v>
      </c>
      <c r="L928">
        <v>0</v>
      </c>
      <c r="M928" s="16">
        <f t="shared" si="69"/>
        <v>9</v>
      </c>
      <c r="N928" t="str">
        <f>TEXT(MTDRejection[[#This Row],[RejectionDate]],"dddd")</f>
        <v>Monday</v>
      </c>
    </row>
    <row r="929" spans="1:14">
      <c r="A929" t="s">
        <v>100</v>
      </c>
      <c r="B929" t="s">
        <v>3607</v>
      </c>
      <c r="C929" t="s">
        <v>359</v>
      </c>
      <c r="D929" t="s">
        <v>26</v>
      </c>
      <c r="E929" s="7">
        <v>45635</v>
      </c>
      <c r="F929" t="s">
        <v>380</v>
      </c>
      <c r="G929">
        <v>0</v>
      </c>
      <c r="H929" t="s">
        <v>27</v>
      </c>
      <c r="I929" t="s">
        <v>16</v>
      </c>
      <c r="J929" t="s">
        <v>16</v>
      </c>
      <c r="K929" s="16" t="str">
        <f>VLOOKUP(C929,CheckName!A:B,2,0)</f>
        <v>Emp</v>
      </c>
      <c r="L929">
        <v>0</v>
      </c>
      <c r="M929" s="16">
        <f t="shared" si="69"/>
        <v>9</v>
      </c>
      <c r="N929" t="str">
        <f>TEXT(MTDRejection[[#This Row],[RejectionDate]],"dddd")</f>
        <v>Monday</v>
      </c>
    </row>
    <row r="930" spans="1:14">
      <c r="A930" t="s">
        <v>100</v>
      </c>
      <c r="B930" t="s">
        <v>3608</v>
      </c>
      <c r="C930" t="s">
        <v>357</v>
      </c>
      <c r="D930" t="s">
        <v>26</v>
      </c>
      <c r="E930" s="7">
        <v>45635</v>
      </c>
      <c r="F930" t="s">
        <v>380</v>
      </c>
      <c r="G930">
        <v>0</v>
      </c>
      <c r="H930" t="s">
        <v>27</v>
      </c>
      <c r="I930" t="s">
        <v>16</v>
      </c>
      <c r="J930" t="s">
        <v>16</v>
      </c>
      <c r="K930" s="16" t="str">
        <f>VLOOKUP(C930,CheckName!A:B,2,0)</f>
        <v>Emp</v>
      </c>
      <c r="L930">
        <v>0</v>
      </c>
      <c r="M930" s="16">
        <f t="shared" si="69"/>
        <v>9</v>
      </c>
      <c r="N930" t="str">
        <f>TEXT(MTDRejection[[#This Row],[RejectionDate]],"dddd")</f>
        <v>Monday</v>
      </c>
    </row>
    <row r="931" spans="1:14">
      <c r="A931" t="s">
        <v>100</v>
      </c>
      <c r="B931" t="s">
        <v>3609</v>
      </c>
      <c r="C931" t="s">
        <v>357</v>
      </c>
      <c r="D931" t="s">
        <v>26</v>
      </c>
      <c r="E931" s="7">
        <v>45635</v>
      </c>
      <c r="F931" t="s">
        <v>380</v>
      </c>
      <c r="G931">
        <v>0</v>
      </c>
      <c r="H931" t="s">
        <v>27</v>
      </c>
      <c r="I931" t="s">
        <v>16</v>
      </c>
      <c r="J931" t="s">
        <v>16</v>
      </c>
      <c r="K931" s="16" t="str">
        <f>VLOOKUP(C931,CheckName!A:B,2,0)</f>
        <v>Emp</v>
      </c>
      <c r="L931">
        <v>0</v>
      </c>
      <c r="M931" s="16">
        <f t="shared" si="69"/>
        <v>9</v>
      </c>
      <c r="N931" t="str">
        <f>TEXT(MTDRejection[[#This Row],[RejectionDate]],"dddd")</f>
        <v>Monday</v>
      </c>
    </row>
    <row r="932" spans="1:14">
      <c r="A932" t="s">
        <v>1803</v>
      </c>
      <c r="B932" t="s">
        <v>3610</v>
      </c>
      <c r="C932" t="s">
        <v>12</v>
      </c>
      <c r="D932" t="s">
        <v>26</v>
      </c>
      <c r="E932" s="7">
        <v>45635</v>
      </c>
      <c r="F932" t="s">
        <v>184</v>
      </c>
      <c r="G932">
        <v>0</v>
      </c>
      <c r="H932" t="s">
        <v>22</v>
      </c>
      <c r="I932" t="s">
        <v>16</v>
      </c>
      <c r="J932" t="s">
        <v>16</v>
      </c>
      <c r="K932" s="16" t="str">
        <f>VLOOKUP(C932,CheckName!A:B,2,0)</f>
        <v>Emp</v>
      </c>
      <c r="L932">
        <v>0</v>
      </c>
      <c r="M932" s="16">
        <f t="shared" si="69"/>
        <v>9</v>
      </c>
      <c r="N932" t="str">
        <f>TEXT(MTDRejection[[#This Row],[RejectionDate]],"dddd")</f>
        <v>Monday</v>
      </c>
    </row>
    <row r="933" spans="1:14">
      <c r="A933" t="s">
        <v>81</v>
      </c>
      <c r="B933" t="s">
        <v>3611</v>
      </c>
      <c r="C933" t="s">
        <v>12</v>
      </c>
      <c r="D933" t="s">
        <v>26</v>
      </c>
      <c r="E933" s="7">
        <v>45635</v>
      </c>
      <c r="F933" t="s">
        <v>277</v>
      </c>
      <c r="G933">
        <v>0</v>
      </c>
      <c r="H933" t="s">
        <v>27</v>
      </c>
      <c r="I933" t="s">
        <v>16</v>
      </c>
      <c r="J933" t="s">
        <v>16</v>
      </c>
      <c r="K933" s="16" t="str">
        <f>VLOOKUP(C933,CheckName!A:B,2,0)</f>
        <v>Emp</v>
      </c>
      <c r="L933">
        <v>0</v>
      </c>
      <c r="M933" s="16">
        <f>DAY(E933)</f>
        <v>9</v>
      </c>
      <c r="N933" t="str">
        <f>TEXT(MTDRejection[[#This Row],[RejectionDate]],"dddd")</f>
        <v>Monday</v>
      </c>
    </row>
    <row r="934" spans="1:14">
      <c r="A934" t="s">
        <v>461</v>
      </c>
      <c r="B934" t="s">
        <v>2458</v>
      </c>
      <c r="C934" t="s">
        <v>125</v>
      </c>
      <c r="D934" t="s">
        <v>26</v>
      </c>
      <c r="E934" s="7">
        <v>45635</v>
      </c>
      <c r="F934" t="s">
        <v>83</v>
      </c>
      <c r="G934">
        <v>0</v>
      </c>
      <c r="H934" t="s">
        <v>27</v>
      </c>
      <c r="I934" t="s">
        <v>16</v>
      </c>
      <c r="J934" t="s">
        <v>16</v>
      </c>
      <c r="K934" s="16" t="str">
        <f>VLOOKUP(C934,CheckName!A:B,2,0)</f>
        <v>Emp</v>
      </c>
      <c r="L934">
        <v>0</v>
      </c>
      <c r="M934" s="16">
        <f t="shared" ref="M934:M937" si="70">DAY(E934)</f>
        <v>9</v>
      </c>
      <c r="N934" t="str">
        <f>TEXT(MTDRejection[[#This Row],[RejectionDate]],"dddd")</f>
        <v>Monday</v>
      </c>
    </row>
    <row r="935" spans="1:14">
      <c r="A935" t="s">
        <v>306</v>
      </c>
      <c r="B935" t="s">
        <v>3612</v>
      </c>
      <c r="C935" t="s">
        <v>25</v>
      </c>
      <c r="D935" t="s">
        <v>13</v>
      </c>
      <c r="E935" s="7">
        <v>45635</v>
      </c>
      <c r="F935" t="s">
        <v>844</v>
      </c>
      <c r="G935">
        <v>0</v>
      </c>
      <c r="H935" t="s">
        <v>15</v>
      </c>
      <c r="I935" t="s">
        <v>16</v>
      </c>
      <c r="J935" t="s">
        <v>16</v>
      </c>
      <c r="K935" s="16" t="str">
        <f>VLOOKUP(C935,CheckName!A:B,2,0)</f>
        <v>Add</v>
      </c>
      <c r="L935">
        <v>0</v>
      </c>
      <c r="M935" s="16">
        <f t="shared" si="70"/>
        <v>9</v>
      </c>
      <c r="N935" t="str">
        <f>TEXT(MTDRejection[[#This Row],[RejectionDate]],"dddd")</f>
        <v>Monday</v>
      </c>
    </row>
    <row r="936" spans="1:14">
      <c r="A936" t="s">
        <v>306</v>
      </c>
      <c r="B936" t="s">
        <v>3613</v>
      </c>
      <c r="C936" t="s">
        <v>71</v>
      </c>
      <c r="D936" t="s">
        <v>13</v>
      </c>
      <c r="E936" s="7">
        <v>45635</v>
      </c>
      <c r="F936" t="s">
        <v>844</v>
      </c>
      <c r="G936">
        <v>0</v>
      </c>
      <c r="H936" t="s">
        <v>15</v>
      </c>
      <c r="I936" t="s">
        <v>16</v>
      </c>
      <c r="J936" t="s">
        <v>16</v>
      </c>
      <c r="K936" s="16" t="str">
        <f>VLOOKUP(C936,CheckName!A:B,2,0)</f>
        <v>CRC</v>
      </c>
      <c r="L936">
        <v>0</v>
      </c>
      <c r="M936" s="16">
        <f t="shared" si="70"/>
        <v>9</v>
      </c>
      <c r="N936" t="str">
        <f>TEXT(MTDRejection[[#This Row],[RejectionDate]],"dddd")</f>
        <v>Monday</v>
      </c>
    </row>
    <row r="937" spans="1:14">
      <c r="A937" t="s">
        <v>45</v>
      </c>
      <c r="B937" t="s">
        <v>3614</v>
      </c>
      <c r="C937" t="s">
        <v>54</v>
      </c>
      <c r="D937" t="s">
        <v>26</v>
      </c>
      <c r="E937" s="7">
        <v>45635</v>
      </c>
      <c r="F937" t="s">
        <v>535</v>
      </c>
      <c r="G937">
        <v>0</v>
      </c>
      <c r="H937" t="s">
        <v>27</v>
      </c>
      <c r="I937" t="s">
        <v>16</v>
      </c>
      <c r="J937" t="s">
        <v>16</v>
      </c>
      <c r="K937" s="16" t="str">
        <f>VLOOKUP(C937,CheckName!A:B,2,0)</f>
        <v>Edu</v>
      </c>
      <c r="L937">
        <v>0</v>
      </c>
      <c r="M937" s="16">
        <f t="shared" si="70"/>
        <v>9</v>
      </c>
      <c r="N937" t="str">
        <f>TEXT(MTDRejection[[#This Row],[RejectionDate]],"dddd")</f>
        <v>Monday</v>
      </c>
    </row>
    <row r="938" spans="1:14">
      <c r="A938" t="s">
        <v>47</v>
      </c>
      <c r="B938" t="s">
        <v>2444</v>
      </c>
      <c r="C938" t="s">
        <v>12</v>
      </c>
      <c r="D938" t="s">
        <v>13</v>
      </c>
      <c r="E938" s="7">
        <v>45635</v>
      </c>
      <c r="F938" t="s">
        <v>107</v>
      </c>
      <c r="G938">
        <v>0</v>
      </c>
      <c r="H938" t="s">
        <v>15</v>
      </c>
      <c r="I938" t="s">
        <v>16</v>
      </c>
      <c r="J938" t="s">
        <v>16</v>
      </c>
      <c r="K938" s="16" t="str">
        <f>VLOOKUP(C938,CheckName!A:B,2,0)</f>
        <v>Emp</v>
      </c>
      <c r="L938">
        <v>0</v>
      </c>
      <c r="M938" s="16">
        <f t="shared" ref="M938:M944" si="71">DAY(E938)</f>
        <v>9</v>
      </c>
      <c r="N938" t="str">
        <f>TEXT(MTDRejection[[#This Row],[RejectionDate]],"dddd")</f>
        <v>Monday</v>
      </c>
    </row>
    <row r="939" spans="1:14">
      <c r="A939" t="s">
        <v>47</v>
      </c>
      <c r="B939" t="s">
        <v>2459</v>
      </c>
      <c r="C939" t="s">
        <v>36</v>
      </c>
      <c r="D939" t="s">
        <v>13</v>
      </c>
      <c r="E939" s="7">
        <v>45635</v>
      </c>
      <c r="F939" t="s">
        <v>107</v>
      </c>
      <c r="G939">
        <v>0</v>
      </c>
      <c r="H939" t="s">
        <v>15</v>
      </c>
      <c r="I939" t="s">
        <v>16</v>
      </c>
      <c r="J939" t="s">
        <v>16</v>
      </c>
      <c r="K939" s="16" t="str">
        <f>VLOOKUP(C939,CheckName!A:B,2,0)</f>
        <v>Emp</v>
      </c>
      <c r="L939">
        <v>0</v>
      </c>
      <c r="M939" s="16">
        <f t="shared" si="71"/>
        <v>9</v>
      </c>
      <c r="N939" t="str">
        <f>TEXT(MTDRejection[[#This Row],[RejectionDate]],"dddd")</f>
        <v>Monday</v>
      </c>
    </row>
    <row r="940" spans="1:14">
      <c r="A940" t="s">
        <v>299</v>
      </c>
      <c r="B940" t="s">
        <v>3615</v>
      </c>
      <c r="C940" t="s">
        <v>12</v>
      </c>
      <c r="D940" t="s">
        <v>13</v>
      </c>
      <c r="E940" s="7">
        <v>45635</v>
      </c>
      <c r="F940" t="s">
        <v>107</v>
      </c>
      <c r="G940">
        <v>0</v>
      </c>
      <c r="H940" t="s">
        <v>130</v>
      </c>
      <c r="I940" t="s">
        <v>16</v>
      </c>
      <c r="J940" t="s">
        <v>16</v>
      </c>
      <c r="K940" s="16" t="str">
        <f>VLOOKUP(C940,CheckName!A:B,2,0)</f>
        <v>Emp</v>
      </c>
      <c r="L940">
        <v>0</v>
      </c>
      <c r="M940" s="16">
        <f t="shared" si="71"/>
        <v>9</v>
      </c>
      <c r="N940" t="str">
        <f>TEXT(MTDRejection[[#This Row],[RejectionDate]],"dddd")</f>
        <v>Monday</v>
      </c>
    </row>
    <row r="941" spans="1:14">
      <c r="A941" t="s">
        <v>119</v>
      </c>
      <c r="B941" t="s">
        <v>3616</v>
      </c>
      <c r="C941" t="s">
        <v>93</v>
      </c>
      <c r="D941" t="s">
        <v>13</v>
      </c>
      <c r="E941" s="7">
        <v>45635</v>
      </c>
      <c r="F941" t="s">
        <v>579</v>
      </c>
      <c r="G941">
        <v>0</v>
      </c>
      <c r="H941" t="s">
        <v>15</v>
      </c>
      <c r="I941" t="s">
        <v>16</v>
      </c>
      <c r="J941" t="s">
        <v>16</v>
      </c>
      <c r="K941" s="16" t="str">
        <f>VLOOKUP(C941,CheckName!A:B,2,0)</f>
        <v>Edu</v>
      </c>
      <c r="L941">
        <v>0</v>
      </c>
      <c r="M941" s="16">
        <f t="shared" si="71"/>
        <v>9</v>
      </c>
      <c r="N941" t="str">
        <f>TEXT(MTDRejection[[#This Row],[RejectionDate]],"dddd")</f>
        <v>Monday</v>
      </c>
    </row>
    <row r="942" spans="1:14">
      <c r="A942" t="s">
        <v>91</v>
      </c>
      <c r="B942" t="s">
        <v>3617</v>
      </c>
      <c r="C942" t="s">
        <v>12</v>
      </c>
      <c r="D942" t="s">
        <v>26</v>
      </c>
      <c r="E942" s="7">
        <v>45635</v>
      </c>
      <c r="F942" t="s">
        <v>159</v>
      </c>
      <c r="G942">
        <v>0</v>
      </c>
      <c r="H942" t="s">
        <v>27</v>
      </c>
      <c r="I942" t="s">
        <v>16</v>
      </c>
      <c r="J942" t="s">
        <v>16</v>
      </c>
      <c r="K942" s="16" t="str">
        <f>VLOOKUP(C942,CheckName!A:B,2,0)</f>
        <v>Emp</v>
      </c>
      <c r="L942">
        <v>0</v>
      </c>
      <c r="M942" s="16">
        <f t="shared" si="71"/>
        <v>9</v>
      </c>
      <c r="N942" t="str">
        <f>TEXT(MTDRejection[[#This Row],[RejectionDate]],"dddd")</f>
        <v>Monday</v>
      </c>
    </row>
    <row r="943" spans="1:14">
      <c r="A943" t="s">
        <v>288</v>
      </c>
      <c r="B943" t="s">
        <v>3618</v>
      </c>
      <c r="C943" t="s">
        <v>12</v>
      </c>
      <c r="D943" t="s">
        <v>26</v>
      </c>
      <c r="E943" s="7">
        <v>45635</v>
      </c>
      <c r="F943" t="s">
        <v>159</v>
      </c>
      <c r="G943">
        <v>0</v>
      </c>
      <c r="H943" t="s">
        <v>22</v>
      </c>
      <c r="I943" t="s">
        <v>16</v>
      </c>
      <c r="J943" t="s">
        <v>16</v>
      </c>
      <c r="K943" s="16" t="str">
        <f>VLOOKUP(C943,CheckName!A:B,2,0)</f>
        <v>Emp</v>
      </c>
      <c r="L943">
        <v>0</v>
      </c>
      <c r="M943" s="16">
        <f t="shared" si="71"/>
        <v>9</v>
      </c>
      <c r="N943" t="str">
        <f>TEXT(MTDRejection[[#This Row],[RejectionDate]],"dddd")</f>
        <v>Monday</v>
      </c>
    </row>
    <row r="944" spans="1:14">
      <c r="A944" t="s">
        <v>40</v>
      </c>
      <c r="B944" t="s">
        <v>3619</v>
      </c>
      <c r="C944" t="s">
        <v>12</v>
      </c>
      <c r="D944" t="s">
        <v>26</v>
      </c>
      <c r="E944" s="7">
        <v>45635</v>
      </c>
      <c r="F944" t="s">
        <v>2337</v>
      </c>
      <c r="G944">
        <v>0</v>
      </c>
      <c r="H944" t="s">
        <v>27</v>
      </c>
      <c r="I944" t="s">
        <v>16</v>
      </c>
      <c r="J944" t="s">
        <v>16</v>
      </c>
      <c r="K944" s="16" t="str">
        <f>VLOOKUP(C944,CheckName!A:B,2,0)</f>
        <v>Emp</v>
      </c>
      <c r="L944">
        <v>0</v>
      </c>
      <c r="M944" s="16">
        <f t="shared" si="71"/>
        <v>9</v>
      </c>
      <c r="N944" t="str">
        <f>TEXT(MTDRejection[[#This Row],[RejectionDate]],"dddd")</f>
        <v>Monday</v>
      </c>
    </row>
    <row r="945" spans="1:14">
      <c r="A945" t="s">
        <v>1804</v>
      </c>
      <c r="B945" t="s">
        <v>3620</v>
      </c>
      <c r="C945" t="s">
        <v>25</v>
      </c>
      <c r="D945" t="s">
        <v>20</v>
      </c>
      <c r="E945" s="7">
        <v>45635</v>
      </c>
      <c r="F945" t="s">
        <v>129</v>
      </c>
      <c r="G945">
        <v>0</v>
      </c>
      <c r="H945" t="s">
        <v>22</v>
      </c>
      <c r="I945" t="s">
        <v>16</v>
      </c>
      <c r="J945" t="s">
        <v>16</v>
      </c>
      <c r="K945" s="16" t="str">
        <f>VLOOKUP(C945,CheckName!A:B,2,0)</f>
        <v>Add</v>
      </c>
      <c r="L945">
        <v>0</v>
      </c>
      <c r="M945" s="16">
        <f t="shared" ref="M945:M949" si="72">DAY(E945)</f>
        <v>9</v>
      </c>
      <c r="N945" t="str">
        <f>TEXT(MTDRejection[[#This Row],[RejectionDate]],"dddd")</f>
        <v>Monday</v>
      </c>
    </row>
    <row r="946" spans="1:14">
      <c r="A946" t="s">
        <v>81</v>
      </c>
      <c r="B946" t="s">
        <v>2460</v>
      </c>
      <c r="C946" t="s">
        <v>12</v>
      </c>
      <c r="D946" t="s">
        <v>26</v>
      </c>
      <c r="E946" s="7">
        <v>45635</v>
      </c>
      <c r="F946" t="s">
        <v>2355</v>
      </c>
      <c r="G946">
        <v>0</v>
      </c>
      <c r="H946" t="s">
        <v>27</v>
      </c>
      <c r="I946" t="s">
        <v>16</v>
      </c>
      <c r="J946" t="s">
        <v>16</v>
      </c>
      <c r="K946" s="16" t="str">
        <f>VLOOKUP(C946,CheckName!A:B,2,0)</f>
        <v>Emp</v>
      </c>
      <c r="L946">
        <v>0</v>
      </c>
      <c r="M946" s="16">
        <f t="shared" si="72"/>
        <v>9</v>
      </c>
      <c r="N946" t="str">
        <f>TEXT(MTDRejection[[#This Row],[RejectionDate]],"dddd")</f>
        <v>Monday</v>
      </c>
    </row>
    <row r="947" spans="1:14">
      <c r="A947" t="s">
        <v>580</v>
      </c>
      <c r="B947" t="s">
        <v>2461</v>
      </c>
      <c r="C947" t="s">
        <v>25</v>
      </c>
      <c r="D947" t="s">
        <v>20</v>
      </c>
      <c r="E947" s="7">
        <v>45635</v>
      </c>
      <c r="F947" t="s">
        <v>129</v>
      </c>
      <c r="G947">
        <v>0</v>
      </c>
      <c r="H947" t="s">
        <v>27</v>
      </c>
      <c r="I947" t="s">
        <v>16</v>
      </c>
      <c r="J947" t="s">
        <v>16</v>
      </c>
      <c r="K947" s="16" t="str">
        <f>VLOOKUP(C947,CheckName!A:B,2,0)</f>
        <v>Add</v>
      </c>
      <c r="L947">
        <v>0</v>
      </c>
      <c r="M947" s="16">
        <f t="shared" si="72"/>
        <v>9</v>
      </c>
      <c r="N947" t="str">
        <f>TEXT(MTDRejection[[#This Row],[RejectionDate]],"dddd")</f>
        <v>Monday</v>
      </c>
    </row>
    <row r="948" spans="1:14">
      <c r="A948" t="s">
        <v>1805</v>
      </c>
      <c r="B948" t="s">
        <v>3621</v>
      </c>
      <c r="C948" t="s">
        <v>19</v>
      </c>
      <c r="D948" t="s">
        <v>20</v>
      </c>
      <c r="E948" s="7">
        <v>45635</v>
      </c>
      <c r="F948" t="s">
        <v>129</v>
      </c>
      <c r="G948">
        <v>0</v>
      </c>
      <c r="H948" t="s">
        <v>22</v>
      </c>
      <c r="I948" t="s">
        <v>16</v>
      </c>
      <c r="J948" t="s">
        <v>16</v>
      </c>
      <c r="K948" s="16" t="str">
        <f>VLOOKUP(C948,CheckName!A:B,2,0)</f>
        <v>Add</v>
      </c>
      <c r="L948">
        <v>0</v>
      </c>
      <c r="M948" s="16">
        <f t="shared" si="72"/>
        <v>9</v>
      </c>
      <c r="N948" t="str">
        <f>TEXT(MTDRejection[[#This Row],[RejectionDate]],"dddd")</f>
        <v>Monday</v>
      </c>
    </row>
    <row r="949" spans="1:14">
      <c r="A949" t="s">
        <v>200</v>
      </c>
      <c r="B949" t="s">
        <v>3622</v>
      </c>
      <c r="C949" t="s">
        <v>25</v>
      </c>
      <c r="D949" t="s">
        <v>20</v>
      </c>
      <c r="E949" s="7">
        <v>45635</v>
      </c>
      <c r="F949" t="s">
        <v>129</v>
      </c>
      <c r="G949">
        <v>0</v>
      </c>
      <c r="H949" t="s">
        <v>22</v>
      </c>
      <c r="I949" t="s">
        <v>16</v>
      </c>
      <c r="J949" t="s">
        <v>16</v>
      </c>
      <c r="K949" s="16" t="str">
        <f>VLOOKUP(C949,CheckName!A:B,2,0)</f>
        <v>Add</v>
      </c>
      <c r="L949">
        <v>0</v>
      </c>
      <c r="M949" s="16">
        <f t="shared" si="72"/>
        <v>9</v>
      </c>
      <c r="N949" t="str">
        <f>TEXT(MTDRejection[[#This Row],[RejectionDate]],"dddd")</f>
        <v>Monday</v>
      </c>
    </row>
    <row r="950" spans="1:14">
      <c r="A950" t="s">
        <v>306</v>
      </c>
      <c r="B950" t="s">
        <v>3623</v>
      </c>
      <c r="C950" t="s">
        <v>49</v>
      </c>
      <c r="D950" t="s">
        <v>51</v>
      </c>
      <c r="E950" s="7">
        <v>45636</v>
      </c>
      <c r="F950" t="s">
        <v>555</v>
      </c>
      <c r="G950">
        <v>0</v>
      </c>
      <c r="H950" t="s">
        <v>53</v>
      </c>
      <c r="I950" t="s">
        <v>16</v>
      </c>
      <c r="J950" t="s">
        <v>16</v>
      </c>
      <c r="K950" s="16" t="str">
        <f>VLOOKUP(C950,CheckName!A:B,2,0)</f>
        <v>CRC</v>
      </c>
      <c r="L950">
        <v>0</v>
      </c>
      <c r="M950" s="16">
        <f t="shared" ref="M950:M960" si="73">DAY(E950)</f>
        <v>10</v>
      </c>
      <c r="N950" t="str">
        <f>TEXT(MTDRejection[[#This Row],[RejectionDate]],"dddd")</f>
        <v>Tuesday</v>
      </c>
    </row>
    <row r="951" spans="1:14">
      <c r="A951" t="s">
        <v>1007</v>
      </c>
      <c r="B951" t="s">
        <v>3624</v>
      </c>
      <c r="C951" t="s">
        <v>54</v>
      </c>
      <c r="D951" t="s">
        <v>51</v>
      </c>
      <c r="E951" s="7">
        <v>45636</v>
      </c>
      <c r="F951" t="s">
        <v>52</v>
      </c>
      <c r="G951">
        <v>0</v>
      </c>
      <c r="H951" t="s">
        <v>53</v>
      </c>
      <c r="I951" t="s">
        <v>16</v>
      </c>
      <c r="J951" t="s">
        <v>16</v>
      </c>
      <c r="K951" s="16" t="str">
        <f>VLOOKUP(C951,CheckName!A:B,2,0)</f>
        <v>Edu</v>
      </c>
      <c r="L951">
        <v>0</v>
      </c>
      <c r="M951" s="16">
        <f t="shared" si="73"/>
        <v>10</v>
      </c>
      <c r="N951" t="str">
        <f>TEXT(MTDRejection[[#This Row],[RejectionDate]],"dddd")</f>
        <v>Tuesday</v>
      </c>
    </row>
    <row r="952" spans="1:14">
      <c r="A952" t="s">
        <v>142</v>
      </c>
      <c r="B952" t="s">
        <v>3625</v>
      </c>
      <c r="C952" t="s">
        <v>12</v>
      </c>
      <c r="D952" t="s">
        <v>26</v>
      </c>
      <c r="E952" s="7">
        <v>45636</v>
      </c>
      <c r="F952" t="s">
        <v>222</v>
      </c>
      <c r="G952">
        <v>0</v>
      </c>
      <c r="H952" t="s">
        <v>22</v>
      </c>
      <c r="I952" t="s">
        <v>16</v>
      </c>
      <c r="J952" t="s">
        <v>16</v>
      </c>
      <c r="K952" s="16" t="str">
        <f>VLOOKUP(C952,CheckName!A:B,2,0)</f>
        <v>Emp</v>
      </c>
      <c r="L952">
        <v>0</v>
      </c>
      <c r="M952" s="16">
        <f t="shared" si="73"/>
        <v>10</v>
      </c>
      <c r="N952" t="str">
        <f>TEXT(MTDRejection[[#This Row],[RejectionDate]],"dddd")</f>
        <v>Tuesday</v>
      </c>
    </row>
    <row r="953" spans="1:14">
      <c r="A953" t="s">
        <v>1806</v>
      </c>
      <c r="B953" t="s">
        <v>3626</v>
      </c>
      <c r="C953" t="s">
        <v>54</v>
      </c>
      <c r="D953" t="s">
        <v>26</v>
      </c>
      <c r="E953" s="7">
        <v>45636</v>
      </c>
      <c r="F953" t="s">
        <v>63</v>
      </c>
      <c r="G953">
        <v>0</v>
      </c>
      <c r="H953" t="s">
        <v>27</v>
      </c>
      <c r="I953" t="s">
        <v>16</v>
      </c>
      <c r="J953" t="s">
        <v>16</v>
      </c>
      <c r="K953" s="16" t="str">
        <f>VLOOKUP(C953,CheckName!A:B,2,0)</f>
        <v>Edu</v>
      </c>
      <c r="L953">
        <v>0</v>
      </c>
      <c r="M953" s="16">
        <f t="shared" si="73"/>
        <v>10</v>
      </c>
      <c r="N953" t="str">
        <f>TEXT(MTDRejection[[#This Row],[RejectionDate]],"dddd")</f>
        <v>Tuesday</v>
      </c>
    </row>
    <row r="954" spans="1:14">
      <c r="A954" t="s">
        <v>461</v>
      </c>
      <c r="B954" t="s">
        <v>3627</v>
      </c>
      <c r="C954" t="s">
        <v>54</v>
      </c>
      <c r="D954" t="s">
        <v>26</v>
      </c>
      <c r="E954" s="7">
        <v>45636</v>
      </c>
      <c r="F954" t="s">
        <v>63</v>
      </c>
      <c r="G954">
        <v>0</v>
      </c>
      <c r="H954" t="s">
        <v>30</v>
      </c>
      <c r="I954" t="s">
        <v>16</v>
      </c>
      <c r="J954" t="s">
        <v>16</v>
      </c>
      <c r="K954" s="16" t="str">
        <f>VLOOKUP(C954,CheckName!A:B,2,0)</f>
        <v>Edu</v>
      </c>
      <c r="L954">
        <v>0</v>
      </c>
      <c r="M954" s="16">
        <f t="shared" si="73"/>
        <v>10</v>
      </c>
      <c r="N954" t="str">
        <f>TEXT(MTDRejection[[#This Row],[RejectionDate]],"dddd")</f>
        <v>Tuesday</v>
      </c>
    </row>
    <row r="955" spans="1:14">
      <c r="A955" t="s">
        <v>100</v>
      </c>
      <c r="B955" t="s">
        <v>3628</v>
      </c>
      <c r="C955" t="s">
        <v>357</v>
      </c>
      <c r="D955" t="s">
        <v>26</v>
      </c>
      <c r="E955" s="7">
        <v>45636</v>
      </c>
      <c r="F955" t="s">
        <v>83</v>
      </c>
      <c r="G955">
        <v>0</v>
      </c>
      <c r="H955" t="s">
        <v>130</v>
      </c>
      <c r="I955" t="s">
        <v>16</v>
      </c>
      <c r="J955" t="s">
        <v>16</v>
      </c>
      <c r="K955" s="16" t="str">
        <f>VLOOKUP(C955,CheckName!A:B,2,0)</f>
        <v>Emp</v>
      </c>
      <c r="L955">
        <v>0</v>
      </c>
      <c r="M955" s="16">
        <f t="shared" si="73"/>
        <v>10</v>
      </c>
      <c r="N955" t="str">
        <f>TEXT(MTDRejection[[#This Row],[RejectionDate]],"dddd")</f>
        <v>Tuesday</v>
      </c>
    </row>
    <row r="956" spans="1:14">
      <c r="A956" t="s">
        <v>40</v>
      </c>
      <c r="B956" t="s">
        <v>3629</v>
      </c>
      <c r="C956" t="s">
        <v>12</v>
      </c>
      <c r="D956" t="s">
        <v>26</v>
      </c>
      <c r="E956" s="7">
        <v>45636</v>
      </c>
      <c r="F956" t="s">
        <v>83</v>
      </c>
      <c r="G956">
        <v>0</v>
      </c>
      <c r="H956" t="s">
        <v>27</v>
      </c>
      <c r="I956" t="s">
        <v>16</v>
      </c>
      <c r="J956" t="s">
        <v>16</v>
      </c>
      <c r="K956" s="16" t="str">
        <f>VLOOKUP(C956,CheckName!A:B,2,0)</f>
        <v>Emp</v>
      </c>
      <c r="L956">
        <v>0</v>
      </c>
      <c r="M956" s="16">
        <f t="shared" si="73"/>
        <v>10</v>
      </c>
      <c r="N956" t="str">
        <f>TEXT(MTDRejection[[#This Row],[RejectionDate]],"dddd")</f>
        <v>Tuesday</v>
      </c>
    </row>
    <row r="957" spans="1:14">
      <c r="A957" t="s">
        <v>84</v>
      </c>
      <c r="B957" t="s">
        <v>3630</v>
      </c>
      <c r="C957" t="s">
        <v>112</v>
      </c>
      <c r="D957" t="s">
        <v>26</v>
      </c>
      <c r="E957" s="7">
        <v>45636</v>
      </c>
      <c r="F957" t="s">
        <v>2333</v>
      </c>
      <c r="G957">
        <v>0</v>
      </c>
      <c r="H957" t="s">
        <v>27</v>
      </c>
      <c r="I957" t="s">
        <v>16</v>
      </c>
      <c r="J957" t="s">
        <v>16</v>
      </c>
      <c r="K957" s="16" t="str">
        <f>VLOOKUP(C957,CheckName!A:B,2,0)</f>
        <v>Emp</v>
      </c>
      <c r="L957">
        <v>0</v>
      </c>
      <c r="M957" s="16">
        <f t="shared" si="73"/>
        <v>10</v>
      </c>
      <c r="N957" t="str">
        <f>TEXT(MTDRejection[[#This Row],[RejectionDate]],"dddd")</f>
        <v>Tuesday</v>
      </c>
    </row>
    <row r="958" spans="1:14">
      <c r="A958" t="s">
        <v>84</v>
      </c>
      <c r="B958" t="s">
        <v>3631</v>
      </c>
      <c r="C958" t="s">
        <v>36</v>
      </c>
      <c r="D958" t="s">
        <v>26</v>
      </c>
      <c r="E958" s="7">
        <v>45636</v>
      </c>
      <c r="F958" t="s">
        <v>2355</v>
      </c>
      <c r="G958">
        <v>0</v>
      </c>
      <c r="H958" t="s">
        <v>27</v>
      </c>
      <c r="I958" t="s">
        <v>16</v>
      </c>
      <c r="J958" t="s">
        <v>16</v>
      </c>
      <c r="K958" s="16" t="str">
        <f>VLOOKUP(C958,CheckName!A:B,2,0)</f>
        <v>Emp</v>
      </c>
      <c r="L958">
        <v>0</v>
      </c>
      <c r="M958" s="16">
        <f t="shared" si="73"/>
        <v>10</v>
      </c>
      <c r="N958" t="str">
        <f>TEXT(MTDRejection[[#This Row],[RejectionDate]],"dddd")</f>
        <v>Tuesday</v>
      </c>
    </row>
    <row r="959" spans="1:14">
      <c r="A959" t="s">
        <v>419</v>
      </c>
      <c r="B959" t="s">
        <v>3632</v>
      </c>
      <c r="C959" t="s">
        <v>19</v>
      </c>
      <c r="D959" t="s">
        <v>20</v>
      </c>
      <c r="E959" s="7">
        <v>45635</v>
      </c>
      <c r="F959" t="s">
        <v>129</v>
      </c>
      <c r="G959">
        <v>1</v>
      </c>
      <c r="H959" t="s">
        <v>22</v>
      </c>
      <c r="I959" t="s">
        <v>16</v>
      </c>
      <c r="J959" t="s">
        <v>16</v>
      </c>
      <c r="K959" s="16" t="str">
        <f>VLOOKUP(C959,CheckName!A:B,2,0)</f>
        <v>Add</v>
      </c>
      <c r="L959">
        <v>0</v>
      </c>
      <c r="M959" s="16">
        <f t="shared" si="73"/>
        <v>9</v>
      </c>
      <c r="N959" t="str">
        <f>TEXT(MTDRejection[[#This Row],[RejectionDate]],"dddd")</f>
        <v>Monday</v>
      </c>
    </row>
    <row r="960" spans="1:14">
      <c r="A960" t="s">
        <v>127</v>
      </c>
      <c r="B960" t="s">
        <v>3633</v>
      </c>
      <c r="C960" t="s">
        <v>12</v>
      </c>
      <c r="D960" t="s">
        <v>26</v>
      </c>
      <c r="E960" s="7">
        <v>45635</v>
      </c>
      <c r="F960" t="s">
        <v>2355</v>
      </c>
      <c r="G960">
        <v>1</v>
      </c>
      <c r="H960" t="s">
        <v>27</v>
      </c>
      <c r="I960" t="s">
        <v>16</v>
      </c>
      <c r="J960" t="s">
        <v>16</v>
      </c>
      <c r="K960" s="16" t="str">
        <f>VLOOKUP(C960,CheckName!A:B,2,0)</f>
        <v>Emp</v>
      </c>
      <c r="L960">
        <v>0</v>
      </c>
      <c r="M960" s="16">
        <f t="shared" si="73"/>
        <v>9</v>
      </c>
      <c r="N960" t="str">
        <f>TEXT(MTDRejection[[#This Row],[RejectionDate]],"dddd")</f>
        <v>Monday</v>
      </c>
    </row>
    <row r="961" spans="1:14">
      <c r="A961" t="s">
        <v>1435</v>
      </c>
      <c r="B961" t="s">
        <v>2462</v>
      </c>
      <c r="C961" t="s">
        <v>25</v>
      </c>
      <c r="D961" t="s">
        <v>26</v>
      </c>
      <c r="E961" s="7">
        <v>45635</v>
      </c>
      <c r="F961" t="s">
        <v>129</v>
      </c>
      <c r="G961">
        <v>1</v>
      </c>
      <c r="H961" t="s">
        <v>27</v>
      </c>
      <c r="I961" t="s">
        <v>16</v>
      </c>
      <c r="J961" t="s">
        <v>16</v>
      </c>
      <c r="K961" s="16" t="str">
        <f>VLOOKUP(C961,CheckName!A:B,2,0)</f>
        <v>Add</v>
      </c>
      <c r="L961">
        <v>0</v>
      </c>
      <c r="M961" s="16">
        <f t="shared" ref="M961:M963" si="74">DAY(E961)</f>
        <v>9</v>
      </c>
      <c r="N961" t="str">
        <f>TEXT(MTDRejection[[#This Row],[RejectionDate]],"dddd")</f>
        <v>Monday</v>
      </c>
    </row>
    <row r="962" spans="1:14">
      <c r="A962" t="s">
        <v>1435</v>
      </c>
      <c r="B962" t="s">
        <v>3634</v>
      </c>
      <c r="C962" t="s">
        <v>25</v>
      </c>
      <c r="D962" t="s">
        <v>26</v>
      </c>
      <c r="E962" s="7">
        <v>45635</v>
      </c>
      <c r="F962" t="s">
        <v>129</v>
      </c>
      <c r="G962">
        <v>1</v>
      </c>
      <c r="H962" t="s">
        <v>27</v>
      </c>
      <c r="I962" t="s">
        <v>16</v>
      </c>
      <c r="J962" t="s">
        <v>16</v>
      </c>
      <c r="K962" s="16" t="str">
        <f>VLOOKUP(C962,CheckName!A:B,2,0)</f>
        <v>Add</v>
      </c>
      <c r="L962">
        <v>0</v>
      </c>
      <c r="M962" s="16">
        <f t="shared" si="74"/>
        <v>9</v>
      </c>
      <c r="N962" t="str">
        <f>TEXT(MTDRejection[[#This Row],[RejectionDate]],"dddd")</f>
        <v>Monday</v>
      </c>
    </row>
    <row r="963" spans="1:14">
      <c r="A963" t="s">
        <v>1807</v>
      </c>
      <c r="B963" t="s">
        <v>3635</v>
      </c>
      <c r="C963" t="s">
        <v>54</v>
      </c>
      <c r="D963" t="s">
        <v>26</v>
      </c>
      <c r="E963" s="7">
        <v>45635</v>
      </c>
      <c r="F963" t="s">
        <v>1304</v>
      </c>
      <c r="G963">
        <v>1</v>
      </c>
      <c r="H963" t="s">
        <v>27</v>
      </c>
      <c r="I963" t="s">
        <v>16</v>
      </c>
      <c r="J963" t="s">
        <v>16</v>
      </c>
      <c r="K963" s="16" t="str">
        <f>VLOOKUP(C963,CheckName!A:B,2,0)</f>
        <v>Edu</v>
      </c>
      <c r="L963">
        <v>0</v>
      </c>
      <c r="M963" s="16">
        <f t="shared" si="74"/>
        <v>9</v>
      </c>
      <c r="N963" t="str">
        <f>TEXT(MTDRejection[[#This Row],[RejectionDate]],"dddd")</f>
        <v>Monday</v>
      </c>
    </row>
    <row r="964" spans="1:14">
      <c r="A964" t="s">
        <v>306</v>
      </c>
      <c r="B964" t="s">
        <v>3636</v>
      </c>
      <c r="C964" t="s">
        <v>125</v>
      </c>
      <c r="D964" t="s">
        <v>26</v>
      </c>
      <c r="E964" s="7">
        <v>45635</v>
      </c>
      <c r="F964" t="s">
        <v>2336</v>
      </c>
      <c r="G964">
        <v>1</v>
      </c>
      <c r="H964" t="s">
        <v>27</v>
      </c>
      <c r="I964" t="s">
        <v>16</v>
      </c>
      <c r="J964" t="s">
        <v>16</v>
      </c>
      <c r="K964" s="16" t="str">
        <f>VLOOKUP(C964,CheckName!A:B,2,0)</f>
        <v>Emp</v>
      </c>
      <c r="L964">
        <v>0</v>
      </c>
      <c r="M964" s="16">
        <f t="shared" ref="M964:M966" si="75">DAY(E964)</f>
        <v>9</v>
      </c>
      <c r="N964" t="str">
        <f>TEXT(MTDRejection[[#This Row],[RejectionDate]],"dddd")</f>
        <v>Monday</v>
      </c>
    </row>
    <row r="965" spans="1:14">
      <c r="A965" t="s">
        <v>1204</v>
      </c>
      <c r="B965" t="s">
        <v>3637</v>
      </c>
      <c r="C965" t="s">
        <v>36</v>
      </c>
      <c r="D965" t="s">
        <v>26</v>
      </c>
      <c r="E965" s="7">
        <v>45635</v>
      </c>
      <c r="F965" t="s">
        <v>115</v>
      </c>
      <c r="G965">
        <v>1</v>
      </c>
      <c r="H965" t="s">
        <v>130</v>
      </c>
      <c r="I965" t="s">
        <v>16</v>
      </c>
      <c r="J965" t="s">
        <v>16</v>
      </c>
      <c r="K965" s="16" t="str">
        <f>VLOOKUP(C965,CheckName!A:B,2,0)</f>
        <v>Emp</v>
      </c>
      <c r="L965">
        <v>0</v>
      </c>
      <c r="M965" s="16">
        <f t="shared" si="75"/>
        <v>9</v>
      </c>
      <c r="N965" t="str">
        <f>TEXT(MTDRejection[[#This Row],[RejectionDate]],"dddd")</f>
        <v>Monday</v>
      </c>
    </row>
    <row r="966" spans="1:14">
      <c r="A966" t="s">
        <v>1808</v>
      </c>
      <c r="B966" t="s">
        <v>3638</v>
      </c>
      <c r="C966" t="s">
        <v>36</v>
      </c>
      <c r="D966" t="s">
        <v>26</v>
      </c>
      <c r="E966" s="7">
        <v>45635</v>
      </c>
      <c r="F966" t="s">
        <v>2339</v>
      </c>
      <c r="G966">
        <v>1</v>
      </c>
      <c r="H966" t="s">
        <v>27</v>
      </c>
      <c r="I966" t="s">
        <v>16</v>
      </c>
      <c r="J966" t="s">
        <v>16</v>
      </c>
      <c r="K966" s="16" t="str">
        <f>VLOOKUP(C966,CheckName!A:B,2,0)</f>
        <v>Emp</v>
      </c>
      <c r="L966">
        <v>0</v>
      </c>
      <c r="M966" s="16">
        <f t="shared" si="75"/>
        <v>9</v>
      </c>
      <c r="N966" t="str">
        <f>TEXT(MTDRejection[[#This Row],[RejectionDate]],"dddd")</f>
        <v>Monday</v>
      </c>
    </row>
    <row r="967" spans="1:14">
      <c r="A967" t="s">
        <v>687</v>
      </c>
      <c r="B967" t="s">
        <v>3639</v>
      </c>
      <c r="C967" t="s">
        <v>123</v>
      </c>
      <c r="D967" t="s">
        <v>38</v>
      </c>
      <c r="E967" s="7">
        <v>45635</v>
      </c>
      <c r="F967" t="s">
        <v>118</v>
      </c>
      <c r="G967">
        <v>1</v>
      </c>
      <c r="H967" t="s">
        <v>42</v>
      </c>
      <c r="I967" t="s">
        <v>16</v>
      </c>
      <c r="J967" t="s">
        <v>16</v>
      </c>
      <c r="K967" s="16" t="str">
        <f>VLOOKUP(C967,CheckName!A:B,2,0)</f>
        <v>Special Check</v>
      </c>
      <c r="L967">
        <v>0</v>
      </c>
      <c r="M967" s="16">
        <f t="shared" ref="M967:M972" si="76">DAY(E967)</f>
        <v>9</v>
      </c>
      <c r="N967" t="str">
        <f>TEXT(MTDRejection[[#This Row],[RejectionDate]],"dddd")</f>
        <v>Monday</v>
      </c>
    </row>
    <row r="968" spans="1:14">
      <c r="A968" t="s">
        <v>1541</v>
      </c>
      <c r="B968" t="s">
        <v>3640</v>
      </c>
      <c r="C968" t="s">
        <v>12</v>
      </c>
      <c r="D968" t="s">
        <v>26</v>
      </c>
      <c r="E968" s="7">
        <v>45635</v>
      </c>
      <c r="F968" t="s">
        <v>2335</v>
      </c>
      <c r="G968">
        <v>1</v>
      </c>
      <c r="H968" t="s">
        <v>27</v>
      </c>
      <c r="I968" t="s">
        <v>16</v>
      </c>
      <c r="J968" t="s">
        <v>16</v>
      </c>
      <c r="K968" s="16" t="str">
        <f>VLOOKUP(C968,CheckName!A:B,2,0)</f>
        <v>Emp</v>
      </c>
      <c r="L968">
        <v>0</v>
      </c>
      <c r="M968" s="16">
        <f t="shared" si="76"/>
        <v>9</v>
      </c>
      <c r="N968" t="str">
        <f>TEXT(MTDRejection[[#This Row],[RejectionDate]],"dddd")</f>
        <v>Monday</v>
      </c>
    </row>
    <row r="969" spans="1:14">
      <c r="A969" t="s">
        <v>84</v>
      </c>
      <c r="B969" t="s">
        <v>3641</v>
      </c>
      <c r="C969" t="s">
        <v>12</v>
      </c>
      <c r="D969" t="s">
        <v>26</v>
      </c>
      <c r="E969" s="7">
        <v>45635</v>
      </c>
      <c r="F969" t="s">
        <v>2333</v>
      </c>
      <c r="G969">
        <v>1</v>
      </c>
      <c r="H969" t="s">
        <v>27</v>
      </c>
      <c r="I969" t="s">
        <v>16</v>
      </c>
      <c r="J969" t="s">
        <v>16</v>
      </c>
      <c r="K969" s="16" t="str">
        <f>VLOOKUP(C969,CheckName!A:B,2,0)</f>
        <v>Emp</v>
      </c>
      <c r="L969">
        <v>1</v>
      </c>
      <c r="M969" s="16">
        <f t="shared" si="76"/>
        <v>9</v>
      </c>
      <c r="N969" t="str">
        <f>TEXT(MTDRejection[[#This Row],[RejectionDate]],"dddd")</f>
        <v>Monday</v>
      </c>
    </row>
    <row r="970" spans="1:14">
      <c r="A970" t="s">
        <v>203</v>
      </c>
      <c r="B970" t="s">
        <v>3642</v>
      </c>
      <c r="C970" t="s">
        <v>36</v>
      </c>
      <c r="D970" t="s">
        <v>13</v>
      </c>
      <c r="E970" s="7">
        <v>45635</v>
      </c>
      <c r="F970" t="s">
        <v>2332</v>
      </c>
      <c r="G970">
        <v>1</v>
      </c>
      <c r="H970" t="s">
        <v>15</v>
      </c>
      <c r="I970" t="s">
        <v>16</v>
      </c>
      <c r="J970" t="s">
        <v>16</v>
      </c>
      <c r="K970" s="16" t="str">
        <f>VLOOKUP(C970,CheckName!A:B,2,0)</f>
        <v>Emp</v>
      </c>
      <c r="L970">
        <v>0</v>
      </c>
      <c r="M970" s="16">
        <f t="shared" si="76"/>
        <v>9</v>
      </c>
      <c r="N970" t="str">
        <f>TEXT(MTDRejection[[#This Row],[RejectionDate]],"dddd")</f>
        <v>Monday</v>
      </c>
    </row>
    <row r="971" spans="1:14">
      <c r="A971" t="s">
        <v>306</v>
      </c>
      <c r="B971" t="s">
        <v>3643</v>
      </c>
      <c r="C971" t="s">
        <v>106</v>
      </c>
      <c r="D971" t="s">
        <v>26</v>
      </c>
      <c r="E971" s="7">
        <v>45635</v>
      </c>
      <c r="F971" t="s">
        <v>294</v>
      </c>
      <c r="G971">
        <v>1</v>
      </c>
      <c r="H971" t="s">
        <v>30</v>
      </c>
      <c r="I971" t="s">
        <v>16</v>
      </c>
      <c r="J971" t="s">
        <v>16</v>
      </c>
      <c r="K971" s="16" t="str">
        <f>VLOOKUP(C971,CheckName!A:B,2,0)</f>
        <v>Ref</v>
      </c>
      <c r="L971">
        <v>0</v>
      </c>
      <c r="M971" s="16">
        <f t="shared" si="76"/>
        <v>9</v>
      </c>
      <c r="N971" t="str">
        <f>TEXT(MTDRejection[[#This Row],[RejectionDate]],"dddd")</f>
        <v>Monday</v>
      </c>
    </row>
    <row r="972" spans="1:14">
      <c r="A972" t="s">
        <v>517</v>
      </c>
      <c r="B972" t="s">
        <v>3644</v>
      </c>
      <c r="C972" t="s">
        <v>106</v>
      </c>
      <c r="D972" t="s">
        <v>26</v>
      </c>
      <c r="E972" s="7">
        <v>45635</v>
      </c>
      <c r="F972" t="s">
        <v>294</v>
      </c>
      <c r="G972">
        <v>1</v>
      </c>
      <c r="H972" t="s">
        <v>22</v>
      </c>
      <c r="I972" t="s">
        <v>16</v>
      </c>
      <c r="J972" t="s">
        <v>16</v>
      </c>
      <c r="K972" s="16" t="str">
        <f>VLOOKUP(C972,CheckName!A:B,2,0)</f>
        <v>Ref</v>
      </c>
      <c r="L972">
        <v>0</v>
      </c>
      <c r="M972" s="16">
        <f t="shared" si="76"/>
        <v>9</v>
      </c>
      <c r="N972" t="str">
        <f>TEXT(MTDRejection[[#This Row],[RejectionDate]],"dddd")</f>
        <v>Monday</v>
      </c>
    </row>
    <row r="973" spans="1:14">
      <c r="A973" t="s">
        <v>216</v>
      </c>
      <c r="B973" t="s">
        <v>2463</v>
      </c>
      <c r="C973" t="s">
        <v>25</v>
      </c>
      <c r="D973" t="s">
        <v>51</v>
      </c>
      <c r="E973" s="7">
        <v>45635</v>
      </c>
      <c r="F973" t="s">
        <v>2349</v>
      </c>
      <c r="G973">
        <v>1</v>
      </c>
      <c r="H973" t="s">
        <v>53</v>
      </c>
      <c r="I973" t="s">
        <v>16</v>
      </c>
      <c r="J973" t="s">
        <v>16</v>
      </c>
      <c r="K973" s="16" t="str">
        <f>VLOOKUP(C973,CheckName!A:B,2,0)</f>
        <v>Add</v>
      </c>
      <c r="L973">
        <v>0</v>
      </c>
      <c r="M973" s="16">
        <f t="shared" ref="M973:M974" si="77">DAY(E973)</f>
        <v>9</v>
      </c>
      <c r="N973" t="str">
        <f>TEXT(MTDRejection[[#This Row],[RejectionDate]],"dddd")</f>
        <v>Monday</v>
      </c>
    </row>
    <row r="974" spans="1:14">
      <c r="A974" t="s">
        <v>306</v>
      </c>
      <c r="B974" t="s">
        <v>3645</v>
      </c>
      <c r="C974" t="s">
        <v>125</v>
      </c>
      <c r="D974" t="s">
        <v>26</v>
      </c>
      <c r="E974" s="7">
        <v>45635</v>
      </c>
      <c r="F974" t="s">
        <v>277</v>
      </c>
      <c r="G974">
        <v>1</v>
      </c>
      <c r="H974" t="s">
        <v>27</v>
      </c>
      <c r="I974" t="s">
        <v>16</v>
      </c>
      <c r="J974" t="s">
        <v>16</v>
      </c>
      <c r="K974" s="16" t="str">
        <f>VLOOKUP(C974,CheckName!A:B,2,0)</f>
        <v>Emp</v>
      </c>
      <c r="L974">
        <v>0</v>
      </c>
      <c r="M974" s="16">
        <f t="shared" si="77"/>
        <v>9</v>
      </c>
      <c r="N974" t="str">
        <f>TEXT(MTDRejection[[#This Row],[RejectionDate]],"dddd")</f>
        <v>Monday</v>
      </c>
    </row>
    <row r="975" spans="1:14">
      <c r="A975" t="s">
        <v>1204</v>
      </c>
      <c r="B975" t="s">
        <v>3646</v>
      </c>
      <c r="C975" t="s">
        <v>12</v>
      </c>
      <c r="D975" t="s">
        <v>26</v>
      </c>
      <c r="E975" s="7">
        <v>45635</v>
      </c>
      <c r="F975" t="s">
        <v>280</v>
      </c>
      <c r="G975">
        <v>1</v>
      </c>
      <c r="H975" t="s">
        <v>27</v>
      </c>
      <c r="I975" t="s">
        <v>16</v>
      </c>
      <c r="J975" t="s">
        <v>16</v>
      </c>
      <c r="K975" s="16" t="str">
        <f>VLOOKUP(C975,CheckName!A:B,2,0)</f>
        <v>Emp</v>
      </c>
      <c r="L975">
        <v>0</v>
      </c>
      <c r="M975" s="16">
        <f>DAY(E975)</f>
        <v>9</v>
      </c>
      <c r="N975" t="str">
        <f>TEXT(MTDRejection[[#This Row],[RejectionDate]],"dddd")</f>
        <v>Monday</v>
      </c>
    </row>
    <row r="976" spans="1:14">
      <c r="A976" t="s">
        <v>84</v>
      </c>
      <c r="B976" t="s">
        <v>3647</v>
      </c>
      <c r="C976" t="s">
        <v>12</v>
      </c>
      <c r="D976" t="s">
        <v>26</v>
      </c>
      <c r="E976" s="7">
        <v>45635</v>
      </c>
      <c r="F976" t="s">
        <v>80</v>
      </c>
      <c r="G976">
        <v>1</v>
      </c>
      <c r="H976" t="s">
        <v>27</v>
      </c>
      <c r="I976" t="s">
        <v>16</v>
      </c>
      <c r="J976" t="s">
        <v>16</v>
      </c>
      <c r="K976" s="16" t="str">
        <f>VLOOKUP(C976,CheckName!A:B,2,0)</f>
        <v>Emp</v>
      </c>
      <c r="L976">
        <v>0</v>
      </c>
      <c r="M976" s="16">
        <f t="shared" ref="M976:M994" si="78">DAY(E976)</f>
        <v>9</v>
      </c>
      <c r="N976" t="str">
        <f>TEXT(MTDRejection[[#This Row],[RejectionDate]],"dddd")</f>
        <v>Monday</v>
      </c>
    </row>
    <row r="977" spans="1:14">
      <c r="A977" t="s">
        <v>84</v>
      </c>
      <c r="B977" t="s">
        <v>3339</v>
      </c>
      <c r="C977" t="s">
        <v>12</v>
      </c>
      <c r="D977" t="s">
        <v>26</v>
      </c>
      <c r="E977" s="7">
        <v>45635</v>
      </c>
      <c r="F977" t="s">
        <v>80</v>
      </c>
      <c r="G977">
        <v>1</v>
      </c>
      <c r="H977" t="s">
        <v>22</v>
      </c>
      <c r="I977" t="s">
        <v>16</v>
      </c>
      <c r="J977" t="s">
        <v>16</v>
      </c>
      <c r="K977" s="16" t="str">
        <f>VLOOKUP(C977,CheckName!A:B,2,0)</f>
        <v>Emp</v>
      </c>
      <c r="L977">
        <v>0</v>
      </c>
      <c r="M977" s="16">
        <f t="shared" si="78"/>
        <v>9</v>
      </c>
      <c r="N977" t="str">
        <f>TEXT(MTDRejection[[#This Row],[RejectionDate]],"dddd")</f>
        <v>Monday</v>
      </c>
    </row>
    <row r="978" spans="1:14">
      <c r="A978" t="s">
        <v>519</v>
      </c>
      <c r="B978" t="s">
        <v>3648</v>
      </c>
      <c r="C978" t="s">
        <v>1293</v>
      </c>
      <c r="D978" t="s">
        <v>26</v>
      </c>
      <c r="E978" s="7">
        <v>45635</v>
      </c>
      <c r="F978" t="s">
        <v>188</v>
      </c>
      <c r="G978">
        <v>1</v>
      </c>
      <c r="H978" t="s">
        <v>22</v>
      </c>
      <c r="I978" t="s">
        <v>16</v>
      </c>
      <c r="J978" t="s">
        <v>16</v>
      </c>
      <c r="K978" s="16" t="str">
        <f>VLOOKUP(C978,CheckName!A:B,2,0)</f>
        <v>Edu</v>
      </c>
      <c r="L978">
        <v>0</v>
      </c>
      <c r="M978" s="16">
        <f t="shared" si="78"/>
        <v>9</v>
      </c>
      <c r="N978" t="str">
        <f>TEXT(MTDRejection[[#This Row],[RejectionDate]],"dddd")</f>
        <v>Monday</v>
      </c>
    </row>
    <row r="979" spans="1:14">
      <c r="A979" t="s">
        <v>1007</v>
      </c>
      <c r="B979" t="s">
        <v>1810</v>
      </c>
      <c r="C979" t="s">
        <v>12</v>
      </c>
      <c r="D979" t="s">
        <v>26</v>
      </c>
      <c r="E979" s="7">
        <v>45635</v>
      </c>
      <c r="F979" t="s">
        <v>80</v>
      </c>
      <c r="G979">
        <v>1</v>
      </c>
      <c r="H979" t="s">
        <v>22</v>
      </c>
      <c r="I979" t="s">
        <v>16</v>
      </c>
      <c r="J979" t="s">
        <v>16</v>
      </c>
      <c r="K979" s="16" t="str">
        <f>VLOOKUP(C979,CheckName!A:B,2,0)</f>
        <v>Emp</v>
      </c>
      <c r="L979">
        <v>0</v>
      </c>
      <c r="M979" s="16">
        <f t="shared" si="78"/>
        <v>9</v>
      </c>
      <c r="N979" t="str">
        <f>TEXT(MTDRejection[[#This Row],[RejectionDate]],"dddd")</f>
        <v>Monday</v>
      </c>
    </row>
    <row r="980" spans="1:14">
      <c r="A980" t="s">
        <v>1811</v>
      </c>
      <c r="B980" t="s">
        <v>3649</v>
      </c>
      <c r="C980" t="s">
        <v>12</v>
      </c>
      <c r="D980" t="s">
        <v>26</v>
      </c>
      <c r="E980" s="7">
        <v>45635</v>
      </c>
      <c r="F980" t="s">
        <v>2354</v>
      </c>
      <c r="G980">
        <v>1</v>
      </c>
      <c r="H980" t="s">
        <v>27</v>
      </c>
      <c r="I980" t="s">
        <v>16</v>
      </c>
      <c r="J980" t="s">
        <v>16</v>
      </c>
      <c r="K980" s="16" t="str">
        <f>VLOOKUP(C980,CheckName!A:B,2,0)</f>
        <v>Emp</v>
      </c>
      <c r="L980">
        <v>0</v>
      </c>
      <c r="M980" s="16">
        <f t="shared" si="78"/>
        <v>9</v>
      </c>
      <c r="N980" t="str">
        <f>TEXT(MTDRejection[[#This Row],[RejectionDate]],"dddd")</f>
        <v>Monday</v>
      </c>
    </row>
    <row r="981" spans="1:14">
      <c r="A981" t="s">
        <v>160</v>
      </c>
      <c r="B981" t="s">
        <v>3650</v>
      </c>
      <c r="C981" t="s">
        <v>93</v>
      </c>
      <c r="D981" t="s">
        <v>26</v>
      </c>
      <c r="E981" s="7">
        <v>45635</v>
      </c>
      <c r="F981" t="s">
        <v>535</v>
      </c>
      <c r="G981">
        <v>1</v>
      </c>
      <c r="H981" t="s">
        <v>22</v>
      </c>
      <c r="I981" t="s">
        <v>16</v>
      </c>
      <c r="J981" t="s">
        <v>16</v>
      </c>
      <c r="K981" s="16" t="str">
        <f>VLOOKUP(C981,CheckName!A:B,2,0)</f>
        <v>Edu</v>
      </c>
      <c r="L981">
        <v>0</v>
      </c>
      <c r="M981" s="16">
        <f t="shared" si="78"/>
        <v>9</v>
      </c>
      <c r="N981" t="str">
        <f>TEXT(MTDRejection[[#This Row],[RejectionDate]],"dddd")</f>
        <v>Monday</v>
      </c>
    </row>
    <row r="982" spans="1:14">
      <c r="A982" t="s">
        <v>100</v>
      </c>
      <c r="B982" t="s">
        <v>3651</v>
      </c>
      <c r="C982" t="s">
        <v>102</v>
      </c>
      <c r="D982" t="s">
        <v>26</v>
      </c>
      <c r="E982" s="7">
        <v>45635</v>
      </c>
      <c r="F982" t="s">
        <v>535</v>
      </c>
      <c r="G982">
        <v>1</v>
      </c>
      <c r="H982" t="s">
        <v>27</v>
      </c>
      <c r="I982" t="s">
        <v>16</v>
      </c>
      <c r="J982" t="s">
        <v>16</v>
      </c>
      <c r="K982" s="16" t="str">
        <f>VLOOKUP(C982,CheckName!A:B,2,0)</f>
        <v>Edu</v>
      </c>
      <c r="L982">
        <v>0</v>
      </c>
      <c r="M982" s="16">
        <f t="shared" si="78"/>
        <v>9</v>
      </c>
      <c r="N982" t="str">
        <f>TEXT(MTDRejection[[#This Row],[RejectionDate]],"dddd")</f>
        <v>Monday</v>
      </c>
    </row>
    <row r="983" spans="1:14">
      <c r="A983" t="s">
        <v>667</v>
      </c>
      <c r="B983" t="s">
        <v>3652</v>
      </c>
      <c r="C983" t="s">
        <v>54</v>
      </c>
      <c r="D983" t="s">
        <v>26</v>
      </c>
      <c r="E983" s="7">
        <v>45635</v>
      </c>
      <c r="F983" t="s">
        <v>535</v>
      </c>
      <c r="G983">
        <v>1</v>
      </c>
      <c r="H983" t="s">
        <v>27</v>
      </c>
      <c r="I983" t="s">
        <v>16</v>
      </c>
      <c r="J983" t="s">
        <v>16</v>
      </c>
      <c r="K983" s="16" t="str">
        <f>VLOOKUP(C983,CheckName!A:B,2,0)</f>
        <v>Edu</v>
      </c>
      <c r="L983">
        <v>0</v>
      </c>
      <c r="M983" s="16">
        <f t="shared" si="78"/>
        <v>9</v>
      </c>
      <c r="N983" t="str">
        <f>TEXT(MTDRejection[[#This Row],[RejectionDate]],"dddd")</f>
        <v>Monday</v>
      </c>
    </row>
    <row r="984" spans="1:14">
      <c r="A984" t="s">
        <v>1056</v>
      </c>
      <c r="B984" t="s">
        <v>3653</v>
      </c>
      <c r="C984" t="s">
        <v>54</v>
      </c>
      <c r="D984" t="s">
        <v>26</v>
      </c>
      <c r="E984" s="7">
        <v>45635</v>
      </c>
      <c r="F984" t="s">
        <v>535</v>
      </c>
      <c r="G984">
        <v>1</v>
      </c>
      <c r="H984" t="s">
        <v>27</v>
      </c>
      <c r="I984" t="s">
        <v>16</v>
      </c>
      <c r="J984" t="s">
        <v>16</v>
      </c>
      <c r="K984" s="16" t="str">
        <f>VLOOKUP(C984,CheckName!A:B,2,0)</f>
        <v>Edu</v>
      </c>
      <c r="L984">
        <v>0</v>
      </c>
      <c r="M984" s="16">
        <f t="shared" si="78"/>
        <v>9</v>
      </c>
      <c r="N984" t="str">
        <f>TEXT(MTDRejection[[#This Row],[RejectionDate]],"dddd")</f>
        <v>Monday</v>
      </c>
    </row>
    <row r="985" spans="1:14">
      <c r="A985" t="s">
        <v>945</v>
      </c>
      <c r="B985" t="s">
        <v>3654</v>
      </c>
      <c r="C985" t="s">
        <v>36</v>
      </c>
      <c r="D985" t="s">
        <v>26</v>
      </c>
      <c r="E985" s="7">
        <v>45635</v>
      </c>
      <c r="F985" t="s">
        <v>721</v>
      </c>
      <c r="G985">
        <v>1</v>
      </c>
      <c r="H985" t="s">
        <v>27</v>
      </c>
      <c r="I985" t="s">
        <v>16</v>
      </c>
      <c r="J985" t="s">
        <v>16</v>
      </c>
      <c r="K985" s="16" t="str">
        <f>VLOOKUP(C985,CheckName!A:B,2,0)</f>
        <v>Emp</v>
      </c>
      <c r="L985">
        <v>0</v>
      </c>
      <c r="M985" s="16">
        <f t="shared" si="78"/>
        <v>9</v>
      </c>
      <c r="N985" t="str">
        <f>TEXT(MTDRejection[[#This Row],[RejectionDate]],"dddd")</f>
        <v>Monday</v>
      </c>
    </row>
    <row r="986" spans="1:14">
      <c r="A986" t="s">
        <v>996</v>
      </c>
      <c r="B986" t="s">
        <v>1812</v>
      </c>
      <c r="C986" t="s">
        <v>106</v>
      </c>
      <c r="D986" t="s">
        <v>26</v>
      </c>
      <c r="E986" s="7">
        <v>45635</v>
      </c>
      <c r="F986" t="s">
        <v>330</v>
      </c>
      <c r="G986">
        <v>1</v>
      </c>
      <c r="H986" t="s">
        <v>27</v>
      </c>
      <c r="I986" t="s">
        <v>16</v>
      </c>
      <c r="J986" t="s">
        <v>16</v>
      </c>
      <c r="K986" s="16" t="str">
        <f>VLOOKUP(C986,CheckName!A:B,2,0)</f>
        <v>Ref</v>
      </c>
      <c r="L986">
        <v>0</v>
      </c>
      <c r="M986" s="16">
        <f t="shared" si="78"/>
        <v>9</v>
      </c>
      <c r="N986" t="str">
        <f>TEXT(MTDRejection[[#This Row],[RejectionDate]],"dddd")</f>
        <v>Monday</v>
      </c>
    </row>
    <row r="987" spans="1:14">
      <c r="A987" t="s">
        <v>186</v>
      </c>
      <c r="B987" t="s">
        <v>2464</v>
      </c>
      <c r="C987" t="s">
        <v>54</v>
      </c>
      <c r="D987" t="s">
        <v>26</v>
      </c>
      <c r="E987" s="7">
        <v>45635</v>
      </c>
      <c r="F987" t="s">
        <v>604</v>
      </c>
      <c r="G987">
        <v>1</v>
      </c>
      <c r="H987" t="s">
        <v>27</v>
      </c>
      <c r="I987" t="s">
        <v>16</v>
      </c>
      <c r="J987" t="s">
        <v>16</v>
      </c>
      <c r="K987" s="16" t="str">
        <f>VLOOKUP(C987,CheckName!A:B,2,0)</f>
        <v>Edu</v>
      </c>
      <c r="L987">
        <v>0</v>
      </c>
      <c r="M987" s="16">
        <f t="shared" si="78"/>
        <v>9</v>
      </c>
      <c r="N987" t="str">
        <f>TEXT(MTDRejection[[#This Row],[RejectionDate]],"dddd")</f>
        <v>Monday</v>
      </c>
    </row>
    <row r="988" spans="1:14">
      <c r="A988" t="s">
        <v>186</v>
      </c>
      <c r="B988" t="s">
        <v>3655</v>
      </c>
      <c r="C988" t="s">
        <v>54</v>
      </c>
      <c r="D988" t="s">
        <v>26</v>
      </c>
      <c r="E988" s="7">
        <v>45635</v>
      </c>
      <c r="F988" t="s">
        <v>604</v>
      </c>
      <c r="G988">
        <v>1</v>
      </c>
      <c r="H988" t="s">
        <v>27</v>
      </c>
      <c r="I988" t="s">
        <v>16</v>
      </c>
      <c r="J988" t="s">
        <v>16</v>
      </c>
      <c r="K988" s="16" t="str">
        <f>VLOOKUP(C988,CheckName!A:B,2,0)</f>
        <v>Edu</v>
      </c>
      <c r="L988">
        <v>0</v>
      </c>
      <c r="M988" s="16">
        <f t="shared" si="78"/>
        <v>9</v>
      </c>
      <c r="N988" t="str">
        <f>TEXT(MTDRejection[[#This Row],[RejectionDate]],"dddd")</f>
        <v>Monday</v>
      </c>
    </row>
    <row r="989" spans="1:14">
      <c r="A989" t="s">
        <v>45</v>
      </c>
      <c r="B989" t="s">
        <v>3656</v>
      </c>
      <c r="C989" t="s">
        <v>54</v>
      </c>
      <c r="D989" t="s">
        <v>26</v>
      </c>
      <c r="E989" s="7">
        <v>45635</v>
      </c>
      <c r="F989" t="s">
        <v>604</v>
      </c>
      <c r="G989">
        <v>1</v>
      </c>
      <c r="H989" t="s">
        <v>27</v>
      </c>
      <c r="I989" t="s">
        <v>16</v>
      </c>
      <c r="J989" t="s">
        <v>16</v>
      </c>
      <c r="K989" s="16" t="str">
        <f>VLOOKUP(C989,CheckName!A:B,2,0)</f>
        <v>Edu</v>
      </c>
      <c r="L989">
        <v>0</v>
      </c>
      <c r="M989" s="16">
        <f t="shared" si="78"/>
        <v>9</v>
      </c>
      <c r="N989" t="str">
        <f>TEXT(MTDRejection[[#This Row],[RejectionDate]],"dddd")</f>
        <v>Monday</v>
      </c>
    </row>
    <row r="990" spans="1:14">
      <c r="A990" t="s">
        <v>45</v>
      </c>
      <c r="B990" t="s">
        <v>2466</v>
      </c>
      <c r="C990" t="s">
        <v>54</v>
      </c>
      <c r="D990" t="s">
        <v>26</v>
      </c>
      <c r="E990" s="7">
        <v>45635</v>
      </c>
      <c r="F990" t="s">
        <v>604</v>
      </c>
      <c r="G990">
        <v>1</v>
      </c>
      <c r="H990" t="s">
        <v>22</v>
      </c>
      <c r="I990" t="s">
        <v>16</v>
      </c>
      <c r="J990" t="s">
        <v>16</v>
      </c>
      <c r="K990" s="16" t="str">
        <f>VLOOKUP(C990,CheckName!A:B,2,0)</f>
        <v>Edu</v>
      </c>
      <c r="L990">
        <v>0</v>
      </c>
      <c r="M990" s="16">
        <f t="shared" si="78"/>
        <v>9</v>
      </c>
      <c r="N990" t="str">
        <f>TEXT(MTDRejection[[#This Row],[RejectionDate]],"dddd")</f>
        <v>Monday</v>
      </c>
    </row>
    <row r="991" spans="1:14">
      <c r="A991" t="s">
        <v>1813</v>
      </c>
      <c r="B991" t="s">
        <v>3657</v>
      </c>
      <c r="C991" t="s">
        <v>25</v>
      </c>
      <c r="D991" t="s">
        <v>20</v>
      </c>
      <c r="E991" s="7">
        <v>45635</v>
      </c>
      <c r="F991" t="s">
        <v>2330</v>
      </c>
      <c r="G991">
        <v>1</v>
      </c>
      <c r="H991" t="s">
        <v>22</v>
      </c>
      <c r="I991" t="s">
        <v>16</v>
      </c>
      <c r="J991" t="s">
        <v>16</v>
      </c>
      <c r="K991" s="16" t="str">
        <f>VLOOKUP(C991,CheckName!A:B,2,0)</f>
        <v>Add</v>
      </c>
      <c r="L991">
        <v>0</v>
      </c>
      <c r="M991" s="16">
        <f t="shared" si="78"/>
        <v>9</v>
      </c>
      <c r="N991" t="str">
        <f>TEXT(MTDRejection[[#This Row],[RejectionDate]],"dddd")</f>
        <v>Monday</v>
      </c>
    </row>
    <row r="992" spans="1:14">
      <c r="A992" t="s">
        <v>320</v>
      </c>
      <c r="B992" t="s">
        <v>3658</v>
      </c>
      <c r="C992" t="s">
        <v>1650</v>
      </c>
      <c r="D992" t="s">
        <v>20</v>
      </c>
      <c r="E992" s="7">
        <v>45635</v>
      </c>
      <c r="F992" t="s">
        <v>66</v>
      </c>
      <c r="G992">
        <v>1</v>
      </c>
      <c r="H992" t="s">
        <v>22</v>
      </c>
      <c r="I992" t="s">
        <v>16</v>
      </c>
      <c r="J992" t="s">
        <v>16</v>
      </c>
      <c r="K992" s="16" t="str">
        <f>VLOOKUP(C992,CheckName!A:B,2,0)</f>
        <v>Add</v>
      </c>
      <c r="L992">
        <v>0</v>
      </c>
      <c r="M992" s="16">
        <f t="shared" si="78"/>
        <v>9</v>
      </c>
      <c r="N992" t="str">
        <f>TEXT(MTDRejection[[#This Row],[RejectionDate]],"dddd")</f>
        <v>Monday</v>
      </c>
    </row>
    <row r="993" spans="1:14">
      <c r="A993" t="s">
        <v>320</v>
      </c>
      <c r="B993" t="s">
        <v>3659</v>
      </c>
      <c r="C993" t="s">
        <v>322</v>
      </c>
      <c r="D993" t="s">
        <v>20</v>
      </c>
      <c r="E993" s="7">
        <v>45635</v>
      </c>
      <c r="F993" t="s">
        <v>66</v>
      </c>
      <c r="G993">
        <v>1</v>
      </c>
      <c r="H993" t="s">
        <v>22</v>
      </c>
      <c r="I993" t="s">
        <v>16</v>
      </c>
      <c r="J993" t="s">
        <v>16</v>
      </c>
      <c r="K993" s="16" t="str">
        <f>VLOOKUP(C993,CheckName!A:B,2,0)</f>
        <v>Add</v>
      </c>
      <c r="L993">
        <v>0</v>
      </c>
      <c r="M993" s="16">
        <f t="shared" si="78"/>
        <v>9</v>
      </c>
      <c r="N993" t="str">
        <f>TEXT(MTDRejection[[#This Row],[RejectionDate]],"dddd")</f>
        <v>Monday</v>
      </c>
    </row>
    <row r="994" spans="1:14">
      <c r="A994" t="s">
        <v>119</v>
      </c>
      <c r="B994" t="s">
        <v>3660</v>
      </c>
      <c r="C994" t="s">
        <v>805</v>
      </c>
      <c r="D994" t="s">
        <v>26</v>
      </c>
      <c r="E994" s="7">
        <v>45635</v>
      </c>
      <c r="F994" t="s">
        <v>63</v>
      </c>
      <c r="G994">
        <v>1</v>
      </c>
      <c r="H994" t="s">
        <v>27</v>
      </c>
      <c r="I994" t="s">
        <v>16</v>
      </c>
      <c r="J994" t="s">
        <v>16</v>
      </c>
      <c r="K994" s="16" t="str">
        <f>VLOOKUP(C994,CheckName!A:B,2,0)</f>
        <v>Edu</v>
      </c>
      <c r="L994">
        <v>0</v>
      </c>
      <c r="M994" s="16">
        <f t="shared" si="78"/>
        <v>9</v>
      </c>
      <c r="N994" t="str">
        <f>TEXT(MTDRejection[[#This Row],[RejectionDate]],"dddd")</f>
        <v>Monday</v>
      </c>
    </row>
    <row r="995" spans="1:14">
      <c r="A995" t="s">
        <v>1778</v>
      </c>
      <c r="B995" t="s">
        <v>2467</v>
      </c>
      <c r="C995" t="s">
        <v>36</v>
      </c>
      <c r="D995" t="s">
        <v>26</v>
      </c>
      <c r="E995" s="7">
        <v>45635</v>
      </c>
      <c r="F995" t="s">
        <v>2350</v>
      </c>
      <c r="G995">
        <v>1</v>
      </c>
      <c r="H995" t="s">
        <v>27</v>
      </c>
      <c r="I995" t="s">
        <v>16</v>
      </c>
      <c r="J995" t="s">
        <v>16</v>
      </c>
      <c r="K995" s="16" t="str">
        <f>VLOOKUP(C995,CheckName!A:B,2,0)</f>
        <v>Emp</v>
      </c>
      <c r="L995">
        <v>0</v>
      </c>
      <c r="M995" s="16">
        <f>DAY(E995)</f>
        <v>9</v>
      </c>
      <c r="N995" t="str">
        <f>TEXT(MTDRejection[[#This Row],[RejectionDate]],"dddd")</f>
        <v>Monday</v>
      </c>
    </row>
    <row r="996" spans="1:14">
      <c r="A996" t="s">
        <v>45</v>
      </c>
      <c r="B996" t="s">
        <v>1774</v>
      </c>
      <c r="C996" t="s">
        <v>54</v>
      </c>
      <c r="D996" t="s">
        <v>26</v>
      </c>
      <c r="E996" s="7">
        <v>45635</v>
      </c>
      <c r="F996" t="s">
        <v>63</v>
      </c>
      <c r="G996">
        <v>1</v>
      </c>
      <c r="H996" t="s">
        <v>27</v>
      </c>
      <c r="I996" t="s">
        <v>16</v>
      </c>
      <c r="J996" t="s">
        <v>16</v>
      </c>
      <c r="K996" s="16" t="str">
        <f>VLOOKUP(C996,CheckName!A:B,2,0)</f>
        <v>Edu</v>
      </c>
      <c r="L996">
        <v>0</v>
      </c>
      <c r="M996" s="16">
        <f t="shared" ref="M996:M997" si="79">DAY(E996)</f>
        <v>9</v>
      </c>
      <c r="N996" t="str">
        <f>TEXT(MTDRejection[[#This Row],[RejectionDate]],"dddd")</f>
        <v>Monday</v>
      </c>
    </row>
    <row r="997" spans="1:14">
      <c r="A997" t="s">
        <v>1584</v>
      </c>
      <c r="B997" t="s">
        <v>3661</v>
      </c>
      <c r="C997" t="s">
        <v>12</v>
      </c>
      <c r="D997" t="s">
        <v>26</v>
      </c>
      <c r="E997" s="7">
        <v>45635</v>
      </c>
      <c r="F997" t="s">
        <v>222</v>
      </c>
      <c r="G997">
        <v>1</v>
      </c>
      <c r="H997" t="s">
        <v>22</v>
      </c>
      <c r="I997" t="s">
        <v>16</v>
      </c>
      <c r="J997" t="s">
        <v>16</v>
      </c>
      <c r="K997" s="16" t="str">
        <f>VLOOKUP(C997,CheckName!A:B,2,0)</f>
        <v>Emp</v>
      </c>
      <c r="L997">
        <v>0</v>
      </c>
      <c r="M997" s="16">
        <f t="shared" si="79"/>
        <v>9</v>
      </c>
      <c r="N997" t="str">
        <f>TEXT(MTDRejection[[#This Row],[RejectionDate]],"dddd")</f>
        <v>Monday</v>
      </c>
    </row>
    <row r="998" spans="1:14">
      <c r="A998" t="s">
        <v>45</v>
      </c>
      <c r="B998" t="s">
        <v>3662</v>
      </c>
      <c r="C998" t="s">
        <v>12</v>
      </c>
      <c r="D998" t="s">
        <v>26</v>
      </c>
      <c r="E998" s="7">
        <v>45635</v>
      </c>
      <c r="F998" t="s">
        <v>222</v>
      </c>
      <c r="G998">
        <v>1</v>
      </c>
      <c r="H998" t="s">
        <v>27</v>
      </c>
      <c r="I998" t="s">
        <v>16</v>
      </c>
      <c r="J998" t="s">
        <v>16</v>
      </c>
      <c r="K998" s="16" t="str">
        <f>VLOOKUP(C998,CheckName!A:B,2,0)</f>
        <v>Emp</v>
      </c>
      <c r="L998">
        <v>0</v>
      </c>
      <c r="M998" s="16">
        <f t="shared" ref="M998:M1003" si="80">DAY(E998)</f>
        <v>9</v>
      </c>
      <c r="N998" t="str">
        <f>TEXT(MTDRejection[[#This Row],[RejectionDate]],"dddd")</f>
        <v>Monday</v>
      </c>
    </row>
    <row r="999" spans="1:14">
      <c r="A999" t="s">
        <v>84</v>
      </c>
      <c r="B999" t="s">
        <v>3663</v>
      </c>
      <c r="C999" t="s">
        <v>12</v>
      </c>
      <c r="D999" t="s">
        <v>26</v>
      </c>
      <c r="E999" s="7">
        <v>45635</v>
      </c>
      <c r="F999" t="s">
        <v>222</v>
      </c>
      <c r="G999">
        <v>1</v>
      </c>
      <c r="H999" t="s">
        <v>27</v>
      </c>
      <c r="I999" t="s">
        <v>16</v>
      </c>
      <c r="J999" t="s">
        <v>16</v>
      </c>
      <c r="K999" s="16" t="str">
        <f>VLOOKUP(C999,CheckName!A:B,2,0)</f>
        <v>Emp</v>
      </c>
      <c r="L999">
        <v>0</v>
      </c>
      <c r="M999" s="16">
        <f t="shared" si="80"/>
        <v>9</v>
      </c>
      <c r="N999" t="str">
        <f>TEXT(MTDRejection[[#This Row],[RejectionDate]],"dddd")</f>
        <v>Monday</v>
      </c>
    </row>
    <row r="1000" spans="1:14">
      <c r="A1000" t="s">
        <v>203</v>
      </c>
      <c r="B1000" t="s">
        <v>2468</v>
      </c>
      <c r="C1000" t="s">
        <v>54</v>
      </c>
      <c r="D1000" t="s">
        <v>26</v>
      </c>
      <c r="E1000" s="7">
        <v>45635</v>
      </c>
      <c r="F1000" t="s">
        <v>458</v>
      </c>
      <c r="G1000">
        <v>1</v>
      </c>
      <c r="H1000" t="s">
        <v>30</v>
      </c>
      <c r="I1000" t="s">
        <v>16</v>
      </c>
      <c r="J1000" t="s">
        <v>16</v>
      </c>
      <c r="K1000" s="16" t="str">
        <f>VLOOKUP(C1000,CheckName!A:B,2,0)</f>
        <v>Edu</v>
      </c>
      <c r="L1000">
        <v>0</v>
      </c>
      <c r="M1000" s="16">
        <f t="shared" si="80"/>
        <v>9</v>
      </c>
      <c r="N1000" t="str">
        <f>TEXT(MTDRejection[[#This Row],[RejectionDate]],"dddd")</f>
        <v>Monday</v>
      </c>
    </row>
    <row r="1001" spans="1:14">
      <c r="A1001" t="s">
        <v>306</v>
      </c>
      <c r="B1001" t="s">
        <v>3664</v>
      </c>
      <c r="C1001" t="s">
        <v>259</v>
      </c>
      <c r="D1001" t="s">
        <v>38</v>
      </c>
      <c r="E1001" s="7">
        <v>45635</v>
      </c>
      <c r="F1001" t="s">
        <v>39</v>
      </c>
      <c r="G1001">
        <v>1</v>
      </c>
      <c r="H1001" t="s">
        <v>42</v>
      </c>
      <c r="I1001" t="s">
        <v>16</v>
      </c>
      <c r="J1001" t="s">
        <v>16</v>
      </c>
      <c r="K1001" s="16" t="str">
        <f>VLOOKUP(C1001,CheckName!A:B,2,0)</f>
        <v>Emp</v>
      </c>
      <c r="L1001">
        <v>0</v>
      </c>
      <c r="M1001" s="16">
        <f t="shared" si="80"/>
        <v>9</v>
      </c>
      <c r="N1001" t="str">
        <f>TEXT(MTDRejection[[#This Row],[RejectionDate]],"dddd")</f>
        <v>Monday</v>
      </c>
    </row>
    <row r="1002" spans="1:14">
      <c r="A1002" t="s">
        <v>1813</v>
      </c>
      <c r="B1002" t="s">
        <v>3665</v>
      </c>
      <c r="C1002" t="s">
        <v>25</v>
      </c>
      <c r="D1002" t="s">
        <v>26</v>
      </c>
      <c r="E1002" s="7">
        <v>45635</v>
      </c>
      <c r="F1002" t="s">
        <v>2327</v>
      </c>
      <c r="G1002">
        <v>1</v>
      </c>
      <c r="H1002" t="s">
        <v>27</v>
      </c>
      <c r="I1002" t="s">
        <v>16</v>
      </c>
      <c r="J1002" t="s">
        <v>16</v>
      </c>
      <c r="K1002" s="16" t="str">
        <f>VLOOKUP(C1002,CheckName!A:B,2,0)</f>
        <v>Add</v>
      </c>
      <c r="L1002">
        <v>0</v>
      </c>
      <c r="M1002" s="16">
        <f t="shared" si="80"/>
        <v>9</v>
      </c>
      <c r="N1002" t="str">
        <f>TEXT(MTDRejection[[#This Row],[RejectionDate]],"dddd")</f>
        <v>Monday</v>
      </c>
    </row>
    <row r="1003" spans="1:14">
      <c r="A1003" t="s">
        <v>1110</v>
      </c>
      <c r="B1003" t="s">
        <v>3666</v>
      </c>
      <c r="C1003" t="s">
        <v>965</v>
      </c>
      <c r="D1003" t="s">
        <v>20</v>
      </c>
      <c r="E1003" s="7">
        <v>45635</v>
      </c>
      <c r="F1003" t="s">
        <v>2327</v>
      </c>
      <c r="G1003">
        <v>1</v>
      </c>
      <c r="H1003" t="s">
        <v>22</v>
      </c>
      <c r="I1003" t="s">
        <v>16</v>
      </c>
      <c r="J1003" t="s">
        <v>16</v>
      </c>
      <c r="K1003" s="16" t="str">
        <f>VLOOKUP(C1003,CheckName!A:B,2,0)</f>
        <v>Add</v>
      </c>
      <c r="L1003">
        <v>0</v>
      </c>
      <c r="M1003" s="16">
        <f t="shared" si="80"/>
        <v>9</v>
      </c>
      <c r="N1003" t="str">
        <f>TEXT(MTDRejection[[#This Row],[RejectionDate]],"dddd")</f>
        <v>Monday</v>
      </c>
    </row>
    <row r="1004" spans="1:14">
      <c r="A1004" t="s">
        <v>1110</v>
      </c>
      <c r="B1004" t="s">
        <v>3667</v>
      </c>
      <c r="C1004" t="s">
        <v>965</v>
      </c>
      <c r="D1004" t="s">
        <v>26</v>
      </c>
      <c r="E1004" s="7">
        <v>45635</v>
      </c>
      <c r="F1004" t="s">
        <v>2327</v>
      </c>
      <c r="G1004">
        <v>1</v>
      </c>
      <c r="H1004" t="s">
        <v>27</v>
      </c>
      <c r="I1004" t="s">
        <v>16</v>
      </c>
      <c r="J1004" t="s">
        <v>16</v>
      </c>
      <c r="K1004" s="16" t="str">
        <f>VLOOKUP(C1004,CheckName!A:B,2,0)</f>
        <v>Add</v>
      </c>
      <c r="L1004">
        <v>0</v>
      </c>
      <c r="M1004" s="16">
        <f>DAY(E1004)</f>
        <v>9</v>
      </c>
      <c r="N1004" t="str">
        <f>TEXT(MTDRejection[[#This Row],[RejectionDate]],"dddd")</f>
        <v>Monday</v>
      </c>
    </row>
    <row r="1005" spans="1:14">
      <c r="A1005" t="s">
        <v>160</v>
      </c>
      <c r="B1005" t="s">
        <v>3668</v>
      </c>
      <c r="C1005" t="s">
        <v>19</v>
      </c>
      <c r="D1005" t="s">
        <v>20</v>
      </c>
      <c r="E1005" s="7">
        <v>45635</v>
      </c>
      <c r="F1005" t="s">
        <v>2327</v>
      </c>
      <c r="G1005">
        <v>1</v>
      </c>
      <c r="H1005" t="s">
        <v>30</v>
      </c>
      <c r="I1005" t="s">
        <v>16</v>
      </c>
      <c r="J1005" t="s">
        <v>16</v>
      </c>
      <c r="K1005" s="16" t="str">
        <f>VLOOKUP(C1005,CheckName!A:B,2,0)</f>
        <v>Add</v>
      </c>
      <c r="L1005">
        <v>0</v>
      </c>
      <c r="M1005" s="16">
        <f>DAY(E1005)</f>
        <v>9</v>
      </c>
      <c r="N1005" t="str">
        <f>TEXT(MTDRejection[[#This Row],[RejectionDate]],"dddd")</f>
        <v>Monday</v>
      </c>
    </row>
    <row r="1006" spans="1:14">
      <c r="A1006" t="s">
        <v>1814</v>
      </c>
      <c r="B1006" t="s">
        <v>3669</v>
      </c>
      <c r="C1006" t="s">
        <v>12</v>
      </c>
      <c r="D1006" t="s">
        <v>26</v>
      </c>
      <c r="E1006" s="7">
        <v>45631</v>
      </c>
      <c r="F1006" t="s">
        <v>1055</v>
      </c>
      <c r="G1006">
        <v>5</v>
      </c>
      <c r="H1006" t="s">
        <v>22</v>
      </c>
      <c r="I1006" t="s">
        <v>16</v>
      </c>
      <c r="J1006" t="s">
        <v>16</v>
      </c>
      <c r="K1006" s="16" t="str">
        <f>VLOOKUP(C1006,CheckName!A:B,2,0)</f>
        <v>Emp</v>
      </c>
      <c r="L1006">
        <v>0</v>
      </c>
      <c r="M1006" s="16">
        <f>DAY(E1006)</f>
        <v>5</v>
      </c>
      <c r="N1006" t="str">
        <f>TEXT(MTDRejection[[#This Row],[RejectionDate]],"dddd")</f>
        <v>Thursday</v>
      </c>
    </row>
    <row r="1007" spans="1:14">
      <c r="A1007" t="s">
        <v>160</v>
      </c>
      <c r="B1007" t="s">
        <v>3670</v>
      </c>
      <c r="C1007" t="s">
        <v>125</v>
      </c>
      <c r="D1007" t="s">
        <v>26</v>
      </c>
      <c r="E1007" s="7">
        <v>45628</v>
      </c>
      <c r="F1007" t="s">
        <v>2337</v>
      </c>
      <c r="G1007">
        <v>8</v>
      </c>
      <c r="H1007" t="s">
        <v>27</v>
      </c>
      <c r="I1007" t="s">
        <v>16</v>
      </c>
      <c r="J1007" t="s">
        <v>16</v>
      </c>
      <c r="K1007" s="16" t="str">
        <f>VLOOKUP(C1007,CheckName!A:B,2,0)</f>
        <v>Emp</v>
      </c>
      <c r="L1007">
        <v>0</v>
      </c>
      <c r="M1007" s="16">
        <f t="shared" ref="M1007:M1009" si="81">DAY(E1007)</f>
        <v>2</v>
      </c>
      <c r="N1007" t="str">
        <f>TEXT(MTDRejection[[#This Row],[RejectionDate]],"dddd")</f>
        <v>Monday</v>
      </c>
    </row>
    <row r="1008" spans="1:14">
      <c r="A1008" t="s">
        <v>211</v>
      </c>
      <c r="B1008" t="s">
        <v>3671</v>
      </c>
      <c r="C1008" t="s">
        <v>54</v>
      </c>
      <c r="D1008" t="s">
        <v>26</v>
      </c>
      <c r="E1008" s="7">
        <v>45628</v>
      </c>
      <c r="F1008" t="s">
        <v>535</v>
      </c>
      <c r="G1008">
        <v>8</v>
      </c>
      <c r="H1008" t="s">
        <v>27</v>
      </c>
      <c r="I1008" t="s">
        <v>16</v>
      </c>
      <c r="J1008" t="s">
        <v>16</v>
      </c>
      <c r="K1008" s="16" t="str">
        <f>VLOOKUP(C1008,CheckName!A:B,2,0)</f>
        <v>Edu</v>
      </c>
      <c r="L1008">
        <v>0</v>
      </c>
      <c r="M1008" s="16">
        <f t="shared" si="81"/>
        <v>2</v>
      </c>
      <c r="N1008" t="str">
        <f>TEXT(MTDRejection[[#This Row],[RejectionDate]],"dddd")</f>
        <v>Monday</v>
      </c>
    </row>
    <row r="1009" spans="1:14">
      <c r="A1009" t="s">
        <v>1815</v>
      </c>
      <c r="B1009" t="s">
        <v>3672</v>
      </c>
      <c r="C1009" t="s">
        <v>54</v>
      </c>
      <c r="D1009" t="s">
        <v>26</v>
      </c>
      <c r="E1009" s="7">
        <v>45628</v>
      </c>
      <c r="F1009" t="s">
        <v>535</v>
      </c>
      <c r="G1009">
        <v>8</v>
      </c>
      <c r="H1009" t="s">
        <v>130</v>
      </c>
      <c r="I1009" t="s">
        <v>16</v>
      </c>
      <c r="J1009" t="s">
        <v>16</v>
      </c>
      <c r="K1009" s="16" t="str">
        <f>VLOOKUP(C1009,CheckName!A:B,2,0)</f>
        <v>Edu</v>
      </c>
      <c r="L1009">
        <v>0</v>
      </c>
      <c r="M1009" s="16">
        <f t="shared" si="81"/>
        <v>2</v>
      </c>
      <c r="N1009" t="str">
        <f>TEXT(MTDRejection[[#This Row],[RejectionDate]],"dddd")</f>
        <v>Monday</v>
      </c>
    </row>
    <row r="1010" spans="1:14">
      <c r="A1010" t="s">
        <v>64</v>
      </c>
      <c r="B1010" t="s">
        <v>3673</v>
      </c>
      <c r="C1010" t="s">
        <v>19</v>
      </c>
      <c r="D1010" t="s">
        <v>26</v>
      </c>
      <c r="E1010" s="7">
        <v>45636</v>
      </c>
      <c r="F1010" t="s">
        <v>273</v>
      </c>
      <c r="G1010">
        <v>0</v>
      </c>
      <c r="H1010" t="s">
        <v>27</v>
      </c>
      <c r="I1010" t="s">
        <v>16</v>
      </c>
      <c r="J1010" t="s">
        <v>16</v>
      </c>
      <c r="K1010" s="16" t="str">
        <f>VLOOKUP(C1010,CheckName!A:B,2,0)</f>
        <v>Add</v>
      </c>
      <c r="L1010">
        <v>0</v>
      </c>
      <c r="M1010" s="16">
        <f t="shared" ref="M1010:M1011" si="82">DAY(E1010)</f>
        <v>10</v>
      </c>
      <c r="N1010" t="str">
        <f>TEXT(MTDRejection[[#This Row],[RejectionDate]],"dddd")</f>
        <v>Tuesday</v>
      </c>
    </row>
    <row r="1011" spans="1:14">
      <c r="A1011" t="s">
        <v>1110</v>
      </c>
      <c r="B1011" t="s">
        <v>3674</v>
      </c>
      <c r="C1011" t="s">
        <v>965</v>
      </c>
      <c r="D1011" t="s">
        <v>20</v>
      </c>
      <c r="E1011" s="7">
        <v>45636</v>
      </c>
      <c r="F1011" t="s">
        <v>2327</v>
      </c>
      <c r="G1011">
        <v>0</v>
      </c>
      <c r="H1011" t="s">
        <v>22</v>
      </c>
      <c r="I1011" t="s">
        <v>16</v>
      </c>
      <c r="J1011" t="s">
        <v>16</v>
      </c>
      <c r="K1011" s="16" t="str">
        <f>VLOOKUP(C1011,CheckName!A:B,2,0)</f>
        <v>Add</v>
      </c>
      <c r="L1011">
        <v>0</v>
      </c>
      <c r="M1011" s="16">
        <f t="shared" si="82"/>
        <v>10</v>
      </c>
      <c r="N1011" t="str">
        <f>TEXT(MTDRejection[[#This Row],[RejectionDate]],"dddd")</f>
        <v>Tuesday</v>
      </c>
    </row>
    <row r="1012" spans="1:14">
      <c r="A1012" t="s">
        <v>64</v>
      </c>
      <c r="B1012" t="s">
        <v>3675</v>
      </c>
      <c r="C1012" t="s">
        <v>25</v>
      </c>
      <c r="D1012" t="s">
        <v>26</v>
      </c>
      <c r="E1012" s="7">
        <v>45636</v>
      </c>
      <c r="F1012" t="s">
        <v>273</v>
      </c>
      <c r="G1012">
        <v>0</v>
      </c>
      <c r="H1012" t="s">
        <v>22</v>
      </c>
      <c r="I1012" t="s">
        <v>16</v>
      </c>
      <c r="J1012" t="s">
        <v>16</v>
      </c>
      <c r="K1012" s="16" t="str">
        <f>VLOOKUP(C1012,CheckName!A:B,2,0)</f>
        <v>Add</v>
      </c>
      <c r="L1012">
        <v>0</v>
      </c>
      <c r="M1012" s="16">
        <f>DAY(E1012)</f>
        <v>10</v>
      </c>
      <c r="N1012" t="str">
        <f>TEXT(MTDRejection[[#This Row],[RejectionDate]],"dddd")</f>
        <v>Tuesday</v>
      </c>
    </row>
    <row r="1013" spans="1:14">
      <c r="A1013" t="s">
        <v>1816</v>
      </c>
      <c r="B1013" t="s">
        <v>3676</v>
      </c>
      <c r="C1013" t="s">
        <v>25</v>
      </c>
      <c r="D1013" t="s">
        <v>20</v>
      </c>
      <c r="E1013" s="7">
        <v>45636</v>
      </c>
      <c r="F1013" t="s">
        <v>2327</v>
      </c>
      <c r="G1013">
        <v>0</v>
      </c>
      <c r="H1013" t="s">
        <v>22</v>
      </c>
      <c r="I1013" t="s">
        <v>16</v>
      </c>
      <c r="J1013" t="s">
        <v>16</v>
      </c>
      <c r="K1013" s="16" t="str">
        <f>VLOOKUP(C1013,CheckName!A:B,2,0)</f>
        <v>Add</v>
      </c>
      <c r="L1013">
        <v>0</v>
      </c>
      <c r="M1013" s="16">
        <f t="shared" ref="M1013:M1021" si="83">DAY(E1013)</f>
        <v>10</v>
      </c>
      <c r="N1013" t="str">
        <f>TEXT(MTDRejection[[#This Row],[RejectionDate]],"dddd")</f>
        <v>Tuesday</v>
      </c>
    </row>
    <row r="1014" spans="1:14">
      <c r="A1014" t="s">
        <v>456</v>
      </c>
      <c r="B1014" t="s">
        <v>3677</v>
      </c>
      <c r="C1014" t="s">
        <v>25</v>
      </c>
      <c r="D1014" t="s">
        <v>20</v>
      </c>
      <c r="E1014" s="7">
        <v>45636</v>
      </c>
      <c r="F1014" t="s">
        <v>2327</v>
      </c>
      <c r="G1014">
        <v>0</v>
      </c>
      <c r="H1014" t="s">
        <v>22</v>
      </c>
      <c r="I1014" t="s">
        <v>16</v>
      </c>
      <c r="J1014" t="s">
        <v>16</v>
      </c>
      <c r="K1014" s="16" t="str">
        <f>VLOOKUP(C1014,CheckName!A:B,2,0)</f>
        <v>Add</v>
      </c>
      <c r="L1014">
        <v>0</v>
      </c>
      <c r="M1014" s="16">
        <f t="shared" si="83"/>
        <v>10</v>
      </c>
      <c r="N1014" t="str">
        <f>TEXT(MTDRejection[[#This Row],[RejectionDate]],"dddd")</f>
        <v>Tuesday</v>
      </c>
    </row>
    <row r="1015" spans="1:14">
      <c r="A1015" t="s">
        <v>160</v>
      </c>
      <c r="B1015" t="s">
        <v>3678</v>
      </c>
      <c r="C1015" t="s">
        <v>19</v>
      </c>
      <c r="D1015" t="s">
        <v>26</v>
      </c>
      <c r="E1015" s="7">
        <v>45636</v>
      </c>
      <c r="F1015" t="s">
        <v>2327</v>
      </c>
      <c r="G1015">
        <v>0</v>
      </c>
      <c r="H1015" t="s">
        <v>425</v>
      </c>
      <c r="I1015" t="s">
        <v>16</v>
      </c>
      <c r="J1015" t="s">
        <v>16</v>
      </c>
      <c r="K1015" s="16" t="str">
        <f>VLOOKUP(C1015,CheckName!A:B,2,0)</f>
        <v>Add</v>
      </c>
      <c r="L1015">
        <v>0</v>
      </c>
      <c r="M1015" s="16">
        <f t="shared" si="83"/>
        <v>10</v>
      </c>
      <c r="N1015" t="str">
        <f>TEXT(MTDRejection[[#This Row],[RejectionDate]],"dddd")</f>
        <v>Tuesday</v>
      </c>
    </row>
    <row r="1016" spans="1:14">
      <c r="A1016" t="s">
        <v>160</v>
      </c>
      <c r="B1016" t="s">
        <v>3679</v>
      </c>
      <c r="C1016" t="s">
        <v>19</v>
      </c>
      <c r="D1016" t="s">
        <v>20</v>
      </c>
      <c r="E1016" s="7">
        <v>45636</v>
      </c>
      <c r="F1016" t="s">
        <v>2327</v>
      </c>
      <c r="G1016">
        <v>0</v>
      </c>
      <c r="H1016" t="s">
        <v>130</v>
      </c>
      <c r="I1016" t="s">
        <v>16</v>
      </c>
      <c r="J1016" t="s">
        <v>16</v>
      </c>
      <c r="K1016" s="16" t="str">
        <f>VLOOKUP(C1016,CheckName!A:B,2,0)</f>
        <v>Add</v>
      </c>
      <c r="L1016">
        <v>0</v>
      </c>
      <c r="M1016" s="16">
        <f t="shared" si="83"/>
        <v>10</v>
      </c>
      <c r="N1016" t="str">
        <f>TEXT(MTDRejection[[#This Row],[RejectionDate]],"dddd")</f>
        <v>Tuesday</v>
      </c>
    </row>
    <row r="1017" spans="1:14">
      <c r="A1017" t="s">
        <v>1306</v>
      </c>
      <c r="B1017" t="s">
        <v>3680</v>
      </c>
      <c r="C1017" t="s">
        <v>19</v>
      </c>
      <c r="D1017" t="s">
        <v>20</v>
      </c>
      <c r="E1017" s="7">
        <v>45636</v>
      </c>
      <c r="F1017" t="s">
        <v>2327</v>
      </c>
      <c r="G1017">
        <v>0</v>
      </c>
      <c r="H1017" t="s">
        <v>22</v>
      </c>
      <c r="I1017" t="s">
        <v>16</v>
      </c>
      <c r="J1017" t="s">
        <v>16</v>
      </c>
      <c r="K1017" s="16" t="str">
        <f>VLOOKUP(C1017,CheckName!A:B,2,0)</f>
        <v>Add</v>
      </c>
      <c r="L1017">
        <v>0</v>
      </c>
      <c r="M1017" s="16">
        <f t="shared" si="83"/>
        <v>10</v>
      </c>
      <c r="N1017" t="str">
        <f>TEXT(MTDRejection[[#This Row],[RejectionDate]],"dddd")</f>
        <v>Tuesday</v>
      </c>
    </row>
    <row r="1018" spans="1:14">
      <c r="A1018" t="s">
        <v>186</v>
      </c>
      <c r="B1018" t="s">
        <v>2465</v>
      </c>
      <c r="C1018" t="s">
        <v>12</v>
      </c>
      <c r="D1018" t="s">
        <v>13</v>
      </c>
      <c r="E1018" s="7">
        <v>45636</v>
      </c>
      <c r="F1018" t="s">
        <v>230</v>
      </c>
      <c r="G1018">
        <v>0</v>
      </c>
      <c r="H1018" t="s">
        <v>15</v>
      </c>
      <c r="I1018" t="s">
        <v>16</v>
      </c>
      <c r="J1018" t="s">
        <v>16</v>
      </c>
      <c r="K1018" s="16" t="str">
        <f>VLOOKUP(C1018,CheckName!A:B,2,0)</f>
        <v>Emp</v>
      </c>
      <c r="L1018">
        <v>0</v>
      </c>
      <c r="M1018" s="16">
        <f t="shared" si="83"/>
        <v>10</v>
      </c>
      <c r="N1018" t="str">
        <f>TEXT(MTDRejection[[#This Row],[RejectionDate]],"dddd")</f>
        <v>Tuesday</v>
      </c>
    </row>
    <row r="1019" spans="1:14">
      <c r="A1019" t="s">
        <v>749</v>
      </c>
      <c r="B1019" t="s">
        <v>3681</v>
      </c>
      <c r="C1019" t="s">
        <v>467</v>
      </c>
      <c r="D1019" t="s">
        <v>13</v>
      </c>
      <c r="E1019" s="7">
        <v>45636</v>
      </c>
      <c r="F1019" t="s">
        <v>230</v>
      </c>
      <c r="G1019">
        <v>0</v>
      </c>
      <c r="H1019" t="s">
        <v>15</v>
      </c>
      <c r="I1019" t="s">
        <v>16</v>
      </c>
      <c r="J1019" t="s">
        <v>16</v>
      </c>
      <c r="K1019" s="16" t="str">
        <f>VLOOKUP(C1019,CheckName!A:B,2,0)</f>
        <v>Special Check</v>
      </c>
      <c r="L1019">
        <v>0</v>
      </c>
      <c r="M1019" s="16">
        <f t="shared" si="83"/>
        <v>10</v>
      </c>
      <c r="N1019" t="str">
        <f>TEXT(MTDRejection[[#This Row],[RejectionDate]],"dddd")</f>
        <v>Tuesday</v>
      </c>
    </row>
    <row r="1020" spans="1:14">
      <c r="A1020" t="s">
        <v>163</v>
      </c>
      <c r="B1020" t="s">
        <v>3682</v>
      </c>
      <c r="C1020" t="s">
        <v>54</v>
      </c>
      <c r="D1020" t="s">
        <v>13</v>
      </c>
      <c r="E1020" s="7">
        <v>45636</v>
      </c>
      <c r="F1020" t="s">
        <v>230</v>
      </c>
      <c r="G1020">
        <v>0</v>
      </c>
      <c r="H1020" t="s">
        <v>15</v>
      </c>
      <c r="I1020" t="s">
        <v>16</v>
      </c>
      <c r="J1020" t="s">
        <v>16</v>
      </c>
      <c r="K1020" s="16" t="str">
        <f>VLOOKUP(C1020,CheckName!A:B,2,0)</f>
        <v>Edu</v>
      </c>
      <c r="L1020">
        <v>0</v>
      </c>
      <c r="M1020" s="16">
        <f t="shared" si="83"/>
        <v>10</v>
      </c>
      <c r="N1020" t="str">
        <f>TEXT(MTDRejection[[#This Row],[RejectionDate]],"dddd")</f>
        <v>Tuesday</v>
      </c>
    </row>
    <row r="1021" spans="1:14">
      <c r="A1021" t="s">
        <v>349</v>
      </c>
      <c r="B1021" t="s">
        <v>3683</v>
      </c>
      <c r="C1021" t="s">
        <v>36</v>
      </c>
      <c r="D1021" t="s">
        <v>26</v>
      </c>
      <c r="E1021" s="7">
        <v>45636</v>
      </c>
      <c r="F1021" t="s">
        <v>1817</v>
      </c>
      <c r="G1021">
        <v>0</v>
      </c>
      <c r="H1021" t="s">
        <v>27</v>
      </c>
      <c r="I1021" t="s">
        <v>16</v>
      </c>
      <c r="J1021" t="s">
        <v>16</v>
      </c>
      <c r="K1021" s="16" t="str">
        <f>VLOOKUP(C1021,CheckName!A:B,2,0)</f>
        <v>Emp</v>
      </c>
      <c r="L1021">
        <v>0</v>
      </c>
      <c r="M1021" s="16">
        <f t="shared" si="83"/>
        <v>10</v>
      </c>
      <c r="N1021" t="str">
        <f>TEXT(MTDRejection[[#This Row],[RejectionDate]],"dddd")</f>
        <v>Tuesday</v>
      </c>
    </row>
    <row r="1022" spans="1:14">
      <c r="A1022" t="s">
        <v>84</v>
      </c>
      <c r="B1022" t="s">
        <v>3684</v>
      </c>
      <c r="C1022" t="s">
        <v>36</v>
      </c>
      <c r="D1022" t="s">
        <v>26</v>
      </c>
      <c r="E1022" s="7">
        <v>45636</v>
      </c>
      <c r="F1022" t="s">
        <v>222</v>
      </c>
      <c r="G1022">
        <v>0</v>
      </c>
      <c r="H1022" t="s">
        <v>27</v>
      </c>
      <c r="I1022" t="s">
        <v>16</v>
      </c>
      <c r="J1022" t="s">
        <v>16</v>
      </c>
      <c r="K1022" s="16" t="str">
        <f>VLOOKUP(C1022,CheckName!A:B,2,0)</f>
        <v>Emp</v>
      </c>
      <c r="L1022">
        <v>0</v>
      </c>
      <c r="M1022" s="16">
        <f t="shared" ref="M1022:M1023" si="84">DAY(E1022)</f>
        <v>10</v>
      </c>
      <c r="N1022" t="str">
        <f>TEXT(MTDRejection[[#This Row],[RejectionDate]],"dddd")</f>
        <v>Tuesday</v>
      </c>
    </row>
    <row r="1023" spans="1:14">
      <c r="A1023" t="s">
        <v>391</v>
      </c>
      <c r="B1023" t="s">
        <v>3685</v>
      </c>
      <c r="C1023" t="s">
        <v>12</v>
      </c>
      <c r="D1023" t="s">
        <v>26</v>
      </c>
      <c r="E1023" s="7">
        <v>45636</v>
      </c>
      <c r="F1023" t="s">
        <v>222</v>
      </c>
      <c r="G1023">
        <v>0</v>
      </c>
      <c r="H1023" t="s">
        <v>27</v>
      </c>
      <c r="I1023" t="s">
        <v>16</v>
      </c>
      <c r="J1023" t="s">
        <v>16</v>
      </c>
      <c r="K1023" s="16" t="str">
        <f>VLOOKUP(C1023,CheckName!A:B,2,0)</f>
        <v>Emp</v>
      </c>
      <c r="L1023">
        <v>0</v>
      </c>
      <c r="M1023" s="16">
        <f t="shared" si="84"/>
        <v>10</v>
      </c>
      <c r="N1023" t="str">
        <f>TEXT(MTDRejection[[#This Row],[RejectionDate]],"dddd")</f>
        <v>Tuesday</v>
      </c>
    </row>
    <row r="1024" spans="1:14">
      <c r="A1024" t="s">
        <v>203</v>
      </c>
      <c r="B1024" t="s">
        <v>3686</v>
      </c>
      <c r="C1024" t="s">
        <v>54</v>
      </c>
      <c r="D1024" t="s">
        <v>26</v>
      </c>
      <c r="E1024" s="7">
        <v>45636</v>
      </c>
      <c r="F1024" t="s">
        <v>63</v>
      </c>
      <c r="G1024">
        <v>0</v>
      </c>
      <c r="H1024" t="s">
        <v>30</v>
      </c>
      <c r="I1024" t="s">
        <v>16</v>
      </c>
      <c r="J1024" t="s">
        <v>16</v>
      </c>
      <c r="K1024" s="16" t="str">
        <f>VLOOKUP(C1024,CheckName!A:B,2,0)</f>
        <v>Edu</v>
      </c>
      <c r="L1024">
        <v>0</v>
      </c>
      <c r="M1024" s="16">
        <f t="shared" ref="M1024:M1025" si="85">DAY(E1024)</f>
        <v>10</v>
      </c>
      <c r="N1024" t="str">
        <f>TEXT(MTDRejection[[#This Row],[RejectionDate]],"dddd")</f>
        <v>Tuesday</v>
      </c>
    </row>
    <row r="1025" spans="1:14">
      <c r="A1025" t="s">
        <v>682</v>
      </c>
      <c r="B1025" t="s">
        <v>3687</v>
      </c>
      <c r="C1025" t="s">
        <v>54</v>
      </c>
      <c r="D1025" t="s">
        <v>13</v>
      </c>
      <c r="E1025" s="7">
        <v>45636</v>
      </c>
      <c r="F1025" t="s">
        <v>706</v>
      </c>
      <c r="G1025">
        <v>0</v>
      </c>
      <c r="H1025" t="s">
        <v>15</v>
      </c>
      <c r="I1025" t="s">
        <v>16</v>
      </c>
      <c r="J1025" t="s">
        <v>16</v>
      </c>
      <c r="K1025" s="16" t="str">
        <f>VLOOKUP(C1025,CheckName!A:B,2,0)</f>
        <v>Edu</v>
      </c>
      <c r="L1025">
        <v>0</v>
      </c>
      <c r="M1025" s="16">
        <f t="shared" si="85"/>
        <v>10</v>
      </c>
      <c r="N1025" t="str">
        <f>TEXT(MTDRejection[[#This Row],[RejectionDate]],"dddd")</f>
        <v>Tuesday</v>
      </c>
    </row>
    <row r="1026" spans="1:14">
      <c r="A1026" t="s">
        <v>160</v>
      </c>
      <c r="B1026" t="s">
        <v>3688</v>
      </c>
      <c r="C1026" t="s">
        <v>125</v>
      </c>
      <c r="D1026" t="s">
        <v>26</v>
      </c>
      <c r="E1026" s="7">
        <v>45636</v>
      </c>
      <c r="F1026" t="s">
        <v>280</v>
      </c>
      <c r="G1026">
        <v>0</v>
      </c>
      <c r="H1026" t="s">
        <v>27</v>
      </c>
      <c r="I1026" t="s">
        <v>16</v>
      </c>
      <c r="J1026" t="s">
        <v>16</v>
      </c>
      <c r="K1026" s="16" t="str">
        <f>VLOOKUP(C1026,CheckName!A:B,2,0)</f>
        <v>Emp</v>
      </c>
      <c r="L1026">
        <v>0</v>
      </c>
      <c r="M1026" s="16">
        <f t="shared" ref="M1026:M1028" si="86">DAY(E1026)</f>
        <v>10</v>
      </c>
      <c r="N1026" t="str">
        <f>TEXT(MTDRejection[[#This Row],[RejectionDate]],"dddd")</f>
        <v>Tuesday</v>
      </c>
    </row>
    <row r="1027" spans="1:14">
      <c r="A1027" t="s">
        <v>160</v>
      </c>
      <c r="B1027" t="s">
        <v>3689</v>
      </c>
      <c r="C1027" t="s">
        <v>36</v>
      </c>
      <c r="D1027" t="s">
        <v>26</v>
      </c>
      <c r="E1027" s="7">
        <v>45636</v>
      </c>
      <c r="F1027" t="s">
        <v>2354</v>
      </c>
      <c r="G1027">
        <v>0</v>
      </c>
      <c r="H1027" t="s">
        <v>27</v>
      </c>
      <c r="I1027" t="s">
        <v>16</v>
      </c>
      <c r="J1027" t="s">
        <v>16</v>
      </c>
      <c r="K1027" s="16" t="str">
        <f>VLOOKUP(C1027,CheckName!A:B,2,0)</f>
        <v>Emp</v>
      </c>
      <c r="L1027">
        <v>0</v>
      </c>
      <c r="M1027" s="16">
        <f t="shared" si="86"/>
        <v>10</v>
      </c>
      <c r="N1027" t="str">
        <f>TEXT(MTDRejection[[#This Row],[RejectionDate]],"dddd")</f>
        <v>Tuesday</v>
      </c>
    </row>
    <row r="1028" spans="1:14">
      <c r="A1028" t="s">
        <v>1491</v>
      </c>
      <c r="B1028" t="s">
        <v>3690</v>
      </c>
      <c r="C1028" t="s">
        <v>54</v>
      </c>
      <c r="D1028" t="s">
        <v>26</v>
      </c>
      <c r="E1028" s="7">
        <v>45636</v>
      </c>
      <c r="F1028" t="s">
        <v>852</v>
      </c>
      <c r="G1028">
        <v>0</v>
      </c>
      <c r="H1028" t="s">
        <v>27</v>
      </c>
      <c r="I1028" t="s">
        <v>16</v>
      </c>
      <c r="J1028" t="s">
        <v>16</v>
      </c>
      <c r="K1028" s="16" t="str">
        <f>VLOOKUP(C1028,CheckName!A:B,2,0)</f>
        <v>Edu</v>
      </c>
      <c r="L1028">
        <v>0</v>
      </c>
      <c r="M1028" s="16">
        <f t="shared" si="86"/>
        <v>10</v>
      </c>
      <c r="N1028" t="str">
        <f>TEXT(MTDRejection[[#This Row],[RejectionDate]],"dddd")</f>
        <v>Tuesday</v>
      </c>
    </row>
    <row r="1029" spans="1:14">
      <c r="A1029" t="s">
        <v>1778</v>
      </c>
      <c r="B1029" t="s">
        <v>3691</v>
      </c>
      <c r="C1029" t="s">
        <v>12</v>
      </c>
      <c r="D1029" t="s">
        <v>26</v>
      </c>
      <c r="E1029" s="7">
        <v>45636</v>
      </c>
      <c r="F1029" t="s">
        <v>277</v>
      </c>
      <c r="G1029">
        <v>0</v>
      </c>
      <c r="H1029" t="s">
        <v>27</v>
      </c>
      <c r="I1029" t="s">
        <v>16</v>
      </c>
      <c r="J1029" t="s">
        <v>16</v>
      </c>
      <c r="K1029" s="16" t="str">
        <f>VLOOKUP(C1029,CheckName!A:B,2,0)</f>
        <v>Emp</v>
      </c>
      <c r="L1029">
        <v>0</v>
      </c>
      <c r="M1029" s="16">
        <f t="shared" ref="M1029:M1035" si="87">DAY(E1029)</f>
        <v>10</v>
      </c>
      <c r="N1029" t="str">
        <f>TEXT(MTDRejection[[#This Row],[RejectionDate]],"dddd")</f>
        <v>Tuesday</v>
      </c>
    </row>
    <row r="1030" spans="1:14">
      <c r="A1030" t="s">
        <v>1778</v>
      </c>
      <c r="B1030" t="s">
        <v>3692</v>
      </c>
      <c r="C1030" t="s">
        <v>36</v>
      </c>
      <c r="D1030" t="s">
        <v>26</v>
      </c>
      <c r="E1030" s="7">
        <v>45636</v>
      </c>
      <c r="F1030" t="s">
        <v>277</v>
      </c>
      <c r="G1030">
        <v>0</v>
      </c>
      <c r="H1030" t="s">
        <v>27</v>
      </c>
      <c r="I1030" t="s">
        <v>16</v>
      </c>
      <c r="J1030" t="s">
        <v>16</v>
      </c>
      <c r="K1030" s="16" t="str">
        <f>VLOOKUP(C1030,CheckName!A:B,2,0)</f>
        <v>Emp</v>
      </c>
      <c r="L1030">
        <v>0</v>
      </c>
      <c r="M1030" s="16">
        <f t="shared" si="87"/>
        <v>10</v>
      </c>
      <c r="N1030" t="str">
        <f>TEXT(MTDRejection[[#This Row],[RejectionDate]],"dddd")</f>
        <v>Tuesday</v>
      </c>
    </row>
    <row r="1031" spans="1:14">
      <c r="A1031" t="s">
        <v>353</v>
      </c>
      <c r="B1031" t="s">
        <v>3693</v>
      </c>
      <c r="C1031" t="s">
        <v>36</v>
      </c>
      <c r="D1031" t="s">
        <v>26</v>
      </c>
      <c r="E1031" s="7">
        <v>45636</v>
      </c>
      <c r="F1031" t="s">
        <v>1139</v>
      </c>
      <c r="G1031">
        <v>0</v>
      </c>
      <c r="H1031" t="s">
        <v>27</v>
      </c>
      <c r="I1031" t="s">
        <v>16</v>
      </c>
      <c r="J1031" t="s">
        <v>16</v>
      </c>
      <c r="K1031" s="16" t="str">
        <f>VLOOKUP(C1031,CheckName!A:B,2,0)</f>
        <v>Emp</v>
      </c>
      <c r="L1031">
        <v>0</v>
      </c>
      <c r="M1031" s="16">
        <f t="shared" si="87"/>
        <v>10</v>
      </c>
      <c r="N1031" t="str">
        <f>TEXT(MTDRejection[[#This Row],[RejectionDate]],"dddd")</f>
        <v>Tuesday</v>
      </c>
    </row>
    <row r="1032" spans="1:14">
      <c r="A1032" t="s">
        <v>47</v>
      </c>
      <c r="B1032" t="s">
        <v>3694</v>
      </c>
      <c r="C1032" t="s">
        <v>54</v>
      </c>
      <c r="D1032" t="s">
        <v>26</v>
      </c>
      <c r="E1032" s="7">
        <v>45636</v>
      </c>
      <c r="F1032" t="s">
        <v>538</v>
      </c>
      <c r="G1032">
        <v>0</v>
      </c>
      <c r="H1032" t="s">
        <v>27</v>
      </c>
      <c r="I1032" t="s">
        <v>16</v>
      </c>
      <c r="J1032" t="s">
        <v>16</v>
      </c>
      <c r="K1032" s="16" t="str">
        <f>VLOOKUP(C1032,CheckName!A:B,2,0)</f>
        <v>Edu</v>
      </c>
      <c r="L1032">
        <v>0</v>
      </c>
      <c r="M1032" s="16">
        <f t="shared" si="87"/>
        <v>10</v>
      </c>
      <c r="N1032" t="str">
        <f>TEXT(MTDRejection[[#This Row],[RejectionDate]],"dddd")</f>
        <v>Tuesday</v>
      </c>
    </row>
    <row r="1033" spans="1:14">
      <c r="A1033" t="s">
        <v>1437</v>
      </c>
      <c r="B1033" t="s">
        <v>3695</v>
      </c>
      <c r="C1033" t="s">
        <v>1818</v>
      </c>
      <c r="D1033" t="s">
        <v>13</v>
      </c>
      <c r="E1033" s="7">
        <v>45636</v>
      </c>
      <c r="F1033" t="s">
        <v>107</v>
      </c>
      <c r="G1033">
        <v>0</v>
      </c>
      <c r="H1033" t="s">
        <v>30</v>
      </c>
      <c r="I1033" t="s">
        <v>16</v>
      </c>
      <c r="J1033" t="s">
        <v>16</v>
      </c>
      <c r="K1033" s="16" t="str">
        <f>VLOOKUP(C1033,CheckName!A:B,2,0)</f>
        <v>Special Check</v>
      </c>
      <c r="L1033">
        <v>0</v>
      </c>
      <c r="M1033" s="16">
        <f t="shared" si="87"/>
        <v>10</v>
      </c>
      <c r="N1033" t="str">
        <f>TEXT(MTDRejection[[#This Row],[RejectionDate]],"dddd")</f>
        <v>Tuesday</v>
      </c>
    </row>
    <row r="1034" spans="1:14">
      <c r="A1034" t="s">
        <v>288</v>
      </c>
      <c r="B1034" t="s">
        <v>3696</v>
      </c>
      <c r="C1034" t="s">
        <v>125</v>
      </c>
      <c r="D1034" t="s">
        <v>26</v>
      </c>
      <c r="E1034" s="7">
        <v>45636</v>
      </c>
      <c r="F1034" t="s">
        <v>159</v>
      </c>
      <c r="G1034">
        <v>0</v>
      </c>
      <c r="H1034" t="s">
        <v>27</v>
      </c>
      <c r="I1034" t="s">
        <v>16</v>
      </c>
      <c r="J1034" t="s">
        <v>16</v>
      </c>
      <c r="K1034" s="16" t="str">
        <f>VLOOKUP(C1034,CheckName!A:B,2,0)</f>
        <v>Emp</v>
      </c>
      <c r="L1034">
        <v>0</v>
      </c>
      <c r="M1034" s="16">
        <f t="shared" si="87"/>
        <v>10</v>
      </c>
      <c r="N1034" t="str">
        <f>TEXT(MTDRejection[[#This Row],[RejectionDate]],"dddd")</f>
        <v>Tuesday</v>
      </c>
    </row>
    <row r="1035" spans="1:14">
      <c r="A1035" t="s">
        <v>84</v>
      </c>
      <c r="B1035" t="s">
        <v>2469</v>
      </c>
      <c r="C1035" t="s">
        <v>36</v>
      </c>
      <c r="D1035" t="s">
        <v>26</v>
      </c>
      <c r="E1035" s="7">
        <v>45636</v>
      </c>
      <c r="F1035" t="s">
        <v>2333</v>
      </c>
      <c r="G1035">
        <v>0</v>
      </c>
      <c r="H1035" t="s">
        <v>130</v>
      </c>
      <c r="I1035" t="s">
        <v>16</v>
      </c>
      <c r="J1035" t="s">
        <v>16</v>
      </c>
      <c r="K1035" s="16" t="str">
        <f>VLOOKUP(C1035,CheckName!A:B,2,0)</f>
        <v>Emp</v>
      </c>
      <c r="L1035">
        <v>0</v>
      </c>
      <c r="M1035" s="16">
        <f t="shared" si="87"/>
        <v>10</v>
      </c>
      <c r="N1035" t="str">
        <f>TEXT(MTDRejection[[#This Row],[RejectionDate]],"dddd")</f>
        <v>Tuesday</v>
      </c>
    </row>
    <row r="1036" spans="1:14">
      <c r="A1036" t="s">
        <v>1819</v>
      </c>
      <c r="B1036" t="s">
        <v>3697</v>
      </c>
      <c r="C1036" t="s">
        <v>12</v>
      </c>
      <c r="D1036" t="s">
        <v>26</v>
      </c>
      <c r="E1036" s="7">
        <v>45636</v>
      </c>
      <c r="F1036" t="s">
        <v>2335</v>
      </c>
      <c r="G1036">
        <v>0</v>
      </c>
      <c r="H1036" t="s">
        <v>27</v>
      </c>
      <c r="I1036" t="s">
        <v>16</v>
      </c>
      <c r="J1036" t="s">
        <v>16</v>
      </c>
      <c r="K1036" s="16" t="str">
        <f>VLOOKUP(C1036,CheckName!A:B,2,0)</f>
        <v>Emp</v>
      </c>
      <c r="L1036">
        <v>0</v>
      </c>
      <c r="M1036" s="16">
        <f t="shared" ref="M1036:M1045" si="88">DAY(E1036)</f>
        <v>10</v>
      </c>
      <c r="N1036" t="str">
        <f>TEXT(MTDRejection[[#This Row],[RejectionDate]],"dddd")</f>
        <v>Tuesday</v>
      </c>
    </row>
    <row r="1037" spans="1:14">
      <c r="A1037" t="s">
        <v>664</v>
      </c>
      <c r="B1037" t="s">
        <v>3698</v>
      </c>
      <c r="C1037" t="s">
        <v>36</v>
      </c>
      <c r="D1037" t="s">
        <v>26</v>
      </c>
      <c r="E1037" s="7">
        <v>45636</v>
      </c>
      <c r="F1037" t="s">
        <v>2335</v>
      </c>
      <c r="G1037">
        <v>0</v>
      </c>
      <c r="H1037" t="s">
        <v>27</v>
      </c>
      <c r="I1037" t="s">
        <v>16</v>
      </c>
      <c r="J1037" t="s">
        <v>16</v>
      </c>
      <c r="K1037" s="16" t="str">
        <f>VLOOKUP(C1037,CheckName!A:B,2,0)</f>
        <v>Emp</v>
      </c>
      <c r="L1037">
        <v>0</v>
      </c>
      <c r="M1037" s="16">
        <f t="shared" si="88"/>
        <v>10</v>
      </c>
      <c r="N1037" t="str">
        <f>TEXT(MTDRejection[[#This Row],[RejectionDate]],"dddd")</f>
        <v>Tuesday</v>
      </c>
    </row>
    <row r="1038" spans="1:14">
      <c r="A1038" t="s">
        <v>519</v>
      </c>
      <c r="B1038" t="s">
        <v>2470</v>
      </c>
      <c r="C1038" t="s">
        <v>36</v>
      </c>
      <c r="D1038" t="s">
        <v>26</v>
      </c>
      <c r="E1038" s="7">
        <v>45636</v>
      </c>
      <c r="F1038" t="s">
        <v>2335</v>
      </c>
      <c r="G1038">
        <v>0</v>
      </c>
      <c r="H1038" t="s">
        <v>27</v>
      </c>
      <c r="I1038" t="s">
        <v>16</v>
      </c>
      <c r="J1038" t="s">
        <v>16</v>
      </c>
      <c r="K1038" s="16" t="str">
        <f>VLOOKUP(C1038,CheckName!A:B,2,0)</f>
        <v>Emp</v>
      </c>
      <c r="L1038">
        <v>0</v>
      </c>
      <c r="M1038" s="16">
        <f t="shared" si="88"/>
        <v>10</v>
      </c>
      <c r="N1038" t="str">
        <f>TEXT(MTDRejection[[#This Row],[RejectionDate]],"dddd")</f>
        <v>Tuesday</v>
      </c>
    </row>
    <row r="1039" spans="1:14">
      <c r="A1039" t="s">
        <v>1820</v>
      </c>
      <c r="B1039" t="s">
        <v>3699</v>
      </c>
      <c r="C1039" t="s">
        <v>54</v>
      </c>
      <c r="D1039" t="s">
        <v>26</v>
      </c>
      <c r="E1039" s="7">
        <v>45636</v>
      </c>
      <c r="F1039" t="s">
        <v>121</v>
      </c>
      <c r="G1039">
        <v>0</v>
      </c>
      <c r="H1039" t="s">
        <v>27</v>
      </c>
      <c r="I1039" t="s">
        <v>16</v>
      </c>
      <c r="J1039" t="s">
        <v>16</v>
      </c>
      <c r="K1039" s="16" t="str">
        <f>VLOOKUP(C1039,CheckName!A:B,2,0)</f>
        <v>Edu</v>
      </c>
      <c r="L1039">
        <v>0</v>
      </c>
      <c r="M1039" s="16">
        <f t="shared" si="88"/>
        <v>10</v>
      </c>
      <c r="N1039" t="str">
        <f>TEXT(MTDRejection[[#This Row],[RejectionDate]],"dddd")</f>
        <v>Tuesday</v>
      </c>
    </row>
    <row r="1040" spans="1:14">
      <c r="A1040" t="s">
        <v>281</v>
      </c>
      <c r="B1040" t="s">
        <v>3700</v>
      </c>
      <c r="C1040" t="s">
        <v>54</v>
      </c>
      <c r="D1040" t="s">
        <v>26</v>
      </c>
      <c r="E1040" s="7">
        <v>45636</v>
      </c>
      <c r="F1040" t="s">
        <v>121</v>
      </c>
      <c r="G1040">
        <v>0</v>
      </c>
      <c r="H1040" t="s">
        <v>22</v>
      </c>
      <c r="I1040" t="s">
        <v>16</v>
      </c>
      <c r="J1040" t="s">
        <v>16</v>
      </c>
      <c r="K1040" s="16" t="str">
        <f>VLOOKUP(C1040,CheckName!A:B,2,0)</f>
        <v>Edu</v>
      </c>
      <c r="L1040">
        <v>0</v>
      </c>
      <c r="M1040" s="16">
        <f t="shared" si="88"/>
        <v>10</v>
      </c>
      <c r="N1040" t="str">
        <f>TEXT(MTDRejection[[#This Row],[RejectionDate]],"dddd")</f>
        <v>Tuesday</v>
      </c>
    </row>
    <row r="1041" spans="1:14">
      <c r="A1041" t="s">
        <v>1007</v>
      </c>
      <c r="B1041" t="s">
        <v>3701</v>
      </c>
      <c r="C1041" t="s">
        <v>54</v>
      </c>
      <c r="D1041" t="s">
        <v>26</v>
      </c>
      <c r="E1041" s="7">
        <v>45636</v>
      </c>
      <c r="F1041" t="s">
        <v>121</v>
      </c>
      <c r="G1041">
        <v>0</v>
      </c>
      <c r="H1041" t="s">
        <v>130</v>
      </c>
      <c r="I1041" t="s">
        <v>16</v>
      </c>
      <c r="J1041" t="s">
        <v>16</v>
      </c>
      <c r="K1041" s="16" t="str">
        <f>VLOOKUP(C1041,CheckName!A:B,2,0)</f>
        <v>Edu</v>
      </c>
      <c r="L1041">
        <v>0</v>
      </c>
      <c r="M1041" s="16">
        <f t="shared" si="88"/>
        <v>10</v>
      </c>
      <c r="N1041" t="str">
        <f>TEXT(MTDRejection[[#This Row],[RejectionDate]],"dddd")</f>
        <v>Tuesday</v>
      </c>
    </row>
    <row r="1042" spans="1:14">
      <c r="A1042" t="s">
        <v>137</v>
      </c>
      <c r="B1042" t="s">
        <v>3702</v>
      </c>
      <c r="C1042" t="s">
        <v>54</v>
      </c>
      <c r="D1042" t="s">
        <v>26</v>
      </c>
      <c r="E1042" s="7">
        <v>45636</v>
      </c>
      <c r="F1042" t="s">
        <v>121</v>
      </c>
      <c r="G1042">
        <v>0</v>
      </c>
      <c r="H1042" t="s">
        <v>27</v>
      </c>
      <c r="I1042" t="s">
        <v>16</v>
      </c>
      <c r="J1042" t="s">
        <v>16</v>
      </c>
      <c r="K1042" s="16" t="str">
        <f>VLOOKUP(C1042,CheckName!A:B,2,0)</f>
        <v>Edu</v>
      </c>
      <c r="L1042">
        <v>0</v>
      </c>
      <c r="M1042" s="16">
        <f t="shared" si="88"/>
        <v>10</v>
      </c>
      <c r="N1042" t="str">
        <f>TEXT(MTDRejection[[#This Row],[RejectionDate]],"dddd")</f>
        <v>Tuesday</v>
      </c>
    </row>
    <row r="1043" spans="1:14">
      <c r="A1043" t="s">
        <v>119</v>
      </c>
      <c r="B1043" t="s">
        <v>3703</v>
      </c>
      <c r="C1043" t="s">
        <v>125</v>
      </c>
      <c r="D1043" t="s">
        <v>26</v>
      </c>
      <c r="E1043" s="7">
        <v>45636</v>
      </c>
      <c r="F1043" t="s">
        <v>2346</v>
      </c>
      <c r="G1043">
        <v>0</v>
      </c>
      <c r="H1043" t="s">
        <v>27</v>
      </c>
      <c r="I1043" t="s">
        <v>16</v>
      </c>
      <c r="J1043" t="s">
        <v>16</v>
      </c>
      <c r="K1043" s="16" t="str">
        <f>VLOOKUP(C1043,CheckName!A:B,2,0)</f>
        <v>Emp</v>
      </c>
      <c r="L1043">
        <v>0</v>
      </c>
      <c r="M1043" s="16">
        <f t="shared" si="88"/>
        <v>10</v>
      </c>
      <c r="N1043" t="str">
        <f>TEXT(MTDRejection[[#This Row],[RejectionDate]],"dddd")</f>
        <v>Tuesday</v>
      </c>
    </row>
    <row r="1044" spans="1:14">
      <c r="A1044" t="s">
        <v>119</v>
      </c>
      <c r="B1044" t="s">
        <v>3704</v>
      </c>
      <c r="C1044" t="s">
        <v>12</v>
      </c>
      <c r="D1044" t="s">
        <v>26</v>
      </c>
      <c r="E1044" s="7">
        <v>45636</v>
      </c>
      <c r="F1044" t="s">
        <v>2346</v>
      </c>
      <c r="G1044">
        <v>0</v>
      </c>
      <c r="H1044" t="s">
        <v>27</v>
      </c>
      <c r="I1044" t="s">
        <v>16</v>
      </c>
      <c r="J1044" t="s">
        <v>16</v>
      </c>
      <c r="K1044" s="16" t="str">
        <f>VLOOKUP(C1044,CheckName!A:B,2,0)</f>
        <v>Emp</v>
      </c>
      <c r="L1044">
        <v>0</v>
      </c>
      <c r="M1044" s="16">
        <f t="shared" si="88"/>
        <v>10</v>
      </c>
      <c r="N1044" t="str">
        <f>TEXT(MTDRejection[[#This Row],[RejectionDate]],"dddd")</f>
        <v>Tuesday</v>
      </c>
    </row>
    <row r="1045" spans="1:14">
      <c r="A1045" t="s">
        <v>81</v>
      </c>
      <c r="B1045" t="s">
        <v>3705</v>
      </c>
      <c r="C1045" t="s">
        <v>12</v>
      </c>
      <c r="D1045" t="s">
        <v>26</v>
      </c>
      <c r="E1045" s="7">
        <v>45636</v>
      </c>
      <c r="F1045" t="s">
        <v>115</v>
      </c>
      <c r="G1045">
        <v>0</v>
      </c>
      <c r="H1045" t="s">
        <v>22</v>
      </c>
      <c r="I1045" t="s">
        <v>16</v>
      </c>
      <c r="J1045" t="s">
        <v>16</v>
      </c>
      <c r="K1045" s="16" t="str">
        <f>VLOOKUP(C1045,CheckName!A:B,2,0)</f>
        <v>Emp</v>
      </c>
      <c r="L1045">
        <v>0</v>
      </c>
      <c r="M1045" s="16">
        <f t="shared" si="88"/>
        <v>10</v>
      </c>
      <c r="N1045" t="str">
        <f>TEXT(MTDRejection[[#This Row],[RejectionDate]],"dddd")</f>
        <v>Tuesday</v>
      </c>
    </row>
    <row r="1046" spans="1:14">
      <c r="A1046" t="s">
        <v>81</v>
      </c>
      <c r="B1046" t="s">
        <v>3706</v>
      </c>
      <c r="C1046" t="s">
        <v>54</v>
      </c>
      <c r="D1046" t="s">
        <v>26</v>
      </c>
      <c r="E1046" s="7">
        <v>45636</v>
      </c>
      <c r="F1046" t="s">
        <v>121</v>
      </c>
      <c r="G1046">
        <v>0</v>
      </c>
      <c r="H1046" t="s">
        <v>27</v>
      </c>
      <c r="I1046" t="s">
        <v>16</v>
      </c>
      <c r="J1046" t="s">
        <v>16</v>
      </c>
      <c r="K1046" s="16" t="str">
        <f>VLOOKUP(C1046,CheckName!A:B,2,0)</f>
        <v>Edu</v>
      </c>
      <c r="L1046">
        <v>0</v>
      </c>
      <c r="M1046" s="16">
        <f t="shared" ref="M1046:M1050" si="89">DAY(E1046)</f>
        <v>10</v>
      </c>
      <c r="N1046" t="str">
        <f>TEXT(MTDRejection[[#This Row],[RejectionDate]],"dddd")</f>
        <v>Tuesday</v>
      </c>
    </row>
    <row r="1047" spans="1:14">
      <c r="A1047" t="s">
        <v>391</v>
      </c>
      <c r="B1047" t="s">
        <v>3707</v>
      </c>
      <c r="C1047" t="s">
        <v>36</v>
      </c>
      <c r="D1047" t="s">
        <v>26</v>
      </c>
      <c r="E1047" s="7">
        <v>45636</v>
      </c>
      <c r="F1047" t="s">
        <v>151</v>
      </c>
      <c r="G1047">
        <v>0</v>
      </c>
      <c r="H1047" t="s">
        <v>27</v>
      </c>
      <c r="I1047" t="s">
        <v>16</v>
      </c>
      <c r="J1047" t="s">
        <v>16</v>
      </c>
      <c r="K1047" s="16" t="str">
        <f>VLOOKUP(C1047,CheckName!A:B,2,0)</f>
        <v>Emp</v>
      </c>
      <c r="L1047">
        <v>0</v>
      </c>
      <c r="M1047" s="16">
        <f t="shared" si="89"/>
        <v>10</v>
      </c>
      <c r="N1047" t="str">
        <f>TEXT(MTDRejection[[#This Row],[RejectionDate]],"dddd")</f>
        <v>Tuesday</v>
      </c>
    </row>
    <row r="1048" spans="1:14">
      <c r="A1048" t="s">
        <v>186</v>
      </c>
      <c r="B1048" t="s">
        <v>3708</v>
      </c>
      <c r="C1048" t="s">
        <v>12</v>
      </c>
      <c r="D1048" t="s">
        <v>26</v>
      </c>
      <c r="E1048" s="7">
        <v>45636</v>
      </c>
      <c r="F1048" t="s">
        <v>141</v>
      </c>
      <c r="G1048">
        <v>0</v>
      </c>
      <c r="H1048" t="s">
        <v>22</v>
      </c>
      <c r="I1048" t="s">
        <v>16</v>
      </c>
      <c r="J1048" t="s">
        <v>16</v>
      </c>
      <c r="K1048" s="16" t="str">
        <f>VLOOKUP(C1048,CheckName!A:B,2,0)</f>
        <v>Emp</v>
      </c>
      <c r="L1048">
        <v>0</v>
      </c>
      <c r="M1048" s="16">
        <f t="shared" si="89"/>
        <v>10</v>
      </c>
      <c r="N1048" t="str">
        <f>TEXT(MTDRejection[[#This Row],[RejectionDate]],"dddd")</f>
        <v>Tuesday</v>
      </c>
    </row>
    <row r="1049" spans="1:14">
      <c r="A1049" t="s">
        <v>567</v>
      </c>
      <c r="B1049" t="s">
        <v>3709</v>
      </c>
      <c r="C1049" t="s">
        <v>123</v>
      </c>
      <c r="D1049" t="s">
        <v>38</v>
      </c>
      <c r="E1049" s="7">
        <v>45636</v>
      </c>
      <c r="F1049" t="s">
        <v>118</v>
      </c>
      <c r="G1049">
        <v>0</v>
      </c>
      <c r="H1049" t="s">
        <v>42</v>
      </c>
      <c r="I1049" t="s">
        <v>16</v>
      </c>
      <c r="J1049" t="s">
        <v>16</v>
      </c>
      <c r="K1049" s="16" t="str">
        <f>VLOOKUP(C1049,CheckName!A:B,2,0)</f>
        <v>Special Check</v>
      </c>
      <c r="L1049">
        <v>0</v>
      </c>
      <c r="M1049" s="16">
        <f t="shared" si="89"/>
        <v>10</v>
      </c>
      <c r="N1049" t="str">
        <f>TEXT(MTDRejection[[#This Row],[RejectionDate]],"dddd")</f>
        <v>Tuesday</v>
      </c>
    </row>
    <row r="1050" spans="1:14">
      <c r="A1050" t="s">
        <v>133</v>
      </c>
      <c r="B1050" t="s">
        <v>3710</v>
      </c>
      <c r="C1050" t="s">
        <v>25</v>
      </c>
      <c r="D1050" t="s">
        <v>20</v>
      </c>
      <c r="E1050" s="7">
        <v>45636</v>
      </c>
      <c r="F1050" t="s">
        <v>129</v>
      </c>
      <c r="G1050">
        <v>0</v>
      </c>
      <c r="H1050" t="s">
        <v>22</v>
      </c>
      <c r="I1050" t="s">
        <v>16</v>
      </c>
      <c r="J1050" t="s">
        <v>16</v>
      </c>
      <c r="K1050" s="16" t="str">
        <f>VLOOKUP(C1050,CheckName!A:B,2,0)</f>
        <v>Add</v>
      </c>
      <c r="L1050">
        <v>0</v>
      </c>
      <c r="M1050" s="16">
        <f t="shared" si="89"/>
        <v>10</v>
      </c>
      <c r="N1050" t="str">
        <f>TEXT(MTDRejection[[#This Row],[RejectionDate]],"dddd")</f>
        <v>Tuesday</v>
      </c>
    </row>
    <row r="1051" spans="1:14">
      <c r="A1051" t="s">
        <v>1455</v>
      </c>
      <c r="B1051" t="s">
        <v>3711</v>
      </c>
      <c r="C1051" t="s">
        <v>36</v>
      </c>
      <c r="D1051" t="s">
        <v>26</v>
      </c>
      <c r="E1051" s="7">
        <v>45635</v>
      </c>
      <c r="F1051" t="s">
        <v>311</v>
      </c>
      <c r="G1051">
        <v>1</v>
      </c>
      <c r="H1051" t="s">
        <v>22</v>
      </c>
      <c r="I1051" t="s">
        <v>16</v>
      </c>
      <c r="J1051" t="s">
        <v>16</v>
      </c>
      <c r="K1051" s="16" t="str">
        <f>VLOOKUP(C1051,CheckName!A:B,2,0)</f>
        <v>Emp</v>
      </c>
      <c r="L1051">
        <v>0</v>
      </c>
      <c r="M1051" s="16">
        <f>DAY(E1051)</f>
        <v>9</v>
      </c>
      <c r="N1051" t="str">
        <f>TEXT(MTDRejection[[#This Row],[RejectionDate]],"dddd")</f>
        <v>Monday</v>
      </c>
    </row>
    <row r="1052" spans="1:14">
      <c r="A1052" t="s">
        <v>333</v>
      </c>
      <c r="B1052" t="s">
        <v>3712</v>
      </c>
      <c r="C1052" t="s">
        <v>12</v>
      </c>
      <c r="D1052" t="s">
        <v>26</v>
      </c>
      <c r="E1052" s="7">
        <v>45635</v>
      </c>
      <c r="F1052" t="s">
        <v>380</v>
      </c>
      <c r="G1052">
        <v>1</v>
      </c>
      <c r="H1052" t="s">
        <v>27</v>
      </c>
      <c r="I1052" t="s">
        <v>16</v>
      </c>
      <c r="J1052" t="s">
        <v>16</v>
      </c>
      <c r="K1052" s="16" t="str">
        <f>VLOOKUP(C1052,CheckName!A:B,2,0)</f>
        <v>Emp</v>
      </c>
      <c r="L1052">
        <v>0</v>
      </c>
      <c r="M1052" s="16">
        <f t="shared" ref="M1052:M1053" si="90">DAY(E1052)</f>
        <v>9</v>
      </c>
      <c r="N1052" t="str">
        <f>TEXT(MTDRejection[[#This Row],[RejectionDate]],"dddd")</f>
        <v>Monday</v>
      </c>
    </row>
    <row r="1053" spans="1:14">
      <c r="A1053" t="s">
        <v>1107</v>
      </c>
      <c r="B1053" t="s">
        <v>3713</v>
      </c>
      <c r="C1053" t="s">
        <v>12</v>
      </c>
      <c r="D1053" t="s">
        <v>26</v>
      </c>
      <c r="E1053" s="7">
        <v>45635</v>
      </c>
      <c r="F1053" t="s">
        <v>277</v>
      </c>
      <c r="G1053">
        <v>1</v>
      </c>
      <c r="H1053" t="s">
        <v>130</v>
      </c>
      <c r="I1053" t="s">
        <v>16</v>
      </c>
      <c r="J1053" t="s">
        <v>16</v>
      </c>
      <c r="K1053" s="16" t="str">
        <f>VLOOKUP(C1053,CheckName!A:B,2,0)</f>
        <v>Emp</v>
      </c>
      <c r="L1053">
        <v>0</v>
      </c>
      <c r="M1053" s="16">
        <f t="shared" si="90"/>
        <v>9</v>
      </c>
      <c r="N1053" t="str">
        <f>TEXT(MTDRejection[[#This Row],[RejectionDate]],"dddd")</f>
        <v>Monday</v>
      </c>
    </row>
    <row r="1054" spans="1:14">
      <c r="A1054" t="s">
        <v>160</v>
      </c>
      <c r="B1054" t="s">
        <v>3714</v>
      </c>
      <c r="C1054" t="s">
        <v>93</v>
      </c>
      <c r="D1054" t="s">
        <v>26</v>
      </c>
      <c r="E1054" s="7">
        <v>45635</v>
      </c>
      <c r="F1054" t="s">
        <v>63</v>
      </c>
      <c r="G1054">
        <v>1</v>
      </c>
      <c r="H1054" t="s">
        <v>27</v>
      </c>
      <c r="I1054" t="s">
        <v>16</v>
      </c>
      <c r="J1054" t="s">
        <v>16</v>
      </c>
      <c r="K1054" s="16" t="str">
        <f>VLOOKUP(C1054,CheckName!A:B,2,0)</f>
        <v>Edu</v>
      </c>
      <c r="L1054">
        <v>0</v>
      </c>
      <c r="M1054" s="16">
        <f>DAY(E1054)</f>
        <v>9</v>
      </c>
      <c r="N1054" t="str">
        <f>TEXT(MTDRejection[[#This Row],[RejectionDate]],"dddd")</f>
        <v>Monday</v>
      </c>
    </row>
    <row r="1055" spans="1:14">
      <c r="A1055" t="s">
        <v>200</v>
      </c>
      <c r="B1055" t="s">
        <v>2471</v>
      </c>
      <c r="C1055" t="s">
        <v>19</v>
      </c>
      <c r="D1055" t="s">
        <v>20</v>
      </c>
      <c r="E1055" s="7">
        <v>45635</v>
      </c>
      <c r="F1055" t="s">
        <v>2327</v>
      </c>
      <c r="G1055">
        <v>1</v>
      </c>
      <c r="H1055" t="s">
        <v>22</v>
      </c>
      <c r="I1055" t="s">
        <v>16</v>
      </c>
      <c r="J1055" t="s">
        <v>16</v>
      </c>
      <c r="K1055" s="16" t="str">
        <f>VLOOKUP(C1055,CheckName!A:B,2,0)</f>
        <v>Add</v>
      </c>
      <c r="L1055">
        <v>0</v>
      </c>
      <c r="M1055" s="16">
        <f>DAY(E1055)</f>
        <v>9</v>
      </c>
      <c r="N1055" t="str">
        <f>TEXT(MTDRejection[[#This Row],[RejectionDate]],"dddd")</f>
        <v>Monday</v>
      </c>
    </row>
    <row r="1056" spans="1:14">
      <c r="A1056" t="s">
        <v>1802</v>
      </c>
      <c r="B1056" t="s">
        <v>3715</v>
      </c>
      <c r="C1056" t="s">
        <v>467</v>
      </c>
      <c r="D1056" t="s">
        <v>13</v>
      </c>
      <c r="E1056" s="7">
        <v>45636</v>
      </c>
      <c r="F1056" t="s">
        <v>2343</v>
      </c>
      <c r="G1056">
        <v>0</v>
      </c>
      <c r="H1056" t="s">
        <v>30</v>
      </c>
      <c r="I1056" t="s">
        <v>16</v>
      </c>
      <c r="J1056" t="s">
        <v>16</v>
      </c>
      <c r="K1056" s="16" t="str">
        <f>VLOOKUP(C1056,CheckName!A:B,2,0)</f>
        <v>Special Check</v>
      </c>
      <c r="L1056">
        <v>0</v>
      </c>
      <c r="M1056" s="16">
        <f>DAY(E1056)</f>
        <v>10</v>
      </c>
      <c r="N1056" t="str">
        <f>TEXT(MTDRejection[[#This Row],[RejectionDate]],"dddd")</f>
        <v>Tuesday</v>
      </c>
    </row>
    <row r="1057" spans="1:14">
      <c r="A1057" t="s">
        <v>360</v>
      </c>
      <c r="B1057" t="s">
        <v>2472</v>
      </c>
      <c r="C1057" t="s">
        <v>980</v>
      </c>
      <c r="D1057" t="s">
        <v>20</v>
      </c>
      <c r="E1057" s="7">
        <v>45636</v>
      </c>
      <c r="F1057" t="s">
        <v>2327</v>
      </c>
      <c r="G1057">
        <v>0</v>
      </c>
      <c r="H1057" t="s">
        <v>22</v>
      </c>
      <c r="I1057" t="s">
        <v>16</v>
      </c>
      <c r="J1057" t="s">
        <v>16</v>
      </c>
      <c r="K1057" s="16" t="str">
        <f>VLOOKUP(C1057,CheckName!A:B,2,0)</f>
        <v>Add</v>
      </c>
      <c r="L1057">
        <v>0</v>
      </c>
      <c r="M1057" s="16">
        <f>DAY(E1057)</f>
        <v>10</v>
      </c>
      <c r="N1057" t="str">
        <f>TEXT(MTDRejection[[#This Row],[RejectionDate]],"dddd")</f>
        <v>Tuesday</v>
      </c>
    </row>
    <row r="1058" spans="1:14">
      <c r="A1058" t="s">
        <v>317</v>
      </c>
      <c r="B1058" t="s">
        <v>3716</v>
      </c>
      <c r="C1058" t="s">
        <v>19</v>
      </c>
      <c r="D1058" t="s">
        <v>20</v>
      </c>
      <c r="E1058" s="7">
        <v>45636</v>
      </c>
      <c r="F1058" t="s">
        <v>273</v>
      </c>
      <c r="G1058">
        <v>0</v>
      </c>
      <c r="H1058" t="s">
        <v>22</v>
      </c>
      <c r="I1058" t="s">
        <v>16</v>
      </c>
      <c r="J1058" t="s">
        <v>16</v>
      </c>
      <c r="K1058" s="16" t="str">
        <f>VLOOKUP(C1058,CheckName!A:B,2,0)</f>
        <v>Add</v>
      </c>
      <c r="L1058">
        <v>0</v>
      </c>
      <c r="M1058" s="16">
        <f t="shared" ref="M1058:M1061" si="91">DAY(E1058)</f>
        <v>10</v>
      </c>
      <c r="N1058" t="str">
        <f>TEXT(MTDRejection[[#This Row],[RejectionDate]],"dddd")</f>
        <v>Tuesday</v>
      </c>
    </row>
    <row r="1059" spans="1:14">
      <c r="A1059" t="s">
        <v>1110</v>
      </c>
      <c r="B1059" t="s">
        <v>3717</v>
      </c>
      <c r="C1059" t="s">
        <v>965</v>
      </c>
      <c r="D1059" t="s">
        <v>20</v>
      </c>
      <c r="E1059" s="7">
        <v>45636</v>
      </c>
      <c r="F1059" t="s">
        <v>273</v>
      </c>
      <c r="G1059">
        <v>0</v>
      </c>
      <c r="H1059" t="s">
        <v>22</v>
      </c>
      <c r="I1059" t="s">
        <v>16</v>
      </c>
      <c r="J1059" t="s">
        <v>16</v>
      </c>
      <c r="K1059" s="16" t="str">
        <f>VLOOKUP(C1059,CheckName!A:B,2,0)</f>
        <v>Add</v>
      </c>
      <c r="L1059">
        <v>0</v>
      </c>
      <c r="M1059" s="16">
        <f t="shared" si="91"/>
        <v>10</v>
      </c>
      <c r="N1059" t="str">
        <f>TEXT(MTDRejection[[#This Row],[RejectionDate]],"dddd")</f>
        <v>Tuesday</v>
      </c>
    </row>
    <row r="1060" spans="1:14">
      <c r="A1060" t="s">
        <v>1801</v>
      </c>
      <c r="B1060" t="s">
        <v>3718</v>
      </c>
      <c r="C1060" t="s">
        <v>25</v>
      </c>
      <c r="D1060" t="s">
        <v>20</v>
      </c>
      <c r="E1060" s="7">
        <v>45636</v>
      </c>
      <c r="F1060" t="s">
        <v>273</v>
      </c>
      <c r="G1060">
        <v>0</v>
      </c>
      <c r="H1060" t="s">
        <v>22</v>
      </c>
      <c r="I1060" t="s">
        <v>16</v>
      </c>
      <c r="J1060" t="s">
        <v>16</v>
      </c>
      <c r="K1060" s="16" t="str">
        <f>VLOOKUP(C1060,CheckName!A:B,2,0)</f>
        <v>Add</v>
      </c>
      <c r="L1060">
        <v>0</v>
      </c>
      <c r="M1060" s="16">
        <f t="shared" si="91"/>
        <v>10</v>
      </c>
      <c r="N1060" t="str">
        <f>TEXT(MTDRejection[[#This Row],[RejectionDate]],"dddd")</f>
        <v>Tuesday</v>
      </c>
    </row>
    <row r="1061" spans="1:14">
      <c r="A1061" t="s">
        <v>945</v>
      </c>
      <c r="B1061" t="s">
        <v>3719</v>
      </c>
      <c r="C1061" t="s">
        <v>25</v>
      </c>
      <c r="D1061" t="s">
        <v>20</v>
      </c>
      <c r="E1061" s="7">
        <v>45636</v>
      </c>
      <c r="F1061" t="s">
        <v>2327</v>
      </c>
      <c r="G1061">
        <v>0</v>
      </c>
      <c r="H1061" t="s">
        <v>130</v>
      </c>
      <c r="I1061" t="s">
        <v>16</v>
      </c>
      <c r="J1061" t="s">
        <v>16</v>
      </c>
      <c r="K1061" s="16" t="str">
        <f>VLOOKUP(C1061,CheckName!A:B,2,0)</f>
        <v>Add</v>
      </c>
      <c r="L1061">
        <v>0</v>
      </c>
      <c r="M1061" s="16">
        <f t="shared" si="91"/>
        <v>10</v>
      </c>
      <c r="N1061" t="str">
        <f>TEXT(MTDRejection[[#This Row],[RejectionDate]],"dddd")</f>
        <v>Tuesday</v>
      </c>
    </row>
    <row r="1062" spans="1:14">
      <c r="A1062" t="s">
        <v>306</v>
      </c>
      <c r="B1062" t="s">
        <v>3720</v>
      </c>
      <c r="C1062" t="s">
        <v>54</v>
      </c>
      <c r="D1062" t="s">
        <v>51</v>
      </c>
      <c r="E1062" s="7">
        <v>45636</v>
      </c>
      <c r="F1062" t="s">
        <v>555</v>
      </c>
      <c r="G1062">
        <v>0</v>
      </c>
      <c r="H1062" t="s">
        <v>53</v>
      </c>
      <c r="I1062" t="s">
        <v>16</v>
      </c>
      <c r="J1062" t="s">
        <v>16</v>
      </c>
      <c r="K1062" s="16" t="str">
        <f>VLOOKUP(C1062,CheckName!A:B,2,0)</f>
        <v>Edu</v>
      </c>
      <c r="L1062">
        <v>0</v>
      </c>
      <c r="M1062" s="16">
        <f t="shared" ref="M1062:M1070" si="92">DAY(E1062)</f>
        <v>10</v>
      </c>
      <c r="N1062" t="str">
        <f>TEXT(MTDRejection[[#This Row],[RejectionDate]],"dddd")</f>
        <v>Tuesday</v>
      </c>
    </row>
    <row r="1063" spans="1:14">
      <c r="A1063" t="s">
        <v>306</v>
      </c>
      <c r="B1063" t="s">
        <v>3721</v>
      </c>
      <c r="C1063" t="s">
        <v>25</v>
      </c>
      <c r="D1063" t="s">
        <v>51</v>
      </c>
      <c r="E1063" s="7">
        <v>45636</v>
      </c>
      <c r="F1063" t="s">
        <v>555</v>
      </c>
      <c r="G1063">
        <v>0</v>
      </c>
      <c r="H1063" t="s">
        <v>53</v>
      </c>
      <c r="I1063" t="s">
        <v>16</v>
      </c>
      <c r="J1063" t="s">
        <v>16</v>
      </c>
      <c r="K1063" s="16" t="str">
        <f>VLOOKUP(C1063,CheckName!A:B,2,0)</f>
        <v>Add</v>
      </c>
      <c r="L1063">
        <v>0</v>
      </c>
      <c r="M1063" s="16">
        <f t="shared" si="92"/>
        <v>10</v>
      </c>
      <c r="N1063" t="str">
        <f>TEXT(MTDRejection[[#This Row],[RejectionDate]],"dddd")</f>
        <v>Tuesday</v>
      </c>
    </row>
    <row r="1064" spans="1:14">
      <c r="A1064" t="s">
        <v>100</v>
      </c>
      <c r="B1064" t="s">
        <v>2474</v>
      </c>
      <c r="C1064" t="s">
        <v>775</v>
      </c>
      <c r="D1064" t="s">
        <v>51</v>
      </c>
      <c r="E1064" s="7">
        <v>45636</v>
      </c>
      <c r="F1064" t="s">
        <v>555</v>
      </c>
      <c r="G1064">
        <v>0</v>
      </c>
      <c r="H1064" t="s">
        <v>53</v>
      </c>
      <c r="I1064" t="s">
        <v>16</v>
      </c>
      <c r="J1064" t="s">
        <v>16</v>
      </c>
      <c r="K1064" s="16" t="str">
        <f>VLOOKUP(C1064,CheckName!A:B,2,0)</f>
        <v>Emp</v>
      </c>
      <c r="L1064">
        <v>0</v>
      </c>
      <c r="M1064" s="16">
        <f t="shared" si="92"/>
        <v>10</v>
      </c>
      <c r="N1064" t="str">
        <f>TEXT(MTDRejection[[#This Row],[RejectionDate]],"dddd")</f>
        <v>Tuesday</v>
      </c>
    </row>
    <row r="1065" spans="1:14">
      <c r="A1065" t="s">
        <v>69</v>
      </c>
      <c r="B1065" t="s">
        <v>2475</v>
      </c>
      <c r="C1065" t="s">
        <v>54</v>
      </c>
      <c r="D1065" t="s">
        <v>13</v>
      </c>
      <c r="E1065" s="7">
        <v>45636</v>
      </c>
      <c r="F1065" t="s">
        <v>230</v>
      </c>
      <c r="G1065">
        <v>0</v>
      </c>
      <c r="H1065" t="s">
        <v>15</v>
      </c>
      <c r="I1065" t="s">
        <v>16</v>
      </c>
      <c r="J1065" t="s">
        <v>16</v>
      </c>
      <c r="K1065" s="16" t="str">
        <f>VLOOKUP(C1065,CheckName!A:B,2,0)</f>
        <v>Edu</v>
      </c>
      <c r="L1065">
        <v>0</v>
      </c>
      <c r="M1065" s="16">
        <f t="shared" si="92"/>
        <v>10</v>
      </c>
      <c r="N1065" t="str">
        <f>TEXT(MTDRejection[[#This Row],[RejectionDate]],"dddd")</f>
        <v>Tuesday</v>
      </c>
    </row>
    <row r="1066" spans="1:14">
      <c r="A1066" t="s">
        <v>69</v>
      </c>
      <c r="B1066" t="s">
        <v>2476</v>
      </c>
      <c r="C1066" t="s">
        <v>71</v>
      </c>
      <c r="D1066" t="s">
        <v>13</v>
      </c>
      <c r="E1066" s="7">
        <v>45636</v>
      </c>
      <c r="F1066" t="s">
        <v>230</v>
      </c>
      <c r="G1066">
        <v>0</v>
      </c>
      <c r="H1066" t="s">
        <v>15</v>
      </c>
      <c r="I1066" t="s">
        <v>16</v>
      </c>
      <c r="J1066" t="s">
        <v>16</v>
      </c>
      <c r="K1066" s="16" t="str">
        <f>VLOOKUP(C1066,CheckName!A:B,2,0)</f>
        <v>CRC</v>
      </c>
      <c r="L1066">
        <v>0</v>
      </c>
      <c r="M1066" s="16">
        <f t="shared" si="92"/>
        <v>10</v>
      </c>
      <c r="N1066" t="str">
        <f>TEXT(MTDRejection[[#This Row],[RejectionDate]],"dddd")</f>
        <v>Tuesday</v>
      </c>
    </row>
    <row r="1067" spans="1:14">
      <c r="A1067" t="s">
        <v>69</v>
      </c>
      <c r="B1067" t="s">
        <v>3722</v>
      </c>
      <c r="C1067" t="s">
        <v>12</v>
      </c>
      <c r="D1067" t="s">
        <v>13</v>
      </c>
      <c r="E1067" s="7">
        <v>45636</v>
      </c>
      <c r="F1067" t="s">
        <v>230</v>
      </c>
      <c r="G1067">
        <v>0</v>
      </c>
      <c r="H1067" t="s">
        <v>15</v>
      </c>
      <c r="I1067" t="s">
        <v>16</v>
      </c>
      <c r="J1067" t="s">
        <v>16</v>
      </c>
      <c r="K1067" s="16" t="str">
        <f>VLOOKUP(C1067,CheckName!A:B,2,0)</f>
        <v>Emp</v>
      </c>
      <c r="L1067">
        <v>0</v>
      </c>
      <c r="M1067" s="16">
        <f t="shared" si="92"/>
        <v>10</v>
      </c>
      <c r="N1067" t="str">
        <f>TEXT(MTDRejection[[#This Row],[RejectionDate]],"dddd")</f>
        <v>Tuesday</v>
      </c>
    </row>
    <row r="1068" spans="1:14">
      <c r="A1068" t="s">
        <v>697</v>
      </c>
      <c r="B1068" t="s">
        <v>3723</v>
      </c>
      <c r="C1068" t="s">
        <v>112</v>
      </c>
      <c r="D1068" t="s">
        <v>13</v>
      </c>
      <c r="E1068" s="7">
        <v>45636</v>
      </c>
      <c r="F1068" t="s">
        <v>33</v>
      </c>
      <c r="G1068">
        <v>0</v>
      </c>
      <c r="H1068" t="s">
        <v>15</v>
      </c>
      <c r="I1068" t="s">
        <v>16</v>
      </c>
      <c r="J1068" t="s">
        <v>16</v>
      </c>
      <c r="K1068" s="16" t="str">
        <f>VLOOKUP(C1068,CheckName!A:B,2,0)</f>
        <v>Emp</v>
      </c>
      <c r="L1068">
        <v>0</v>
      </c>
      <c r="M1068" s="16">
        <f t="shared" si="92"/>
        <v>10</v>
      </c>
      <c r="N1068" t="str">
        <f>TEXT(MTDRejection[[#This Row],[RejectionDate]],"dddd")</f>
        <v>Tuesday</v>
      </c>
    </row>
    <row r="1069" spans="1:14">
      <c r="A1069" t="s">
        <v>1821</v>
      </c>
      <c r="B1069" t="s">
        <v>3724</v>
      </c>
      <c r="C1069" t="s">
        <v>25</v>
      </c>
      <c r="D1069" t="s">
        <v>51</v>
      </c>
      <c r="E1069" s="7">
        <v>45636</v>
      </c>
      <c r="F1069" t="s">
        <v>52</v>
      </c>
      <c r="G1069">
        <v>0</v>
      </c>
      <c r="H1069" t="s">
        <v>53</v>
      </c>
      <c r="I1069" t="s">
        <v>16</v>
      </c>
      <c r="J1069" t="s">
        <v>16</v>
      </c>
      <c r="K1069" s="16" t="str">
        <f>VLOOKUP(C1069,CheckName!A:B,2,0)</f>
        <v>Add</v>
      </c>
      <c r="L1069">
        <v>0</v>
      </c>
      <c r="M1069" s="16">
        <f t="shared" si="92"/>
        <v>10</v>
      </c>
      <c r="N1069" t="str">
        <f>TEXT(MTDRejection[[#This Row],[RejectionDate]],"dddd")</f>
        <v>Tuesday</v>
      </c>
    </row>
    <row r="1070" spans="1:14">
      <c r="A1070" t="s">
        <v>1821</v>
      </c>
      <c r="B1070" t="s">
        <v>3725</v>
      </c>
      <c r="C1070" t="s">
        <v>12</v>
      </c>
      <c r="D1070" t="s">
        <v>51</v>
      </c>
      <c r="E1070" s="7">
        <v>45636</v>
      </c>
      <c r="F1070" t="s">
        <v>52</v>
      </c>
      <c r="G1070">
        <v>0</v>
      </c>
      <c r="H1070" t="s">
        <v>53</v>
      </c>
      <c r="I1070" t="s">
        <v>16</v>
      </c>
      <c r="J1070" t="s">
        <v>16</v>
      </c>
      <c r="K1070" s="16" t="str">
        <f>VLOOKUP(C1070,CheckName!A:B,2,0)</f>
        <v>Emp</v>
      </c>
      <c r="L1070">
        <v>0</v>
      </c>
      <c r="M1070" s="16">
        <f t="shared" si="92"/>
        <v>10</v>
      </c>
      <c r="N1070" t="str">
        <f>TEXT(MTDRejection[[#This Row],[RejectionDate]],"dddd")</f>
        <v>Tuesday</v>
      </c>
    </row>
    <row r="1071" spans="1:14">
      <c r="A1071" t="s">
        <v>495</v>
      </c>
      <c r="B1071" t="s">
        <v>3726</v>
      </c>
      <c r="C1071" t="s">
        <v>125</v>
      </c>
      <c r="D1071" t="s">
        <v>26</v>
      </c>
      <c r="E1071" s="7">
        <v>45636</v>
      </c>
      <c r="F1071" t="s">
        <v>1055</v>
      </c>
      <c r="G1071">
        <v>0</v>
      </c>
      <c r="H1071" t="s">
        <v>22</v>
      </c>
      <c r="I1071" t="s">
        <v>16</v>
      </c>
      <c r="J1071" t="s">
        <v>16</v>
      </c>
      <c r="K1071" s="16" t="str">
        <f>VLOOKUP(C1071,CheckName!A:B,2,0)</f>
        <v>Emp</v>
      </c>
      <c r="L1071">
        <v>0</v>
      </c>
      <c r="M1071" s="16">
        <f t="shared" ref="M1071:M1073" si="93">DAY(E1071)</f>
        <v>10</v>
      </c>
      <c r="N1071" t="str">
        <f>TEXT(MTDRejection[[#This Row],[RejectionDate]],"dddd")</f>
        <v>Tuesday</v>
      </c>
    </row>
    <row r="1072" spans="1:14">
      <c r="A1072" t="s">
        <v>1822</v>
      </c>
      <c r="B1072" t="s">
        <v>3727</v>
      </c>
      <c r="C1072" t="s">
        <v>112</v>
      </c>
      <c r="D1072" t="s">
        <v>26</v>
      </c>
      <c r="E1072" s="7">
        <v>45636</v>
      </c>
      <c r="F1072" t="s">
        <v>1055</v>
      </c>
      <c r="G1072">
        <v>0</v>
      </c>
      <c r="H1072" t="s">
        <v>22</v>
      </c>
      <c r="I1072" t="s">
        <v>16</v>
      </c>
      <c r="J1072" t="s">
        <v>16</v>
      </c>
      <c r="K1072" s="16" t="str">
        <f>VLOOKUP(C1072,CheckName!A:B,2,0)</f>
        <v>Emp</v>
      </c>
      <c r="L1072">
        <v>0</v>
      </c>
      <c r="M1072" s="16">
        <f t="shared" si="93"/>
        <v>10</v>
      </c>
      <c r="N1072" t="str">
        <f>TEXT(MTDRejection[[#This Row],[RejectionDate]],"dddd")</f>
        <v>Tuesday</v>
      </c>
    </row>
    <row r="1073" spans="1:14">
      <c r="A1073" t="s">
        <v>1001</v>
      </c>
      <c r="B1073" t="s">
        <v>3728</v>
      </c>
      <c r="C1073" t="s">
        <v>12</v>
      </c>
      <c r="D1073" t="s">
        <v>26</v>
      </c>
      <c r="E1073" s="7">
        <v>45636</v>
      </c>
      <c r="F1073" t="s">
        <v>1055</v>
      </c>
      <c r="G1073">
        <v>0</v>
      </c>
      <c r="H1073" t="s">
        <v>27</v>
      </c>
      <c r="I1073" t="s">
        <v>16</v>
      </c>
      <c r="J1073" t="s">
        <v>16</v>
      </c>
      <c r="K1073" s="16" t="str">
        <f>VLOOKUP(C1073,CheckName!A:B,2,0)</f>
        <v>Emp</v>
      </c>
      <c r="L1073">
        <v>0</v>
      </c>
      <c r="M1073" s="16">
        <f t="shared" si="93"/>
        <v>10</v>
      </c>
      <c r="N1073" t="str">
        <f>TEXT(MTDRejection[[#This Row],[RejectionDate]],"dddd")</f>
        <v>Tuesday</v>
      </c>
    </row>
    <row r="1074" spans="1:14">
      <c r="A1074" t="s">
        <v>1823</v>
      </c>
      <c r="B1074" t="s">
        <v>3729</v>
      </c>
      <c r="C1074" t="s">
        <v>19</v>
      </c>
      <c r="D1074" t="s">
        <v>20</v>
      </c>
      <c r="E1074" s="7">
        <v>45636</v>
      </c>
      <c r="F1074" t="s">
        <v>2330</v>
      </c>
      <c r="G1074">
        <v>0</v>
      </c>
      <c r="H1074" t="s">
        <v>22</v>
      </c>
      <c r="I1074" t="s">
        <v>16</v>
      </c>
      <c r="J1074" t="s">
        <v>16</v>
      </c>
      <c r="K1074" s="16" t="str">
        <f>VLOOKUP(C1074,CheckName!A:B,2,0)</f>
        <v>Add</v>
      </c>
      <c r="L1074">
        <v>0</v>
      </c>
      <c r="M1074" s="16">
        <f>DAY(E1074)</f>
        <v>10</v>
      </c>
      <c r="N1074" t="str">
        <f>TEXT(MTDRejection[[#This Row],[RejectionDate]],"dddd")</f>
        <v>Tuesday</v>
      </c>
    </row>
    <row r="1075" spans="1:14">
      <c r="A1075" t="s">
        <v>1824</v>
      </c>
      <c r="B1075" t="s">
        <v>2477</v>
      </c>
      <c r="C1075" t="s">
        <v>19</v>
      </c>
      <c r="D1075" t="s">
        <v>20</v>
      </c>
      <c r="E1075" s="7">
        <v>45636</v>
      </c>
      <c r="F1075" t="s">
        <v>2330</v>
      </c>
      <c r="G1075">
        <v>0</v>
      </c>
      <c r="H1075" t="s">
        <v>130</v>
      </c>
      <c r="I1075" t="s">
        <v>16</v>
      </c>
      <c r="J1075" t="s">
        <v>16</v>
      </c>
      <c r="K1075" s="16" t="str">
        <f>VLOOKUP(C1075,CheckName!A:B,2,0)</f>
        <v>Add</v>
      </c>
      <c r="L1075">
        <v>0</v>
      </c>
      <c r="M1075" s="16">
        <f>DAY(E1075)</f>
        <v>10</v>
      </c>
      <c r="N1075" t="str">
        <f>TEXT(MTDRejection[[#This Row],[RejectionDate]],"dddd")</f>
        <v>Tuesday</v>
      </c>
    </row>
    <row r="1076" spans="1:14">
      <c r="A1076" t="s">
        <v>1181</v>
      </c>
      <c r="B1076" t="s">
        <v>3730</v>
      </c>
      <c r="C1076" t="s">
        <v>12</v>
      </c>
      <c r="D1076" t="s">
        <v>51</v>
      </c>
      <c r="E1076" s="7">
        <v>45636</v>
      </c>
      <c r="F1076" t="s">
        <v>2331</v>
      </c>
      <c r="G1076">
        <v>0</v>
      </c>
      <c r="H1076" t="s">
        <v>53</v>
      </c>
      <c r="I1076" t="s">
        <v>16</v>
      </c>
      <c r="J1076" t="s">
        <v>16</v>
      </c>
      <c r="K1076" s="16" t="str">
        <f>VLOOKUP(C1076,CheckName!A:B,2,0)</f>
        <v>Emp</v>
      </c>
      <c r="L1076">
        <v>0</v>
      </c>
      <c r="M1076" s="16">
        <f t="shared" ref="M1076:M1080" si="94">DAY(E1076)</f>
        <v>10</v>
      </c>
      <c r="N1076" t="str">
        <f>TEXT(MTDRejection[[#This Row],[RejectionDate]],"dddd")</f>
        <v>Tuesday</v>
      </c>
    </row>
    <row r="1077" spans="1:14">
      <c r="A1077" t="s">
        <v>186</v>
      </c>
      <c r="B1077" t="s">
        <v>3731</v>
      </c>
      <c r="C1077" t="s">
        <v>54</v>
      </c>
      <c r="D1077" t="s">
        <v>51</v>
      </c>
      <c r="E1077" s="7">
        <v>45636</v>
      </c>
      <c r="F1077" t="s">
        <v>2331</v>
      </c>
      <c r="G1077">
        <v>0</v>
      </c>
      <c r="H1077" t="s">
        <v>53</v>
      </c>
      <c r="I1077" t="s">
        <v>16</v>
      </c>
      <c r="J1077" t="s">
        <v>16</v>
      </c>
      <c r="K1077" s="16" t="str">
        <f>VLOOKUP(C1077,CheckName!A:B,2,0)</f>
        <v>Edu</v>
      </c>
      <c r="L1077">
        <v>0</v>
      </c>
      <c r="M1077" s="16">
        <f t="shared" si="94"/>
        <v>10</v>
      </c>
      <c r="N1077" t="str">
        <f>TEXT(MTDRejection[[#This Row],[RejectionDate]],"dddd")</f>
        <v>Tuesday</v>
      </c>
    </row>
    <row r="1078" spans="1:14">
      <c r="A1078" t="s">
        <v>281</v>
      </c>
      <c r="B1078" t="s">
        <v>3732</v>
      </c>
      <c r="C1078" t="s">
        <v>54</v>
      </c>
      <c r="D1078" t="s">
        <v>26</v>
      </c>
      <c r="E1078" s="7">
        <v>45636</v>
      </c>
      <c r="F1078" t="s">
        <v>1825</v>
      </c>
      <c r="G1078">
        <v>0</v>
      </c>
      <c r="H1078" t="s">
        <v>27</v>
      </c>
      <c r="I1078" t="s">
        <v>16</v>
      </c>
      <c r="J1078" t="s">
        <v>16</v>
      </c>
      <c r="K1078" s="16" t="str">
        <f>VLOOKUP(C1078,CheckName!A:B,2,0)</f>
        <v>Edu</v>
      </c>
      <c r="L1078">
        <v>0</v>
      </c>
      <c r="M1078" s="16">
        <f t="shared" si="94"/>
        <v>10</v>
      </c>
      <c r="N1078" t="str">
        <f>TEXT(MTDRejection[[#This Row],[RejectionDate]],"dddd")</f>
        <v>Tuesday</v>
      </c>
    </row>
    <row r="1079" spans="1:14">
      <c r="A1079" t="s">
        <v>96</v>
      </c>
      <c r="B1079" t="s">
        <v>3733</v>
      </c>
      <c r="C1079" t="s">
        <v>12</v>
      </c>
      <c r="D1079" t="s">
        <v>26</v>
      </c>
      <c r="E1079" s="7">
        <v>45636</v>
      </c>
      <c r="F1079" t="s">
        <v>2341</v>
      </c>
      <c r="G1079">
        <v>0</v>
      </c>
      <c r="H1079" t="s">
        <v>27</v>
      </c>
      <c r="I1079" t="s">
        <v>16</v>
      </c>
      <c r="J1079" t="s">
        <v>16</v>
      </c>
      <c r="K1079" s="16" t="str">
        <f>VLOOKUP(C1079,CheckName!A:B,2,0)</f>
        <v>Emp</v>
      </c>
      <c r="L1079">
        <v>0</v>
      </c>
      <c r="M1079" s="16">
        <f t="shared" si="94"/>
        <v>10</v>
      </c>
      <c r="N1079" t="str">
        <f>TEXT(MTDRejection[[#This Row],[RejectionDate]],"dddd")</f>
        <v>Tuesday</v>
      </c>
    </row>
    <row r="1080" spans="1:14">
      <c r="A1080" t="s">
        <v>1823</v>
      </c>
      <c r="B1080" t="s">
        <v>2478</v>
      </c>
      <c r="C1080" t="s">
        <v>12</v>
      </c>
      <c r="D1080" t="s">
        <v>26</v>
      </c>
      <c r="E1080" s="7">
        <v>45636</v>
      </c>
      <c r="F1080" t="s">
        <v>184</v>
      </c>
      <c r="G1080">
        <v>0</v>
      </c>
      <c r="H1080" t="s">
        <v>130</v>
      </c>
      <c r="I1080" t="s">
        <v>16</v>
      </c>
      <c r="J1080" t="s">
        <v>16</v>
      </c>
      <c r="K1080" s="16" t="str">
        <f>VLOOKUP(C1080,CheckName!A:B,2,0)</f>
        <v>Emp</v>
      </c>
      <c r="L1080">
        <v>0</v>
      </c>
      <c r="M1080" s="16">
        <f t="shared" si="94"/>
        <v>10</v>
      </c>
      <c r="N1080" t="str">
        <f>TEXT(MTDRejection[[#This Row],[RejectionDate]],"dddd")</f>
        <v>Tuesday</v>
      </c>
    </row>
    <row r="1081" spans="1:14">
      <c r="A1081" t="s">
        <v>142</v>
      </c>
      <c r="B1081" t="s">
        <v>3734</v>
      </c>
      <c r="C1081" t="s">
        <v>36</v>
      </c>
      <c r="D1081" t="s">
        <v>26</v>
      </c>
      <c r="E1081" s="7">
        <v>45636</v>
      </c>
      <c r="F1081" t="s">
        <v>184</v>
      </c>
      <c r="G1081">
        <v>0</v>
      </c>
      <c r="H1081" t="s">
        <v>22</v>
      </c>
      <c r="I1081" t="s">
        <v>16</v>
      </c>
      <c r="J1081" t="s">
        <v>16</v>
      </c>
      <c r="K1081" s="16" t="str">
        <f>VLOOKUP(C1081,CheckName!A:B,2,0)</f>
        <v>Emp</v>
      </c>
      <c r="L1081">
        <v>0</v>
      </c>
      <c r="M1081" s="16">
        <f t="shared" ref="M1081:M1087" si="95">DAY(E1081)</f>
        <v>10</v>
      </c>
      <c r="N1081" t="str">
        <f>TEXT(MTDRejection[[#This Row],[RejectionDate]],"dddd")</f>
        <v>Tuesday</v>
      </c>
    </row>
    <row r="1082" spans="1:14">
      <c r="A1082" t="s">
        <v>119</v>
      </c>
      <c r="B1082" t="s">
        <v>3735</v>
      </c>
      <c r="C1082" t="s">
        <v>805</v>
      </c>
      <c r="D1082" t="s">
        <v>13</v>
      </c>
      <c r="E1082" s="7">
        <v>45636</v>
      </c>
      <c r="F1082" t="s">
        <v>530</v>
      </c>
      <c r="G1082">
        <v>0</v>
      </c>
      <c r="H1082" t="s">
        <v>30</v>
      </c>
      <c r="I1082" t="s">
        <v>16</v>
      </c>
      <c r="J1082" t="s">
        <v>16</v>
      </c>
      <c r="K1082" s="16" t="str">
        <f>VLOOKUP(C1082,CheckName!A:B,2,0)</f>
        <v>Edu</v>
      </c>
      <c r="L1082">
        <v>0</v>
      </c>
      <c r="M1082" s="16">
        <f t="shared" si="95"/>
        <v>10</v>
      </c>
      <c r="N1082" t="str">
        <f>TEXT(MTDRejection[[#This Row],[RejectionDate]],"dddd")</f>
        <v>Tuesday</v>
      </c>
    </row>
    <row r="1083" spans="1:14">
      <c r="A1083" t="s">
        <v>1826</v>
      </c>
      <c r="B1083" t="s">
        <v>3736</v>
      </c>
      <c r="C1083" t="s">
        <v>36</v>
      </c>
      <c r="D1083" t="s">
        <v>13</v>
      </c>
      <c r="E1083" s="7">
        <v>45636</v>
      </c>
      <c r="F1083" t="s">
        <v>1421</v>
      </c>
      <c r="G1083">
        <v>0</v>
      </c>
      <c r="H1083" t="s">
        <v>15</v>
      </c>
      <c r="I1083" t="s">
        <v>16</v>
      </c>
      <c r="J1083" t="s">
        <v>16</v>
      </c>
      <c r="K1083" s="16" t="str">
        <f>VLOOKUP(C1083,CheckName!A:B,2,0)</f>
        <v>Emp</v>
      </c>
      <c r="L1083">
        <v>0</v>
      </c>
      <c r="M1083" s="16">
        <f t="shared" si="95"/>
        <v>10</v>
      </c>
      <c r="N1083" t="str">
        <f>TEXT(MTDRejection[[#This Row],[RejectionDate]],"dddd")</f>
        <v>Tuesday</v>
      </c>
    </row>
    <row r="1084" spans="1:14">
      <c r="A1084" t="s">
        <v>176</v>
      </c>
      <c r="B1084" t="s">
        <v>3737</v>
      </c>
      <c r="C1084" t="s">
        <v>36</v>
      </c>
      <c r="D1084" t="s">
        <v>26</v>
      </c>
      <c r="E1084" s="7">
        <v>45636</v>
      </c>
      <c r="F1084" t="s">
        <v>311</v>
      </c>
      <c r="G1084">
        <v>0</v>
      </c>
      <c r="H1084" t="s">
        <v>22</v>
      </c>
      <c r="I1084" t="s">
        <v>16</v>
      </c>
      <c r="J1084" t="s">
        <v>16</v>
      </c>
      <c r="K1084" s="16" t="str">
        <f>VLOOKUP(C1084,CheckName!A:B,2,0)</f>
        <v>Emp</v>
      </c>
      <c r="L1084">
        <v>0</v>
      </c>
      <c r="M1084" s="16">
        <f t="shared" si="95"/>
        <v>10</v>
      </c>
      <c r="N1084" t="str">
        <f>TEXT(MTDRejection[[#This Row],[RejectionDate]],"dddd")</f>
        <v>Tuesday</v>
      </c>
    </row>
    <row r="1085" spans="1:14">
      <c r="A1085" t="s">
        <v>160</v>
      </c>
      <c r="B1085" t="s">
        <v>3738</v>
      </c>
      <c r="C1085" t="s">
        <v>93</v>
      </c>
      <c r="D1085" t="s">
        <v>26</v>
      </c>
      <c r="E1085" s="7">
        <v>45636</v>
      </c>
      <c r="F1085" t="s">
        <v>604</v>
      </c>
      <c r="G1085">
        <v>0</v>
      </c>
      <c r="H1085" t="s">
        <v>27</v>
      </c>
      <c r="I1085" t="s">
        <v>16</v>
      </c>
      <c r="J1085" t="s">
        <v>16</v>
      </c>
      <c r="K1085" s="16" t="str">
        <f>VLOOKUP(C1085,CheckName!A:B,2,0)</f>
        <v>Edu</v>
      </c>
      <c r="L1085">
        <v>0</v>
      </c>
      <c r="M1085" s="16">
        <f t="shared" si="95"/>
        <v>10</v>
      </c>
      <c r="N1085" t="str">
        <f>TEXT(MTDRejection[[#This Row],[RejectionDate]],"dddd")</f>
        <v>Tuesday</v>
      </c>
    </row>
    <row r="1086" spans="1:14">
      <c r="A1086" t="s">
        <v>281</v>
      </c>
      <c r="B1086" t="s">
        <v>3739</v>
      </c>
      <c r="C1086" t="s">
        <v>54</v>
      </c>
      <c r="D1086" t="s">
        <v>26</v>
      </c>
      <c r="E1086" s="7">
        <v>45636</v>
      </c>
      <c r="F1086" t="s">
        <v>103</v>
      </c>
      <c r="G1086">
        <v>0</v>
      </c>
      <c r="H1086" t="s">
        <v>27</v>
      </c>
      <c r="I1086" t="s">
        <v>16</v>
      </c>
      <c r="J1086" t="s">
        <v>16</v>
      </c>
      <c r="K1086" s="16" t="str">
        <f>VLOOKUP(C1086,CheckName!A:B,2,0)</f>
        <v>Edu</v>
      </c>
      <c r="L1086">
        <v>0</v>
      </c>
      <c r="M1086" s="16">
        <f t="shared" si="95"/>
        <v>10</v>
      </c>
      <c r="N1086" t="str">
        <f>TEXT(MTDRejection[[#This Row],[RejectionDate]],"dddd")</f>
        <v>Tuesday</v>
      </c>
    </row>
    <row r="1087" spans="1:14">
      <c r="A1087" t="s">
        <v>96</v>
      </c>
      <c r="B1087" t="s">
        <v>3740</v>
      </c>
      <c r="C1087" t="s">
        <v>54</v>
      </c>
      <c r="D1087" t="s">
        <v>26</v>
      </c>
      <c r="E1087" s="7">
        <v>45636</v>
      </c>
      <c r="F1087" t="s">
        <v>538</v>
      </c>
      <c r="G1087">
        <v>0</v>
      </c>
      <c r="H1087" t="s">
        <v>27</v>
      </c>
      <c r="I1087" t="s">
        <v>16</v>
      </c>
      <c r="J1087" t="s">
        <v>16</v>
      </c>
      <c r="K1087" s="16" t="str">
        <f>VLOOKUP(C1087,CheckName!A:B,2,0)</f>
        <v>Edu</v>
      </c>
      <c r="L1087">
        <v>0</v>
      </c>
      <c r="M1087" s="16">
        <f t="shared" si="95"/>
        <v>10</v>
      </c>
      <c r="N1087" t="str">
        <f>TEXT(MTDRejection[[#This Row],[RejectionDate]],"dddd")</f>
        <v>Tuesday</v>
      </c>
    </row>
    <row r="1088" spans="1:14">
      <c r="A1088" t="s">
        <v>137</v>
      </c>
      <c r="B1088" t="s">
        <v>3741</v>
      </c>
      <c r="C1088" t="s">
        <v>12</v>
      </c>
      <c r="D1088" t="s">
        <v>13</v>
      </c>
      <c r="E1088" s="7">
        <v>45636</v>
      </c>
      <c r="F1088" t="s">
        <v>2332</v>
      </c>
      <c r="G1088">
        <v>0</v>
      </c>
      <c r="H1088" t="s">
        <v>15</v>
      </c>
      <c r="I1088" t="s">
        <v>16</v>
      </c>
      <c r="J1088" t="s">
        <v>16</v>
      </c>
      <c r="K1088" s="16" t="str">
        <f>VLOOKUP(C1088,CheckName!A:B,2,0)</f>
        <v>Emp</v>
      </c>
      <c r="L1088">
        <v>0</v>
      </c>
      <c r="M1088" s="16">
        <f t="shared" ref="M1088:M1091" si="96">DAY(E1088)</f>
        <v>10</v>
      </c>
      <c r="N1088" t="str">
        <f>TEXT(MTDRejection[[#This Row],[RejectionDate]],"dddd")</f>
        <v>Tuesday</v>
      </c>
    </row>
    <row r="1089" spans="1:14">
      <c r="A1089" t="s">
        <v>73</v>
      </c>
      <c r="B1089" t="s">
        <v>3742</v>
      </c>
      <c r="C1089" t="s">
        <v>71</v>
      </c>
      <c r="D1089" t="s">
        <v>13</v>
      </c>
      <c r="E1089" s="7">
        <v>45636</v>
      </c>
      <c r="F1089" t="s">
        <v>2332</v>
      </c>
      <c r="G1089">
        <v>0</v>
      </c>
      <c r="H1089" t="s">
        <v>15</v>
      </c>
      <c r="I1089" t="s">
        <v>16</v>
      </c>
      <c r="J1089" t="s">
        <v>16</v>
      </c>
      <c r="K1089" s="16" t="str">
        <f>VLOOKUP(C1089,CheckName!A:B,2,0)</f>
        <v>CRC</v>
      </c>
      <c r="L1089">
        <v>0</v>
      </c>
      <c r="M1089" s="16">
        <f t="shared" si="96"/>
        <v>10</v>
      </c>
      <c r="N1089" t="str">
        <f>TEXT(MTDRejection[[#This Row],[RejectionDate]],"dddd")</f>
        <v>Tuesday</v>
      </c>
    </row>
    <row r="1090" spans="1:14">
      <c r="A1090" t="s">
        <v>912</v>
      </c>
      <c r="B1090" t="s">
        <v>3743</v>
      </c>
      <c r="C1090" t="s">
        <v>467</v>
      </c>
      <c r="D1090" t="s">
        <v>13</v>
      </c>
      <c r="E1090" s="7">
        <v>45636</v>
      </c>
      <c r="F1090" t="s">
        <v>2332</v>
      </c>
      <c r="G1090">
        <v>0</v>
      </c>
      <c r="H1090" t="s">
        <v>15</v>
      </c>
      <c r="I1090" t="s">
        <v>16</v>
      </c>
      <c r="J1090" t="s">
        <v>16</v>
      </c>
      <c r="K1090" s="16" t="str">
        <f>VLOOKUP(C1090,CheckName!A:B,2,0)</f>
        <v>Special Check</v>
      </c>
      <c r="L1090">
        <v>0</v>
      </c>
      <c r="M1090" s="16">
        <f t="shared" si="96"/>
        <v>10</v>
      </c>
      <c r="N1090" t="str">
        <f>TEXT(MTDRejection[[#This Row],[RejectionDate]],"dddd")</f>
        <v>Tuesday</v>
      </c>
    </row>
    <row r="1091" spans="1:14">
      <c r="A1091" t="s">
        <v>912</v>
      </c>
      <c r="B1091" t="s">
        <v>3744</v>
      </c>
      <c r="C1091" t="s">
        <v>467</v>
      </c>
      <c r="D1091" t="s">
        <v>13</v>
      </c>
      <c r="E1091" s="7">
        <v>45636</v>
      </c>
      <c r="F1091" t="s">
        <v>2332</v>
      </c>
      <c r="G1091">
        <v>0</v>
      </c>
      <c r="H1091" t="s">
        <v>15</v>
      </c>
      <c r="I1091" t="s">
        <v>16</v>
      </c>
      <c r="J1091" t="s">
        <v>16</v>
      </c>
      <c r="K1091" s="16" t="str">
        <f>VLOOKUP(C1091,CheckName!A:B,2,0)</f>
        <v>Special Check</v>
      </c>
      <c r="L1091">
        <v>0</v>
      </c>
      <c r="M1091" s="16">
        <f t="shared" si="96"/>
        <v>10</v>
      </c>
      <c r="N1091" t="str">
        <f>TEXT(MTDRejection[[#This Row],[RejectionDate]],"dddd")</f>
        <v>Tuesday</v>
      </c>
    </row>
    <row r="1092" spans="1:14">
      <c r="A1092" t="s">
        <v>465</v>
      </c>
      <c r="B1092" t="s">
        <v>3745</v>
      </c>
      <c r="C1092" t="s">
        <v>12</v>
      </c>
      <c r="D1092" t="s">
        <v>13</v>
      </c>
      <c r="E1092" s="7">
        <v>45636</v>
      </c>
      <c r="F1092" t="s">
        <v>540</v>
      </c>
      <c r="G1092">
        <v>0</v>
      </c>
      <c r="H1092" t="s">
        <v>505</v>
      </c>
      <c r="I1092" t="s">
        <v>16</v>
      </c>
      <c r="J1092" t="s">
        <v>16</v>
      </c>
      <c r="K1092" s="16" t="str">
        <f>VLOOKUP(C1092,CheckName!A:B,2,0)</f>
        <v>Emp</v>
      </c>
      <c r="L1092">
        <v>0</v>
      </c>
      <c r="M1092" s="16">
        <f>DAY(E1092)</f>
        <v>10</v>
      </c>
      <c r="N1092" t="str">
        <f>TEXT(MTDRejection[[#This Row],[RejectionDate]],"dddd")</f>
        <v>Tuesday</v>
      </c>
    </row>
    <row r="1093" spans="1:14">
      <c r="A1093" t="s">
        <v>84</v>
      </c>
      <c r="B1093" t="s">
        <v>3746</v>
      </c>
      <c r="C1093" t="s">
        <v>1347</v>
      </c>
      <c r="D1093" t="s">
        <v>26</v>
      </c>
      <c r="E1093" s="7">
        <v>45636</v>
      </c>
      <c r="F1093" t="s">
        <v>118</v>
      </c>
      <c r="G1093">
        <v>0</v>
      </c>
      <c r="H1093" t="s">
        <v>130</v>
      </c>
      <c r="I1093" t="s">
        <v>16</v>
      </c>
      <c r="J1093" t="s">
        <v>16</v>
      </c>
      <c r="K1093" s="16" t="str">
        <f>VLOOKUP(C1093,CheckName!A:B,2,0)</f>
        <v>CRC</v>
      </c>
      <c r="L1093">
        <v>0</v>
      </c>
      <c r="M1093" s="16">
        <f t="shared" ref="M1093:M1094" si="97">DAY(E1093)</f>
        <v>10</v>
      </c>
      <c r="N1093" t="str">
        <f>TEXT(MTDRejection[[#This Row],[RejectionDate]],"dddd")</f>
        <v>Tuesday</v>
      </c>
    </row>
    <row r="1094" spans="1:14">
      <c r="A1094" t="s">
        <v>419</v>
      </c>
      <c r="B1094" t="s">
        <v>3747</v>
      </c>
      <c r="C1094" t="s">
        <v>54</v>
      </c>
      <c r="D1094" t="s">
        <v>26</v>
      </c>
      <c r="E1094" s="7">
        <v>45636</v>
      </c>
      <c r="F1094" t="s">
        <v>121</v>
      </c>
      <c r="G1094">
        <v>0</v>
      </c>
      <c r="H1094" t="s">
        <v>27</v>
      </c>
      <c r="I1094" t="s">
        <v>16</v>
      </c>
      <c r="J1094" t="s">
        <v>16</v>
      </c>
      <c r="K1094" s="16" t="str">
        <f>VLOOKUP(C1094,CheckName!A:B,2,0)</f>
        <v>Edu</v>
      </c>
      <c r="L1094">
        <v>0</v>
      </c>
      <c r="M1094" s="16">
        <f t="shared" si="97"/>
        <v>10</v>
      </c>
      <c r="N1094" t="str">
        <f>TEXT(MTDRejection[[#This Row],[RejectionDate]],"dddd")</f>
        <v>Tuesday</v>
      </c>
    </row>
    <row r="1095" spans="1:14">
      <c r="A1095" t="s">
        <v>216</v>
      </c>
      <c r="B1095" t="s">
        <v>3748</v>
      </c>
      <c r="C1095" t="s">
        <v>54</v>
      </c>
      <c r="D1095" t="s">
        <v>26</v>
      </c>
      <c r="E1095" s="7">
        <v>45636</v>
      </c>
      <c r="F1095" t="s">
        <v>309</v>
      </c>
      <c r="G1095">
        <v>0</v>
      </c>
      <c r="H1095" t="s">
        <v>27</v>
      </c>
      <c r="I1095" t="s">
        <v>16</v>
      </c>
      <c r="J1095" t="s">
        <v>16</v>
      </c>
      <c r="K1095" s="16" t="str">
        <f>VLOOKUP(C1095,CheckName!A:B,2,0)</f>
        <v>Edu</v>
      </c>
      <c r="L1095">
        <v>0</v>
      </c>
      <c r="M1095" s="16">
        <f t="shared" ref="M1095:M1100" si="98">DAY(E1095)</f>
        <v>10</v>
      </c>
      <c r="N1095" t="str">
        <f>TEXT(MTDRejection[[#This Row],[RejectionDate]],"dddd")</f>
        <v>Tuesday</v>
      </c>
    </row>
    <row r="1096" spans="1:14">
      <c r="A1096" t="s">
        <v>1204</v>
      </c>
      <c r="B1096" t="s">
        <v>3749</v>
      </c>
      <c r="C1096" t="s">
        <v>54</v>
      </c>
      <c r="D1096" t="s">
        <v>26</v>
      </c>
      <c r="E1096" s="7">
        <v>45635</v>
      </c>
      <c r="F1096" t="s">
        <v>1825</v>
      </c>
      <c r="G1096">
        <v>1</v>
      </c>
      <c r="H1096" t="s">
        <v>27</v>
      </c>
      <c r="I1096" t="s">
        <v>16</v>
      </c>
      <c r="J1096" t="s">
        <v>16</v>
      </c>
      <c r="K1096" s="16" t="str">
        <f>VLOOKUP(C1096,CheckName!A:B,2,0)</f>
        <v>Edu</v>
      </c>
      <c r="L1096">
        <v>0</v>
      </c>
      <c r="M1096" s="16">
        <f t="shared" si="98"/>
        <v>9</v>
      </c>
      <c r="N1096" t="str">
        <f>TEXT(MTDRejection[[#This Row],[RejectionDate]],"dddd")</f>
        <v>Monday</v>
      </c>
    </row>
    <row r="1097" spans="1:14">
      <c r="A1097" t="s">
        <v>469</v>
      </c>
      <c r="B1097" t="s">
        <v>3750</v>
      </c>
      <c r="C1097" t="s">
        <v>36</v>
      </c>
      <c r="D1097" t="s">
        <v>13</v>
      </c>
      <c r="E1097" s="7">
        <v>45635</v>
      </c>
      <c r="F1097" t="s">
        <v>2326</v>
      </c>
      <c r="G1097">
        <v>1</v>
      </c>
      <c r="H1097" t="s">
        <v>15</v>
      </c>
      <c r="I1097" t="s">
        <v>16</v>
      </c>
      <c r="J1097" t="s">
        <v>16</v>
      </c>
      <c r="K1097" s="16" t="str">
        <f>VLOOKUP(C1097,CheckName!A:B,2,0)</f>
        <v>Emp</v>
      </c>
      <c r="L1097">
        <v>0</v>
      </c>
      <c r="M1097" s="16">
        <f t="shared" si="98"/>
        <v>9</v>
      </c>
      <c r="N1097" t="str">
        <f>TEXT(MTDRejection[[#This Row],[RejectionDate]],"dddd")</f>
        <v>Monday</v>
      </c>
    </row>
    <row r="1098" spans="1:14">
      <c r="A1098" t="s">
        <v>419</v>
      </c>
      <c r="B1098" t="s">
        <v>3751</v>
      </c>
      <c r="C1098" t="s">
        <v>36</v>
      </c>
      <c r="D1098" t="s">
        <v>13</v>
      </c>
      <c r="E1098" s="7">
        <v>45633</v>
      </c>
      <c r="F1098" t="s">
        <v>2326</v>
      </c>
      <c r="G1098">
        <v>3</v>
      </c>
      <c r="H1098" t="s">
        <v>15</v>
      </c>
      <c r="I1098" t="s">
        <v>16</v>
      </c>
      <c r="J1098" t="s">
        <v>16</v>
      </c>
      <c r="K1098" s="16" t="str">
        <f>VLOOKUP(C1098,CheckName!A:B,2,0)</f>
        <v>Emp</v>
      </c>
      <c r="L1098">
        <v>0</v>
      </c>
      <c r="M1098" s="16">
        <f t="shared" si="98"/>
        <v>7</v>
      </c>
      <c r="N1098" t="str">
        <f>TEXT(MTDRejection[[#This Row],[RejectionDate]],"dddd")</f>
        <v>Saturday</v>
      </c>
    </row>
    <row r="1099" spans="1:14">
      <c r="A1099" t="s">
        <v>1570</v>
      </c>
      <c r="B1099" t="s">
        <v>3752</v>
      </c>
      <c r="C1099" t="s">
        <v>125</v>
      </c>
      <c r="D1099" t="s">
        <v>26</v>
      </c>
      <c r="E1099" s="7">
        <v>45633</v>
      </c>
      <c r="F1099" t="s">
        <v>2337</v>
      </c>
      <c r="G1099">
        <v>3</v>
      </c>
      <c r="H1099" t="s">
        <v>22</v>
      </c>
      <c r="I1099" t="s">
        <v>16</v>
      </c>
      <c r="J1099" t="s">
        <v>16</v>
      </c>
      <c r="K1099" s="16" t="str">
        <f>VLOOKUP(C1099,CheckName!A:B,2,0)</f>
        <v>Emp</v>
      </c>
      <c r="L1099">
        <v>0</v>
      </c>
      <c r="M1099" s="16">
        <f t="shared" si="98"/>
        <v>7</v>
      </c>
      <c r="N1099" t="str">
        <f>TEXT(MTDRejection[[#This Row],[RejectionDate]],"dddd")</f>
        <v>Saturday</v>
      </c>
    </row>
    <row r="1100" spans="1:14">
      <c r="A1100" t="s">
        <v>893</v>
      </c>
      <c r="B1100" t="s">
        <v>3753</v>
      </c>
      <c r="C1100" t="s">
        <v>12</v>
      </c>
      <c r="D1100" t="s">
        <v>26</v>
      </c>
      <c r="E1100" s="7">
        <v>45629</v>
      </c>
      <c r="F1100" t="s">
        <v>1055</v>
      </c>
      <c r="G1100">
        <v>7</v>
      </c>
      <c r="H1100" t="s">
        <v>27</v>
      </c>
      <c r="I1100" t="s">
        <v>16</v>
      </c>
      <c r="J1100" t="s">
        <v>16</v>
      </c>
      <c r="K1100" s="16" t="str">
        <f>VLOOKUP(C1100,CheckName!A:B,2,0)</f>
        <v>Emp</v>
      </c>
      <c r="L1100">
        <v>0</v>
      </c>
      <c r="M1100" s="16">
        <f t="shared" si="98"/>
        <v>3</v>
      </c>
      <c r="N1100" t="str">
        <f>TEXT(MTDRejection[[#This Row],[RejectionDate]],"dddd")</f>
        <v>Tuesday</v>
      </c>
    </row>
    <row r="1101" spans="1:14">
      <c r="A1101" t="s">
        <v>1110</v>
      </c>
      <c r="B1101" t="s">
        <v>3754</v>
      </c>
      <c r="C1101" t="s">
        <v>965</v>
      </c>
      <c r="D1101" t="s">
        <v>20</v>
      </c>
      <c r="E1101" s="7">
        <v>45636</v>
      </c>
      <c r="F1101" t="s">
        <v>2327</v>
      </c>
      <c r="G1101">
        <v>0</v>
      </c>
      <c r="H1101" t="s">
        <v>22</v>
      </c>
      <c r="I1101" t="s">
        <v>16</v>
      </c>
      <c r="J1101" t="s">
        <v>16</v>
      </c>
      <c r="K1101" s="16" t="str">
        <f>VLOOKUP(C1101,CheckName!A:B,2,0)</f>
        <v>Add</v>
      </c>
      <c r="L1101">
        <v>0</v>
      </c>
      <c r="M1101" s="16">
        <f t="shared" ref="M1101:M1102" si="99">DAY(E1101)</f>
        <v>10</v>
      </c>
      <c r="N1101" t="str">
        <f>TEXT(MTDRejection[[#This Row],[RejectionDate]],"dddd")</f>
        <v>Tuesday</v>
      </c>
    </row>
    <row r="1102" spans="1:14">
      <c r="A1102" t="s">
        <v>1110</v>
      </c>
      <c r="B1102" t="s">
        <v>3755</v>
      </c>
      <c r="C1102" t="s">
        <v>965</v>
      </c>
      <c r="D1102" t="s">
        <v>20</v>
      </c>
      <c r="E1102" s="7">
        <v>45636</v>
      </c>
      <c r="F1102" t="s">
        <v>2327</v>
      </c>
      <c r="G1102">
        <v>0</v>
      </c>
      <c r="H1102" t="s">
        <v>22</v>
      </c>
      <c r="I1102" t="s">
        <v>16</v>
      </c>
      <c r="J1102" t="s">
        <v>16</v>
      </c>
      <c r="K1102" s="16" t="str">
        <f>VLOOKUP(C1102,CheckName!A:B,2,0)</f>
        <v>Add</v>
      </c>
      <c r="L1102">
        <v>0</v>
      </c>
      <c r="M1102" s="16">
        <f t="shared" si="99"/>
        <v>10</v>
      </c>
      <c r="N1102" t="str">
        <f>TEXT(MTDRejection[[#This Row],[RejectionDate]],"dddd")</f>
        <v>Tuesday</v>
      </c>
    </row>
    <row r="1103" spans="1:14">
      <c r="A1103" t="s">
        <v>292</v>
      </c>
      <c r="B1103" t="s">
        <v>3756</v>
      </c>
      <c r="C1103" t="s">
        <v>25</v>
      </c>
      <c r="D1103" t="s">
        <v>20</v>
      </c>
      <c r="E1103" s="7">
        <v>45636</v>
      </c>
      <c r="F1103" t="s">
        <v>2327</v>
      </c>
      <c r="G1103">
        <v>0</v>
      </c>
      <c r="H1103" t="s">
        <v>130</v>
      </c>
      <c r="I1103" t="s">
        <v>16</v>
      </c>
      <c r="J1103" t="s">
        <v>16</v>
      </c>
      <c r="K1103" s="16" t="str">
        <f>VLOOKUP(C1103,CheckName!A:B,2,0)</f>
        <v>Add</v>
      </c>
      <c r="L1103">
        <v>0</v>
      </c>
      <c r="M1103" s="16">
        <f t="shared" ref="M1103:M1104" si="100">DAY(E1103)</f>
        <v>10</v>
      </c>
      <c r="N1103" t="str">
        <f>TEXT(MTDRejection[[#This Row],[RejectionDate]],"dddd")</f>
        <v>Tuesday</v>
      </c>
    </row>
    <row r="1104" spans="1:14">
      <c r="A1104" t="s">
        <v>1534</v>
      </c>
      <c r="B1104" t="s">
        <v>3757</v>
      </c>
      <c r="C1104" t="s">
        <v>25</v>
      </c>
      <c r="D1104" t="s">
        <v>20</v>
      </c>
      <c r="E1104" s="7">
        <v>45636</v>
      </c>
      <c r="F1104" t="s">
        <v>2327</v>
      </c>
      <c r="G1104">
        <v>0</v>
      </c>
      <c r="H1104" t="s">
        <v>22</v>
      </c>
      <c r="I1104" t="s">
        <v>16</v>
      </c>
      <c r="J1104" t="s">
        <v>16</v>
      </c>
      <c r="K1104" s="16" t="str">
        <f>VLOOKUP(C1104,CheckName!A:B,2,0)</f>
        <v>Add</v>
      </c>
      <c r="L1104">
        <v>0</v>
      </c>
      <c r="M1104" s="16">
        <f t="shared" si="100"/>
        <v>10</v>
      </c>
      <c r="N1104" t="str">
        <f>TEXT(MTDRejection[[#This Row],[RejectionDate]],"dddd")</f>
        <v>Tuesday</v>
      </c>
    </row>
    <row r="1105" spans="1:14">
      <c r="A1105" t="s">
        <v>1534</v>
      </c>
      <c r="B1105" t="s">
        <v>3758</v>
      </c>
      <c r="C1105" t="s">
        <v>19</v>
      </c>
      <c r="D1105" t="s">
        <v>20</v>
      </c>
      <c r="E1105" s="7">
        <v>45636</v>
      </c>
      <c r="F1105" t="s">
        <v>2327</v>
      </c>
      <c r="G1105">
        <v>0</v>
      </c>
      <c r="H1105" t="s">
        <v>22</v>
      </c>
      <c r="I1105" t="s">
        <v>16</v>
      </c>
      <c r="J1105" t="s">
        <v>16</v>
      </c>
      <c r="K1105" s="16" t="str">
        <f>VLOOKUP(C1105,CheckName!A:B,2,0)</f>
        <v>Add</v>
      </c>
      <c r="L1105">
        <v>0</v>
      </c>
      <c r="M1105" s="16">
        <f>DAY(E1105)</f>
        <v>10</v>
      </c>
      <c r="N1105" t="str">
        <f>TEXT(MTDRejection[[#This Row],[RejectionDate]],"dddd")</f>
        <v>Tuesday</v>
      </c>
    </row>
    <row r="1106" spans="1:14">
      <c r="A1106" t="s">
        <v>263</v>
      </c>
      <c r="B1106" t="s">
        <v>3759</v>
      </c>
      <c r="C1106" t="s">
        <v>25</v>
      </c>
      <c r="D1106" t="s">
        <v>20</v>
      </c>
      <c r="E1106" s="7">
        <v>45636</v>
      </c>
      <c r="F1106" t="s">
        <v>2327</v>
      </c>
      <c r="G1106">
        <v>0</v>
      </c>
      <c r="H1106" t="s">
        <v>22</v>
      </c>
      <c r="I1106" t="s">
        <v>16</v>
      </c>
      <c r="J1106" t="s">
        <v>16</v>
      </c>
      <c r="K1106" s="16" t="str">
        <f>VLOOKUP(C1106,CheckName!A:B,2,0)</f>
        <v>Add</v>
      </c>
      <c r="L1106">
        <v>0</v>
      </c>
      <c r="M1106" s="16">
        <f t="shared" ref="M1106:M1107" si="101">DAY(E1106)</f>
        <v>10</v>
      </c>
      <c r="N1106" t="str">
        <f>TEXT(MTDRejection[[#This Row],[RejectionDate]],"dddd")</f>
        <v>Tuesday</v>
      </c>
    </row>
    <row r="1107" spans="1:14">
      <c r="A1107" t="s">
        <v>119</v>
      </c>
      <c r="B1107" t="s">
        <v>2479</v>
      </c>
      <c r="C1107" t="s">
        <v>25</v>
      </c>
      <c r="D1107" t="s">
        <v>20</v>
      </c>
      <c r="E1107" s="7">
        <v>45636</v>
      </c>
      <c r="F1107" t="s">
        <v>273</v>
      </c>
      <c r="G1107">
        <v>0</v>
      </c>
      <c r="H1107" t="s">
        <v>27</v>
      </c>
      <c r="I1107" t="s">
        <v>16</v>
      </c>
      <c r="J1107" t="s">
        <v>16</v>
      </c>
      <c r="K1107" s="16" t="str">
        <f>VLOOKUP(C1107,CheckName!A:B,2,0)</f>
        <v>Add</v>
      </c>
      <c r="L1107">
        <v>0</v>
      </c>
      <c r="M1107" s="16">
        <f t="shared" si="101"/>
        <v>10</v>
      </c>
      <c r="N1107" t="str">
        <f>TEXT(MTDRejection[[#This Row],[RejectionDate]],"dddd")</f>
        <v>Tuesday</v>
      </c>
    </row>
    <row r="1108" spans="1:14">
      <c r="A1108" t="s">
        <v>119</v>
      </c>
      <c r="B1108" t="s">
        <v>3760</v>
      </c>
      <c r="C1108" t="s">
        <v>25</v>
      </c>
      <c r="D1108" t="s">
        <v>20</v>
      </c>
      <c r="E1108" s="7">
        <v>45636</v>
      </c>
      <c r="F1108" t="s">
        <v>273</v>
      </c>
      <c r="G1108">
        <v>0</v>
      </c>
      <c r="H1108" t="s">
        <v>27</v>
      </c>
      <c r="I1108" t="s">
        <v>16</v>
      </c>
      <c r="J1108" t="s">
        <v>16</v>
      </c>
      <c r="K1108" s="16" t="str">
        <f>VLOOKUP(C1108,CheckName!A:B,2,0)</f>
        <v>Add</v>
      </c>
      <c r="L1108">
        <v>0</v>
      </c>
      <c r="M1108" s="16">
        <f t="shared" ref="M1108:M1110" si="102">DAY(E1108)</f>
        <v>10</v>
      </c>
      <c r="N1108" t="str">
        <f>TEXT(MTDRejection[[#This Row],[RejectionDate]],"dddd")</f>
        <v>Tuesday</v>
      </c>
    </row>
    <row r="1109" spans="1:14">
      <c r="A1109" t="s">
        <v>461</v>
      </c>
      <c r="B1109" t="s">
        <v>3761</v>
      </c>
      <c r="C1109" t="s">
        <v>19</v>
      </c>
      <c r="D1109" t="s">
        <v>20</v>
      </c>
      <c r="E1109" s="7">
        <v>45636</v>
      </c>
      <c r="F1109" t="s">
        <v>2327</v>
      </c>
      <c r="G1109">
        <v>0</v>
      </c>
      <c r="H1109" t="s">
        <v>27</v>
      </c>
      <c r="I1109" t="s">
        <v>16</v>
      </c>
      <c r="J1109" t="s">
        <v>16</v>
      </c>
      <c r="K1109" s="16" t="str">
        <f>VLOOKUP(C1109,CheckName!A:B,2,0)</f>
        <v>Add</v>
      </c>
      <c r="L1109">
        <v>0</v>
      </c>
      <c r="M1109" s="16">
        <f t="shared" si="102"/>
        <v>10</v>
      </c>
      <c r="N1109" t="str">
        <f>TEXT(MTDRejection[[#This Row],[RejectionDate]],"dddd")</f>
        <v>Tuesday</v>
      </c>
    </row>
    <row r="1110" spans="1:14">
      <c r="A1110" t="s">
        <v>510</v>
      </c>
      <c r="B1110" t="s">
        <v>3762</v>
      </c>
      <c r="C1110" t="s">
        <v>19</v>
      </c>
      <c r="D1110" t="s">
        <v>20</v>
      </c>
      <c r="E1110" s="7">
        <v>45636</v>
      </c>
      <c r="F1110" t="s">
        <v>2327</v>
      </c>
      <c r="G1110">
        <v>0</v>
      </c>
      <c r="H1110" t="s">
        <v>22</v>
      </c>
      <c r="I1110" t="s">
        <v>16</v>
      </c>
      <c r="J1110" t="s">
        <v>16</v>
      </c>
      <c r="K1110" s="16" t="str">
        <f>VLOOKUP(C1110,CheckName!A:B,2,0)</f>
        <v>Add</v>
      </c>
      <c r="L1110">
        <v>0</v>
      </c>
      <c r="M1110" s="16">
        <f t="shared" si="102"/>
        <v>10</v>
      </c>
      <c r="N1110" t="str">
        <f>TEXT(MTDRejection[[#This Row],[RejectionDate]],"dddd")</f>
        <v>Tuesday</v>
      </c>
    </row>
    <row r="1111" spans="1:14">
      <c r="A1111" t="s">
        <v>131</v>
      </c>
      <c r="B1111" t="s">
        <v>3763</v>
      </c>
      <c r="C1111" t="s">
        <v>19</v>
      </c>
      <c r="D1111" t="s">
        <v>20</v>
      </c>
      <c r="E1111" s="7">
        <v>45636</v>
      </c>
      <c r="F1111" t="s">
        <v>273</v>
      </c>
      <c r="G1111">
        <v>0</v>
      </c>
      <c r="H1111" t="s">
        <v>22</v>
      </c>
      <c r="I1111" t="s">
        <v>16</v>
      </c>
      <c r="J1111" t="s">
        <v>16</v>
      </c>
      <c r="K1111" s="16" t="str">
        <f>VLOOKUP(C1111,CheckName!A:B,2,0)</f>
        <v>Add</v>
      </c>
      <c r="L1111">
        <v>0</v>
      </c>
      <c r="M1111" s="16">
        <f t="shared" ref="M1111:M1112" si="103">DAY(E1111)</f>
        <v>10</v>
      </c>
      <c r="N1111" t="str">
        <f>TEXT(MTDRejection[[#This Row],[RejectionDate]],"dddd")</f>
        <v>Tuesday</v>
      </c>
    </row>
    <row r="1112" spans="1:14">
      <c r="A1112" t="s">
        <v>510</v>
      </c>
      <c r="B1112" t="s">
        <v>3764</v>
      </c>
      <c r="C1112" t="s">
        <v>19</v>
      </c>
      <c r="D1112" t="s">
        <v>20</v>
      </c>
      <c r="E1112" s="7">
        <v>45636</v>
      </c>
      <c r="F1112" t="s">
        <v>2327</v>
      </c>
      <c r="G1112">
        <v>0</v>
      </c>
      <c r="H1112" t="s">
        <v>22</v>
      </c>
      <c r="I1112" t="s">
        <v>16</v>
      </c>
      <c r="J1112" t="s">
        <v>16</v>
      </c>
      <c r="K1112" s="16" t="str">
        <f>VLOOKUP(C1112,CheckName!A:B,2,0)</f>
        <v>Add</v>
      </c>
      <c r="L1112">
        <v>0</v>
      </c>
      <c r="M1112" s="16">
        <f t="shared" si="103"/>
        <v>10</v>
      </c>
      <c r="N1112" t="str">
        <f>TEXT(MTDRejection[[#This Row],[RejectionDate]],"dddd")</f>
        <v>Tuesday</v>
      </c>
    </row>
    <row r="1113" spans="1:14">
      <c r="A1113" t="s">
        <v>306</v>
      </c>
      <c r="B1113" t="s">
        <v>3765</v>
      </c>
      <c r="C1113" t="s">
        <v>54</v>
      </c>
      <c r="D1113" t="s">
        <v>38</v>
      </c>
      <c r="E1113" s="7">
        <v>45636</v>
      </c>
      <c r="F1113" t="s">
        <v>1776</v>
      </c>
      <c r="G1113">
        <v>0</v>
      </c>
      <c r="H1113" t="s">
        <v>42</v>
      </c>
      <c r="I1113" t="s">
        <v>16</v>
      </c>
      <c r="J1113" t="s">
        <v>16</v>
      </c>
      <c r="K1113" s="16" t="str">
        <f>VLOOKUP(C1113,CheckName!A:B,2,0)</f>
        <v>Edu</v>
      </c>
      <c r="L1113">
        <v>0</v>
      </c>
      <c r="M1113" s="16">
        <f>DAY(E1113)</f>
        <v>10</v>
      </c>
      <c r="N1113" t="str">
        <f>TEXT(MTDRejection[[#This Row],[RejectionDate]],"dddd")</f>
        <v>Tuesday</v>
      </c>
    </row>
    <row r="1114" spans="1:14">
      <c r="A1114" t="s">
        <v>142</v>
      </c>
      <c r="B1114" t="s">
        <v>3766</v>
      </c>
      <c r="C1114" t="s">
        <v>1677</v>
      </c>
      <c r="D1114" t="s">
        <v>26</v>
      </c>
      <c r="E1114" s="7">
        <v>45636</v>
      </c>
      <c r="F1114" t="s">
        <v>222</v>
      </c>
      <c r="G1114">
        <v>0</v>
      </c>
      <c r="H1114" t="s">
        <v>130</v>
      </c>
      <c r="I1114" t="s">
        <v>16</v>
      </c>
      <c r="J1114" t="s">
        <v>16</v>
      </c>
      <c r="K1114" s="16" t="str">
        <f>VLOOKUP(C1114,CheckName!A:B,2,0)</f>
        <v>Emp</v>
      </c>
      <c r="L1114">
        <v>0</v>
      </c>
      <c r="M1114" s="16">
        <f t="shared" ref="M1114:M1115" si="104">DAY(E1114)</f>
        <v>10</v>
      </c>
      <c r="N1114" t="str">
        <f>TEXT(MTDRejection[[#This Row],[RejectionDate]],"dddd")</f>
        <v>Tuesday</v>
      </c>
    </row>
    <row r="1115" spans="1:14">
      <c r="A1115" t="s">
        <v>142</v>
      </c>
      <c r="B1115" t="s">
        <v>3767</v>
      </c>
      <c r="C1115" t="s">
        <v>12</v>
      </c>
      <c r="D1115" t="s">
        <v>26</v>
      </c>
      <c r="E1115" s="7">
        <v>45636</v>
      </c>
      <c r="F1115" t="s">
        <v>222</v>
      </c>
      <c r="G1115">
        <v>0</v>
      </c>
      <c r="H1115" t="s">
        <v>27</v>
      </c>
      <c r="I1115" t="s">
        <v>16</v>
      </c>
      <c r="J1115" t="s">
        <v>16</v>
      </c>
      <c r="K1115" s="16" t="str">
        <f>VLOOKUP(C1115,CheckName!A:B,2,0)</f>
        <v>Emp</v>
      </c>
      <c r="L1115">
        <v>0</v>
      </c>
      <c r="M1115" s="16">
        <f t="shared" si="104"/>
        <v>10</v>
      </c>
      <c r="N1115" t="str">
        <f>TEXT(MTDRejection[[#This Row],[RejectionDate]],"dddd")</f>
        <v>Tuesday</v>
      </c>
    </row>
    <row r="1116" spans="1:14">
      <c r="A1116" t="s">
        <v>160</v>
      </c>
      <c r="B1116" t="s">
        <v>1839</v>
      </c>
      <c r="C1116" t="s">
        <v>19</v>
      </c>
      <c r="D1116" t="s">
        <v>20</v>
      </c>
      <c r="E1116" s="7">
        <v>45636</v>
      </c>
      <c r="F1116" t="s">
        <v>2330</v>
      </c>
      <c r="G1116">
        <v>0</v>
      </c>
      <c r="H1116" t="s">
        <v>27</v>
      </c>
      <c r="I1116" t="s">
        <v>16</v>
      </c>
      <c r="J1116" t="s">
        <v>16</v>
      </c>
      <c r="K1116" s="16" t="str">
        <f>VLOOKUP(C1116,CheckName!A:B,2,0)</f>
        <v>Add</v>
      </c>
      <c r="L1116">
        <v>0</v>
      </c>
      <c r="M1116" s="16">
        <f t="shared" ref="M1116:M1117" si="105">DAY(E1116)</f>
        <v>10</v>
      </c>
      <c r="N1116" t="str">
        <f>TEXT(MTDRejection[[#This Row],[RejectionDate]],"dddd")</f>
        <v>Tuesday</v>
      </c>
    </row>
    <row r="1117" spans="1:14">
      <c r="A1117" t="s">
        <v>883</v>
      </c>
      <c r="B1117" t="s">
        <v>3768</v>
      </c>
      <c r="C1117" t="s">
        <v>25</v>
      </c>
      <c r="D1117" t="s">
        <v>20</v>
      </c>
      <c r="E1117" s="7">
        <v>45636</v>
      </c>
      <c r="F1117" t="s">
        <v>2330</v>
      </c>
      <c r="G1117">
        <v>0</v>
      </c>
      <c r="H1117" t="s">
        <v>22</v>
      </c>
      <c r="I1117" t="s">
        <v>16</v>
      </c>
      <c r="J1117" t="s">
        <v>16</v>
      </c>
      <c r="K1117" s="16" t="str">
        <f>VLOOKUP(C1117,CheckName!A:B,2,0)</f>
        <v>Add</v>
      </c>
      <c r="L1117">
        <v>0</v>
      </c>
      <c r="M1117" s="16">
        <f t="shared" si="105"/>
        <v>10</v>
      </c>
      <c r="N1117" t="str">
        <f>TEXT(MTDRejection[[#This Row],[RejectionDate]],"dddd")</f>
        <v>Tuesday</v>
      </c>
    </row>
    <row r="1118" spans="1:14">
      <c r="A1118" t="s">
        <v>81</v>
      </c>
      <c r="B1118" t="s">
        <v>3769</v>
      </c>
      <c r="C1118" t="s">
        <v>25</v>
      </c>
      <c r="D1118" t="s">
        <v>26</v>
      </c>
      <c r="E1118" s="7">
        <v>45636</v>
      </c>
      <c r="F1118" t="s">
        <v>2330</v>
      </c>
      <c r="G1118">
        <v>0</v>
      </c>
      <c r="H1118" t="s">
        <v>27</v>
      </c>
      <c r="I1118" t="s">
        <v>16</v>
      </c>
      <c r="J1118" t="s">
        <v>16</v>
      </c>
      <c r="K1118" s="16" t="str">
        <f>VLOOKUP(C1118,CheckName!A:B,2,0)</f>
        <v>Add</v>
      </c>
      <c r="L1118">
        <v>0</v>
      </c>
      <c r="M1118" s="16">
        <f>DAY(E1118)</f>
        <v>10</v>
      </c>
      <c r="N1118" t="str">
        <f>TEXT(MTDRejection[[#This Row],[RejectionDate]],"dddd")</f>
        <v>Tuesday</v>
      </c>
    </row>
    <row r="1119" spans="1:14">
      <c r="A1119" t="s">
        <v>45</v>
      </c>
      <c r="B1119" t="s">
        <v>3770</v>
      </c>
      <c r="C1119" t="s">
        <v>54</v>
      </c>
      <c r="D1119" t="s">
        <v>26</v>
      </c>
      <c r="E1119" s="7">
        <v>45636</v>
      </c>
      <c r="F1119" t="s">
        <v>63</v>
      </c>
      <c r="G1119">
        <v>0</v>
      </c>
      <c r="H1119" t="s">
        <v>27</v>
      </c>
      <c r="I1119" t="s">
        <v>16</v>
      </c>
      <c r="J1119" t="s">
        <v>16</v>
      </c>
      <c r="K1119" s="16" t="str">
        <f>VLOOKUP(C1119,CheckName!A:B,2,0)</f>
        <v>Edu</v>
      </c>
      <c r="L1119">
        <v>0</v>
      </c>
      <c r="M1119" s="16">
        <f>DAY(E1119)</f>
        <v>10</v>
      </c>
      <c r="N1119" t="str">
        <f>TEXT(MTDRejection[[#This Row],[RejectionDate]],"dddd")</f>
        <v>Tuesday</v>
      </c>
    </row>
    <row r="1120" spans="1:14">
      <c r="A1120" t="s">
        <v>160</v>
      </c>
      <c r="B1120" t="s">
        <v>3771</v>
      </c>
      <c r="C1120" t="s">
        <v>36</v>
      </c>
      <c r="D1120" t="s">
        <v>26</v>
      </c>
      <c r="E1120" s="7">
        <v>45636</v>
      </c>
      <c r="F1120" t="s">
        <v>2341</v>
      </c>
      <c r="G1120">
        <v>0</v>
      </c>
      <c r="H1120" t="s">
        <v>27</v>
      </c>
      <c r="I1120" t="s">
        <v>16</v>
      </c>
      <c r="J1120" t="s">
        <v>16</v>
      </c>
      <c r="K1120" s="16" t="str">
        <f>VLOOKUP(C1120,CheckName!A:B,2,0)</f>
        <v>Emp</v>
      </c>
      <c r="L1120">
        <v>0</v>
      </c>
      <c r="M1120" s="16">
        <f>DAY(E1120)</f>
        <v>10</v>
      </c>
      <c r="N1120" t="str">
        <f>TEXT(MTDRejection[[#This Row],[RejectionDate]],"dddd")</f>
        <v>Tuesday</v>
      </c>
    </row>
    <row r="1121" spans="1:14">
      <c r="A1121" t="s">
        <v>45</v>
      </c>
      <c r="B1121" t="s">
        <v>3772</v>
      </c>
      <c r="C1121" t="s">
        <v>19</v>
      </c>
      <c r="D1121" t="s">
        <v>20</v>
      </c>
      <c r="E1121" s="7">
        <v>45636</v>
      </c>
      <c r="F1121" t="s">
        <v>2348</v>
      </c>
      <c r="G1121">
        <v>0</v>
      </c>
      <c r="H1121" t="s">
        <v>22</v>
      </c>
      <c r="I1121" t="s">
        <v>16</v>
      </c>
      <c r="J1121" t="s">
        <v>16</v>
      </c>
      <c r="K1121" s="16" t="str">
        <f>VLOOKUP(C1121,CheckName!A:B,2,0)</f>
        <v>Add</v>
      </c>
      <c r="L1121">
        <v>0</v>
      </c>
      <c r="M1121" s="16">
        <f t="shared" ref="M1121:M1122" si="106">DAY(E1121)</f>
        <v>10</v>
      </c>
      <c r="N1121" t="str">
        <f>TEXT(MTDRejection[[#This Row],[RejectionDate]],"dddd")</f>
        <v>Tuesday</v>
      </c>
    </row>
    <row r="1122" spans="1:14">
      <c r="A1122" t="s">
        <v>100</v>
      </c>
      <c r="B1122" t="s">
        <v>3773</v>
      </c>
      <c r="C1122" t="s">
        <v>359</v>
      </c>
      <c r="D1122" t="s">
        <v>26</v>
      </c>
      <c r="E1122" s="7">
        <v>45636</v>
      </c>
      <c r="F1122" t="s">
        <v>83</v>
      </c>
      <c r="G1122">
        <v>0</v>
      </c>
      <c r="H1122" t="s">
        <v>30</v>
      </c>
      <c r="I1122" t="s">
        <v>16</v>
      </c>
      <c r="J1122" t="s">
        <v>16</v>
      </c>
      <c r="K1122" s="16" t="str">
        <f>VLOOKUP(C1122,CheckName!A:B,2,0)</f>
        <v>Emp</v>
      </c>
      <c r="L1122">
        <v>0</v>
      </c>
      <c r="M1122" s="16">
        <f t="shared" si="106"/>
        <v>10</v>
      </c>
      <c r="N1122" t="str">
        <f>TEXT(MTDRejection[[#This Row],[RejectionDate]],"dddd")</f>
        <v>Tuesday</v>
      </c>
    </row>
    <row r="1123" spans="1:14">
      <c r="A1123" t="s">
        <v>682</v>
      </c>
      <c r="B1123" t="s">
        <v>3774</v>
      </c>
      <c r="C1123" t="s">
        <v>12</v>
      </c>
      <c r="D1123" t="s">
        <v>26</v>
      </c>
      <c r="E1123" s="7">
        <v>45636</v>
      </c>
      <c r="F1123" t="s">
        <v>83</v>
      </c>
      <c r="G1123">
        <v>0</v>
      </c>
      <c r="H1123" t="s">
        <v>27</v>
      </c>
      <c r="I1123" t="s">
        <v>16</v>
      </c>
      <c r="J1123" t="s">
        <v>16</v>
      </c>
      <c r="K1123" s="16" t="str">
        <f>VLOOKUP(C1123,CheckName!A:B,2,0)</f>
        <v>Emp</v>
      </c>
      <c r="L1123">
        <v>0</v>
      </c>
      <c r="M1123" s="16">
        <f>DAY(E1123)</f>
        <v>10</v>
      </c>
      <c r="N1123" t="str">
        <f>TEXT(MTDRejection[[#This Row],[RejectionDate]],"dddd")</f>
        <v>Tuesday</v>
      </c>
    </row>
    <row r="1124" spans="1:14">
      <c r="A1124" t="s">
        <v>45</v>
      </c>
      <c r="B1124" t="s">
        <v>2480</v>
      </c>
      <c r="C1124" t="s">
        <v>54</v>
      </c>
      <c r="D1124" t="s">
        <v>26</v>
      </c>
      <c r="E1124" s="7">
        <v>45636</v>
      </c>
      <c r="F1124" t="s">
        <v>852</v>
      </c>
      <c r="G1124">
        <v>0</v>
      </c>
      <c r="H1124" t="s">
        <v>27</v>
      </c>
      <c r="I1124" t="s">
        <v>16</v>
      </c>
      <c r="J1124" t="s">
        <v>16</v>
      </c>
      <c r="K1124" s="16" t="str">
        <f>VLOOKUP(C1124,CheckName!A:B,2,0)</f>
        <v>Edu</v>
      </c>
      <c r="L1124">
        <v>0</v>
      </c>
      <c r="M1124" s="16">
        <f t="shared" ref="M1124:M1126" si="107">DAY(E1124)</f>
        <v>10</v>
      </c>
      <c r="N1124" t="str">
        <f>TEXT(MTDRejection[[#This Row],[RejectionDate]],"dddd")</f>
        <v>Tuesday</v>
      </c>
    </row>
    <row r="1125" spans="1:14">
      <c r="A1125" t="s">
        <v>45</v>
      </c>
      <c r="B1125" t="s">
        <v>3775</v>
      </c>
      <c r="C1125" t="s">
        <v>54</v>
      </c>
      <c r="D1125" t="s">
        <v>26</v>
      </c>
      <c r="E1125" s="7">
        <v>45636</v>
      </c>
      <c r="F1125" t="s">
        <v>852</v>
      </c>
      <c r="G1125">
        <v>0</v>
      </c>
      <c r="H1125" t="s">
        <v>27</v>
      </c>
      <c r="I1125" t="s">
        <v>16</v>
      </c>
      <c r="J1125" t="s">
        <v>16</v>
      </c>
      <c r="K1125" s="16" t="str">
        <f>VLOOKUP(C1125,CheckName!A:B,2,0)</f>
        <v>Edu</v>
      </c>
      <c r="L1125">
        <v>0</v>
      </c>
      <c r="M1125" s="16">
        <f t="shared" si="107"/>
        <v>10</v>
      </c>
      <c r="N1125" t="str">
        <f>TEXT(MTDRejection[[#This Row],[RejectionDate]],"dddd")</f>
        <v>Tuesday</v>
      </c>
    </row>
    <row r="1126" spans="1:14">
      <c r="A1126" t="s">
        <v>45</v>
      </c>
      <c r="B1126" t="s">
        <v>2481</v>
      </c>
      <c r="C1126" t="s">
        <v>54</v>
      </c>
      <c r="D1126" t="s">
        <v>26</v>
      </c>
      <c r="E1126" s="7">
        <v>45636</v>
      </c>
      <c r="F1126" t="s">
        <v>852</v>
      </c>
      <c r="G1126">
        <v>0</v>
      </c>
      <c r="H1126" t="s">
        <v>27</v>
      </c>
      <c r="I1126" t="s">
        <v>16</v>
      </c>
      <c r="J1126" t="s">
        <v>16</v>
      </c>
      <c r="K1126" s="16" t="str">
        <f>VLOOKUP(C1126,CheckName!A:B,2,0)</f>
        <v>Edu</v>
      </c>
      <c r="L1126">
        <v>0</v>
      </c>
      <c r="M1126" s="16">
        <f t="shared" si="107"/>
        <v>10</v>
      </c>
      <c r="N1126" t="str">
        <f>TEXT(MTDRejection[[#This Row],[RejectionDate]],"dddd")</f>
        <v>Tuesday</v>
      </c>
    </row>
    <row r="1127" spans="1:14">
      <c r="A1127" t="s">
        <v>1828</v>
      </c>
      <c r="B1127" t="s">
        <v>3776</v>
      </c>
      <c r="C1127" t="s">
        <v>12</v>
      </c>
      <c r="D1127" t="s">
        <v>26</v>
      </c>
      <c r="E1127" s="7">
        <v>45636</v>
      </c>
      <c r="F1127" t="s">
        <v>182</v>
      </c>
      <c r="G1127">
        <v>0</v>
      </c>
      <c r="H1127" t="s">
        <v>27</v>
      </c>
      <c r="I1127" t="s">
        <v>16</v>
      </c>
      <c r="J1127" t="s">
        <v>16</v>
      </c>
      <c r="K1127" s="16" t="str">
        <f>VLOOKUP(C1127,CheckName!A:B,2,0)</f>
        <v>Emp</v>
      </c>
      <c r="L1127">
        <v>0</v>
      </c>
      <c r="M1127" s="16">
        <f t="shared" ref="M1127:M1128" si="108">DAY(E1127)</f>
        <v>10</v>
      </c>
      <c r="N1127" t="str">
        <f>TEXT(MTDRejection[[#This Row],[RejectionDate]],"dddd")</f>
        <v>Tuesday</v>
      </c>
    </row>
    <row r="1128" spans="1:14">
      <c r="A1128" t="s">
        <v>1001</v>
      </c>
      <c r="B1128" t="s">
        <v>1829</v>
      </c>
      <c r="C1128" t="s">
        <v>54</v>
      </c>
      <c r="D1128" t="s">
        <v>13</v>
      </c>
      <c r="E1128" s="7">
        <v>45636</v>
      </c>
      <c r="F1128" t="s">
        <v>1421</v>
      </c>
      <c r="G1128">
        <v>0</v>
      </c>
      <c r="H1128" t="s">
        <v>15</v>
      </c>
      <c r="I1128" t="s">
        <v>16</v>
      </c>
      <c r="J1128" t="s">
        <v>16</v>
      </c>
      <c r="K1128" s="16" t="str">
        <f>VLOOKUP(C1128,CheckName!A:B,2,0)</f>
        <v>Edu</v>
      </c>
      <c r="L1128">
        <v>0</v>
      </c>
      <c r="M1128" s="16">
        <f t="shared" si="108"/>
        <v>10</v>
      </c>
      <c r="N1128" t="str">
        <f>TEXT(MTDRejection[[#This Row],[RejectionDate]],"dddd")</f>
        <v>Tuesday</v>
      </c>
    </row>
    <row r="1129" spans="1:14">
      <c r="A1129" t="s">
        <v>91</v>
      </c>
      <c r="B1129" t="s">
        <v>3777</v>
      </c>
      <c r="C1129" t="s">
        <v>93</v>
      </c>
      <c r="D1129" t="s">
        <v>13</v>
      </c>
      <c r="E1129" s="7">
        <v>45636</v>
      </c>
      <c r="F1129" t="s">
        <v>1421</v>
      </c>
      <c r="G1129">
        <v>0</v>
      </c>
      <c r="H1129" t="s">
        <v>15</v>
      </c>
      <c r="I1129" t="s">
        <v>16</v>
      </c>
      <c r="J1129" t="s">
        <v>16</v>
      </c>
      <c r="K1129" s="16" t="str">
        <f>VLOOKUP(C1129,CheckName!A:B,2,0)</f>
        <v>Edu</v>
      </c>
      <c r="L1129">
        <v>0</v>
      </c>
      <c r="M1129" s="16">
        <f>DAY(E1129)</f>
        <v>10</v>
      </c>
      <c r="N1129" t="str">
        <f>TEXT(MTDRejection[[#This Row],[RejectionDate]],"dddd")</f>
        <v>Tuesday</v>
      </c>
    </row>
    <row r="1130" spans="1:14">
      <c r="A1130" t="s">
        <v>211</v>
      </c>
      <c r="B1130" t="s">
        <v>3778</v>
      </c>
      <c r="C1130" t="s">
        <v>36</v>
      </c>
      <c r="D1130" t="s">
        <v>13</v>
      </c>
      <c r="E1130" s="7">
        <v>45636</v>
      </c>
      <c r="F1130" t="s">
        <v>107</v>
      </c>
      <c r="G1130">
        <v>0</v>
      </c>
      <c r="H1130" t="s">
        <v>15</v>
      </c>
      <c r="I1130" t="s">
        <v>16</v>
      </c>
      <c r="J1130" t="s">
        <v>16</v>
      </c>
      <c r="K1130" s="16" t="str">
        <f>VLOOKUP(C1130,CheckName!A:B,2,0)</f>
        <v>Emp</v>
      </c>
      <c r="L1130">
        <v>0</v>
      </c>
      <c r="M1130" s="16">
        <f t="shared" ref="M1130:M1132" si="109">DAY(E1130)</f>
        <v>10</v>
      </c>
      <c r="N1130" t="str">
        <f>TEXT(MTDRejection[[#This Row],[RejectionDate]],"dddd")</f>
        <v>Tuesday</v>
      </c>
    </row>
    <row r="1131" spans="1:14">
      <c r="A1131" t="s">
        <v>160</v>
      </c>
      <c r="B1131" t="s">
        <v>3779</v>
      </c>
      <c r="C1131" t="s">
        <v>125</v>
      </c>
      <c r="D1131" t="s">
        <v>26</v>
      </c>
      <c r="E1131" s="7">
        <v>45636</v>
      </c>
      <c r="F1131" t="s">
        <v>162</v>
      </c>
      <c r="G1131">
        <v>0</v>
      </c>
      <c r="H1131" t="s">
        <v>27</v>
      </c>
      <c r="I1131" t="s">
        <v>16</v>
      </c>
      <c r="J1131" t="s">
        <v>16</v>
      </c>
      <c r="K1131" s="16" t="str">
        <f>VLOOKUP(C1131,CheckName!A:B,2,0)</f>
        <v>Emp</v>
      </c>
      <c r="L1131">
        <v>0</v>
      </c>
      <c r="M1131" s="16">
        <f t="shared" si="109"/>
        <v>10</v>
      </c>
      <c r="N1131" t="str">
        <f>TEXT(MTDRejection[[#This Row],[RejectionDate]],"dddd")</f>
        <v>Tuesday</v>
      </c>
    </row>
    <row r="1132" spans="1:14">
      <c r="A1132" t="s">
        <v>186</v>
      </c>
      <c r="B1132" t="s">
        <v>2482</v>
      </c>
      <c r="C1132" t="s">
        <v>12</v>
      </c>
      <c r="D1132" t="s">
        <v>26</v>
      </c>
      <c r="E1132" s="7">
        <v>45636</v>
      </c>
      <c r="F1132" t="s">
        <v>162</v>
      </c>
      <c r="G1132">
        <v>0</v>
      </c>
      <c r="H1132" t="s">
        <v>27</v>
      </c>
      <c r="I1132" t="s">
        <v>16</v>
      </c>
      <c r="J1132" t="s">
        <v>16</v>
      </c>
      <c r="K1132" s="16" t="str">
        <f>VLOOKUP(C1132,CheckName!A:B,2,0)</f>
        <v>Emp</v>
      </c>
      <c r="L1132">
        <v>0</v>
      </c>
      <c r="M1132" s="16">
        <f t="shared" si="109"/>
        <v>10</v>
      </c>
      <c r="N1132" t="str">
        <f>TEXT(MTDRejection[[#This Row],[RejectionDate]],"dddd")</f>
        <v>Tuesday</v>
      </c>
    </row>
    <row r="1133" spans="1:14">
      <c r="A1133" t="s">
        <v>1246</v>
      </c>
      <c r="B1133" t="s">
        <v>3780</v>
      </c>
      <c r="C1133" t="s">
        <v>12</v>
      </c>
      <c r="D1133" t="s">
        <v>26</v>
      </c>
      <c r="E1133" s="7">
        <v>45636</v>
      </c>
      <c r="F1133" t="s">
        <v>2335</v>
      </c>
      <c r="G1133">
        <v>0</v>
      </c>
      <c r="H1133" t="s">
        <v>27</v>
      </c>
      <c r="I1133" t="s">
        <v>16</v>
      </c>
      <c r="J1133" t="s">
        <v>16</v>
      </c>
      <c r="K1133" s="16" t="str">
        <f>VLOOKUP(C1133,CheckName!A:B,2,0)</f>
        <v>Emp</v>
      </c>
      <c r="L1133">
        <v>0</v>
      </c>
      <c r="M1133" s="16">
        <f t="shared" ref="M1133:M1135" si="110">DAY(E1133)</f>
        <v>10</v>
      </c>
      <c r="N1133" t="str">
        <f>TEXT(MTDRejection[[#This Row],[RejectionDate]],"dddd")</f>
        <v>Tuesday</v>
      </c>
    </row>
    <row r="1134" spans="1:14">
      <c r="A1134" t="s">
        <v>137</v>
      </c>
      <c r="B1134" t="s">
        <v>3781</v>
      </c>
      <c r="C1134" t="s">
        <v>12</v>
      </c>
      <c r="D1134" t="s">
        <v>13</v>
      </c>
      <c r="E1134" s="7">
        <v>45636</v>
      </c>
      <c r="F1134" t="s">
        <v>540</v>
      </c>
      <c r="G1134">
        <v>0</v>
      </c>
      <c r="H1134" t="s">
        <v>15</v>
      </c>
      <c r="I1134" t="s">
        <v>16</v>
      </c>
      <c r="J1134" t="s">
        <v>16</v>
      </c>
      <c r="K1134" s="16" t="str">
        <f>VLOOKUP(C1134,CheckName!A:B,2,0)</f>
        <v>Emp</v>
      </c>
      <c r="L1134">
        <v>0</v>
      </c>
      <c r="M1134" s="16">
        <f t="shared" si="110"/>
        <v>10</v>
      </c>
      <c r="N1134" t="str">
        <f>TEXT(MTDRejection[[#This Row],[RejectionDate]],"dddd")</f>
        <v>Tuesday</v>
      </c>
    </row>
    <row r="1135" spans="1:14">
      <c r="A1135" t="s">
        <v>137</v>
      </c>
      <c r="B1135" t="s">
        <v>1830</v>
      </c>
      <c r="C1135" t="s">
        <v>12</v>
      </c>
      <c r="D1135" t="s">
        <v>13</v>
      </c>
      <c r="E1135" s="7">
        <v>45636</v>
      </c>
      <c r="F1135" t="s">
        <v>540</v>
      </c>
      <c r="G1135">
        <v>0</v>
      </c>
      <c r="H1135" t="s">
        <v>15</v>
      </c>
      <c r="I1135" t="s">
        <v>16</v>
      </c>
      <c r="J1135" t="s">
        <v>16</v>
      </c>
      <c r="K1135" s="16" t="str">
        <f>VLOOKUP(C1135,CheckName!A:B,2,0)</f>
        <v>Emp</v>
      </c>
      <c r="L1135">
        <v>0</v>
      </c>
      <c r="M1135" s="16">
        <f t="shared" si="110"/>
        <v>10</v>
      </c>
      <c r="N1135" t="str">
        <f>TEXT(MTDRejection[[#This Row],[RejectionDate]],"dddd")</f>
        <v>Tuesday</v>
      </c>
    </row>
    <row r="1136" spans="1:14">
      <c r="A1136" t="s">
        <v>1070</v>
      </c>
      <c r="B1136" t="s">
        <v>3782</v>
      </c>
      <c r="C1136" t="s">
        <v>12</v>
      </c>
      <c r="D1136" t="s">
        <v>13</v>
      </c>
      <c r="E1136" s="7">
        <v>45636</v>
      </c>
      <c r="F1136" t="s">
        <v>540</v>
      </c>
      <c r="G1136">
        <v>0</v>
      </c>
      <c r="H1136" t="s">
        <v>15</v>
      </c>
      <c r="I1136" t="s">
        <v>16</v>
      </c>
      <c r="J1136" t="s">
        <v>16</v>
      </c>
      <c r="K1136" s="16" t="str">
        <f>VLOOKUP(C1136,CheckName!A:B,2,0)</f>
        <v>Emp</v>
      </c>
      <c r="L1136">
        <v>0</v>
      </c>
      <c r="M1136" s="16">
        <f t="shared" ref="M1136:M1137" si="111">DAY(E1136)</f>
        <v>10</v>
      </c>
      <c r="N1136" t="str">
        <f>TEXT(MTDRejection[[#This Row],[RejectionDate]],"dddd")</f>
        <v>Tuesday</v>
      </c>
    </row>
    <row r="1137" spans="1:14">
      <c r="A1137" t="s">
        <v>1831</v>
      </c>
      <c r="B1137" t="s">
        <v>3783</v>
      </c>
      <c r="C1137" t="s">
        <v>54</v>
      </c>
      <c r="D1137" t="s">
        <v>13</v>
      </c>
      <c r="E1137" s="7">
        <v>45636</v>
      </c>
      <c r="F1137" t="s">
        <v>540</v>
      </c>
      <c r="G1137">
        <v>0</v>
      </c>
      <c r="H1137" t="s">
        <v>15</v>
      </c>
      <c r="I1137" t="s">
        <v>16</v>
      </c>
      <c r="J1137" t="s">
        <v>16</v>
      </c>
      <c r="K1137" s="16" t="str">
        <f>VLOOKUP(C1137,CheckName!A:B,2,0)</f>
        <v>Edu</v>
      </c>
      <c r="L1137">
        <v>0</v>
      </c>
      <c r="M1137" s="16">
        <f t="shared" si="111"/>
        <v>10</v>
      </c>
      <c r="N1137" t="str">
        <f>TEXT(MTDRejection[[#This Row],[RejectionDate]],"dddd")</f>
        <v>Tuesday</v>
      </c>
    </row>
    <row r="1138" spans="1:14">
      <c r="A1138" t="s">
        <v>186</v>
      </c>
      <c r="B1138" t="s">
        <v>3784</v>
      </c>
      <c r="C1138" t="s">
        <v>12</v>
      </c>
      <c r="D1138" t="s">
        <v>26</v>
      </c>
      <c r="E1138" s="7">
        <v>45636</v>
      </c>
      <c r="F1138" t="s">
        <v>115</v>
      </c>
      <c r="G1138">
        <v>0</v>
      </c>
      <c r="H1138" t="s">
        <v>27</v>
      </c>
      <c r="I1138" t="s">
        <v>16</v>
      </c>
      <c r="J1138" t="s">
        <v>16</v>
      </c>
      <c r="K1138" s="16" t="str">
        <f>VLOOKUP(C1138,CheckName!A:B,2,0)</f>
        <v>Emp</v>
      </c>
      <c r="L1138">
        <v>0</v>
      </c>
      <c r="M1138" s="16">
        <f>DAY(E1138)</f>
        <v>10</v>
      </c>
      <c r="N1138" t="str">
        <f>TEXT(MTDRejection[[#This Row],[RejectionDate]],"dddd")</f>
        <v>Tuesday</v>
      </c>
    </row>
    <row r="1139" spans="1:14">
      <c r="A1139" t="s">
        <v>1110</v>
      </c>
      <c r="B1139" t="s">
        <v>3785</v>
      </c>
      <c r="C1139" t="s">
        <v>965</v>
      </c>
      <c r="D1139" t="s">
        <v>20</v>
      </c>
      <c r="E1139" s="7">
        <v>45636</v>
      </c>
      <c r="F1139" t="s">
        <v>129</v>
      </c>
      <c r="G1139">
        <v>0</v>
      </c>
      <c r="H1139" t="s">
        <v>22</v>
      </c>
      <c r="I1139" t="s">
        <v>16</v>
      </c>
      <c r="J1139" t="s">
        <v>16</v>
      </c>
      <c r="K1139" s="16" t="str">
        <f>VLOOKUP(C1139,CheckName!A:B,2,0)</f>
        <v>Add</v>
      </c>
      <c r="L1139">
        <v>0</v>
      </c>
      <c r="M1139" s="16">
        <f t="shared" ref="M1139:M1144" si="112">DAY(E1139)</f>
        <v>10</v>
      </c>
      <c r="N1139" t="str">
        <f>TEXT(MTDRejection[[#This Row],[RejectionDate]],"dddd")</f>
        <v>Tuesday</v>
      </c>
    </row>
    <row r="1140" spans="1:14">
      <c r="A1140" t="s">
        <v>1110</v>
      </c>
      <c r="B1140" t="s">
        <v>2367</v>
      </c>
      <c r="C1140" t="s">
        <v>965</v>
      </c>
      <c r="D1140" t="s">
        <v>20</v>
      </c>
      <c r="E1140" s="7">
        <v>45636</v>
      </c>
      <c r="F1140" t="s">
        <v>129</v>
      </c>
      <c r="G1140">
        <v>0</v>
      </c>
      <c r="H1140" t="s">
        <v>22</v>
      </c>
      <c r="I1140" t="s">
        <v>16</v>
      </c>
      <c r="J1140" t="s">
        <v>16</v>
      </c>
      <c r="K1140" s="16" t="str">
        <f>VLOOKUP(C1140,CheckName!A:B,2,0)</f>
        <v>Add</v>
      </c>
      <c r="L1140">
        <v>0</v>
      </c>
      <c r="M1140" s="16">
        <f t="shared" si="112"/>
        <v>10</v>
      </c>
      <c r="N1140" t="str">
        <f>TEXT(MTDRejection[[#This Row],[RejectionDate]],"dddd")</f>
        <v>Tuesday</v>
      </c>
    </row>
    <row r="1141" spans="1:14">
      <c r="A1141" t="s">
        <v>100</v>
      </c>
      <c r="B1141" t="s">
        <v>3786</v>
      </c>
      <c r="C1141" t="s">
        <v>357</v>
      </c>
      <c r="D1141" t="s">
        <v>26</v>
      </c>
      <c r="E1141" s="7">
        <v>45636</v>
      </c>
      <c r="F1141" t="s">
        <v>2355</v>
      </c>
      <c r="G1141">
        <v>0</v>
      </c>
      <c r="H1141" t="s">
        <v>425</v>
      </c>
      <c r="I1141" t="s">
        <v>16</v>
      </c>
      <c r="J1141" t="s">
        <v>16</v>
      </c>
      <c r="K1141" s="16" t="str">
        <f>VLOOKUP(C1141,CheckName!A:B,2,0)</f>
        <v>Emp</v>
      </c>
      <c r="L1141">
        <v>0</v>
      </c>
      <c r="M1141" s="16">
        <f t="shared" si="112"/>
        <v>10</v>
      </c>
      <c r="N1141" t="str">
        <f>TEXT(MTDRejection[[#This Row],[RejectionDate]],"dddd")</f>
        <v>Tuesday</v>
      </c>
    </row>
    <row r="1142" spans="1:14">
      <c r="A1142" t="s">
        <v>216</v>
      </c>
      <c r="B1142" t="s">
        <v>3787</v>
      </c>
      <c r="C1142" t="s">
        <v>54</v>
      </c>
      <c r="D1142" t="s">
        <v>26</v>
      </c>
      <c r="E1142" s="7">
        <v>45636</v>
      </c>
      <c r="F1142" t="s">
        <v>309</v>
      </c>
      <c r="G1142">
        <v>0</v>
      </c>
      <c r="H1142" t="s">
        <v>27</v>
      </c>
      <c r="I1142" t="s">
        <v>16</v>
      </c>
      <c r="J1142" t="s">
        <v>16</v>
      </c>
      <c r="K1142" s="16" t="str">
        <f>VLOOKUP(C1142,CheckName!A:B,2,0)</f>
        <v>Edu</v>
      </c>
      <c r="L1142">
        <v>0</v>
      </c>
      <c r="M1142" s="16">
        <f t="shared" si="112"/>
        <v>10</v>
      </c>
      <c r="N1142" t="str">
        <f>TEXT(MTDRejection[[#This Row],[RejectionDate]],"dddd")</f>
        <v>Tuesday</v>
      </c>
    </row>
    <row r="1143" spans="1:14">
      <c r="A1143" t="s">
        <v>239</v>
      </c>
      <c r="B1143" t="s">
        <v>3788</v>
      </c>
      <c r="C1143" t="s">
        <v>19</v>
      </c>
      <c r="D1143" t="s">
        <v>20</v>
      </c>
      <c r="E1143" s="7">
        <v>45636</v>
      </c>
      <c r="F1143" t="s">
        <v>129</v>
      </c>
      <c r="G1143">
        <v>0</v>
      </c>
      <c r="H1143" t="s">
        <v>22</v>
      </c>
      <c r="I1143" t="s">
        <v>16</v>
      </c>
      <c r="J1143" t="s">
        <v>16</v>
      </c>
      <c r="K1143" s="16" t="str">
        <f>VLOOKUP(C1143,CheckName!A:B,2,0)</f>
        <v>Add</v>
      </c>
      <c r="L1143">
        <v>0</v>
      </c>
      <c r="M1143" s="16">
        <f t="shared" si="112"/>
        <v>10</v>
      </c>
      <c r="N1143" t="str">
        <f>TEXT(MTDRejection[[#This Row],[RejectionDate]],"dddd")</f>
        <v>Tuesday</v>
      </c>
    </row>
    <row r="1144" spans="1:14">
      <c r="A1144" t="s">
        <v>163</v>
      </c>
      <c r="B1144" t="s">
        <v>3789</v>
      </c>
      <c r="C1144" t="s">
        <v>25</v>
      </c>
      <c r="D1144" t="s">
        <v>20</v>
      </c>
      <c r="E1144" s="7">
        <v>45636</v>
      </c>
      <c r="F1144" t="s">
        <v>129</v>
      </c>
      <c r="G1144">
        <v>0</v>
      </c>
      <c r="H1144" t="s">
        <v>130</v>
      </c>
      <c r="I1144" t="s">
        <v>16</v>
      </c>
      <c r="J1144" t="s">
        <v>16</v>
      </c>
      <c r="K1144" s="16" t="str">
        <f>VLOOKUP(C1144,CheckName!A:B,2,0)</f>
        <v>Add</v>
      </c>
      <c r="L1144">
        <v>0</v>
      </c>
      <c r="M1144" s="16">
        <f t="shared" si="112"/>
        <v>10</v>
      </c>
      <c r="N1144" t="str">
        <f>TEXT(MTDRejection[[#This Row],[RejectionDate]],"dddd")</f>
        <v>Tuesday</v>
      </c>
    </row>
    <row r="1145" spans="1:14">
      <c r="A1145" t="s">
        <v>160</v>
      </c>
      <c r="B1145" t="s">
        <v>3790</v>
      </c>
      <c r="C1145" t="s">
        <v>125</v>
      </c>
      <c r="D1145" t="s">
        <v>26</v>
      </c>
      <c r="E1145" s="7">
        <v>45630</v>
      </c>
      <c r="F1145" t="s">
        <v>1055</v>
      </c>
      <c r="G1145">
        <v>6</v>
      </c>
      <c r="H1145" t="s">
        <v>27</v>
      </c>
      <c r="I1145" t="s">
        <v>16</v>
      </c>
      <c r="J1145" t="s">
        <v>16</v>
      </c>
      <c r="K1145" s="16" t="str">
        <f>VLOOKUP(C1145,CheckName!A:B,2,0)</f>
        <v>Emp</v>
      </c>
      <c r="L1145">
        <v>0</v>
      </c>
      <c r="M1145" s="16">
        <f>DAY(E1145)</f>
        <v>4</v>
      </c>
      <c r="N1145" t="str">
        <f>TEXT(MTDRejection[[#This Row],[RejectionDate]],"dddd")</f>
        <v>Wednesday</v>
      </c>
    </row>
    <row r="1146" spans="1:14">
      <c r="A1146" t="s">
        <v>1832</v>
      </c>
      <c r="B1146" t="s">
        <v>3791</v>
      </c>
      <c r="C1146" t="s">
        <v>12</v>
      </c>
      <c r="D1146" t="s">
        <v>13</v>
      </c>
      <c r="E1146" s="7">
        <v>45637</v>
      </c>
      <c r="F1146" t="s">
        <v>1310</v>
      </c>
      <c r="G1146">
        <v>0</v>
      </c>
      <c r="H1146" t="s">
        <v>15</v>
      </c>
      <c r="I1146" t="s">
        <v>16</v>
      </c>
      <c r="J1146" t="s">
        <v>16</v>
      </c>
      <c r="K1146" s="16" t="str">
        <f>VLOOKUP(C1146,CheckName!A:B,2,0)</f>
        <v>Emp</v>
      </c>
      <c r="L1146">
        <v>0</v>
      </c>
      <c r="M1146" s="16">
        <f t="shared" ref="M1146:M1149" si="113">DAY(E1146)</f>
        <v>11</v>
      </c>
      <c r="N1146" t="str">
        <f>TEXT(MTDRejection[[#This Row],[RejectionDate]],"dddd")</f>
        <v>Wednesday</v>
      </c>
    </row>
    <row r="1147" spans="1:14">
      <c r="A1147" t="s">
        <v>160</v>
      </c>
      <c r="B1147" t="s">
        <v>3792</v>
      </c>
      <c r="C1147" t="s">
        <v>125</v>
      </c>
      <c r="D1147" t="s">
        <v>38</v>
      </c>
      <c r="E1147" s="7">
        <v>45637</v>
      </c>
      <c r="F1147" t="s">
        <v>39</v>
      </c>
      <c r="G1147">
        <v>0</v>
      </c>
      <c r="H1147" t="s">
        <v>42</v>
      </c>
      <c r="I1147" t="s">
        <v>16</v>
      </c>
      <c r="J1147" t="s">
        <v>16</v>
      </c>
      <c r="K1147" s="16" t="str">
        <f>VLOOKUP(C1147,CheckName!A:B,2,0)</f>
        <v>Emp</v>
      </c>
      <c r="L1147">
        <v>0</v>
      </c>
      <c r="M1147" s="16">
        <f t="shared" si="113"/>
        <v>11</v>
      </c>
      <c r="N1147" t="str">
        <f>TEXT(MTDRejection[[#This Row],[RejectionDate]],"dddd")</f>
        <v>Wednesday</v>
      </c>
    </row>
    <row r="1148" spans="1:14">
      <c r="A1148" t="s">
        <v>81</v>
      </c>
      <c r="B1148" t="s">
        <v>3793</v>
      </c>
      <c r="C1148" t="s">
        <v>12</v>
      </c>
      <c r="D1148" t="s">
        <v>38</v>
      </c>
      <c r="E1148" s="7">
        <v>45637</v>
      </c>
      <c r="F1148" t="s">
        <v>39</v>
      </c>
      <c r="G1148">
        <v>0</v>
      </c>
      <c r="H1148" t="s">
        <v>42</v>
      </c>
      <c r="I1148" t="s">
        <v>16</v>
      </c>
      <c r="J1148" t="s">
        <v>16</v>
      </c>
      <c r="K1148" s="16" t="str">
        <f>VLOOKUP(C1148,CheckName!A:B,2,0)</f>
        <v>Emp</v>
      </c>
      <c r="L1148">
        <v>0</v>
      </c>
      <c r="M1148" s="16">
        <f t="shared" si="113"/>
        <v>11</v>
      </c>
      <c r="N1148" t="str">
        <f>TEXT(MTDRejection[[#This Row],[RejectionDate]],"dddd")</f>
        <v>Wednesday</v>
      </c>
    </row>
    <row r="1149" spans="1:14">
      <c r="A1149" t="s">
        <v>963</v>
      </c>
      <c r="B1149" t="s">
        <v>3794</v>
      </c>
      <c r="C1149" t="s">
        <v>54</v>
      </c>
      <c r="D1149" t="s">
        <v>38</v>
      </c>
      <c r="E1149" s="7">
        <v>45637</v>
      </c>
      <c r="F1149" t="s">
        <v>1776</v>
      </c>
      <c r="G1149">
        <v>0</v>
      </c>
      <c r="H1149" t="s">
        <v>42</v>
      </c>
      <c r="I1149" t="s">
        <v>16</v>
      </c>
      <c r="J1149" t="s">
        <v>16</v>
      </c>
      <c r="K1149" s="16" t="str">
        <f>VLOOKUP(C1149,CheckName!A:B,2,0)</f>
        <v>Edu</v>
      </c>
      <c r="L1149">
        <v>0</v>
      </c>
      <c r="M1149" s="16">
        <f t="shared" si="113"/>
        <v>11</v>
      </c>
      <c r="N1149" t="str">
        <f>TEXT(MTDRejection[[#This Row],[RejectionDate]],"dddd")</f>
        <v>Wednesday</v>
      </c>
    </row>
    <row r="1150" spans="1:14">
      <c r="A1150" t="s">
        <v>1246</v>
      </c>
      <c r="B1150" t="s">
        <v>3795</v>
      </c>
      <c r="C1150" t="s">
        <v>1664</v>
      </c>
      <c r="D1150" t="s">
        <v>51</v>
      </c>
      <c r="E1150" s="7">
        <v>45637</v>
      </c>
      <c r="F1150" t="s">
        <v>52</v>
      </c>
      <c r="G1150">
        <v>0</v>
      </c>
      <c r="H1150" t="s">
        <v>53</v>
      </c>
      <c r="I1150" t="s">
        <v>16</v>
      </c>
      <c r="J1150" t="s">
        <v>16</v>
      </c>
      <c r="K1150" s="16" t="str">
        <f>VLOOKUP(C1150,CheckName!A:B,2,0)</f>
        <v>Edu</v>
      </c>
      <c r="L1150">
        <v>0</v>
      </c>
      <c r="M1150" s="16">
        <f t="shared" ref="M1150:M1154" si="114">DAY(E1150)</f>
        <v>11</v>
      </c>
      <c r="N1150" t="str">
        <f>TEXT(MTDRejection[[#This Row],[RejectionDate]],"dddd")</f>
        <v>Wednesday</v>
      </c>
    </row>
    <row r="1151" spans="1:14">
      <c r="A1151" t="s">
        <v>1246</v>
      </c>
      <c r="B1151" t="s">
        <v>3796</v>
      </c>
      <c r="C1151" t="s">
        <v>1666</v>
      </c>
      <c r="D1151" t="s">
        <v>51</v>
      </c>
      <c r="E1151" s="7">
        <v>45637</v>
      </c>
      <c r="F1151" t="s">
        <v>52</v>
      </c>
      <c r="G1151">
        <v>0</v>
      </c>
      <c r="H1151" t="s">
        <v>53</v>
      </c>
      <c r="I1151" t="s">
        <v>16</v>
      </c>
      <c r="J1151" t="s">
        <v>16</v>
      </c>
      <c r="K1151" s="16" t="str">
        <f>VLOOKUP(C1151,CheckName!A:B,2,0)</f>
        <v>Edu</v>
      </c>
      <c r="L1151">
        <v>0</v>
      </c>
      <c r="M1151" s="16">
        <f t="shared" si="114"/>
        <v>11</v>
      </c>
      <c r="N1151" t="str">
        <f>TEXT(MTDRejection[[#This Row],[RejectionDate]],"dddd")</f>
        <v>Wednesday</v>
      </c>
    </row>
    <row r="1152" spans="1:14">
      <c r="A1152" t="s">
        <v>1246</v>
      </c>
      <c r="B1152" t="s">
        <v>3797</v>
      </c>
      <c r="C1152" t="s">
        <v>93</v>
      </c>
      <c r="D1152" t="s">
        <v>51</v>
      </c>
      <c r="E1152" s="7">
        <v>45637</v>
      </c>
      <c r="F1152" t="s">
        <v>52</v>
      </c>
      <c r="G1152">
        <v>0</v>
      </c>
      <c r="H1152" t="s">
        <v>53</v>
      </c>
      <c r="I1152" t="s">
        <v>16</v>
      </c>
      <c r="J1152" t="s">
        <v>16</v>
      </c>
      <c r="K1152" s="16" t="str">
        <f>VLOOKUP(C1152,CheckName!A:B,2,0)</f>
        <v>Edu</v>
      </c>
      <c r="L1152">
        <v>0</v>
      </c>
      <c r="M1152" s="16">
        <f t="shared" si="114"/>
        <v>11</v>
      </c>
      <c r="N1152" t="str">
        <f>TEXT(MTDRejection[[#This Row],[RejectionDate]],"dddd")</f>
        <v>Wednesday</v>
      </c>
    </row>
    <row r="1153" spans="1:14">
      <c r="A1153" t="s">
        <v>96</v>
      </c>
      <c r="B1153" t="s">
        <v>3798</v>
      </c>
      <c r="C1153" t="s">
        <v>1687</v>
      </c>
      <c r="D1153" t="s">
        <v>13</v>
      </c>
      <c r="E1153" s="7">
        <v>45636</v>
      </c>
      <c r="F1153" t="s">
        <v>492</v>
      </c>
      <c r="G1153">
        <v>1</v>
      </c>
      <c r="H1153" t="s">
        <v>15</v>
      </c>
      <c r="I1153" t="s">
        <v>16</v>
      </c>
      <c r="J1153" t="s">
        <v>16</v>
      </c>
      <c r="K1153" s="16" t="str">
        <f>VLOOKUP(C1153,CheckName!A:B,2,0)</f>
        <v>CRC</v>
      </c>
      <c r="L1153">
        <v>0</v>
      </c>
      <c r="M1153" s="16">
        <f t="shared" si="114"/>
        <v>10</v>
      </c>
      <c r="N1153" t="str">
        <f>TEXT(MTDRejection[[#This Row],[RejectionDate]],"dddd")</f>
        <v>Tuesday</v>
      </c>
    </row>
    <row r="1154" spans="1:14">
      <c r="A1154" t="s">
        <v>567</v>
      </c>
      <c r="B1154" t="s">
        <v>3799</v>
      </c>
      <c r="C1154" t="s">
        <v>56</v>
      </c>
      <c r="D1154" t="s">
        <v>13</v>
      </c>
      <c r="E1154" s="7">
        <v>45636</v>
      </c>
      <c r="F1154" t="s">
        <v>2334</v>
      </c>
      <c r="G1154">
        <v>1</v>
      </c>
      <c r="H1154" t="s">
        <v>15</v>
      </c>
      <c r="I1154" t="s">
        <v>16</v>
      </c>
      <c r="J1154" t="s">
        <v>16</v>
      </c>
      <c r="K1154" s="16" t="str">
        <f>VLOOKUP(C1154,CheckName!A:B,2,0)</f>
        <v>Special Check</v>
      </c>
      <c r="L1154">
        <v>0</v>
      </c>
      <c r="M1154" s="16">
        <f t="shared" si="114"/>
        <v>10</v>
      </c>
      <c r="N1154" t="str">
        <f>TEXT(MTDRejection[[#This Row],[RejectionDate]],"dddd")</f>
        <v>Tuesday</v>
      </c>
    </row>
    <row r="1155" spans="1:14">
      <c r="A1155" t="s">
        <v>306</v>
      </c>
      <c r="B1155" t="s">
        <v>3800</v>
      </c>
      <c r="C1155" t="s">
        <v>25</v>
      </c>
      <c r="D1155" t="s">
        <v>26</v>
      </c>
      <c r="E1155" s="7">
        <v>45636</v>
      </c>
      <c r="F1155" t="s">
        <v>66</v>
      </c>
      <c r="G1155">
        <v>1</v>
      </c>
      <c r="H1155" t="s">
        <v>15</v>
      </c>
      <c r="I1155" t="s">
        <v>16</v>
      </c>
      <c r="J1155" t="s">
        <v>16</v>
      </c>
      <c r="K1155" s="16" t="str">
        <f>VLOOKUP(C1155,CheckName!A:B,2,0)</f>
        <v>Add</v>
      </c>
      <c r="L1155">
        <v>0</v>
      </c>
      <c r="M1155" s="16">
        <f>DAY(E1155)</f>
        <v>10</v>
      </c>
      <c r="N1155" t="str">
        <f>TEXT(MTDRejection[[#This Row],[RejectionDate]],"dddd")</f>
        <v>Tuesday</v>
      </c>
    </row>
    <row r="1156" spans="1:14">
      <c r="A1156" t="s">
        <v>1833</v>
      </c>
      <c r="B1156" t="s">
        <v>2483</v>
      </c>
      <c r="C1156" t="s">
        <v>25</v>
      </c>
      <c r="D1156" t="s">
        <v>26</v>
      </c>
      <c r="E1156" s="7">
        <v>45636</v>
      </c>
      <c r="F1156" t="s">
        <v>2330</v>
      </c>
      <c r="G1156">
        <v>1</v>
      </c>
      <c r="H1156" t="s">
        <v>27</v>
      </c>
      <c r="I1156" t="s">
        <v>16</v>
      </c>
      <c r="J1156" t="s">
        <v>16</v>
      </c>
      <c r="K1156" s="16" t="str">
        <f>VLOOKUP(C1156,CheckName!A:B,2,0)</f>
        <v>Add</v>
      </c>
      <c r="L1156">
        <v>0</v>
      </c>
      <c r="M1156" s="16">
        <f t="shared" ref="M1156:M1159" si="115">DAY(E1156)</f>
        <v>10</v>
      </c>
      <c r="N1156" t="str">
        <f>TEXT(MTDRejection[[#This Row],[RejectionDate]],"dddd")</f>
        <v>Tuesday</v>
      </c>
    </row>
    <row r="1157" spans="1:14">
      <c r="A1157" t="s">
        <v>1834</v>
      </c>
      <c r="B1157" t="s">
        <v>3801</v>
      </c>
      <c r="C1157" t="s">
        <v>54</v>
      </c>
      <c r="D1157" t="s">
        <v>26</v>
      </c>
      <c r="E1157" s="7">
        <v>45636</v>
      </c>
      <c r="F1157" t="s">
        <v>63</v>
      </c>
      <c r="G1157">
        <v>1</v>
      </c>
      <c r="H1157" t="s">
        <v>22</v>
      </c>
      <c r="I1157" t="s">
        <v>16</v>
      </c>
      <c r="J1157" t="s">
        <v>16</v>
      </c>
      <c r="K1157" s="16" t="str">
        <f>VLOOKUP(C1157,CheckName!A:B,2,0)</f>
        <v>Edu</v>
      </c>
      <c r="L1157">
        <v>0</v>
      </c>
      <c r="M1157" s="16">
        <f t="shared" si="115"/>
        <v>10</v>
      </c>
      <c r="N1157" t="str">
        <f>TEXT(MTDRejection[[#This Row],[RejectionDate]],"dddd")</f>
        <v>Tuesday</v>
      </c>
    </row>
    <row r="1158" spans="1:14">
      <c r="A1158" t="s">
        <v>1192</v>
      </c>
      <c r="B1158" t="s">
        <v>3802</v>
      </c>
      <c r="C1158" t="s">
        <v>54</v>
      </c>
      <c r="D1158" t="s">
        <v>26</v>
      </c>
      <c r="E1158" s="7">
        <v>45636</v>
      </c>
      <c r="F1158" t="s">
        <v>63</v>
      </c>
      <c r="G1158">
        <v>1</v>
      </c>
      <c r="H1158" t="s">
        <v>22</v>
      </c>
      <c r="I1158" t="s">
        <v>16</v>
      </c>
      <c r="J1158" t="s">
        <v>16</v>
      </c>
      <c r="K1158" s="16" t="str">
        <f>VLOOKUP(C1158,CheckName!A:B,2,0)</f>
        <v>Edu</v>
      </c>
      <c r="L1158">
        <v>0</v>
      </c>
      <c r="M1158" s="16">
        <f t="shared" si="115"/>
        <v>10</v>
      </c>
      <c r="N1158" t="str">
        <f>TEXT(MTDRejection[[#This Row],[RejectionDate]],"dddd")</f>
        <v>Tuesday</v>
      </c>
    </row>
    <row r="1159" spans="1:14">
      <c r="A1159" t="s">
        <v>133</v>
      </c>
      <c r="B1159" t="s">
        <v>2379</v>
      </c>
      <c r="C1159" t="s">
        <v>25</v>
      </c>
      <c r="D1159" t="s">
        <v>20</v>
      </c>
      <c r="E1159" s="7">
        <v>45636</v>
      </c>
      <c r="F1159" t="s">
        <v>2330</v>
      </c>
      <c r="G1159">
        <v>1</v>
      </c>
      <c r="H1159" t="s">
        <v>22</v>
      </c>
      <c r="I1159" t="s">
        <v>16</v>
      </c>
      <c r="J1159" t="s">
        <v>16</v>
      </c>
      <c r="K1159" s="16" t="str">
        <f>VLOOKUP(C1159,CheckName!A:B,2,0)</f>
        <v>Add</v>
      </c>
      <c r="L1159">
        <v>0</v>
      </c>
      <c r="M1159" s="16">
        <f t="shared" si="115"/>
        <v>10</v>
      </c>
      <c r="N1159" t="str">
        <f>TEXT(MTDRejection[[#This Row],[RejectionDate]],"dddd")</f>
        <v>Tuesday</v>
      </c>
    </row>
    <row r="1160" spans="1:14">
      <c r="A1160" t="s">
        <v>452</v>
      </c>
      <c r="B1160" t="s">
        <v>3803</v>
      </c>
      <c r="C1160" t="s">
        <v>19</v>
      </c>
      <c r="D1160" t="s">
        <v>20</v>
      </c>
      <c r="E1160" s="7">
        <v>45636</v>
      </c>
      <c r="F1160" t="s">
        <v>2330</v>
      </c>
      <c r="G1160">
        <v>1</v>
      </c>
      <c r="H1160" t="s">
        <v>22</v>
      </c>
      <c r="I1160" t="s">
        <v>16</v>
      </c>
      <c r="J1160" t="s">
        <v>16</v>
      </c>
      <c r="K1160" s="16" t="str">
        <f>VLOOKUP(C1160,CheckName!A:B,2,0)</f>
        <v>Add</v>
      </c>
      <c r="L1160">
        <v>0</v>
      </c>
      <c r="M1160" s="16">
        <f t="shared" ref="M1160:M1161" si="116">DAY(E1160)</f>
        <v>10</v>
      </c>
      <c r="N1160" t="str">
        <f>TEXT(MTDRejection[[#This Row],[RejectionDate]],"dddd")</f>
        <v>Tuesday</v>
      </c>
    </row>
    <row r="1161" spans="1:14">
      <c r="A1161" t="s">
        <v>81</v>
      </c>
      <c r="B1161" t="s">
        <v>3804</v>
      </c>
      <c r="C1161" t="s">
        <v>25</v>
      </c>
      <c r="D1161" t="s">
        <v>26</v>
      </c>
      <c r="E1161" s="7">
        <v>45636</v>
      </c>
      <c r="F1161" t="s">
        <v>2330</v>
      </c>
      <c r="G1161">
        <v>1</v>
      </c>
      <c r="H1161" t="s">
        <v>27</v>
      </c>
      <c r="I1161" t="s">
        <v>16</v>
      </c>
      <c r="J1161" t="s">
        <v>16</v>
      </c>
      <c r="K1161" s="16" t="str">
        <f>VLOOKUP(C1161,CheckName!A:B,2,0)</f>
        <v>Add</v>
      </c>
      <c r="L1161">
        <v>0</v>
      </c>
      <c r="M1161" s="16">
        <f t="shared" si="116"/>
        <v>10</v>
      </c>
      <c r="N1161" t="str">
        <f>TEXT(MTDRejection[[#This Row],[RejectionDate]],"dddd")</f>
        <v>Tuesday</v>
      </c>
    </row>
    <row r="1162" spans="1:14">
      <c r="A1162" t="s">
        <v>1779</v>
      </c>
      <c r="B1162" t="s">
        <v>2484</v>
      </c>
      <c r="C1162" t="s">
        <v>25</v>
      </c>
      <c r="D1162" t="s">
        <v>20</v>
      </c>
      <c r="E1162" s="7">
        <v>45636</v>
      </c>
      <c r="F1162" t="s">
        <v>2330</v>
      </c>
      <c r="G1162">
        <v>1</v>
      </c>
      <c r="H1162" t="s">
        <v>425</v>
      </c>
      <c r="I1162" t="s">
        <v>16</v>
      </c>
      <c r="J1162" t="s">
        <v>16</v>
      </c>
      <c r="K1162" s="16" t="str">
        <f>VLOOKUP(C1162,CheckName!A:B,2,0)</f>
        <v>Add</v>
      </c>
      <c r="L1162">
        <v>0</v>
      </c>
      <c r="M1162" s="16">
        <f>DAY(E1162)</f>
        <v>10</v>
      </c>
      <c r="N1162" t="str">
        <f>TEXT(MTDRejection[[#This Row],[RejectionDate]],"dddd")</f>
        <v>Tuesday</v>
      </c>
    </row>
    <row r="1163" spans="1:14">
      <c r="A1163" t="s">
        <v>84</v>
      </c>
      <c r="B1163" t="s">
        <v>3805</v>
      </c>
      <c r="C1163" t="s">
        <v>54</v>
      </c>
      <c r="D1163" t="s">
        <v>26</v>
      </c>
      <c r="E1163" s="7">
        <v>45636</v>
      </c>
      <c r="F1163" t="s">
        <v>2329</v>
      </c>
      <c r="G1163">
        <v>1</v>
      </c>
      <c r="H1163" t="s">
        <v>27</v>
      </c>
      <c r="I1163" t="s">
        <v>16</v>
      </c>
      <c r="J1163" t="s">
        <v>16</v>
      </c>
      <c r="K1163" s="16" t="str">
        <f>VLOOKUP(C1163,CheckName!A:B,2,0)</f>
        <v>Edu</v>
      </c>
      <c r="L1163">
        <v>0</v>
      </c>
      <c r="M1163" s="16">
        <f t="shared" ref="M1163:M1164" si="117">DAY(E1163)</f>
        <v>10</v>
      </c>
      <c r="N1163" t="str">
        <f>TEXT(MTDRejection[[#This Row],[RejectionDate]],"dddd")</f>
        <v>Tuesday</v>
      </c>
    </row>
    <row r="1164" spans="1:14">
      <c r="A1164" t="s">
        <v>84</v>
      </c>
      <c r="B1164" t="s">
        <v>2441</v>
      </c>
      <c r="C1164" t="s">
        <v>54</v>
      </c>
      <c r="D1164" t="s">
        <v>26</v>
      </c>
      <c r="E1164" s="7">
        <v>45636</v>
      </c>
      <c r="F1164" t="s">
        <v>2329</v>
      </c>
      <c r="G1164">
        <v>1</v>
      </c>
      <c r="H1164" t="s">
        <v>27</v>
      </c>
      <c r="I1164" t="s">
        <v>16</v>
      </c>
      <c r="J1164" t="s">
        <v>16</v>
      </c>
      <c r="K1164" s="16" t="str">
        <f>VLOOKUP(C1164,CheckName!A:B,2,0)</f>
        <v>Edu</v>
      </c>
      <c r="L1164">
        <v>0</v>
      </c>
      <c r="M1164" s="16">
        <f t="shared" si="117"/>
        <v>10</v>
      </c>
      <c r="N1164" t="str">
        <f>TEXT(MTDRejection[[#This Row],[RejectionDate]],"dddd")</f>
        <v>Tuesday</v>
      </c>
    </row>
    <row r="1165" spans="1:14">
      <c r="A1165" t="s">
        <v>1306</v>
      </c>
      <c r="B1165" t="s">
        <v>3806</v>
      </c>
      <c r="C1165" t="s">
        <v>54</v>
      </c>
      <c r="D1165" t="s">
        <v>38</v>
      </c>
      <c r="E1165" s="7">
        <v>45636</v>
      </c>
      <c r="F1165" t="s">
        <v>1776</v>
      </c>
      <c r="G1165">
        <v>1</v>
      </c>
      <c r="H1165" t="s">
        <v>42</v>
      </c>
      <c r="I1165" t="s">
        <v>16</v>
      </c>
      <c r="J1165" t="s">
        <v>16</v>
      </c>
      <c r="K1165" s="16" t="str">
        <f>VLOOKUP(C1165,CheckName!A:B,2,0)</f>
        <v>Edu</v>
      </c>
      <c r="L1165">
        <v>0</v>
      </c>
      <c r="M1165" s="16">
        <f t="shared" ref="M1165:M1166" si="118">DAY(E1165)</f>
        <v>10</v>
      </c>
      <c r="N1165" t="str">
        <f>TEXT(MTDRejection[[#This Row],[RejectionDate]],"dddd")</f>
        <v>Tuesday</v>
      </c>
    </row>
    <row r="1166" spans="1:14">
      <c r="A1166" t="s">
        <v>100</v>
      </c>
      <c r="B1166" t="s">
        <v>3807</v>
      </c>
      <c r="C1166" t="s">
        <v>357</v>
      </c>
      <c r="D1166" t="s">
        <v>51</v>
      </c>
      <c r="E1166" s="7">
        <v>45636</v>
      </c>
      <c r="F1166" t="s">
        <v>555</v>
      </c>
      <c r="G1166">
        <v>1</v>
      </c>
      <c r="H1166" t="s">
        <v>53</v>
      </c>
      <c r="I1166" t="s">
        <v>16</v>
      </c>
      <c r="J1166" t="s">
        <v>16</v>
      </c>
      <c r="K1166" s="16" t="str">
        <f>VLOOKUP(C1166,CheckName!A:B,2,0)</f>
        <v>Emp</v>
      </c>
      <c r="L1166">
        <v>0</v>
      </c>
      <c r="M1166" s="16">
        <f t="shared" si="118"/>
        <v>10</v>
      </c>
      <c r="N1166" t="str">
        <f>TEXT(MTDRejection[[#This Row],[RejectionDate]],"dddd")</f>
        <v>Tuesday</v>
      </c>
    </row>
    <row r="1167" spans="1:14">
      <c r="A1167" t="s">
        <v>116</v>
      </c>
      <c r="B1167" t="s">
        <v>3808</v>
      </c>
      <c r="C1167" t="s">
        <v>1510</v>
      </c>
      <c r="D1167" t="s">
        <v>20</v>
      </c>
      <c r="E1167" s="7">
        <v>45636</v>
      </c>
      <c r="F1167" t="s">
        <v>2327</v>
      </c>
      <c r="G1167">
        <v>1</v>
      </c>
      <c r="H1167" t="s">
        <v>30</v>
      </c>
      <c r="I1167" t="s">
        <v>16</v>
      </c>
      <c r="J1167" t="s">
        <v>16</v>
      </c>
      <c r="K1167" s="16" t="str">
        <f>VLOOKUP(C1167,CheckName!A:B,2,0)</f>
        <v>Add</v>
      </c>
      <c r="L1167">
        <v>0</v>
      </c>
      <c r="M1167" s="16">
        <f t="shared" ref="M1167:M1169" si="119">DAY(E1167)</f>
        <v>10</v>
      </c>
      <c r="N1167" t="str">
        <f>TEXT(MTDRejection[[#This Row],[RejectionDate]],"dddd")</f>
        <v>Tuesday</v>
      </c>
    </row>
    <row r="1168" spans="1:14">
      <c r="A1168" t="s">
        <v>1835</v>
      </c>
      <c r="B1168" t="s">
        <v>3809</v>
      </c>
      <c r="C1168" t="s">
        <v>965</v>
      </c>
      <c r="D1168" t="s">
        <v>26</v>
      </c>
      <c r="E1168" s="7">
        <v>45636</v>
      </c>
      <c r="F1168" t="s">
        <v>273</v>
      </c>
      <c r="G1168">
        <v>1</v>
      </c>
      <c r="H1168" t="s">
        <v>27</v>
      </c>
      <c r="I1168" t="s">
        <v>16</v>
      </c>
      <c r="J1168" t="s">
        <v>16</v>
      </c>
      <c r="K1168" s="16" t="str">
        <f>VLOOKUP(C1168,CheckName!A:B,2,0)</f>
        <v>Add</v>
      </c>
      <c r="L1168">
        <v>0</v>
      </c>
      <c r="M1168" s="16">
        <f t="shared" si="119"/>
        <v>10</v>
      </c>
      <c r="N1168" t="str">
        <f>TEXT(MTDRejection[[#This Row],[RejectionDate]],"dddd")</f>
        <v>Tuesday</v>
      </c>
    </row>
    <row r="1169" spans="1:14">
      <c r="A1169" t="s">
        <v>239</v>
      </c>
      <c r="B1169" t="s">
        <v>3810</v>
      </c>
      <c r="C1169" t="s">
        <v>19</v>
      </c>
      <c r="D1169" t="s">
        <v>26</v>
      </c>
      <c r="E1169" s="7">
        <v>45636</v>
      </c>
      <c r="F1169" t="s">
        <v>273</v>
      </c>
      <c r="G1169">
        <v>1</v>
      </c>
      <c r="H1169" t="s">
        <v>27</v>
      </c>
      <c r="I1169" t="s">
        <v>16</v>
      </c>
      <c r="J1169" t="s">
        <v>16</v>
      </c>
      <c r="K1169" s="16" t="str">
        <f>VLOOKUP(C1169,CheckName!A:B,2,0)</f>
        <v>Add</v>
      </c>
      <c r="L1169">
        <v>0</v>
      </c>
      <c r="M1169" s="16">
        <f t="shared" si="119"/>
        <v>10</v>
      </c>
      <c r="N1169" t="str">
        <f>TEXT(MTDRejection[[#This Row],[RejectionDate]],"dddd")</f>
        <v>Tuesday</v>
      </c>
    </row>
    <row r="1170" spans="1:14">
      <c r="A1170" t="s">
        <v>1088</v>
      </c>
      <c r="B1170" t="s">
        <v>2485</v>
      </c>
      <c r="C1170" t="s">
        <v>19</v>
      </c>
      <c r="D1170" t="s">
        <v>20</v>
      </c>
      <c r="E1170" s="7">
        <v>45636</v>
      </c>
      <c r="F1170" t="s">
        <v>273</v>
      </c>
      <c r="G1170">
        <v>1</v>
      </c>
      <c r="H1170" t="s">
        <v>130</v>
      </c>
      <c r="I1170" t="s">
        <v>16</v>
      </c>
      <c r="J1170" t="s">
        <v>16</v>
      </c>
      <c r="K1170" s="16" t="str">
        <f>VLOOKUP(C1170,CheckName!A:B,2,0)</f>
        <v>Add</v>
      </c>
      <c r="L1170">
        <v>0</v>
      </c>
      <c r="M1170" s="16">
        <f>DAY(E1170)</f>
        <v>10</v>
      </c>
      <c r="N1170" t="str">
        <f>TEXT(MTDRejection[[#This Row],[RejectionDate]],"dddd")</f>
        <v>Tuesday</v>
      </c>
    </row>
    <row r="1171" spans="1:14">
      <c r="A1171" t="s">
        <v>84</v>
      </c>
      <c r="B1171" t="s">
        <v>3811</v>
      </c>
      <c r="C1171" t="s">
        <v>467</v>
      </c>
      <c r="D1171" t="s">
        <v>26</v>
      </c>
      <c r="E1171" s="7">
        <v>45636</v>
      </c>
      <c r="F1171" t="s">
        <v>236</v>
      </c>
      <c r="G1171">
        <v>1</v>
      </c>
      <c r="H1171" t="s">
        <v>27</v>
      </c>
      <c r="I1171" t="s">
        <v>16</v>
      </c>
      <c r="J1171" t="s">
        <v>16</v>
      </c>
      <c r="K1171" s="16" t="str">
        <f>VLOOKUP(C1171,CheckName!A:B,2,0)</f>
        <v>Special Check</v>
      </c>
      <c r="L1171">
        <v>0</v>
      </c>
      <c r="M1171" s="16">
        <f>DAY(E1171)</f>
        <v>10</v>
      </c>
      <c r="N1171" t="str">
        <f>TEXT(MTDRejection[[#This Row],[RejectionDate]],"dddd")</f>
        <v>Tuesday</v>
      </c>
    </row>
    <row r="1172" spans="1:14">
      <c r="A1172" t="s">
        <v>45</v>
      </c>
      <c r="B1172" t="s">
        <v>3812</v>
      </c>
      <c r="C1172" t="s">
        <v>19</v>
      </c>
      <c r="D1172" t="s">
        <v>20</v>
      </c>
      <c r="E1172" s="7">
        <v>45636</v>
      </c>
      <c r="F1172" t="s">
        <v>2348</v>
      </c>
      <c r="G1172">
        <v>1</v>
      </c>
      <c r="H1172" t="s">
        <v>30</v>
      </c>
      <c r="I1172" t="s">
        <v>16</v>
      </c>
      <c r="J1172" t="s">
        <v>16</v>
      </c>
      <c r="K1172" s="16" t="str">
        <f>VLOOKUP(C1172,CheckName!A:B,2,0)</f>
        <v>Add</v>
      </c>
      <c r="L1172">
        <v>0</v>
      </c>
      <c r="M1172" s="16">
        <f>DAY(E1172)</f>
        <v>10</v>
      </c>
      <c r="N1172" t="str">
        <f>TEXT(MTDRejection[[#This Row],[RejectionDate]],"dddd")</f>
        <v>Tuesday</v>
      </c>
    </row>
    <row r="1173" spans="1:14">
      <c r="A1173" t="s">
        <v>567</v>
      </c>
      <c r="B1173" t="s">
        <v>3813</v>
      </c>
      <c r="C1173" t="s">
        <v>12</v>
      </c>
      <c r="D1173" t="s">
        <v>26</v>
      </c>
      <c r="E1173" s="7">
        <v>45636</v>
      </c>
      <c r="F1173" t="s">
        <v>2341</v>
      </c>
      <c r="G1173">
        <v>1</v>
      </c>
      <c r="H1173" t="s">
        <v>27</v>
      </c>
      <c r="I1173" t="s">
        <v>16</v>
      </c>
      <c r="J1173" t="s">
        <v>16</v>
      </c>
      <c r="K1173" s="16" t="str">
        <f>VLOOKUP(C1173,CheckName!A:B,2,0)</f>
        <v>Emp</v>
      </c>
      <c r="L1173">
        <v>0</v>
      </c>
      <c r="M1173" s="16">
        <f>DAY(E1173)</f>
        <v>10</v>
      </c>
      <c r="N1173" t="str">
        <f>TEXT(MTDRejection[[#This Row],[RejectionDate]],"dddd")</f>
        <v>Tuesday</v>
      </c>
    </row>
    <row r="1174" spans="1:14">
      <c r="A1174" t="s">
        <v>100</v>
      </c>
      <c r="B1174" t="s">
        <v>3814</v>
      </c>
      <c r="C1174" t="s">
        <v>357</v>
      </c>
      <c r="D1174" t="s">
        <v>51</v>
      </c>
      <c r="E1174" s="7">
        <v>45636</v>
      </c>
      <c r="F1174" t="s">
        <v>2349</v>
      </c>
      <c r="G1174">
        <v>1</v>
      </c>
      <c r="H1174" t="s">
        <v>53</v>
      </c>
      <c r="I1174" t="s">
        <v>16</v>
      </c>
      <c r="J1174" t="s">
        <v>16</v>
      </c>
      <c r="K1174" s="16" t="str">
        <f>VLOOKUP(C1174,CheckName!A:B,2,0)</f>
        <v>Emp</v>
      </c>
      <c r="L1174">
        <v>0</v>
      </c>
      <c r="M1174" s="16">
        <f>DAY(E1174)</f>
        <v>10</v>
      </c>
      <c r="N1174" t="str">
        <f>TEXT(MTDRejection[[#This Row],[RejectionDate]],"dddd")</f>
        <v>Tuesday</v>
      </c>
    </row>
    <row r="1175" spans="1:14">
      <c r="A1175" t="s">
        <v>180</v>
      </c>
      <c r="B1175" t="s">
        <v>3815</v>
      </c>
      <c r="C1175" t="s">
        <v>36</v>
      </c>
      <c r="D1175" t="s">
        <v>26</v>
      </c>
      <c r="E1175" s="7">
        <v>45636</v>
      </c>
      <c r="F1175" t="s">
        <v>182</v>
      </c>
      <c r="G1175">
        <v>1</v>
      </c>
      <c r="H1175" t="s">
        <v>27</v>
      </c>
      <c r="I1175" t="s">
        <v>16</v>
      </c>
      <c r="J1175" t="s">
        <v>16</v>
      </c>
      <c r="K1175" s="16" t="str">
        <f>VLOOKUP(C1175,CheckName!A:B,2,0)</f>
        <v>Emp</v>
      </c>
      <c r="L1175">
        <v>0</v>
      </c>
      <c r="M1175" s="16">
        <f t="shared" ref="M1175:M1176" si="120">DAY(E1175)</f>
        <v>10</v>
      </c>
      <c r="N1175" t="str">
        <f>TEXT(MTDRejection[[#This Row],[RejectionDate]],"dddd")</f>
        <v>Tuesday</v>
      </c>
    </row>
    <row r="1176" spans="1:14">
      <c r="A1176" t="s">
        <v>40</v>
      </c>
      <c r="B1176" t="s">
        <v>3816</v>
      </c>
      <c r="C1176" t="s">
        <v>12</v>
      </c>
      <c r="D1176" t="s">
        <v>26</v>
      </c>
      <c r="E1176" s="7">
        <v>45636</v>
      </c>
      <c r="F1176" t="s">
        <v>2347</v>
      </c>
      <c r="G1176">
        <v>1</v>
      </c>
      <c r="H1176" t="s">
        <v>27</v>
      </c>
      <c r="I1176" t="s">
        <v>16</v>
      </c>
      <c r="J1176" t="s">
        <v>16</v>
      </c>
      <c r="K1176" s="16" t="str">
        <f>VLOOKUP(C1176,CheckName!A:B,2,0)</f>
        <v>Emp</v>
      </c>
      <c r="L1176">
        <v>0</v>
      </c>
      <c r="M1176" s="16">
        <f t="shared" si="120"/>
        <v>10</v>
      </c>
      <c r="N1176" t="str">
        <f>TEXT(MTDRejection[[#This Row],[RejectionDate]],"dddd")</f>
        <v>Tuesday</v>
      </c>
    </row>
    <row r="1177" spans="1:14">
      <c r="A1177" t="s">
        <v>299</v>
      </c>
      <c r="B1177" t="s">
        <v>3817</v>
      </c>
      <c r="C1177" t="s">
        <v>12</v>
      </c>
      <c r="D1177" t="s">
        <v>26</v>
      </c>
      <c r="E1177" s="7">
        <v>45636</v>
      </c>
      <c r="F1177" t="s">
        <v>277</v>
      </c>
      <c r="G1177">
        <v>1</v>
      </c>
      <c r="H1177" t="s">
        <v>27</v>
      </c>
      <c r="I1177" t="s">
        <v>16</v>
      </c>
      <c r="J1177" t="s">
        <v>16</v>
      </c>
      <c r="K1177" s="16" t="str">
        <f>VLOOKUP(C1177,CheckName!A:B,2,0)</f>
        <v>Emp</v>
      </c>
      <c r="L1177">
        <v>0</v>
      </c>
      <c r="M1177" s="16">
        <f>DAY(E1177)</f>
        <v>10</v>
      </c>
      <c r="N1177" t="str">
        <f>TEXT(MTDRejection[[#This Row],[RejectionDate]],"dddd")</f>
        <v>Tuesday</v>
      </c>
    </row>
    <row r="1178" spans="1:14">
      <c r="A1178" t="s">
        <v>142</v>
      </c>
      <c r="B1178" t="s">
        <v>3818</v>
      </c>
      <c r="C1178" t="s">
        <v>12</v>
      </c>
      <c r="D1178" t="s">
        <v>13</v>
      </c>
      <c r="E1178" s="7">
        <v>45636</v>
      </c>
      <c r="F1178" t="s">
        <v>90</v>
      </c>
      <c r="G1178">
        <v>1</v>
      </c>
      <c r="H1178" t="s">
        <v>30</v>
      </c>
      <c r="I1178" t="s">
        <v>16</v>
      </c>
      <c r="J1178" t="s">
        <v>16</v>
      </c>
      <c r="K1178" s="16" t="str">
        <f>VLOOKUP(C1178,CheckName!A:B,2,0)</f>
        <v>Emp</v>
      </c>
      <c r="L1178">
        <v>0</v>
      </c>
      <c r="M1178" s="16">
        <f t="shared" ref="M1178:M1190" si="121">DAY(E1178)</f>
        <v>10</v>
      </c>
      <c r="N1178" t="str">
        <f>TEXT(MTDRejection[[#This Row],[RejectionDate]],"dddd")</f>
        <v>Tuesday</v>
      </c>
    </row>
    <row r="1179" spans="1:14">
      <c r="A1179" t="s">
        <v>306</v>
      </c>
      <c r="B1179" t="s">
        <v>3819</v>
      </c>
      <c r="C1179" t="s">
        <v>56</v>
      </c>
      <c r="D1179" t="s">
        <v>13</v>
      </c>
      <c r="E1179" s="7">
        <v>45636</v>
      </c>
      <c r="F1179" t="s">
        <v>844</v>
      </c>
      <c r="G1179">
        <v>1</v>
      </c>
      <c r="H1179" t="s">
        <v>15</v>
      </c>
      <c r="I1179" t="s">
        <v>16</v>
      </c>
      <c r="J1179" t="s">
        <v>16</v>
      </c>
      <c r="K1179" s="16" t="str">
        <f>VLOOKUP(C1179,CheckName!A:B,2,0)</f>
        <v>Special Check</v>
      </c>
      <c r="L1179">
        <v>0</v>
      </c>
      <c r="M1179" s="16">
        <f t="shared" si="121"/>
        <v>10</v>
      </c>
      <c r="N1179" t="str">
        <f>TEXT(MTDRejection[[#This Row],[RejectionDate]],"dddd")</f>
        <v>Tuesday</v>
      </c>
    </row>
    <row r="1180" spans="1:14">
      <c r="A1180" t="s">
        <v>306</v>
      </c>
      <c r="B1180" t="s">
        <v>3820</v>
      </c>
      <c r="C1180" t="s">
        <v>25</v>
      </c>
      <c r="D1180" t="s">
        <v>13</v>
      </c>
      <c r="E1180" s="7">
        <v>45636</v>
      </c>
      <c r="F1180" t="s">
        <v>844</v>
      </c>
      <c r="G1180">
        <v>1</v>
      </c>
      <c r="H1180" t="s">
        <v>15</v>
      </c>
      <c r="I1180" t="s">
        <v>16</v>
      </c>
      <c r="J1180" t="s">
        <v>16</v>
      </c>
      <c r="K1180" s="16" t="str">
        <f>VLOOKUP(C1180,CheckName!A:B,2,0)</f>
        <v>Add</v>
      </c>
      <c r="L1180">
        <v>0</v>
      </c>
      <c r="M1180" s="16">
        <f t="shared" si="121"/>
        <v>10</v>
      </c>
      <c r="N1180" t="str">
        <f>TEXT(MTDRejection[[#This Row],[RejectionDate]],"dddd")</f>
        <v>Tuesday</v>
      </c>
    </row>
    <row r="1181" spans="1:14">
      <c r="A1181" t="s">
        <v>306</v>
      </c>
      <c r="B1181" t="s">
        <v>3821</v>
      </c>
      <c r="C1181" t="s">
        <v>59</v>
      </c>
      <c r="D1181" t="s">
        <v>13</v>
      </c>
      <c r="E1181" s="7">
        <v>45636</v>
      </c>
      <c r="F1181" t="s">
        <v>844</v>
      </c>
      <c r="G1181">
        <v>1</v>
      </c>
      <c r="H1181" t="s">
        <v>15</v>
      </c>
      <c r="I1181" t="s">
        <v>16</v>
      </c>
      <c r="J1181" t="s">
        <v>16</v>
      </c>
      <c r="K1181" s="16" t="str">
        <f>VLOOKUP(C1181,CheckName!A:B,2,0)</f>
        <v>Special Check</v>
      </c>
      <c r="L1181">
        <v>0</v>
      </c>
      <c r="M1181" s="16">
        <f t="shared" si="121"/>
        <v>10</v>
      </c>
      <c r="N1181" t="str">
        <f>TEXT(MTDRejection[[#This Row],[RejectionDate]],"dddd")</f>
        <v>Tuesday</v>
      </c>
    </row>
    <row r="1182" spans="1:14">
      <c r="A1182" t="s">
        <v>306</v>
      </c>
      <c r="B1182" t="s">
        <v>3822</v>
      </c>
      <c r="C1182" t="s">
        <v>56</v>
      </c>
      <c r="D1182" t="s">
        <v>13</v>
      </c>
      <c r="E1182" s="7">
        <v>45636</v>
      </c>
      <c r="F1182" t="s">
        <v>844</v>
      </c>
      <c r="G1182">
        <v>1</v>
      </c>
      <c r="H1182" t="s">
        <v>15</v>
      </c>
      <c r="I1182" t="s">
        <v>16</v>
      </c>
      <c r="J1182" t="s">
        <v>16</v>
      </c>
      <c r="K1182" s="16" t="str">
        <f>VLOOKUP(C1182,CheckName!A:B,2,0)</f>
        <v>Special Check</v>
      </c>
      <c r="L1182">
        <v>0</v>
      </c>
      <c r="M1182" s="16">
        <f t="shared" si="121"/>
        <v>10</v>
      </c>
      <c r="N1182" t="str">
        <f>TEXT(MTDRejection[[#This Row],[RejectionDate]],"dddd")</f>
        <v>Tuesday</v>
      </c>
    </row>
    <row r="1183" spans="1:14">
      <c r="A1183" t="s">
        <v>306</v>
      </c>
      <c r="B1183" t="s">
        <v>3823</v>
      </c>
      <c r="C1183" t="s">
        <v>25</v>
      </c>
      <c r="D1183" t="s">
        <v>13</v>
      </c>
      <c r="E1183" s="7">
        <v>45636</v>
      </c>
      <c r="F1183" t="s">
        <v>844</v>
      </c>
      <c r="G1183">
        <v>1</v>
      </c>
      <c r="H1183" t="s">
        <v>30</v>
      </c>
      <c r="I1183" t="s">
        <v>16</v>
      </c>
      <c r="J1183" t="s">
        <v>16</v>
      </c>
      <c r="K1183" s="16" t="str">
        <f>VLOOKUP(C1183,CheckName!A:B,2,0)</f>
        <v>Add</v>
      </c>
      <c r="L1183">
        <v>0</v>
      </c>
      <c r="M1183" s="16">
        <f t="shared" si="121"/>
        <v>10</v>
      </c>
      <c r="N1183" t="str">
        <f>TEXT(MTDRejection[[#This Row],[RejectionDate]],"dddd")</f>
        <v>Tuesday</v>
      </c>
    </row>
    <row r="1184" spans="1:14">
      <c r="A1184" t="s">
        <v>306</v>
      </c>
      <c r="B1184" t="s">
        <v>2488</v>
      </c>
      <c r="C1184" t="s">
        <v>19</v>
      </c>
      <c r="D1184" t="s">
        <v>13</v>
      </c>
      <c r="E1184" s="7">
        <v>45636</v>
      </c>
      <c r="F1184" t="s">
        <v>844</v>
      </c>
      <c r="G1184">
        <v>1</v>
      </c>
      <c r="H1184" t="s">
        <v>30</v>
      </c>
      <c r="I1184" t="s">
        <v>16</v>
      </c>
      <c r="J1184" t="s">
        <v>16</v>
      </c>
      <c r="K1184" s="16" t="str">
        <f>VLOOKUP(C1184,CheckName!A:B,2,0)</f>
        <v>Add</v>
      </c>
      <c r="L1184">
        <v>0</v>
      </c>
      <c r="M1184" s="16">
        <f t="shared" si="121"/>
        <v>10</v>
      </c>
      <c r="N1184" t="str">
        <f>TEXT(MTDRejection[[#This Row],[RejectionDate]],"dddd")</f>
        <v>Tuesday</v>
      </c>
    </row>
    <row r="1185" spans="1:14">
      <c r="A1185" t="s">
        <v>306</v>
      </c>
      <c r="B1185" t="s">
        <v>3824</v>
      </c>
      <c r="C1185" t="s">
        <v>25</v>
      </c>
      <c r="D1185" t="s">
        <v>13</v>
      </c>
      <c r="E1185" s="7">
        <v>45636</v>
      </c>
      <c r="F1185" t="s">
        <v>844</v>
      </c>
      <c r="G1185">
        <v>1</v>
      </c>
      <c r="H1185" t="s">
        <v>30</v>
      </c>
      <c r="I1185" t="s">
        <v>16</v>
      </c>
      <c r="J1185" t="s">
        <v>16</v>
      </c>
      <c r="K1185" s="16" t="str">
        <f>VLOOKUP(C1185,CheckName!A:B,2,0)</f>
        <v>Add</v>
      </c>
      <c r="L1185">
        <v>0</v>
      </c>
      <c r="M1185" s="16">
        <f t="shared" si="121"/>
        <v>10</v>
      </c>
      <c r="N1185" t="str">
        <f>TEXT(MTDRejection[[#This Row],[RejectionDate]],"dddd")</f>
        <v>Tuesday</v>
      </c>
    </row>
    <row r="1186" spans="1:14">
      <c r="A1186" t="s">
        <v>1833</v>
      </c>
      <c r="B1186" t="s">
        <v>3825</v>
      </c>
      <c r="C1186" t="s">
        <v>12</v>
      </c>
      <c r="D1186" t="s">
        <v>26</v>
      </c>
      <c r="E1186" s="7">
        <v>45636</v>
      </c>
      <c r="F1186" t="s">
        <v>721</v>
      </c>
      <c r="G1186">
        <v>1</v>
      </c>
      <c r="H1186" t="s">
        <v>27</v>
      </c>
      <c r="I1186" t="s">
        <v>16</v>
      </c>
      <c r="J1186" t="s">
        <v>16</v>
      </c>
      <c r="K1186" s="16" t="str">
        <f>VLOOKUP(C1186,CheckName!A:B,2,0)</f>
        <v>Emp</v>
      </c>
      <c r="L1186">
        <v>0</v>
      </c>
      <c r="M1186" s="16">
        <f t="shared" si="121"/>
        <v>10</v>
      </c>
      <c r="N1186" t="str">
        <f>TEXT(MTDRejection[[#This Row],[RejectionDate]],"dddd")</f>
        <v>Tuesday</v>
      </c>
    </row>
    <row r="1187" spans="1:14">
      <c r="A1187" t="s">
        <v>28</v>
      </c>
      <c r="B1187" t="s">
        <v>3826</v>
      </c>
      <c r="C1187" t="s">
        <v>36</v>
      </c>
      <c r="D1187" t="s">
        <v>26</v>
      </c>
      <c r="E1187" s="7">
        <v>45636</v>
      </c>
      <c r="F1187" t="s">
        <v>721</v>
      </c>
      <c r="G1187">
        <v>1</v>
      </c>
      <c r="H1187" t="s">
        <v>27</v>
      </c>
      <c r="I1187" t="s">
        <v>16</v>
      </c>
      <c r="J1187" t="s">
        <v>16</v>
      </c>
      <c r="K1187" s="16" t="str">
        <f>VLOOKUP(C1187,CheckName!A:B,2,0)</f>
        <v>Emp</v>
      </c>
      <c r="L1187">
        <v>0</v>
      </c>
      <c r="M1187" s="16">
        <f t="shared" si="121"/>
        <v>10</v>
      </c>
      <c r="N1187" t="str">
        <f>TEXT(MTDRejection[[#This Row],[RejectionDate]],"dddd")</f>
        <v>Tuesday</v>
      </c>
    </row>
    <row r="1188" spans="1:14">
      <c r="A1188" t="s">
        <v>104</v>
      </c>
      <c r="B1188" t="s">
        <v>3827</v>
      </c>
      <c r="C1188" t="s">
        <v>36</v>
      </c>
      <c r="D1188" t="s">
        <v>26</v>
      </c>
      <c r="E1188" s="7">
        <v>45636</v>
      </c>
      <c r="F1188" t="s">
        <v>721</v>
      </c>
      <c r="G1188">
        <v>1</v>
      </c>
      <c r="H1188" t="s">
        <v>27</v>
      </c>
      <c r="I1188" t="s">
        <v>16</v>
      </c>
      <c r="J1188" t="s">
        <v>16</v>
      </c>
      <c r="K1188" s="16" t="str">
        <f>VLOOKUP(C1188,CheckName!A:B,2,0)</f>
        <v>Emp</v>
      </c>
      <c r="L1188">
        <v>0</v>
      </c>
      <c r="M1188" s="16">
        <f t="shared" si="121"/>
        <v>10</v>
      </c>
      <c r="N1188" t="str">
        <f>TEXT(MTDRejection[[#This Row],[RejectionDate]],"dddd")</f>
        <v>Tuesday</v>
      </c>
    </row>
    <row r="1189" spans="1:14">
      <c r="A1189" t="s">
        <v>1770</v>
      </c>
      <c r="B1189" t="s">
        <v>3828</v>
      </c>
      <c r="C1189" t="s">
        <v>93</v>
      </c>
      <c r="D1189" t="s">
        <v>26</v>
      </c>
      <c r="E1189" s="7">
        <v>45636</v>
      </c>
      <c r="F1189" t="s">
        <v>94</v>
      </c>
      <c r="G1189">
        <v>1</v>
      </c>
      <c r="H1189" t="s">
        <v>27</v>
      </c>
      <c r="I1189" t="s">
        <v>16</v>
      </c>
      <c r="J1189" t="s">
        <v>16</v>
      </c>
      <c r="K1189" s="16" t="str">
        <f>VLOOKUP(C1189,CheckName!A:B,2,0)</f>
        <v>Edu</v>
      </c>
      <c r="L1189">
        <v>0</v>
      </c>
      <c r="M1189" s="16">
        <f t="shared" si="121"/>
        <v>10</v>
      </c>
      <c r="N1189" t="str">
        <f>TEXT(MTDRejection[[#This Row],[RejectionDate]],"dddd")</f>
        <v>Tuesday</v>
      </c>
    </row>
    <row r="1190" spans="1:14">
      <c r="A1190" t="s">
        <v>1437</v>
      </c>
      <c r="B1190" t="s">
        <v>3829</v>
      </c>
      <c r="C1190" t="s">
        <v>54</v>
      </c>
      <c r="D1190" t="s">
        <v>26</v>
      </c>
      <c r="E1190" s="7">
        <v>45636</v>
      </c>
      <c r="F1190" t="s">
        <v>94</v>
      </c>
      <c r="G1190">
        <v>1</v>
      </c>
      <c r="H1190" t="s">
        <v>27</v>
      </c>
      <c r="I1190" t="s">
        <v>16</v>
      </c>
      <c r="J1190" t="s">
        <v>16</v>
      </c>
      <c r="K1190" s="16" t="str">
        <f>VLOOKUP(C1190,CheckName!A:B,2,0)</f>
        <v>Edu</v>
      </c>
      <c r="L1190">
        <v>0</v>
      </c>
      <c r="M1190" s="16">
        <f t="shared" si="121"/>
        <v>10</v>
      </c>
      <c r="N1190" t="str">
        <f>TEXT(MTDRejection[[#This Row],[RejectionDate]],"dddd")</f>
        <v>Tuesday</v>
      </c>
    </row>
    <row r="1191" spans="1:14">
      <c r="A1191" t="s">
        <v>1814</v>
      </c>
      <c r="B1191" t="s">
        <v>3830</v>
      </c>
      <c r="C1191" t="s">
        <v>220</v>
      </c>
      <c r="D1191" t="s">
        <v>26</v>
      </c>
      <c r="E1191" s="7">
        <v>45636</v>
      </c>
      <c r="F1191" t="s">
        <v>330</v>
      </c>
      <c r="G1191">
        <v>1</v>
      </c>
      <c r="H1191" t="s">
        <v>27</v>
      </c>
      <c r="I1191" t="s">
        <v>16</v>
      </c>
      <c r="J1191" t="s">
        <v>16</v>
      </c>
      <c r="K1191" s="16" t="str">
        <f>VLOOKUP(C1191,CheckName!A:B,2,0)</f>
        <v>Ref</v>
      </c>
      <c r="L1191">
        <v>0</v>
      </c>
      <c r="M1191" s="16">
        <f t="shared" ref="M1191:M1193" si="122">DAY(E1191)</f>
        <v>10</v>
      </c>
      <c r="N1191" t="str">
        <f>TEXT(MTDRejection[[#This Row],[RejectionDate]],"dddd")</f>
        <v>Tuesday</v>
      </c>
    </row>
    <row r="1192" spans="1:14">
      <c r="A1192" t="s">
        <v>60</v>
      </c>
      <c r="B1192" t="s">
        <v>2489</v>
      </c>
      <c r="C1192" t="s">
        <v>220</v>
      </c>
      <c r="D1192" t="s">
        <v>26</v>
      </c>
      <c r="E1192" s="7">
        <v>45636</v>
      </c>
      <c r="F1192" t="s">
        <v>330</v>
      </c>
      <c r="G1192">
        <v>1</v>
      </c>
      <c r="H1192" t="s">
        <v>27</v>
      </c>
      <c r="I1192" t="s">
        <v>16</v>
      </c>
      <c r="J1192" t="s">
        <v>16</v>
      </c>
      <c r="K1192" s="16" t="str">
        <f>VLOOKUP(C1192,CheckName!A:B,2,0)</f>
        <v>Ref</v>
      </c>
      <c r="L1192">
        <v>0</v>
      </c>
      <c r="M1192" s="16">
        <f t="shared" si="122"/>
        <v>10</v>
      </c>
      <c r="N1192" t="str">
        <f>TEXT(MTDRejection[[#This Row],[RejectionDate]],"dddd")</f>
        <v>Tuesday</v>
      </c>
    </row>
    <row r="1193" spans="1:14">
      <c r="A1193" t="s">
        <v>866</v>
      </c>
      <c r="B1193" t="s">
        <v>3831</v>
      </c>
      <c r="C1193" t="s">
        <v>36</v>
      </c>
      <c r="D1193" t="s">
        <v>26</v>
      </c>
      <c r="E1193" s="7">
        <v>45636</v>
      </c>
      <c r="F1193" t="s">
        <v>169</v>
      </c>
      <c r="G1193">
        <v>1</v>
      </c>
      <c r="H1193" t="s">
        <v>22</v>
      </c>
      <c r="I1193" t="s">
        <v>16</v>
      </c>
      <c r="J1193" t="s">
        <v>16</v>
      </c>
      <c r="K1193" s="16" t="str">
        <f>VLOOKUP(C1193,CheckName!A:B,2,0)</f>
        <v>Emp</v>
      </c>
      <c r="L1193">
        <v>0</v>
      </c>
      <c r="M1193" s="16">
        <f t="shared" si="122"/>
        <v>10</v>
      </c>
      <c r="N1193" t="str">
        <f>TEXT(MTDRejection[[#This Row],[RejectionDate]],"dddd")</f>
        <v>Tuesday</v>
      </c>
    </row>
    <row r="1194" spans="1:14">
      <c r="A1194" t="s">
        <v>517</v>
      </c>
      <c r="B1194" t="s">
        <v>3832</v>
      </c>
      <c r="C1194" t="s">
        <v>805</v>
      </c>
      <c r="D1194" t="s">
        <v>13</v>
      </c>
      <c r="E1194" s="7">
        <v>45636</v>
      </c>
      <c r="F1194" t="s">
        <v>819</v>
      </c>
      <c r="G1194">
        <v>1</v>
      </c>
      <c r="H1194" t="s">
        <v>15</v>
      </c>
      <c r="I1194" t="s">
        <v>16</v>
      </c>
      <c r="J1194" t="s">
        <v>16</v>
      </c>
      <c r="K1194" s="16" t="str">
        <f>VLOOKUP(C1194,CheckName!A:B,2,0)</f>
        <v>Edu</v>
      </c>
      <c r="L1194">
        <v>0</v>
      </c>
      <c r="M1194" s="16">
        <f t="shared" ref="M1194:M1199" si="123">DAY(E1194)</f>
        <v>10</v>
      </c>
      <c r="N1194" t="str">
        <f>TEXT(MTDRejection[[#This Row],[RejectionDate]],"dddd")</f>
        <v>Tuesday</v>
      </c>
    </row>
    <row r="1195" spans="1:14">
      <c r="A1195" t="s">
        <v>306</v>
      </c>
      <c r="B1195" t="s">
        <v>3833</v>
      </c>
      <c r="C1195" t="s">
        <v>71</v>
      </c>
      <c r="D1195" t="s">
        <v>13</v>
      </c>
      <c r="E1195" s="7">
        <v>45636</v>
      </c>
      <c r="F1195" t="s">
        <v>819</v>
      </c>
      <c r="G1195">
        <v>1</v>
      </c>
      <c r="H1195" t="s">
        <v>15</v>
      </c>
      <c r="I1195" t="s">
        <v>16</v>
      </c>
      <c r="J1195" t="s">
        <v>16</v>
      </c>
      <c r="K1195" s="16" t="str">
        <f>VLOOKUP(C1195,CheckName!A:B,2,0)</f>
        <v>CRC</v>
      </c>
      <c r="L1195">
        <v>0</v>
      </c>
      <c r="M1195" s="16">
        <f t="shared" si="123"/>
        <v>10</v>
      </c>
      <c r="N1195" t="str">
        <f>TEXT(MTDRejection[[#This Row],[RejectionDate]],"dddd")</f>
        <v>Tuesday</v>
      </c>
    </row>
    <row r="1196" spans="1:14">
      <c r="A1196" t="s">
        <v>119</v>
      </c>
      <c r="B1196" t="s">
        <v>3834</v>
      </c>
      <c r="C1196" t="s">
        <v>106</v>
      </c>
      <c r="D1196" t="s">
        <v>26</v>
      </c>
      <c r="E1196" s="7">
        <v>45636</v>
      </c>
      <c r="F1196" t="s">
        <v>294</v>
      </c>
      <c r="G1196">
        <v>1</v>
      </c>
      <c r="H1196" t="s">
        <v>27</v>
      </c>
      <c r="I1196" t="s">
        <v>16</v>
      </c>
      <c r="J1196" t="s">
        <v>16</v>
      </c>
      <c r="K1196" s="16" t="str">
        <f>VLOOKUP(C1196,CheckName!A:B,2,0)</f>
        <v>Ref</v>
      </c>
      <c r="L1196">
        <v>0</v>
      </c>
      <c r="M1196" s="16">
        <f t="shared" si="123"/>
        <v>10</v>
      </c>
      <c r="N1196" t="str">
        <f>TEXT(MTDRejection[[#This Row],[RejectionDate]],"dddd")</f>
        <v>Tuesday</v>
      </c>
    </row>
    <row r="1197" spans="1:14">
      <c r="A1197" t="s">
        <v>432</v>
      </c>
      <c r="B1197" t="s">
        <v>3835</v>
      </c>
      <c r="C1197" t="s">
        <v>36</v>
      </c>
      <c r="D1197" t="s">
        <v>26</v>
      </c>
      <c r="E1197" s="7">
        <v>45636</v>
      </c>
      <c r="F1197" t="s">
        <v>162</v>
      </c>
      <c r="G1197">
        <v>1</v>
      </c>
      <c r="H1197" t="s">
        <v>27</v>
      </c>
      <c r="I1197" t="s">
        <v>16</v>
      </c>
      <c r="J1197" t="s">
        <v>16</v>
      </c>
      <c r="K1197" s="16" t="str">
        <f>VLOOKUP(C1197,CheckName!A:B,2,0)</f>
        <v>Emp</v>
      </c>
      <c r="L1197">
        <v>0</v>
      </c>
      <c r="M1197" s="16">
        <f t="shared" si="123"/>
        <v>10</v>
      </c>
      <c r="N1197" t="str">
        <f>TEXT(MTDRejection[[#This Row],[RejectionDate]],"dddd")</f>
        <v>Tuesday</v>
      </c>
    </row>
    <row r="1198" spans="1:14">
      <c r="A1198" t="s">
        <v>176</v>
      </c>
      <c r="B1198" t="s">
        <v>3836</v>
      </c>
      <c r="C1198" t="s">
        <v>220</v>
      </c>
      <c r="D1198" t="s">
        <v>26</v>
      </c>
      <c r="E1198" s="7">
        <v>45636</v>
      </c>
      <c r="F1198" t="s">
        <v>294</v>
      </c>
      <c r="G1198">
        <v>1</v>
      </c>
      <c r="H1198" t="s">
        <v>130</v>
      </c>
      <c r="I1198" t="s">
        <v>16</v>
      </c>
      <c r="J1198" t="s">
        <v>16</v>
      </c>
      <c r="K1198" s="16" t="str">
        <f>VLOOKUP(C1198,CheckName!A:B,2,0)</f>
        <v>Ref</v>
      </c>
      <c r="L1198">
        <v>0</v>
      </c>
      <c r="M1198" s="16">
        <f t="shared" si="123"/>
        <v>10</v>
      </c>
      <c r="N1198" t="str">
        <f>TEXT(MTDRejection[[#This Row],[RejectionDate]],"dddd")</f>
        <v>Tuesday</v>
      </c>
    </row>
    <row r="1199" spans="1:14">
      <c r="A1199" t="s">
        <v>567</v>
      </c>
      <c r="B1199" t="s">
        <v>3837</v>
      </c>
      <c r="C1199" t="s">
        <v>112</v>
      </c>
      <c r="D1199" t="s">
        <v>26</v>
      </c>
      <c r="E1199" s="7">
        <v>45636</v>
      </c>
      <c r="F1199" t="s">
        <v>159</v>
      </c>
      <c r="G1199">
        <v>1</v>
      </c>
      <c r="H1199" t="s">
        <v>27</v>
      </c>
      <c r="I1199" t="s">
        <v>16</v>
      </c>
      <c r="J1199" t="s">
        <v>16</v>
      </c>
      <c r="K1199" s="16" t="str">
        <f>VLOOKUP(C1199,CheckName!A:B,2,0)</f>
        <v>Emp</v>
      </c>
      <c r="L1199">
        <v>0</v>
      </c>
      <c r="M1199" s="16">
        <f t="shared" si="123"/>
        <v>10</v>
      </c>
      <c r="N1199" t="str">
        <f>TEXT(MTDRejection[[#This Row],[RejectionDate]],"dddd")</f>
        <v>Tuesday</v>
      </c>
    </row>
    <row r="1200" spans="1:14">
      <c r="A1200" t="s">
        <v>1837</v>
      </c>
      <c r="B1200" t="s">
        <v>3838</v>
      </c>
      <c r="C1200" t="s">
        <v>12</v>
      </c>
      <c r="D1200" t="s">
        <v>26</v>
      </c>
      <c r="E1200" s="7">
        <v>45636</v>
      </c>
      <c r="F1200" t="s">
        <v>151</v>
      </c>
      <c r="G1200">
        <v>1</v>
      </c>
      <c r="H1200" t="s">
        <v>30</v>
      </c>
      <c r="I1200" t="s">
        <v>16</v>
      </c>
      <c r="J1200" t="s">
        <v>16</v>
      </c>
      <c r="K1200" s="16" t="str">
        <f>VLOOKUP(C1200,CheckName!A:B,2,0)</f>
        <v>Emp</v>
      </c>
      <c r="L1200">
        <v>0</v>
      </c>
      <c r="M1200" s="16">
        <f t="shared" ref="M1200:M1205" si="124">DAY(E1200)</f>
        <v>10</v>
      </c>
      <c r="N1200" t="str">
        <f>TEXT(MTDRejection[[#This Row],[RejectionDate]],"dddd")</f>
        <v>Tuesday</v>
      </c>
    </row>
    <row r="1201" spans="1:14">
      <c r="A1201" t="s">
        <v>312</v>
      </c>
      <c r="B1201" t="s">
        <v>3839</v>
      </c>
      <c r="C1201" t="s">
        <v>36</v>
      </c>
      <c r="D1201" t="s">
        <v>26</v>
      </c>
      <c r="E1201" s="7">
        <v>45636</v>
      </c>
      <c r="F1201" t="s">
        <v>141</v>
      </c>
      <c r="G1201">
        <v>1</v>
      </c>
      <c r="H1201" t="s">
        <v>27</v>
      </c>
      <c r="I1201" t="s">
        <v>16</v>
      </c>
      <c r="J1201" t="s">
        <v>16</v>
      </c>
      <c r="K1201" s="16" t="str">
        <f>VLOOKUP(C1201,CheckName!A:B,2,0)</f>
        <v>Emp</v>
      </c>
      <c r="L1201">
        <v>0</v>
      </c>
      <c r="M1201" s="16">
        <f t="shared" si="124"/>
        <v>10</v>
      </c>
      <c r="N1201" t="str">
        <f>TEXT(MTDRejection[[#This Row],[RejectionDate]],"dddd")</f>
        <v>Tuesday</v>
      </c>
    </row>
    <row r="1202" spans="1:14">
      <c r="A1202" t="s">
        <v>119</v>
      </c>
      <c r="B1202" t="s">
        <v>3840</v>
      </c>
      <c r="C1202" t="s">
        <v>36</v>
      </c>
      <c r="D1202" t="s">
        <v>26</v>
      </c>
      <c r="E1202" s="7">
        <v>45636</v>
      </c>
      <c r="F1202" t="s">
        <v>2346</v>
      </c>
      <c r="G1202">
        <v>1</v>
      </c>
      <c r="H1202" t="s">
        <v>130</v>
      </c>
      <c r="I1202" t="s">
        <v>16</v>
      </c>
      <c r="J1202" t="s">
        <v>16</v>
      </c>
      <c r="K1202" s="16" t="str">
        <f>VLOOKUP(C1202,CheckName!A:B,2,0)</f>
        <v>Emp</v>
      </c>
      <c r="L1202">
        <v>0</v>
      </c>
      <c r="M1202" s="16">
        <f t="shared" si="124"/>
        <v>10</v>
      </c>
      <c r="N1202" t="str">
        <f>TEXT(MTDRejection[[#This Row],[RejectionDate]],"dddd")</f>
        <v>Tuesday</v>
      </c>
    </row>
    <row r="1203" spans="1:14">
      <c r="A1203" t="s">
        <v>499</v>
      </c>
      <c r="B1203" t="s">
        <v>2490</v>
      </c>
      <c r="C1203" t="s">
        <v>12</v>
      </c>
      <c r="D1203" t="s">
        <v>26</v>
      </c>
      <c r="E1203" s="7">
        <v>45636</v>
      </c>
      <c r="F1203" t="s">
        <v>2336</v>
      </c>
      <c r="G1203">
        <v>1</v>
      </c>
      <c r="H1203" t="s">
        <v>22</v>
      </c>
      <c r="I1203" t="s">
        <v>16</v>
      </c>
      <c r="J1203" t="s">
        <v>16</v>
      </c>
      <c r="K1203" s="16" t="str">
        <f>VLOOKUP(C1203,CheckName!A:B,2,0)</f>
        <v>Emp</v>
      </c>
      <c r="L1203">
        <v>0</v>
      </c>
      <c r="M1203" s="16">
        <f t="shared" si="124"/>
        <v>10</v>
      </c>
      <c r="N1203" t="str">
        <f>TEXT(MTDRejection[[#This Row],[RejectionDate]],"dddd")</f>
        <v>Tuesday</v>
      </c>
    </row>
    <row r="1204" spans="1:14">
      <c r="A1204" t="s">
        <v>60</v>
      </c>
      <c r="B1204" t="s">
        <v>3841</v>
      </c>
      <c r="C1204" t="s">
        <v>12</v>
      </c>
      <c r="D1204" t="s">
        <v>26</v>
      </c>
      <c r="E1204" s="7">
        <v>45636</v>
      </c>
      <c r="F1204" t="s">
        <v>141</v>
      </c>
      <c r="G1204">
        <v>1</v>
      </c>
      <c r="H1204" t="s">
        <v>27</v>
      </c>
      <c r="I1204" t="s">
        <v>16</v>
      </c>
      <c r="J1204" t="s">
        <v>16</v>
      </c>
      <c r="K1204" s="16" t="str">
        <f>VLOOKUP(C1204,CheckName!A:B,2,0)</f>
        <v>Emp</v>
      </c>
      <c r="L1204">
        <v>0</v>
      </c>
      <c r="M1204" s="16">
        <f t="shared" si="124"/>
        <v>10</v>
      </c>
      <c r="N1204" t="str">
        <f>TEXT(MTDRejection[[#This Row],[RejectionDate]],"dddd")</f>
        <v>Tuesday</v>
      </c>
    </row>
    <row r="1205" spans="1:14">
      <c r="A1205" t="s">
        <v>465</v>
      </c>
      <c r="B1205" t="s">
        <v>3842</v>
      </c>
      <c r="C1205" t="s">
        <v>12</v>
      </c>
      <c r="D1205" t="s">
        <v>26</v>
      </c>
      <c r="E1205" s="7">
        <v>45636</v>
      </c>
      <c r="F1205" t="s">
        <v>141</v>
      </c>
      <c r="G1205">
        <v>1</v>
      </c>
      <c r="H1205" t="s">
        <v>27</v>
      </c>
      <c r="I1205" t="s">
        <v>16</v>
      </c>
      <c r="J1205" t="s">
        <v>16</v>
      </c>
      <c r="K1205" s="16" t="str">
        <f>VLOOKUP(C1205,CheckName!A:B,2,0)</f>
        <v>Emp</v>
      </c>
      <c r="L1205">
        <v>0</v>
      </c>
      <c r="M1205" s="16">
        <f t="shared" si="124"/>
        <v>10</v>
      </c>
      <c r="N1205" t="str">
        <f>TEXT(MTDRejection[[#This Row],[RejectionDate]],"dddd")</f>
        <v>Tuesday</v>
      </c>
    </row>
    <row r="1206" spans="1:14">
      <c r="A1206" t="s">
        <v>100</v>
      </c>
      <c r="B1206" t="s">
        <v>3843</v>
      </c>
      <c r="C1206" t="s">
        <v>255</v>
      </c>
      <c r="D1206" t="s">
        <v>38</v>
      </c>
      <c r="E1206" s="7">
        <v>45636</v>
      </c>
      <c r="F1206" t="s">
        <v>118</v>
      </c>
      <c r="G1206">
        <v>1</v>
      </c>
      <c r="H1206" t="s">
        <v>42</v>
      </c>
      <c r="I1206" t="s">
        <v>16</v>
      </c>
      <c r="J1206" t="s">
        <v>16</v>
      </c>
      <c r="K1206" s="16" t="str">
        <f>VLOOKUP(C1206,CheckName!A:B,2,0)</f>
        <v>Special Check</v>
      </c>
      <c r="L1206">
        <v>0</v>
      </c>
      <c r="M1206" s="16">
        <f t="shared" ref="M1206:M1210" si="125">DAY(E1206)</f>
        <v>10</v>
      </c>
      <c r="N1206" t="str">
        <f>TEXT(MTDRejection[[#This Row],[RejectionDate]],"dddd")</f>
        <v>Tuesday</v>
      </c>
    </row>
    <row r="1207" spans="1:14">
      <c r="A1207" t="s">
        <v>100</v>
      </c>
      <c r="B1207" t="s">
        <v>3844</v>
      </c>
      <c r="C1207" t="s">
        <v>235</v>
      </c>
      <c r="D1207" t="s">
        <v>38</v>
      </c>
      <c r="E1207" s="7">
        <v>45636</v>
      </c>
      <c r="F1207" t="s">
        <v>118</v>
      </c>
      <c r="G1207">
        <v>1</v>
      </c>
      <c r="H1207" t="s">
        <v>42</v>
      </c>
      <c r="I1207" t="s">
        <v>16</v>
      </c>
      <c r="J1207" t="s">
        <v>16</v>
      </c>
      <c r="K1207" s="16" t="str">
        <f>VLOOKUP(C1207,CheckName!A:B,2,0)</f>
        <v>Special Check</v>
      </c>
      <c r="L1207">
        <v>0</v>
      </c>
      <c r="M1207" s="16">
        <f t="shared" si="125"/>
        <v>10</v>
      </c>
      <c r="N1207" t="str">
        <f>TEXT(MTDRejection[[#This Row],[RejectionDate]],"dddd")</f>
        <v>Tuesday</v>
      </c>
    </row>
    <row r="1208" spans="1:14">
      <c r="A1208" t="s">
        <v>306</v>
      </c>
      <c r="B1208" t="s">
        <v>3845</v>
      </c>
      <c r="C1208" t="s">
        <v>36</v>
      </c>
      <c r="D1208" t="s">
        <v>13</v>
      </c>
      <c r="E1208" s="7">
        <v>45636</v>
      </c>
      <c r="F1208" t="s">
        <v>1013</v>
      </c>
      <c r="G1208">
        <v>1</v>
      </c>
      <c r="H1208" t="s">
        <v>15</v>
      </c>
      <c r="I1208" t="s">
        <v>16</v>
      </c>
      <c r="J1208" t="s">
        <v>16</v>
      </c>
      <c r="K1208" s="16" t="str">
        <f>VLOOKUP(C1208,CheckName!A:B,2,0)</f>
        <v>Emp</v>
      </c>
      <c r="L1208">
        <v>0</v>
      </c>
      <c r="M1208" s="16">
        <f t="shared" si="125"/>
        <v>10</v>
      </c>
      <c r="N1208" t="str">
        <f>TEXT(MTDRejection[[#This Row],[RejectionDate]],"dddd")</f>
        <v>Tuesday</v>
      </c>
    </row>
    <row r="1209" spans="1:14">
      <c r="A1209" t="s">
        <v>306</v>
      </c>
      <c r="B1209" t="s">
        <v>2473</v>
      </c>
      <c r="C1209" t="s">
        <v>54</v>
      </c>
      <c r="D1209" t="s">
        <v>13</v>
      </c>
      <c r="E1209" s="7">
        <v>45636</v>
      </c>
      <c r="F1209" t="s">
        <v>1013</v>
      </c>
      <c r="G1209">
        <v>1</v>
      </c>
      <c r="H1209" t="s">
        <v>15</v>
      </c>
      <c r="I1209" t="s">
        <v>16</v>
      </c>
      <c r="J1209" t="s">
        <v>16</v>
      </c>
      <c r="K1209" s="16" t="str">
        <f>VLOOKUP(C1209,CheckName!A:B,2,0)</f>
        <v>Edu</v>
      </c>
      <c r="L1209">
        <v>0</v>
      </c>
      <c r="M1209" s="16">
        <f t="shared" si="125"/>
        <v>10</v>
      </c>
      <c r="N1209" t="str">
        <f>TEXT(MTDRejection[[#This Row],[RejectionDate]],"dddd")</f>
        <v>Tuesday</v>
      </c>
    </row>
    <row r="1210" spans="1:14">
      <c r="A1210" t="s">
        <v>84</v>
      </c>
      <c r="B1210" t="s">
        <v>3846</v>
      </c>
      <c r="C1210" t="s">
        <v>12</v>
      </c>
      <c r="D1210" t="s">
        <v>13</v>
      </c>
      <c r="E1210" s="7">
        <v>45636</v>
      </c>
      <c r="F1210" t="s">
        <v>1013</v>
      </c>
      <c r="G1210">
        <v>1</v>
      </c>
      <c r="H1210" t="s">
        <v>30</v>
      </c>
      <c r="I1210" t="s">
        <v>16</v>
      </c>
      <c r="J1210" t="s">
        <v>16</v>
      </c>
      <c r="K1210" s="16" t="str">
        <f>VLOOKUP(C1210,CheckName!A:B,2,0)</f>
        <v>Emp</v>
      </c>
      <c r="L1210">
        <v>0</v>
      </c>
      <c r="M1210" s="16">
        <f t="shared" si="125"/>
        <v>10</v>
      </c>
      <c r="N1210" t="str">
        <f>TEXT(MTDRejection[[#This Row],[RejectionDate]],"dddd")</f>
        <v>Tuesday</v>
      </c>
    </row>
    <row r="1211" spans="1:14">
      <c r="A1211" t="s">
        <v>45</v>
      </c>
      <c r="B1211" t="s">
        <v>3847</v>
      </c>
      <c r="C1211" t="s">
        <v>54</v>
      </c>
      <c r="D1211" t="s">
        <v>26</v>
      </c>
      <c r="E1211" s="7">
        <v>45636</v>
      </c>
      <c r="F1211" t="s">
        <v>1304</v>
      </c>
      <c r="G1211">
        <v>1</v>
      </c>
      <c r="H1211" t="s">
        <v>95</v>
      </c>
      <c r="I1211" t="s">
        <v>16</v>
      </c>
      <c r="J1211" t="s">
        <v>16</v>
      </c>
      <c r="K1211" s="16" t="str">
        <f>VLOOKUP(C1211,CheckName!A:B,2,0)</f>
        <v>Edu</v>
      </c>
      <c r="L1211">
        <v>0</v>
      </c>
      <c r="M1211" s="16">
        <f t="shared" ref="M1211:M1216" si="126">DAY(E1211)</f>
        <v>10</v>
      </c>
      <c r="N1211" t="str">
        <f>TEXT(MTDRejection[[#This Row],[RejectionDate]],"dddd")</f>
        <v>Tuesday</v>
      </c>
    </row>
    <row r="1212" spans="1:14">
      <c r="A1212" t="s">
        <v>84</v>
      </c>
      <c r="B1212" t="s">
        <v>2492</v>
      </c>
      <c r="C1212" t="s">
        <v>12</v>
      </c>
      <c r="D1212" t="s">
        <v>38</v>
      </c>
      <c r="E1212" s="7">
        <v>45636</v>
      </c>
      <c r="G1212">
        <v>1</v>
      </c>
      <c r="H1212" t="s">
        <v>42</v>
      </c>
      <c r="I1212" t="s">
        <v>16</v>
      </c>
      <c r="J1212" t="s">
        <v>16</v>
      </c>
      <c r="K1212" s="16" t="str">
        <f>VLOOKUP(C1212,CheckName!A:B,2,0)</f>
        <v>Emp</v>
      </c>
      <c r="L1212">
        <v>0</v>
      </c>
      <c r="M1212" s="16">
        <f t="shared" si="126"/>
        <v>10</v>
      </c>
      <c r="N1212" t="str">
        <f>TEXT(MTDRejection[[#This Row],[RejectionDate]],"dddd")</f>
        <v>Tuesday</v>
      </c>
    </row>
    <row r="1213" spans="1:14">
      <c r="A1213" t="s">
        <v>1007</v>
      </c>
      <c r="B1213" t="s">
        <v>3848</v>
      </c>
      <c r="C1213" t="s">
        <v>12</v>
      </c>
      <c r="D1213" t="s">
        <v>13</v>
      </c>
      <c r="E1213" s="7">
        <v>45635</v>
      </c>
      <c r="F1213" t="s">
        <v>574</v>
      </c>
      <c r="G1213">
        <v>2</v>
      </c>
      <c r="H1213" t="s">
        <v>15</v>
      </c>
      <c r="I1213" t="s">
        <v>16</v>
      </c>
      <c r="J1213" t="s">
        <v>16</v>
      </c>
      <c r="K1213" s="16" t="str">
        <f>VLOOKUP(C1213,CheckName!A:B,2,0)</f>
        <v>Emp</v>
      </c>
      <c r="L1213">
        <v>0</v>
      </c>
      <c r="M1213" s="16">
        <f t="shared" si="126"/>
        <v>9</v>
      </c>
      <c r="N1213" t="str">
        <f>TEXT(MTDRejection[[#This Row],[RejectionDate]],"dddd")</f>
        <v>Monday</v>
      </c>
    </row>
    <row r="1214" spans="1:14">
      <c r="A1214" t="s">
        <v>281</v>
      </c>
      <c r="B1214" t="s">
        <v>3849</v>
      </c>
      <c r="C1214" t="s">
        <v>106</v>
      </c>
      <c r="D1214" t="s">
        <v>26</v>
      </c>
      <c r="E1214" s="7">
        <v>45633</v>
      </c>
      <c r="F1214" t="s">
        <v>330</v>
      </c>
      <c r="G1214">
        <v>4</v>
      </c>
      <c r="H1214" t="s">
        <v>130</v>
      </c>
      <c r="I1214" t="s">
        <v>16</v>
      </c>
      <c r="J1214" t="s">
        <v>16</v>
      </c>
      <c r="K1214" s="16" t="str">
        <f>VLOOKUP(C1214,CheckName!A:B,2,0)</f>
        <v>Ref</v>
      </c>
      <c r="L1214">
        <v>0</v>
      </c>
      <c r="M1214" s="16">
        <f t="shared" si="126"/>
        <v>7</v>
      </c>
      <c r="N1214" t="str">
        <f>TEXT(MTDRejection[[#This Row],[RejectionDate]],"dddd")</f>
        <v>Saturday</v>
      </c>
    </row>
    <row r="1215" spans="1:14">
      <c r="A1215" t="s">
        <v>84</v>
      </c>
      <c r="B1215" t="s">
        <v>2493</v>
      </c>
      <c r="C1215" t="s">
        <v>54</v>
      </c>
      <c r="D1215" t="s">
        <v>26</v>
      </c>
      <c r="E1215" s="7">
        <v>45629</v>
      </c>
      <c r="F1215" t="s">
        <v>538</v>
      </c>
      <c r="G1215">
        <v>8</v>
      </c>
      <c r="H1215" t="s">
        <v>27</v>
      </c>
      <c r="I1215" t="s">
        <v>16</v>
      </c>
      <c r="J1215" t="s">
        <v>16</v>
      </c>
      <c r="K1215" s="16" t="str">
        <f>VLOOKUP(C1215,CheckName!A:B,2,0)</f>
        <v>Edu</v>
      </c>
      <c r="L1215">
        <v>0</v>
      </c>
      <c r="M1215" s="16">
        <f t="shared" si="126"/>
        <v>3</v>
      </c>
      <c r="N1215" t="str">
        <f>TEXT(MTDRejection[[#This Row],[RejectionDate]],"dddd")</f>
        <v>Tuesday</v>
      </c>
    </row>
    <row r="1216" spans="1:14">
      <c r="A1216" t="s">
        <v>47</v>
      </c>
      <c r="B1216" t="s">
        <v>3850</v>
      </c>
      <c r="C1216" t="s">
        <v>54</v>
      </c>
      <c r="D1216" t="s">
        <v>26</v>
      </c>
      <c r="E1216" s="7">
        <v>45628</v>
      </c>
      <c r="F1216" t="s">
        <v>103</v>
      </c>
      <c r="G1216">
        <v>9</v>
      </c>
      <c r="H1216" t="s">
        <v>27</v>
      </c>
      <c r="I1216" t="s">
        <v>16</v>
      </c>
      <c r="J1216" t="s">
        <v>16</v>
      </c>
      <c r="K1216" s="16" t="str">
        <f>VLOOKUP(C1216,CheckName!A:B,2,0)</f>
        <v>Edu</v>
      </c>
      <c r="L1216">
        <v>0</v>
      </c>
      <c r="M1216" s="16">
        <f t="shared" si="126"/>
        <v>2</v>
      </c>
      <c r="N1216" t="str">
        <f>TEXT(MTDRejection[[#This Row],[RejectionDate]],"dddd")</f>
        <v>Monday</v>
      </c>
    </row>
    <row r="1217" spans="1:14">
      <c r="A1217" t="s">
        <v>160</v>
      </c>
      <c r="B1217" t="s">
        <v>3851</v>
      </c>
      <c r="C1217" t="s">
        <v>19</v>
      </c>
      <c r="D1217" t="s">
        <v>20</v>
      </c>
      <c r="E1217" s="7">
        <v>45637</v>
      </c>
      <c r="F1217" t="s">
        <v>2327</v>
      </c>
      <c r="G1217">
        <v>0</v>
      </c>
      <c r="H1217" t="s">
        <v>130</v>
      </c>
      <c r="I1217" t="s">
        <v>16</v>
      </c>
      <c r="J1217" t="s">
        <v>16</v>
      </c>
      <c r="K1217" s="16" t="str">
        <f>VLOOKUP(C1217,CheckName!A:B,2,0)</f>
        <v>Add</v>
      </c>
      <c r="L1217">
        <v>0</v>
      </c>
      <c r="M1217" s="16">
        <f t="shared" ref="M1217:M1219" si="127">DAY(E1217)</f>
        <v>11</v>
      </c>
      <c r="N1217" t="str">
        <f>TEXT(MTDRejection[[#This Row],[RejectionDate]],"dddd")</f>
        <v>Wednesday</v>
      </c>
    </row>
    <row r="1218" spans="1:14">
      <c r="A1218" t="s">
        <v>1566</v>
      </c>
      <c r="B1218" t="s">
        <v>3852</v>
      </c>
      <c r="C1218" t="s">
        <v>790</v>
      </c>
      <c r="D1218" t="s">
        <v>20</v>
      </c>
      <c r="E1218" s="7">
        <v>45637</v>
      </c>
      <c r="F1218" t="s">
        <v>273</v>
      </c>
      <c r="G1218">
        <v>0</v>
      </c>
      <c r="H1218" t="s">
        <v>22</v>
      </c>
      <c r="I1218" t="s">
        <v>16</v>
      </c>
      <c r="J1218" t="s">
        <v>16</v>
      </c>
      <c r="K1218" s="16" t="str">
        <f>VLOOKUP(C1218,CheckName!A:B,2,0)</f>
        <v>Add</v>
      </c>
      <c r="L1218">
        <v>0</v>
      </c>
      <c r="M1218" s="16">
        <f t="shared" si="127"/>
        <v>11</v>
      </c>
      <c r="N1218" t="str">
        <f>TEXT(MTDRejection[[#This Row],[RejectionDate]],"dddd")</f>
        <v>Wednesday</v>
      </c>
    </row>
    <row r="1219" spans="1:14">
      <c r="A1219" t="s">
        <v>510</v>
      </c>
      <c r="B1219" t="s">
        <v>3853</v>
      </c>
      <c r="C1219" t="s">
        <v>19</v>
      </c>
      <c r="D1219" t="s">
        <v>20</v>
      </c>
      <c r="E1219" s="7">
        <v>45637</v>
      </c>
      <c r="F1219" t="s">
        <v>2327</v>
      </c>
      <c r="G1219">
        <v>0</v>
      </c>
      <c r="H1219" t="s">
        <v>22</v>
      </c>
      <c r="I1219" t="s">
        <v>16</v>
      </c>
      <c r="J1219" t="s">
        <v>16</v>
      </c>
      <c r="K1219" s="16" t="str">
        <f>VLOOKUP(C1219,CheckName!A:B,2,0)</f>
        <v>Add</v>
      </c>
      <c r="L1219">
        <v>0</v>
      </c>
      <c r="M1219" s="16">
        <f t="shared" si="127"/>
        <v>11</v>
      </c>
      <c r="N1219" t="str">
        <f>TEXT(MTDRejection[[#This Row],[RejectionDate]],"dddd")</f>
        <v>Wednesday</v>
      </c>
    </row>
    <row r="1220" spans="1:14">
      <c r="A1220" t="s">
        <v>360</v>
      </c>
      <c r="B1220" t="s">
        <v>3854</v>
      </c>
      <c r="C1220" t="s">
        <v>980</v>
      </c>
      <c r="D1220" t="s">
        <v>20</v>
      </c>
      <c r="E1220" s="7">
        <v>45637</v>
      </c>
      <c r="F1220" t="s">
        <v>2327</v>
      </c>
      <c r="G1220">
        <v>0</v>
      </c>
      <c r="H1220" t="s">
        <v>22</v>
      </c>
      <c r="I1220" t="s">
        <v>16</v>
      </c>
      <c r="J1220" t="s">
        <v>16</v>
      </c>
      <c r="K1220" s="16" t="str">
        <f>VLOOKUP(C1220,CheckName!A:B,2,0)</f>
        <v>Add</v>
      </c>
      <c r="L1220">
        <v>0</v>
      </c>
      <c r="M1220" s="16">
        <f t="shared" ref="M1220:M1223" si="128">DAY(E1220)</f>
        <v>11</v>
      </c>
      <c r="N1220" t="str">
        <f>TEXT(MTDRejection[[#This Row],[RejectionDate]],"dddd")</f>
        <v>Wednesday</v>
      </c>
    </row>
    <row r="1221" spans="1:14">
      <c r="A1221" t="s">
        <v>1092</v>
      </c>
      <c r="B1221" t="s">
        <v>3855</v>
      </c>
      <c r="C1221" t="s">
        <v>25</v>
      </c>
      <c r="D1221" t="s">
        <v>20</v>
      </c>
      <c r="E1221" s="7">
        <v>45637</v>
      </c>
      <c r="F1221" t="s">
        <v>273</v>
      </c>
      <c r="G1221">
        <v>0</v>
      </c>
      <c r="H1221" t="s">
        <v>22</v>
      </c>
      <c r="I1221" t="s">
        <v>16</v>
      </c>
      <c r="J1221" t="s">
        <v>16</v>
      </c>
      <c r="K1221" s="16" t="str">
        <f>VLOOKUP(C1221,CheckName!A:B,2,0)</f>
        <v>Add</v>
      </c>
      <c r="L1221">
        <v>0</v>
      </c>
      <c r="M1221" s="16">
        <f t="shared" si="128"/>
        <v>11</v>
      </c>
      <c r="N1221" t="str">
        <f>TEXT(MTDRejection[[#This Row],[RejectionDate]],"dddd")</f>
        <v>Wednesday</v>
      </c>
    </row>
    <row r="1222" spans="1:14">
      <c r="A1222" t="s">
        <v>45</v>
      </c>
      <c r="B1222" t="s">
        <v>3856</v>
      </c>
      <c r="C1222" t="s">
        <v>36</v>
      </c>
      <c r="D1222" t="s">
        <v>38</v>
      </c>
      <c r="E1222" s="7">
        <v>45637</v>
      </c>
      <c r="F1222" t="s">
        <v>39</v>
      </c>
      <c r="G1222">
        <v>0</v>
      </c>
      <c r="H1222" t="s">
        <v>42</v>
      </c>
      <c r="I1222" t="s">
        <v>16</v>
      </c>
      <c r="J1222" t="s">
        <v>16</v>
      </c>
      <c r="K1222" s="16" t="str">
        <f>VLOOKUP(C1222,CheckName!A:B,2,0)</f>
        <v>Emp</v>
      </c>
      <c r="L1222">
        <v>0</v>
      </c>
      <c r="M1222" s="16">
        <f t="shared" si="128"/>
        <v>11</v>
      </c>
      <c r="N1222" t="str">
        <f>TEXT(MTDRejection[[#This Row],[RejectionDate]],"dddd")</f>
        <v>Wednesday</v>
      </c>
    </row>
    <row r="1223" spans="1:14">
      <c r="A1223" t="s">
        <v>461</v>
      </c>
      <c r="B1223" t="s">
        <v>3857</v>
      </c>
      <c r="C1223" t="s">
        <v>36</v>
      </c>
      <c r="D1223" t="s">
        <v>38</v>
      </c>
      <c r="E1223" s="7">
        <v>45637</v>
      </c>
      <c r="F1223" t="s">
        <v>39</v>
      </c>
      <c r="G1223">
        <v>0</v>
      </c>
      <c r="H1223" t="s">
        <v>42</v>
      </c>
      <c r="I1223" t="s">
        <v>16</v>
      </c>
      <c r="J1223" t="s">
        <v>16</v>
      </c>
      <c r="K1223" s="16" t="str">
        <f>VLOOKUP(C1223,CheckName!A:B,2,0)</f>
        <v>Emp</v>
      </c>
      <c r="L1223">
        <v>0</v>
      </c>
      <c r="M1223" s="16">
        <f t="shared" si="128"/>
        <v>11</v>
      </c>
      <c r="N1223" t="str">
        <f>TEXT(MTDRejection[[#This Row],[RejectionDate]],"dddd")</f>
        <v>Wednesday</v>
      </c>
    </row>
    <row r="1224" spans="1:14">
      <c r="A1224" t="s">
        <v>45</v>
      </c>
      <c r="B1224" t="s">
        <v>3858</v>
      </c>
      <c r="C1224" t="s">
        <v>36</v>
      </c>
      <c r="D1224" t="s">
        <v>26</v>
      </c>
      <c r="E1224" s="7">
        <v>45637</v>
      </c>
      <c r="F1224" t="s">
        <v>224</v>
      </c>
      <c r="G1224">
        <v>0</v>
      </c>
      <c r="H1224" t="s">
        <v>27</v>
      </c>
      <c r="I1224" t="s">
        <v>16</v>
      </c>
      <c r="J1224" t="s">
        <v>16</v>
      </c>
      <c r="K1224" s="16" t="str">
        <f>VLOOKUP(C1224,CheckName!A:B,2,0)</f>
        <v>Emp</v>
      </c>
      <c r="L1224">
        <v>0</v>
      </c>
      <c r="M1224" s="16">
        <f t="shared" ref="M1224:M1225" si="129">DAY(E1224)</f>
        <v>11</v>
      </c>
      <c r="N1224" t="str">
        <f>TEXT(MTDRejection[[#This Row],[RejectionDate]],"dddd")</f>
        <v>Wednesday</v>
      </c>
    </row>
    <row r="1225" spans="1:14">
      <c r="A1225" t="s">
        <v>45</v>
      </c>
      <c r="B1225" t="s">
        <v>522</v>
      </c>
      <c r="C1225" t="s">
        <v>12</v>
      </c>
      <c r="D1225" t="s">
        <v>26</v>
      </c>
      <c r="E1225" s="7">
        <v>45637</v>
      </c>
      <c r="F1225" t="s">
        <v>224</v>
      </c>
      <c r="G1225">
        <v>0</v>
      </c>
      <c r="H1225" t="s">
        <v>27</v>
      </c>
      <c r="I1225" t="s">
        <v>16</v>
      </c>
      <c r="J1225" t="s">
        <v>16</v>
      </c>
      <c r="K1225" s="16" t="str">
        <f>VLOOKUP(C1225,CheckName!A:B,2,0)</f>
        <v>Emp</v>
      </c>
      <c r="L1225">
        <v>0</v>
      </c>
      <c r="M1225" s="16">
        <f t="shared" si="129"/>
        <v>11</v>
      </c>
      <c r="N1225" t="str">
        <f>TEXT(MTDRejection[[#This Row],[RejectionDate]],"dddd")</f>
        <v>Wednesday</v>
      </c>
    </row>
    <row r="1226" spans="1:14">
      <c r="A1226" t="s">
        <v>510</v>
      </c>
      <c r="B1226" t="s">
        <v>3859</v>
      </c>
      <c r="C1226" t="s">
        <v>19</v>
      </c>
      <c r="D1226" t="s">
        <v>26</v>
      </c>
      <c r="E1226" s="7">
        <v>45637</v>
      </c>
      <c r="F1226" t="s">
        <v>66</v>
      </c>
      <c r="G1226">
        <v>0</v>
      </c>
      <c r="H1226" t="s">
        <v>27</v>
      </c>
      <c r="I1226" t="s">
        <v>16</v>
      </c>
      <c r="J1226" t="s">
        <v>16</v>
      </c>
      <c r="K1226" s="16" t="str">
        <f>VLOOKUP(C1226,CheckName!A:B,2,0)</f>
        <v>Add</v>
      </c>
      <c r="L1226">
        <v>0</v>
      </c>
      <c r="M1226" s="16">
        <f t="shared" ref="M1226:M1228" si="130">DAY(E1226)</f>
        <v>11</v>
      </c>
      <c r="N1226" t="str">
        <f>TEXT(MTDRejection[[#This Row],[RejectionDate]],"dddd")</f>
        <v>Wednesday</v>
      </c>
    </row>
    <row r="1227" spans="1:14">
      <c r="A1227" t="s">
        <v>84</v>
      </c>
      <c r="B1227" t="s">
        <v>3860</v>
      </c>
      <c r="C1227" t="s">
        <v>49</v>
      </c>
      <c r="D1227" t="s">
        <v>13</v>
      </c>
      <c r="E1227" s="7">
        <v>45637</v>
      </c>
      <c r="F1227" t="s">
        <v>706</v>
      </c>
      <c r="G1227">
        <v>0</v>
      </c>
      <c r="H1227" t="s">
        <v>15</v>
      </c>
      <c r="I1227" t="s">
        <v>16</v>
      </c>
      <c r="J1227" t="s">
        <v>16</v>
      </c>
      <c r="K1227" s="16" t="str">
        <f>VLOOKUP(C1227,CheckName!A:B,2,0)</f>
        <v>CRC</v>
      </c>
      <c r="L1227">
        <v>0</v>
      </c>
      <c r="M1227" s="16">
        <f t="shared" si="130"/>
        <v>11</v>
      </c>
      <c r="N1227" t="str">
        <f>TEXT(MTDRejection[[#This Row],[RejectionDate]],"dddd")</f>
        <v>Wednesday</v>
      </c>
    </row>
    <row r="1228" spans="1:14">
      <c r="A1228" t="s">
        <v>119</v>
      </c>
      <c r="B1228" t="s">
        <v>3861</v>
      </c>
      <c r="C1228" t="s">
        <v>36</v>
      </c>
      <c r="D1228" t="s">
        <v>26</v>
      </c>
      <c r="E1228" s="7">
        <v>45637</v>
      </c>
      <c r="F1228" t="s">
        <v>2354</v>
      </c>
      <c r="G1228">
        <v>0</v>
      </c>
      <c r="H1228" t="s">
        <v>22</v>
      </c>
      <c r="I1228" t="s">
        <v>16</v>
      </c>
      <c r="J1228" t="s">
        <v>16</v>
      </c>
      <c r="K1228" s="16" t="str">
        <f>VLOOKUP(C1228,CheckName!A:B,2,0)</f>
        <v>Emp</v>
      </c>
      <c r="L1228">
        <v>0</v>
      </c>
      <c r="M1228" s="16">
        <f t="shared" si="130"/>
        <v>11</v>
      </c>
      <c r="N1228" t="str">
        <f>TEXT(MTDRejection[[#This Row],[RejectionDate]],"dddd")</f>
        <v>Wednesday</v>
      </c>
    </row>
    <row r="1229" spans="1:14">
      <c r="A1229" t="s">
        <v>432</v>
      </c>
      <c r="B1229" t="s">
        <v>3862</v>
      </c>
      <c r="C1229" t="s">
        <v>36</v>
      </c>
      <c r="D1229" t="s">
        <v>26</v>
      </c>
      <c r="E1229" s="7">
        <v>45637</v>
      </c>
      <c r="F1229" t="s">
        <v>608</v>
      </c>
      <c r="G1229">
        <v>0</v>
      </c>
      <c r="H1229" t="s">
        <v>27</v>
      </c>
      <c r="I1229" t="s">
        <v>16</v>
      </c>
      <c r="J1229" t="s">
        <v>16</v>
      </c>
      <c r="K1229" s="16" t="str">
        <f>VLOOKUP(C1229,CheckName!A:B,2,0)</f>
        <v>Emp</v>
      </c>
      <c r="L1229">
        <v>0</v>
      </c>
      <c r="M1229" s="16">
        <f t="shared" ref="M1229:M1240" si="131">DAY(E1229)</f>
        <v>11</v>
      </c>
      <c r="N1229" t="str">
        <f>TEXT(MTDRejection[[#This Row],[RejectionDate]],"dddd")</f>
        <v>Wednesday</v>
      </c>
    </row>
    <row r="1230" spans="1:14">
      <c r="A1230" t="s">
        <v>996</v>
      </c>
      <c r="B1230" t="s">
        <v>3863</v>
      </c>
      <c r="C1230" t="s">
        <v>12</v>
      </c>
      <c r="D1230" t="s">
        <v>26</v>
      </c>
      <c r="E1230" s="7">
        <v>45637</v>
      </c>
      <c r="F1230" t="s">
        <v>721</v>
      </c>
      <c r="G1230">
        <v>0</v>
      </c>
      <c r="H1230" t="s">
        <v>27</v>
      </c>
      <c r="I1230" t="s">
        <v>16</v>
      </c>
      <c r="J1230" t="s">
        <v>16</v>
      </c>
      <c r="K1230" s="16" t="str">
        <f>VLOOKUP(C1230,CheckName!A:B,2,0)</f>
        <v>Emp</v>
      </c>
      <c r="L1230">
        <v>0</v>
      </c>
      <c r="M1230" s="16">
        <f t="shared" si="131"/>
        <v>11</v>
      </c>
      <c r="N1230" t="str">
        <f>TEXT(MTDRejection[[#This Row],[RejectionDate]],"dddd")</f>
        <v>Wednesday</v>
      </c>
    </row>
    <row r="1231" spans="1:14">
      <c r="A1231" t="s">
        <v>1437</v>
      </c>
      <c r="B1231" t="s">
        <v>3864</v>
      </c>
      <c r="C1231" t="s">
        <v>36</v>
      </c>
      <c r="D1231" t="s">
        <v>26</v>
      </c>
      <c r="E1231" s="7">
        <v>45637</v>
      </c>
      <c r="F1231" t="s">
        <v>311</v>
      </c>
      <c r="G1231">
        <v>0</v>
      </c>
      <c r="H1231" t="s">
        <v>27</v>
      </c>
      <c r="I1231" t="s">
        <v>16</v>
      </c>
      <c r="J1231" t="s">
        <v>16</v>
      </c>
      <c r="K1231" s="16" t="str">
        <f>VLOOKUP(C1231,CheckName!A:B,2,0)</f>
        <v>Emp</v>
      </c>
      <c r="L1231">
        <v>0</v>
      </c>
      <c r="M1231" s="16">
        <f t="shared" si="131"/>
        <v>11</v>
      </c>
      <c r="N1231" t="str">
        <f>TEXT(MTDRejection[[#This Row],[RejectionDate]],"dddd")</f>
        <v>Wednesday</v>
      </c>
    </row>
    <row r="1232" spans="1:14">
      <c r="A1232" t="s">
        <v>100</v>
      </c>
      <c r="B1232" t="s">
        <v>3865</v>
      </c>
      <c r="C1232" t="s">
        <v>102</v>
      </c>
      <c r="D1232" t="s">
        <v>13</v>
      </c>
      <c r="E1232" s="7">
        <v>45637</v>
      </c>
      <c r="F1232" t="s">
        <v>98</v>
      </c>
      <c r="G1232">
        <v>0</v>
      </c>
      <c r="H1232" t="s">
        <v>15</v>
      </c>
      <c r="I1232" t="s">
        <v>16</v>
      </c>
      <c r="J1232" t="s">
        <v>16</v>
      </c>
      <c r="K1232" s="16" t="str">
        <f>VLOOKUP(C1232,CheckName!A:B,2,0)</f>
        <v>Edu</v>
      </c>
      <c r="L1232">
        <v>0</v>
      </c>
      <c r="M1232" s="16">
        <f t="shared" si="131"/>
        <v>11</v>
      </c>
      <c r="N1232" t="str">
        <f>TEXT(MTDRejection[[#This Row],[RejectionDate]],"dddd")</f>
        <v>Wednesday</v>
      </c>
    </row>
    <row r="1233" spans="1:14">
      <c r="A1233" t="s">
        <v>45</v>
      </c>
      <c r="B1233" t="s">
        <v>3866</v>
      </c>
      <c r="C1233" t="s">
        <v>54</v>
      </c>
      <c r="D1233" t="s">
        <v>13</v>
      </c>
      <c r="E1233" s="7">
        <v>45637</v>
      </c>
      <c r="F1233" t="s">
        <v>98</v>
      </c>
      <c r="G1233">
        <v>0</v>
      </c>
      <c r="H1233" t="s">
        <v>15</v>
      </c>
      <c r="I1233" t="s">
        <v>16</v>
      </c>
      <c r="J1233" t="s">
        <v>16</v>
      </c>
      <c r="K1233" s="16" t="str">
        <f>VLOOKUP(C1233,CheckName!A:B,2,0)</f>
        <v>Edu</v>
      </c>
      <c r="L1233">
        <v>0</v>
      </c>
      <c r="M1233" s="16">
        <f t="shared" si="131"/>
        <v>11</v>
      </c>
      <c r="N1233" t="str">
        <f>TEXT(MTDRejection[[#This Row],[RejectionDate]],"dddd")</f>
        <v>Wednesday</v>
      </c>
    </row>
    <row r="1234" spans="1:14">
      <c r="A1234" t="s">
        <v>203</v>
      </c>
      <c r="B1234" t="s">
        <v>2495</v>
      </c>
      <c r="C1234" t="s">
        <v>54</v>
      </c>
      <c r="D1234" t="s">
        <v>26</v>
      </c>
      <c r="E1234" s="7">
        <v>45637</v>
      </c>
      <c r="F1234" t="s">
        <v>103</v>
      </c>
      <c r="G1234">
        <v>0</v>
      </c>
      <c r="H1234" t="s">
        <v>27</v>
      </c>
      <c r="I1234" t="s">
        <v>16</v>
      </c>
      <c r="J1234" t="s">
        <v>16</v>
      </c>
      <c r="K1234" s="16" t="str">
        <f>VLOOKUP(C1234,CheckName!A:B,2,0)</f>
        <v>Edu</v>
      </c>
      <c r="L1234">
        <v>0</v>
      </c>
      <c r="M1234" s="16">
        <f t="shared" si="131"/>
        <v>11</v>
      </c>
      <c r="N1234" t="str">
        <f>TEXT(MTDRejection[[#This Row],[RejectionDate]],"dddd")</f>
        <v>Wednesday</v>
      </c>
    </row>
    <row r="1235" spans="1:14">
      <c r="A1235" t="s">
        <v>306</v>
      </c>
      <c r="B1235" t="s">
        <v>3867</v>
      </c>
      <c r="C1235" t="s">
        <v>56</v>
      </c>
      <c r="D1235" t="s">
        <v>13</v>
      </c>
      <c r="E1235" s="7">
        <v>45637</v>
      </c>
      <c r="F1235" t="s">
        <v>819</v>
      </c>
      <c r="G1235">
        <v>0</v>
      </c>
      <c r="H1235" t="s">
        <v>15</v>
      </c>
      <c r="I1235" t="s">
        <v>16</v>
      </c>
      <c r="J1235" t="s">
        <v>16</v>
      </c>
      <c r="K1235" s="16" t="str">
        <f>VLOOKUP(C1235,CheckName!A:B,2,0)</f>
        <v>Special Check</v>
      </c>
      <c r="L1235">
        <v>0</v>
      </c>
      <c r="M1235" s="16">
        <f t="shared" si="131"/>
        <v>11</v>
      </c>
      <c r="N1235" t="str">
        <f>TEXT(MTDRejection[[#This Row],[RejectionDate]],"dddd")</f>
        <v>Wednesday</v>
      </c>
    </row>
    <row r="1236" spans="1:14">
      <c r="A1236" t="s">
        <v>1840</v>
      </c>
      <c r="B1236" t="s">
        <v>3868</v>
      </c>
      <c r="C1236" t="s">
        <v>112</v>
      </c>
      <c r="D1236" t="s">
        <v>26</v>
      </c>
      <c r="E1236" s="7">
        <v>45637</v>
      </c>
      <c r="F1236" t="s">
        <v>159</v>
      </c>
      <c r="G1236">
        <v>0</v>
      </c>
      <c r="H1236" t="s">
        <v>130</v>
      </c>
      <c r="I1236" t="s">
        <v>16</v>
      </c>
      <c r="J1236" t="s">
        <v>16</v>
      </c>
      <c r="K1236" s="16" t="str">
        <f>VLOOKUP(C1236,CheckName!A:B,2,0)</f>
        <v>Emp</v>
      </c>
      <c r="L1236">
        <v>0</v>
      </c>
      <c r="M1236" s="16">
        <f t="shared" si="131"/>
        <v>11</v>
      </c>
      <c r="N1236" t="str">
        <f>TEXT(MTDRejection[[#This Row],[RejectionDate]],"dddd")</f>
        <v>Wednesday</v>
      </c>
    </row>
    <row r="1237" spans="1:14">
      <c r="A1237" t="s">
        <v>84</v>
      </c>
      <c r="B1237" t="s">
        <v>3869</v>
      </c>
      <c r="C1237" t="s">
        <v>1347</v>
      </c>
      <c r="D1237" t="s">
        <v>38</v>
      </c>
      <c r="E1237" s="7">
        <v>45637</v>
      </c>
      <c r="F1237" t="s">
        <v>108</v>
      </c>
      <c r="G1237">
        <v>0</v>
      </c>
      <c r="H1237" t="s">
        <v>42</v>
      </c>
      <c r="I1237" t="s">
        <v>16</v>
      </c>
      <c r="J1237" t="s">
        <v>16</v>
      </c>
      <c r="K1237" s="16" t="str">
        <f>VLOOKUP(C1237,CheckName!A:B,2,0)</f>
        <v>CRC</v>
      </c>
      <c r="L1237">
        <v>0</v>
      </c>
      <c r="M1237" s="16">
        <f t="shared" si="131"/>
        <v>11</v>
      </c>
      <c r="N1237" t="str">
        <f>TEXT(MTDRejection[[#This Row],[RejectionDate]],"dddd")</f>
        <v>Wednesday</v>
      </c>
    </row>
    <row r="1238" spans="1:14">
      <c r="A1238" t="s">
        <v>391</v>
      </c>
      <c r="B1238" t="s">
        <v>3870</v>
      </c>
      <c r="C1238" t="s">
        <v>12</v>
      </c>
      <c r="D1238" t="s">
        <v>26</v>
      </c>
      <c r="E1238" s="7">
        <v>45637</v>
      </c>
      <c r="F1238" t="s">
        <v>115</v>
      </c>
      <c r="G1238">
        <v>0</v>
      </c>
      <c r="H1238" t="s">
        <v>27</v>
      </c>
      <c r="I1238" t="s">
        <v>16</v>
      </c>
      <c r="J1238" t="s">
        <v>16</v>
      </c>
      <c r="K1238" s="16" t="str">
        <f>VLOOKUP(C1238,CheckName!A:B,2,0)</f>
        <v>Emp</v>
      </c>
      <c r="L1238">
        <v>0</v>
      </c>
      <c r="M1238" s="16">
        <f t="shared" si="131"/>
        <v>11</v>
      </c>
      <c r="N1238" t="str">
        <f>TEXT(MTDRejection[[#This Row],[RejectionDate]],"dddd")</f>
        <v>Wednesday</v>
      </c>
    </row>
    <row r="1239" spans="1:14">
      <c r="A1239" t="s">
        <v>391</v>
      </c>
      <c r="B1239" t="s">
        <v>3871</v>
      </c>
      <c r="C1239" t="s">
        <v>12</v>
      </c>
      <c r="D1239" t="s">
        <v>26</v>
      </c>
      <c r="E1239" s="7">
        <v>45637</v>
      </c>
      <c r="F1239" t="s">
        <v>115</v>
      </c>
      <c r="G1239">
        <v>0</v>
      </c>
      <c r="H1239" t="s">
        <v>27</v>
      </c>
      <c r="I1239" t="s">
        <v>16</v>
      </c>
      <c r="J1239" t="s">
        <v>16</v>
      </c>
      <c r="K1239" s="16" t="str">
        <f>VLOOKUP(C1239,CheckName!A:B,2,0)</f>
        <v>Emp</v>
      </c>
      <c r="L1239">
        <v>0</v>
      </c>
      <c r="M1239" s="16">
        <f t="shared" si="131"/>
        <v>11</v>
      </c>
      <c r="N1239" t="str">
        <f>TEXT(MTDRejection[[#This Row],[RejectionDate]],"dddd")</f>
        <v>Wednesday</v>
      </c>
    </row>
    <row r="1240" spans="1:14">
      <c r="A1240" t="s">
        <v>391</v>
      </c>
      <c r="B1240" t="s">
        <v>3872</v>
      </c>
      <c r="C1240" t="s">
        <v>12</v>
      </c>
      <c r="D1240" t="s">
        <v>26</v>
      </c>
      <c r="E1240" s="7">
        <v>45637</v>
      </c>
      <c r="F1240" t="s">
        <v>115</v>
      </c>
      <c r="G1240">
        <v>0</v>
      </c>
      <c r="H1240" t="s">
        <v>27</v>
      </c>
      <c r="I1240" t="s">
        <v>16</v>
      </c>
      <c r="J1240" t="s">
        <v>16</v>
      </c>
      <c r="K1240" s="16" t="str">
        <f>VLOOKUP(C1240,CheckName!A:B,2,0)</f>
        <v>Emp</v>
      </c>
      <c r="L1240">
        <v>0</v>
      </c>
      <c r="M1240" s="16">
        <f t="shared" si="131"/>
        <v>11</v>
      </c>
      <c r="N1240" t="str">
        <f>TEXT(MTDRejection[[#This Row],[RejectionDate]],"dddd")</f>
        <v>Wednesday</v>
      </c>
    </row>
    <row r="1241" spans="1:14">
      <c r="A1241" t="s">
        <v>176</v>
      </c>
      <c r="B1241" t="s">
        <v>3873</v>
      </c>
      <c r="C1241" t="s">
        <v>36</v>
      </c>
      <c r="D1241" t="s">
        <v>26</v>
      </c>
      <c r="E1241" s="7">
        <v>45632</v>
      </c>
      <c r="F1241" t="s">
        <v>311</v>
      </c>
      <c r="G1241">
        <v>5</v>
      </c>
      <c r="H1241" t="s">
        <v>22</v>
      </c>
      <c r="I1241" t="s">
        <v>16</v>
      </c>
      <c r="J1241" t="s">
        <v>16</v>
      </c>
      <c r="K1241" s="16" t="str">
        <f>VLOOKUP(C1241,CheckName!A:B,2,0)</f>
        <v>Emp</v>
      </c>
      <c r="L1241">
        <v>0</v>
      </c>
      <c r="M1241" s="16">
        <f>DAY(E1241)</f>
        <v>6</v>
      </c>
      <c r="N1241" t="str">
        <f>TEXT(MTDRejection[[#This Row],[RejectionDate]],"dddd")</f>
        <v>Friday</v>
      </c>
    </row>
    <row r="1242" spans="1:14">
      <c r="A1242" t="s">
        <v>100</v>
      </c>
      <c r="B1242" t="s">
        <v>3874</v>
      </c>
      <c r="C1242" t="s">
        <v>102</v>
      </c>
      <c r="D1242" t="s">
        <v>38</v>
      </c>
      <c r="E1242" s="7">
        <v>45628</v>
      </c>
      <c r="F1242" t="s">
        <v>1776</v>
      </c>
      <c r="G1242">
        <v>9</v>
      </c>
      <c r="H1242" t="s">
        <v>30</v>
      </c>
      <c r="I1242" t="s">
        <v>16</v>
      </c>
      <c r="J1242" t="s">
        <v>16</v>
      </c>
      <c r="K1242" s="16" t="str">
        <f>VLOOKUP(C1242,CheckName!A:B,2,0)</f>
        <v>Edu</v>
      </c>
      <c r="L1242">
        <v>0</v>
      </c>
      <c r="M1242" s="16">
        <f>DAY(E1242)</f>
        <v>2</v>
      </c>
      <c r="N1242" t="str">
        <f>TEXT(MTDRejection[[#This Row],[RejectionDate]],"dddd")</f>
        <v>Monday</v>
      </c>
    </row>
    <row r="1243" spans="1:14">
      <c r="A1243" t="s">
        <v>391</v>
      </c>
      <c r="B1243" t="s">
        <v>3875</v>
      </c>
      <c r="C1243" t="s">
        <v>25</v>
      </c>
      <c r="D1243" t="s">
        <v>51</v>
      </c>
      <c r="E1243" s="7">
        <v>45637</v>
      </c>
      <c r="F1243" t="s">
        <v>2331</v>
      </c>
      <c r="G1243">
        <v>0</v>
      </c>
      <c r="H1243" t="s">
        <v>53</v>
      </c>
      <c r="I1243" t="s">
        <v>16</v>
      </c>
      <c r="J1243" t="s">
        <v>16</v>
      </c>
      <c r="K1243" s="16" t="str">
        <f>VLOOKUP(C1243,CheckName!A:B,2,0)</f>
        <v>Add</v>
      </c>
      <c r="L1243">
        <v>0</v>
      </c>
      <c r="M1243" s="16">
        <f t="shared" ref="M1243:M1244" si="132">DAY(E1243)</f>
        <v>11</v>
      </c>
      <c r="N1243" t="str">
        <f>TEXT(MTDRejection[[#This Row],[RejectionDate]],"dddd")</f>
        <v>Wednesday</v>
      </c>
    </row>
    <row r="1244" spans="1:14">
      <c r="A1244" t="s">
        <v>91</v>
      </c>
      <c r="B1244" t="s">
        <v>2496</v>
      </c>
      <c r="C1244" t="s">
        <v>71</v>
      </c>
      <c r="D1244" t="s">
        <v>13</v>
      </c>
      <c r="E1244" s="7">
        <v>45637</v>
      </c>
      <c r="F1244" t="s">
        <v>2326</v>
      </c>
      <c r="G1244">
        <v>0</v>
      </c>
      <c r="H1244" t="s">
        <v>15</v>
      </c>
      <c r="I1244" t="s">
        <v>16</v>
      </c>
      <c r="J1244" t="s">
        <v>16</v>
      </c>
      <c r="K1244" s="16" t="str">
        <f>VLOOKUP(C1244,CheckName!A:B,2,0)</f>
        <v>CRC</v>
      </c>
      <c r="L1244">
        <v>0</v>
      </c>
      <c r="M1244" s="16">
        <f t="shared" si="132"/>
        <v>11</v>
      </c>
      <c r="N1244" t="str">
        <f>TEXT(MTDRejection[[#This Row],[RejectionDate]],"dddd")</f>
        <v>Wednesday</v>
      </c>
    </row>
    <row r="1245" spans="1:14">
      <c r="A1245" t="s">
        <v>383</v>
      </c>
      <c r="B1245" t="s">
        <v>3876</v>
      </c>
      <c r="C1245" t="s">
        <v>12</v>
      </c>
      <c r="D1245" t="s">
        <v>26</v>
      </c>
      <c r="E1245" s="7">
        <v>45637</v>
      </c>
      <c r="F1245" t="s">
        <v>2341</v>
      </c>
      <c r="G1245">
        <v>0</v>
      </c>
      <c r="H1245" t="s">
        <v>27</v>
      </c>
      <c r="I1245" t="s">
        <v>16</v>
      </c>
      <c r="J1245" t="s">
        <v>16</v>
      </c>
      <c r="K1245" s="16" t="str">
        <f>VLOOKUP(C1245,CheckName!A:B,2,0)</f>
        <v>Emp</v>
      </c>
      <c r="L1245">
        <v>0</v>
      </c>
      <c r="M1245" s="16">
        <f>DAY(E1245)</f>
        <v>11</v>
      </c>
      <c r="N1245" t="str">
        <f>TEXT(MTDRejection[[#This Row],[RejectionDate]],"dddd")</f>
        <v>Wednesday</v>
      </c>
    </row>
    <row r="1246" spans="1:14">
      <c r="A1246" t="s">
        <v>160</v>
      </c>
      <c r="B1246" t="s">
        <v>3877</v>
      </c>
      <c r="C1246" t="s">
        <v>125</v>
      </c>
      <c r="D1246" t="s">
        <v>26</v>
      </c>
      <c r="E1246" s="7">
        <v>45637</v>
      </c>
      <c r="F1246" t="s">
        <v>222</v>
      </c>
      <c r="G1246">
        <v>0</v>
      </c>
      <c r="H1246" t="s">
        <v>27</v>
      </c>
      <c r="I1246" t="s">
        <v>16</v>
      </c>
      <c r="J1246" t="s">
        <v>16</v>
      </c>
      <c r="K1246" s="16" t="str">
        <f>VLOOKUP(C1246,CheckName!A:B,2,0)</f>
        <v>Emp</v>
      </c>
      <c r="L1246">
        <v>0</v>
      </c>
      <c r="M1246" s="16">
        <f t="shared" ref="M1246:M1247" si="133">DAY(E1246)</f>
        <v>11</v>
      </c>
      <c r="N1246" t="str">
        <f>TEXT(MTDRejection[[#This Row],[RejectionDate]],"dddd")</f>
        <v>Wednesday</v>
      </c>
    </row>
    <row r="1247" spans="1:14">
      <c r="A1247" t="s">
        <v>461</v>
      </c>
      <c r="B1247" t="s">
        <v>3878</v>
      </c>
      <c r="C1247" t="s">
        <v>1691</v>
      </c>
      <c r="D1247" t="s">
        <v>26</v>
      </c>
      <c r="E1247" s="7">
        <v>45637</v>
      </c>
      <c r="F1247" t="s">
        <v>118</v>
      </c>
      <c r="G1247">
        <v>0</v>
      </c>
      <c r="H1247" t="s">
        <v>27</v>
      </c>
      <c r="I1247" t="s">
        <v>16</v>
      </c>
      <c r="J1247" t="s">
        <v>16</v>
      </c>
      <c r="K1247" s="16" t="str">
        <f>VLOOKUP(C1247,CheckName!A:B,2,0)</f>
        <v>CRC</v>
      </c>
      <c r="L1247">
        <v>0</v>
      </c>
      <c r="M1247" s="16">
        <f t="shared" si="133"/>
        <v>11</v>
      </c>
      <c r="N1247" t="str">
        <f>TEXT(MTDRejection[[#This Row],[RejectionDate]],"dddd")</f>
        <v>Wednesday</v>
      </c>
    </row>
    <row r="1248" spans="1:14">
      <c r="A1248" t="s">
        <v>996</v>
      </c>
      <c r="B1248" t="s">
        <v>3879</v>
      </c>
      <c r="C1248" t="s">
        <v>125</v>
      </c>
      <c r="D1248" t="s">
        <v>26</v>
      </c>
      <c r="E1248" s="7">
        <v>45637</v>
      </c>
      <c r="F1248" t="s">
        <v>2355</v>
      </c>
      <c r="G1248">
        <v>0</v>
      </c>
      <c r="H1248" t="s">
        <v>27</v>
      </c>
      <c r="I1248" t="s">
        <v>16</v>
      </c>
      <c r="J1248" t="s">
        <v>16</v>
      </c>
      <c r="K1248" s="16" t="str">
        <f>VLOOKUP(C1248,CheckName!A:B,2,0)</f>
        <v>Emp</v>
      </c>
      <c r="L1248">
        <v>0</v>
      </c>
      <c r="M1248" s="16">
        <f>DAY(E1248)</f>
        <v>11</v>
      </c>
      <c r="N1248" t="str">
        <f>TEXT(MTDRejection[[#This Row],[RejectionDate]],"dddd")</f>
        <v>Wednesday</v>
      </c>
    </row>
    <row r="1249" spans="1:14">
      <c r="A1249" t="s">
        <v>160</v>
      </c>
      <c r="B1249" t="s">
        <v>3880</v>
      </c>
      <c r="C1249" t="s">
        <v>125</v>
      </c>
      <c r="D1249" t="s">
        <v>26</v>
      </c>
      <c r="E1249" s="7">
        <v>45637</v>
      </c>
      <c r="F1249" t="s">
        <v>162</v>
      </c>
      <c r="G1249">
        <v>0</v>
      </c>
      <c r="H1249" t="s">
        <v>27</v>
      </c>
      <c r="I1249" t="s">
        <v>16</v>
      </c>
      <c r="J1249" t="s">
        <v>16</v>
      </c>
      <c r="K1249" s="16" t="str">
        <f>VLOOKUP(C1249,CheckName!A:B,2,0)</f>
        <v>Emp</v>
      </c>
      <c r="L1249">
        <v>0</v>
      </c>
      <c r="M1249" s="16">
        <f t="shared" ref="M1249:M1250" si="134">DAY(E1249)</f>
        <v>11</v>
      </c>
      <c r="N1249" t="str">
        <f>TEXT(MTDRejection[[#This Row],[RejectionDate]],"dddd")</f>
        <v>Wednesday</v>
      </c>
    </row>
    <row r="1250" spans="1:14">
      <c r="A1250" t="s">
        <v>176</v>
      </c>
      <c r="B1250" t="s">
        <v>3881</v>
      </c>
      <c r="C1250" t="s">
        <v>36</v>
      </c>
      <c r="D1250" t="s">
        <v>26</v>
      </c>
      <c r="E1250" s="7">
        <v>45637</v>
      </c>
      <c r="F1250" t="s">
        <v>311</v>
      </c>
      <c r="G1250">
        <v>0</v>
      </c>
      <c r="H1250" t="s">
        <v>27</v>
      </c>
      <c r="I1250" t="s">
        <v>16</v>
      </c>
      <c r="J1250" t="s">
        <v>16</v>
      </c>
      <c r="K1250" s="16" t="str">
        <f>VLOOKUP(C1250,CheckName!A:B,2,0)</f>
        <v>Emp</v>
      </c>
      <c r="L1250">
        <v>0</v>
      </c>
      <c r="M1250" s="16">
        <f t="shared" si="134"/>
        <v>11</v>
      </c>
      <c r="N1250" t="str">
        <f>TEXT(MTDRejection[[#This Row],[RejectionDate]],"dddd")</f>
        <v>Wednesday</v>
      </c>
    </row>
    <row r="1251" spans="1:14">
      <c r="A1251" t="s">
        <v>1358</v>
      </c>
      <c r="B1251" t="s">
        <v>3882</v>
      </c>
      <c r="C1251" t="s">
        <v>19</v>
      </c>
      <c r="D1251" t="s">
        <v>20</v>
      </c>
      <c r="E1251" s="7">
        <v>45637</v>
      </c>
      <c r="F1251" t="s">
        <v>273</v>
      </c>
      <c r="G1251">
        <v>0</v>
      </c>
      <c r="H1251" t="s">
        <v>22</v>
      </c>
      <c r="I1251" t="s">
        <v>16</v>
      </c>
      <c r="J1251" t="s">
        <v>16</v>
      </c>
      <c r="K1251" s="16" t="str">
        <f>VLOOKUP(C1251,CheckName!A:B,2,0)</f>
        <v>Add</v>
      </c>
      <c r="L1251">
        <v>0</v>
      </c>
      <c r="M1251" s="16">
        <f t="shared" ref="M1251:M1252" si="135">DAY(E1251)</f>
        <v>11</v>
      </c>
      <c r="N1251" t="str">
        <f>TEXT(MTDRejection[[#This Row],[RejectionDate]],"dddd")</f>
        <v>Wednesday</v>
      </c>
    </row>
    <row r="1252" spans="1:14">
      <c r="A1252" t="s">
        <v>137</v>
      </c>
      <c r="B1252" t="s">
        <v>3883</v>
      </c>
      <c r="C1252" t="s">
        <v>12</v>
      </c>
      <c r="D1252" t="s">
        <v>26</v>
      </c>
      <c r="E1252" s="7">
        <v>45637</v>
      </c>
      <c r="F1252" t="s">
        <v>277</v>
      </c>
      <c r="G1252">
        <v>0</v>
      </c>
      <c r="H1252" t="s">
        <v>27</v>
      </c>
      <c r="I1252" t="s">
        <v>16</v>
      </c>
      <c r="J1252" t="s">
        <v>16</v>
      </c>
      <c r="K1252" s="16" t="str">
        <f>VLOOKUP(C1252,CheckName!A:B,2,0)</f>
        <v>Emp</v>
      </c>
      <c r="L1252">
        <v>0</v>
      </c>
      <c r="M1252" s="16">
        <f t="shared" si="135"/>
        <v>11</v>
      </c>
      <c r="N1252" t="str">
        <f>TEXT(MTDRejection[[#This Row],[RejectionDate]],"dddd")</f>
        <v>Wednesday</v>
      </c>
    </row>
    <row r="1253" spans="1:14">
      <c r="A1253" t="s">
        <v>100</v>
      </c>
      <c r="B1253" t="s">
        <v>1841</v>
      </c>
      <c r="C1253" t="s">
        <v>359</v>
      </c>
      <c r="D1253" t="s">
        <v>26</v>
      </c>
      <c r="E1253" s="7">
        <v>45637</v>
      </c>
      <c r="F1253" t="s">
        <v>380</v>
      </c>
      <c r="G1253">
        <v>0</v>
      </c>
      <c r="H1253" t="s">
        <v>30</v>
      </c>
      <c r="I1253" t="s">
        <v>16</v>
      </c>
      <c r="J1253" t="s">
        <v>16</v>
      </c>
      <c r="K1253" s="16" t="str">
        <f>VLOOKUP(C1253,CheckName!A:B,2,0)</f>
        <v>Emp</v>
      </c>
      <c r="L1253">
        <v>0</v>
      </c>
      <c r="M1253" s="16">
        <f t="shared" ref="M1253:M1255" si="136">DAY(E1253)</f>
        <v>11</v>
      </c>
      <c r="N1253" t="str">
        <f>TEXT(MTDRejection[[#This Row],[RejectionDate]],"dddd")</f>
        <v>Wednesday</v>
      </c>
    </row>
    <row r="1254" spans="1:14">
      <c r="A1254" t="s">
        <v>432</v>
      </c>
      <c r="B1254" t="s">
        <v>3884</v>
      </c>
      <c r="C1254" t="s">
        <v>125</v>
      </c>
      <c r="D1254" t="s">
        <v>26</v>
      </c>
      <c r="E1254" s="7">
        <v>45637</v>
      </c>
      <c r="F1254" t="s">
        <v>115</v>
      </c>
      <c r="G1254">
        <v>0</v>
      </c>
      <c r="H1254" t="s">
        <v>22</v>
      </c>
      <c r="I1254" t="s">
        <v>16</v>
      </c>
      <c r="J1254" t="s">
        <v>16</v>
      </c>
      <c r="K1254" s="16" t="str">
        <f>VLOOKUP(C1254,CheckName!A:B,2,0)</f>
        <v>Emp</v>
      </c>
      <c r="L1254">
        <v>0</v>
      </c>
      <c r="M1254" s="16">
        <f t="shared" si="136"/>
        <v>11</v>
      </c>
      <c r="N1254" t="str">
        <f>TEXT(MTDRejection[[#This Row],[RejectionDate]],"dddd")</f>
        <v>Wednesday</v>
      </c>
    </row>
    <row r="1255" spans="1:14">
      <c r="A1255" t="s">
        <v>73</v>
      </c>
      <c r="B1255" t="s">
        <v>3885</v>
      </c>
      <c r="C1255" t="s">
        <v>71</v>
      </c>
      <c r="D1255" t="s">
        <v>26</v>
      </c>
      <c r="E1255" s="7">
        <v>45637</v>
      </c>
      <c r="F1255" t="s">
        <v>118</v>
      </c>
      <c r="G1255">
        <v>0</v>
      </c>
      <c r="H1255" t="s">
        <v>27</v>
      </c>
      <c r="I1255" t="s">
        <v>16</v>
      </c>
      <c r="J1255" t="s">
        <v>16</v>
      </c>
      <c r="K1255" s="16" t="str">
        <f>VLOOKUP(C1255,CheckName!A:B,2,0)</f>
        <v>CRC</v>
      </c>
      <c r="L1255">
        <v>0</v>
      </c>
      <c r="M1255" s="16">
        <f t="shared" si="136"/>
        <v>11</v>
      </c>
      <c r="N1255" t="str">
        <f>TEXT(MTDRejection[[#This Row],[RejectionDate]],"dddd")</f>
        <v>Wednesday</v>
      </c>
    </row>
    <row r="1256" spans="1:14">
      <c r="A1256" t="s">
        <v>1570</v>
      </c>
      <c r="B1256" t="s">
        <v>3886</v>
      </c>
      <c r="C1256" t="s">
        <v>19</v>
      </c>
      <c r="D1256" t="s">
        <v>26</v>
      </c>
      <c r="E1256" s="7">
        <v>45637</v>
      </c>
      <c r="F1256" t="s">
        <v>273</v>
      </c>
      <c r="G1256">
        <v>0</v>
      </c>
      <c r="H1256" t="s">
        <v>27</v>
      </c>
      <c r="I1256" t="s">
        <v>16</v>
      </c>
      <c r="J1256" t="s">
        <v>16</v>
      </c>
      <c r="K1256" s="16" t="str">
        <f>VLOOKUP(C1256,CheckName!A:B,2,0)</f>
        <v>Add</v>
      </c>
      <c r="L1256">
        <v>0</v>
      </c>
      <c r="M1256" s="16">
        <f t="shared" ref="M1256:M1262" si="137">DAY(E1256)</f>
        <v>11</v>
      </c>
      <c r="N1256" t="str">
        <f>TEXT(MTDRejection[[#This Row],[RejectionDate]],"dddd")</f>
        <v>Wednesday</v>
      </c>
    </row>
    <row r="1257" spans="1:14">
      <c r="A1257" t="s">
        <v>45</v>
      </c>
      <c r="B1257" t="s">
        <v>3887</v>
      </c>
      <c r="C1257" t="s">
        <v>19</v>
      </c>
      <c r="D1257" t="s">
        <v>26</v>
      </c>
      <c r="E1257" s="7">
        <v>45637</v>
      </c>
      <c r="F1257" t="s">
        <v>2330</v>
      </c>
      <c r="G1257">
        <v>0</v>
      </c>
      <c r="H1257" t="s">
        <v>22</v>
      </c>
      <c r="I1257" t="s">
        <v>16</v>
      </c>
      <c r="J1257" t="s">
        <v>16</v>
      </c>
      <c r="K1257" s="16" t="str">
        <f>VLOOKUP(C1257,CheckName!A:B,2,0)</f>
        <v>Add</v>
      </c>
      <c r="L1257">
        <v>0</v>
      </c>
      <c r="M1257" s="16">
        <f t="shared" si="137"/>
        <v>11</v>
      </c>
      <c r="N1257" t="str">
        <f>TEXT(MTDRejection[[#This Row],[RejectionDate]],"dddd")</f>
        <v>Wednesday</v>
      </c>
    </row>
    <row r="1258" spans="1:14">
      <c r="A1258" t="s">
        <v>160</v>
      </c>
      <c r="B1258" t="s">
        <v>3888</v>
      </c>
      <c r="C1258" t="s">
        <v>125</v>
      </c>
      <c r="D1258" t="s">
        <v>26</v>
      </c>
      <c r="E1258" s="7">
        <v>45636</v>
      </c>
      <c r="F1258" t="s">
        <v>1139</v>
      </c>
      <c r="G1258">
        <v>1</v>
      </c>
      <c r="H1258" t="s">
        <v>27</v>
      </c>
      <c r="I1258" t="s">
        <v>16</v>
      </c>
      <c r="J1258" t="s">
        <v>16</v>
      </c>
      <c r="K1258" s="16" t="str">
        <f>VLOOKUP(C1258,CheckName!A:B,2,0)</f>
        <v>Emp</v>
      </c>
      <c r="L1258">
        <v>0</v>
      </c>
      <c r="M1258" s="16">
        <f t="shared" si="137"/>
        <v>10</v>
      </c>
      <c r="N1258" t="str">
        <f>TEXT(MTDRejection[[#This Row],[RejectionDate]],"dddd")</f>
        <v>Tuesday</v>
      </c>
    </row>
    <row r="1259" spans="1:14">
      <c r="A1259" t="s">
        <v>383</v>
      </c>
      <c r="B1259" t="s">
        <v>2497</v>
      </c>
      <c r="C1259" t="s">
        <v>12</v>
      </c>
      <c r="D1259" t="s">
        <v>26</v>
      </c>
      <c r="E1259" s="7">
        <v>45636</v>
      </c>
      <c r="F1259" t="s">
        <v>162</v>
      </c>
      <c r="G1259">
        <v>1</v>
      </c>
      <c r="H1259" t="s">
        <v>27</v>
      </c>
      <c r="I1259" t="s">
        <v>16</v>
      </c>
      <c r="J1259" t="s">
        <v>16</v>
      </c>
      <c r="K1259" s="16" t="str">
        <f>VLOOKUP(C1259,CheckName!A:B,2,0)</f>
        <v>Emp</v>
      </c>
      <c r="L1259">
        <v>0</v>
      </c>
      <c r="M1259" s="16">
        <f t="shared" si="137"/>
        <v>10</v>
      </c>
      <c r="N1259" t="str">
        <f>TEXT(MTDRejection[[#This Row],[RejectionDate]],"dddd")</f>
        <v>Tuesday</v>
      </c>
    </row>
    <row r="1260" spans="1:14">
      <c r="A1260" t="s">
        <v>1842</v>
      </c>
      <c r="B1260" t="s">
        <v>3889</v>
      </c>
      <c r="C1260" t="s">
        <v>125</v>
      </c>
      <c r="D1260" t="s">
        <v>13</v>
      </c>
      <c r="E1260" s="7">
        <v>45636</v>
      </c>
      <c r="F1260" t="s">
        <v>1013</v>
      </c>
      <c r="G1260">
        <v>1</v>
      </c>
      <c r="H1260" t="s">
        <v>15</v>
      </c>
      <c r="I1260" t="s">
        <v>16</v>
      </c>
      <c r="J1260" t="s">
        <v>16</v>
      </c>
      <c r="K1260" s="16" t="str">
        <f>VLOOKUP(C1260,CheckName!A:B,2,0)</f>
        <v>Emp</v>
      </c>
      <c r="L1260">
        <v>0</v>
      </c>
      <c r="M1260" s="16">
        <f t="shared" si="137"/>
        <v>10</v>
      </c>
      <c r="N1260" t="str">
        <f>TEXT(MTDRejection[[#This Row],[RejectionDate]],"dddd")</f>
        <v>Tuesday</v>
      </c>
    </row>
    <row r="1261" spans="1:14">
      <c r="A1261" t="s">
        <v>45</v>
      </c>
      <c r="B1261" t="s">
        <v>3890</v>
      </c>
      <c r="C1261" t="s">
        <v>12</v>
      </c>
      <c r="D1261" t="s">
        <v>26</v>
      </c>
      <c r="E1261" s="7">
        <v>45635</v>
      </c>
      <c r="F1261" t="s">
        <v>224</v>
      </c>
      <c r="G1261">
        <v>2</v>
      </c>
      <c r="H1261" t="s">
        <v>27</v>
      </c>
      <c r="I1261" t="s">
        <v>16</v>
      </c>
      <c r="J1261" t="s">
        <v>16</v>
      </c>
      <c r="K1261" s="16" t="str">
        <f>VLOOKUP(C1261,CheckName!A:B,2,0)</f>
        <v>Emp</v>
      </c>
      <c r="L1261">
        <v>0</v>
      </c>
      <c r="M1261" s="16">
        <f t="shared" si="137"/>
        <v>9</v>
      </c>
      <c r="N1261" t="str">
        <f>TEXT(MTDRejection[[#This Row],[RejectionDate]],"dddd")</f>
        <v>Monday</v>
      </c>
    </row>
    <row r="1262" spans="1:14">
      <c r="A1262" t="s">
        <v>165</v>
      </c>
      <c r="B1262" t="s">
        <v>3891</v>
      </c>
      <c r="C1262" t="s">
        <v>36</v>
      </c>
      <c r="D1262" t="s">
        <v>26</v>
      </c>
      <c r="E1262" s="7">
        <v>45631</v>
      </c>
      <c r="F1262" t="s">
        <v>2339</v>
      </c>
      <c r="G1262">
        <v>6</v>
      </c>
      <c r="H1262" t="s">
        <v>27</v>
      </c>
      <c r="I1262" t="s">
        <v>16</v>
      </c>
      <c r="J1262" t="s">
        <v>16</v>
      </c>
      <c r="K1262" s="16" t="str">
        <f>VLOOKUP(C1262,CheckName!A:B,2,0)</f>
        <v>Emp</v>
      </c>
      <c r="L1262">
        <v>0</v>
      </c>
      <c r="M1262" s="16">
        <f t="shared" si="137"/>
        <v>5</v>
      </c>
      <c r="N1262" t="str">
        <f>TEXT(MTDRejection[[#This Row],[RejectionDate]],"dddd")</f>
        <v>Thursday</v>
      </c>
    </row>
    <row r="1263" spans="1:14">
      <c r="A1263" t="s">
        <v>216</v>
      </c>
      <c r="B1263" t="s">
        <v>1844</v>
      </c>
      <c r="C1263" t="s">
        <v>1843</v>
      </c>
      <c r="D1263" t="s">
        <v>13</v>
      </c>
      <c r="E1263" s="7">
        <v>45637</v>
      </c>
      <c r="F1263" t="s">
        <v>844</v>
      </c>
      <c r="G1263">
        <v>0</v>
      </c>
      <c r="H1263" t="s">
        <v>15</v>
      </c>
      <c r="I1263" t="s">
        <v>16</v>
      </c>
      <c r="J1263" t="s">
        <v>16</v>
      </c>
      <c r="K1263" s="16" t="str">
        <f>VLOOKUP(C1263,CheckName!A:B,2,0)</f>
        <v>Special Check</v>
      </c>
      <c r="L1263">
        <v>0</v>
      </c>
      <c r="M1263" s="16">
        <f t="shared" ref="M1263:M1264" si="138">DAY(E1263)</f>
        <v>11</v>
      </c>
      <c r="N1263" t="str">
        <f>TEXT(MTDRejection[[#This Row],[RejectionDate]],"dddd")</f>
        <v>Wednesday</v>
      </c>
    </row>
    <row r="1264" spans="1:14">
      <c r="A1264" t="s">
        <v>216</v>
      </c>
      <c r="B1264" t="s">
        <v>3892</v>
      </c>
      <c r="C1264" t="s">
        <v>25</v>
      </c>
      <c r="D1264" t="s">
        <v>13</v>
      </c>
      <c r="E1264" s="7">
        <v>45637</v>
      </c>
      <c r="F1264" t="s">
        <v>844</v>
      </c>
      <c r="G1264">
        <v>0</v>
      </c>
      <c r="H1264" t="s">
        <v>15</v>
      </c>
      <c r="I1264" t="s">
        <v>16</v>
      </c>
      <c r="J1264" t="s">
        <v>16</v>
      </c>
      <c r="K1264" s="16" t="str">
        <f>VLOOKUP(C1264,CheckName!A:B,2,0)</f>
        <v>Add</v>
      </c>
      <c r="L1264">
        <v>0</v>
      </c>
      <c r="M1264" s="16">
        <f t="shared" si="138"/>
        <v>11</v>
      </c>
      <c r="N1264" t="str">
        <f>TEXT(MTDRejection[[#This Row],[RejectionDate]],"dddd")</f>
        <v>Wednesday</v>
      </c>
    </row>
    <row r="1265" spans="1:14">
      <c r="A1265" t="s">
        <v>216</v>
      </c>
      <c r="B1265" t="s">
        <v>3893</v>
      </c>
      <c r="C1265" t="s">
        <v>1730</v>
      </c>
      <c r="D1265" t="s">
        <v>13</v>
      </c>
      <c r="E1265" s="7">
        <v>45637</v>
      </c>
      <c r="F1265" t="s">
        <v>844</v>
      </c>
      <c r="G1265">
        <v>0</v>
      </c>
      <c r="H1265" t="s">
        <v>15</v>
      </c>
      <c r="I1265" t="s">
        <v>16</v>
      </c>
      <c r="J1265" t="s">
        <v>16</v>
      </c>
      <c r="K1265" s="16" t="str">
        <f>VLOOKUP(C1265,CheckName!A:B,2,0)</f>
        <v>Special Check</v>
      </c>
      <c r="L1265">
        <v>0</v>
      </c>
      <c r="M1265" s="16">
        <f>DAY(E1265)</f>
        <v>11</v>
      </c>
      <c r="N1265" t="str">
        <f>TEXT(MTDRejection[[#This Row],[RejectionDate]],"dddd")</f>
        <v>Wednesday</v>
      </c>
    </row>
    <row r="1266" spans="1:14">
      <c r="A1266" t="s">
        <v>306</v>
      </c>
      <c r="B1266" t="s">
        <v>3894</v>
      </c>
      <c r="C1266" t="s">
        <v>19</v>
      </c>
      <c r="D1266" t="s">
        <v>13</v>
      </c>
      <c r="E1266" s="7">
        <v>45637</v>
      </c>
      <c r="F1266" t="s">
        <v>2345</v>
      </c>
      <c r="G1266">
        <v>0</v>
      </c>
      <c r="H1266" t="s">
        <v>30</v>
      </c>
      <c r="I1266" t="s">
        <v>16</v>
      </c>
      <c r="J1266" t="s">
        <v>16</v>
      </c>
      <c r="K1266" s="16" t="str">
        <f>VLOOKUP(C1266,CheckName!A:B,2,0)</f>
        <v>Add</v>
      </c>
      <c r="L1266">
        <v>0</v>
      </c>
      <c r="M1266" s="16">
        <f t="shared" ref="M1266:M1269" si="139">DAY(E1266)</f>
        <v>11</v>
      </c>
      <c r="N1266" t="str">
        <f>TEXT(MTDRejection[[#This Row],[RejectionDate]],"dddd")</f>
        <v>Wednesday</v>
      </c>
    </row>
    <row r="1267" spans="1:14">
      <c r="A1267" t="s">
        <v>306</v>
      </c>
      <c r="B1267" t="s">
        <v>3895</v>
      </c>
      <c r="C1267" t="s">
        <v>25</v>
      </c>
      <c r="D1267" t="s">
        <v>13</v>
      </c>
      <c r="E1267" s="7">
        <v>45637</v>
      </c>
      <c r="F1267" t="s">
        <v>2345</v>
      </c>
      <c r="G1267">
        <v>0</v>
      </c>
      <c r="H1267" t="s">
        <v>30</v>
      </c>
      <c r="I1267" t="s">
        <v>16</v>
      </c>
      <c r="J1267" t="s">
        <v>16</v>
      </c>
      <c r="K1267" s="16" t="str">
        <f>VLOOKUP(C1267,CheckName!A:B,2,0)</f>
        <v>Add</v>
      </c>
      <c r="L1267">
        <v>0</v>
      </c>
      <c r="M1267" s="16">
        <f t="shared" si="139"/>
        <v>11</v>
      </c>
      <c r="N1267" t="str">
        <f>TEXT(MTDRejection[[#This Row],[RejectionDate]],"dddd")</f>
        <v>Wednesday</v>
      </c>
    </row>
    <row r="1268" spans="1:14">
      <c r="A1268" t="s">
        <v>84</v>
      </c>
      <c r="B1268" t="s">
        <v>2050</v>
      </c>
      <c r="C1268" t="s">
        <v>54</v>
      </c>
      <c r="D1268" t="s">
        <v>13</v>
      </c>
      <c r="E1268" s="7">
        <v>45637</v>
      </c>
      <c r="F1268" t="s">
        <v>706</v>
      </c>
      <c r="G1268">
        <v>0</v>
      </c>
      <c r="H1268" t="s">
        <v>15</v>
      </c>
      <c r="I1268" t="s">
        <v>16</v>
      </c>
      <c r="J1268" t="s">
        <v>16</v>
      </c>
      <c r="K1268" s="16" t="str">
        <f>VLOOKUP(C1268,CheckName!A:B,2,0)</f>
        <v>Edu</v>
      </c>
      <c r="L1268">
        <v>0</v>
      </c>
      <c r="M1268" s="16">
        <f t="shared" si="139"/>
        <v>11</v>
      </c>
      <c r="N1268" t="str">
        <f>TEXT(MTDRejection[[#This Row],[RejectionDate]],"dddd")</f>
        <v>Wednesday</v>
      </c>
    </row>
    <row r="1269" spans="1:14">
      <c r="A1269" t="s">
        <v>306</v>
      </c>
      <c r="B1269" t="s">
        <v>3896</v>
      </c>
      <c r="C1269" t="s">
        <v>25</v>
      </c>
      <c r="D1269" t="s">
        <v>51</v>
      </c>
      <c r="E1269" s="7">
        <v>45637</v>
      </c>
      <c r="F1269" t="s">
        <v>2349</v>
      </c>
      <c r="G1269">
        <v>0</v>
      </c>
      <c r="H1269" t="s">
        <v>53</v>
      </c>
      <c r="I1269" t="s">
        <v>16</v>
      </c>
      <c r="J1269" t="s">
        <v>16</v>
      </c>
      <c r="K1269" s="16" t="str">
        <f>VLOOKUP(C1269,CheckName!A:B,2,0)</f>
        <v>Add</v>
      </c>
      <c r="L1269">
        <v>0</v>
      </c>
      <c r="M1269" s="16">
        <f t="shared" si="139"/>
        <v>11</v>
      </c>
      <c r="N1269" t="str">
        <f>TEXT(MTDRejection[[#This Row],[RejectionDate]],"dddd")</f>
        <v>Wednesday</v>
      </c>
    </row>
    <row r="1270" spans="1:14">
      <c r="A1270" t="s">
        <v>45</v>
      </c>
      <c r="B1270" t="s">
        <v>2498</v>
      </c>
      <c r="C1270" t="s">
        <v>12</v>
      </c>
      <c r="D1270" t="s">
        <v>13</v>
      </c>
      <c r="E1270" s="7">
        <v>45637</v>
      </c>
      <c r="F1270" t="s">
        <v>492</v>
      </c>
      <c r="G1270">
        <v>0</v>
      </c>
      <c r="H1270" t="s">
        <v>15</v>
      </c>
      <c r="I1270" t="s">
        <v>16</v>
      </c>
      <c r="J1270" t="s">
        <v>16</v>
      </c>
      <c r="K1270" s="16" t="str">
        <f>VLOOKUP(C1270,CheckName!A:B,2,0)</f>
        <v>Emp</v>
      </c>
      <c r="L1270">
        <v>0</v>
      </c>
      <c r="M1270" s="16">
        <f t="shared" ref="M1270:M1271" si="140">DAY(E1270)</f>
        <v>11</v>
      </c>
      <c r="N1270" t="str">
        <f>TEXT(MTDRejection[[#This Row],[RejectionDate]],"dddd")</f>
        <v>Wednesday</v>
      </c>
    </row>
    <row r="1271" spans="1:14">
      <c r="A1271" t="s">
        <v>216</v>
      </c>
      <c r="B1271" t="s">
        <v>3897</v>
      </c>
      <c r="C1271" t="s">
        <v>71</v>
      </c>
      <c r="D1271" t="s">
        <v>13</v>
      </c>
      <c r="E1271" s="7">
        <v>45637</v>
      </c>
      <c r="F1271" t="s">
        <v>1013</v>
      </c>
      <c r="G1271">
        <v>0</v>
      </c>
      <c r="H1271" t="s">
        <v>15</v>
      </c>
      <c r="I1271" t="s">
        <v>16</v>
      </c>
      <c r="J1271" t="s">
        <v>16</v>
      </c>
      <c r="K1271" s="16" t="str">
        <f>VLOOKUP(C1271,CheckName!A:B,2,0)</f>
        <v>CRC</v>
      </c>
      <c r="L1271">
        <v>0</v>
      </c>
      <c r="M1271" s="16">
        <f t="shared" si="140"/>
        <v>11</v>
      </c>
      <c r="N1271" t="str">
        <f>TEXT(MTDRejection[[#This Row],[RejectionDate]],"dddd")</f>
        <v>Wednesday</v>
      </c>
    </row>
    <row r="1272" spans="1:14">
      <c r="A1272" t="s">
        <v>133</v>
      </c>
      <c r="B1272" t="s">
        <v>3898</v>
      </c>
      <c r="C1272" t="s">
        <v>12</v>
      </c>
      <c r="D1272" t="s">
        <v>26</v>
      </c>
      <c r="E1272" s="7">
        <v>45637</v>
      </c>
      <c r="F1272" t="s">
        <v>2354</v>
      </c>
      <c r="G1272">
        <v>0</v>
      </c>
      <c r="H1272" t="s">
        <v>27</v>
      </c>
      <c r="I1272" t="s">
        <v>16</v>
      </c>
      <c r="J1272" t="s">
        <v>16</v>
      </c>
      <c r="K1272" s="16" t="str">
        <f>VLOOKUP(C1272,CheckName!A:B,2,0)</f>
        <v>Emp</v>
      </c>
      <c r="L1272">
        <v>0</v>
      </c>
      <c r="M1272" s="16">
        <f t="shared" ref="M1272:M1273" si="141">DAY(E1272)</f>
        <v>11</v>
      </c>
      <c r="N1272" t="str">
        <f>TEXT(MTDRejection[[#This Row],[RejectionDate]],"dddd")</f>
        <v>Wednesday</v>
      </c>
    </row>
    <row r="1273" spans="1:14">
      <c r="A1273" t="s">
        <v>1846</v>
      </c>
      <c r="B1273" t="s">
        <v>3899</v>
      </c>
      <c r="C1273" t="s">
        <v>12</v>
      </c>
      <c r="D1273" t="s">
        <v>26</v>
      </c>
      <c r="E1273" s="7">
        <v>45637</v>
      </c>
      <c r="F1273" t="s">
        <v>721</v>
      </c>
      <c r="G1273">
        <v>0</v>
      </c>
      <c r="H1273" t="s">
        <v>27</v>
      </c>
      <c r="I1273" t="s">
        <v>16</v>
      </c>
      <c r="J1273" t="s">
        <v>16</v>
      </c>
      <c r="K1273" s="16" t="str">
        <f>VLOOKUP(C1273,CheckName!A:B,2,0)</f>
        <v>Emp</v>
      </c>
      <c r="L1273">
        <v>0</v>
      </c>
      <c r="M1273" s="16">
        <f t="shared" si="141"/>
        <v>11</v>
      </c>
      <c r="N1273" t="str">
        <f>TEXT(MTDRejection[[#This Row],[RejectionDate]],"dddd")</f>
        <v>Wednesday</v>
      </c>
    </row>
    <row r="1274" spans="1:14">
      <c r="A1274" t="s">
        <v>853</v>
      </c>
      <c r="B1274" t="s">
        <v>2499</v>
      </c>
      <c r="C1274" t="s">
        <v>12</v>
      </c>
      <c r="D1274" t="s">
        <v>26</v>
      </c>
      <c r="E1274" s="7">
        <v>45637</v>
      </c>
      <c r="F1274" t="s">
        <v>184</v>
      </c>
      <c r="G1274">
        <v>0</v>
      </c>
      <c r="H1274" t="s">
        <v>22</v>
      </c>
      <c r="I1274" t="s">
        <v>16</v>
      </c>
      <c r="J1274" t="s">
        <v>16</v>
      </c>
      <c r="K1274" s="16" t="str">
        <f>VLOOKUP(C1274,CheckName!A:B,2,0)</f>
        <v>Emp</v>
      </c>
      <c r="L1274">
        <v>0</v>
      </c>
      <c r="M1274" s="16">
        <f t="shared" ref="M1274:M1275" si="142">DAY(E1274)</f>
        <v>11</v>
      </c>
      <c r="N1274" t="str">
        <f>TEXT(MTDRejection[[#This Row],[RejectionDate]],"dddd")</f>
        <v>Wednesday</v>
      </c>
    </row>
    <row r="1275" spans="1:14">
      <c r="A1275" t="s">
        <v>91</v>
      </c>
      <c r="B1275" t="s">
        <v>2500</v>
      </c>
      <c r="C1275" t="s">
        <v>93</v>
      </c>
      <c r="D1275" t="s">
        <v>26</v>
      </c>
      <c r="E1275" s="7">
        <v>45637</v>
      </c>
      <c r="F1275" t="s">
        <v>188</v>
      </c>
      <c r="G1275">
        <v>0</v>
      </c>
      <c r="H1275" t="s">
        <v>27</v>
      </c>
      <c r="I1275" t="s">
        <v>16</v>
      </c>
      <c r="J1275" t="s">
        <v>16</v>
      </c>
      <c r="K1275" s="16" t="str">
        <f>VLOOKUP(C1275,CheckName!A:B,2,0)</f>
        <v>Edu</v>
      </c>
      <c r="L1275">
        <v>0</v>
      </c>
      <c r="M1275" s="16">
        <f t="shared" si="142"/>
        <v>11</v>
      </c>
      <c r="N1275" t="str">
        <f>TEXT(MTDRejection[[#This Row],[RejectionDate]],"dddd")</f>
        <v>Wednesday</v>
      </c>
    </row>
    <row r="1276" spans="1:14">
      <c r="A1276" t="s">
        <v>876</v>
      </c>
      <c r="B1276" t="s">
        <v>3900</v>
      </c>
      <c r="C1276" t="s">
        <v>25</v>
      </c>
      <c r="D1276" t="s">
        <v>26</v>
      </c>
      <c r="E1276" s="7">
        <v>45637</v>
      </c>
      <c r="F1276" t="s">
        <v>273</v>
      </c>
      <c r="G1276">
        <v>0</v>
      </c>
      <c r="H1276" t="s">
        <v>27</v>
      </c>
      <c r="I1276" t="s">
        <v>16</v>
      </c>
      <c r="J1276" t="s">
        <v>16</v>
      </c>
      <c r="K1276" s="16" t="str">
        <f>VLOOKUP(C1276,CheckName!A:B,2,0)</f>
        <v>Add</v>
      </c>
      <c r="L1276">
        <v>0</v>
      </c>
      <c r="M1276" s="16">
        <f>DAY(E1276)</f>
        <v>11</v>
      </c>
      <c r="N1276" t="str">
        <f>TEXT(MTDRejection[[#This Row],[RejectionDate]],"dddd")</f>
        <v>Wednesday</v>
      </c>
    </row>
    <row r="1277" spans="1:14">
      <c r="A1277" t="s">
        <v>1847</v>
      </c>
      <c r="B1277" t="s">
        <v>3901</v>
      </c>
      <c r="C1277" t="s">
        <v>12</v>
      </c>
      <c r="D1277" t="s">
        <v>26</v>
      </c>
      <c r="E1277" s="7">
        <v>45637</v>
      </c>
      <c r="F1277" t="s">
        <v>721</v>
      </c>
      <c r="G1277">
        <v>0</v>
      </c>
      <c r="H1277" t="s">
        <v>27</v>
      </c>
      <c r="I1277" t="s">
        <v>16</v>
      </c>
      <c r="J1277" t="s">
        <v>16</v>
      </c>
      <c r="K1277" s="16" t="str">
        <f>VLOOKUP(C1277,CheckName!A:B,2,0)</f>
        <v>Emp</v>
      </c>
      <c r="L1277">
        <v>0</v>
      </c>
      <c r="M1277" s="16">
        <f t="shared" ref="M1277:M1278" si="143">DAY(E1277)</f>
        <v>11</v>
      </c>
      <c r="N1277" t="str">
        <f>TEXT(MTDRejection[[#This Row],[RejectionDate]],"dddd")</f>
        <v>Wednesday</v>
      </c>
    </row>
    <row r="1278" spans="1:14">
      <c r="A1278" t="s">
        <v>812</v>
      </c>
      <c r="B1278" t="s">
        <v>3902</v>
      </c>
      <c r="C1278" t="s">
        <v>36</v>
      </c>
      <c r="D1278" t="s">
        <v>26</v>
      </c>
      <c r="E1278" s="7">
        <v>45637</v>
      </c>
      <c r="F1278" t="s">
        <v>182</v>
      </c>
      <c r="G1278">
        <v>0</v>
      </c>
      <c r="H1278" t="s">
        <v>27</v>
      </c>
      <c r="I1278" t="s">
        <v>16</v>
      </c>
      <c r="J1278" t="s">
        <v>16</v>
      </c>
      <c r="K1278" s="16" t="str">
        <f>VLOOKUP(C1278,CheckName!A:B,2,0)</f>
        <v>Emp</v>
      </c>
      <c r="L1278">
        <v>0</v>
      </c>
      <c r="M1278" s="16">
        <f t="shared" si="143"/>
        <v>11</v>
      </c>
      <c r="N1278" t="str">
        <f>TEXT(MTDRejection[[#This Row],[RejectionDate]],"dddd")</f>
        <v>Wednesday</v>
      </c>
    </row>
    <row r="1279" spans="1:14">
      <c r="A1279" t="s">
        <v>131</v>
      </c>
      <c r="B1279" t="s">
        <v>3903</v>
      </c>
      <c r="C1279" t="s">
        <v>19</v>
      </c>
      <c r="D1279" t="s">
        <v>20</v>
      </c>
      <c r="E1279" s="7">
        <v>45637</v>
      </c>
      <c r="F1279" t="s">
        <v>273</v>
      </c>
      <c r="G1279">
        <v>0</v>
      </c>
      <c r="H1279" t="s">
        <v>22</v>
      </c>
      <c r="I1279" t="s">
        <v>16</v>
      </c>
      <c r="J1279" t="s">
        <v>16</v>
      </c>
      <c r="K1279" s="16" t="str">
        <f>VLOOKUP(C1279,CheckName!A:B,2,0)</f>
        <v>Add</v>
      </c>
      <c r="L1279">
        <v>0</v>
      </c>
      <c r="M1279" s="16">
        <f t="shared" ref="M1279:M1281" si="144">DAY(E1279)</f>
        <v>11</v>
      </c>
      <c r="N1279" t="str">
        <f>TEXT(MTDRejection[[#This Row],[RejectionDate]],"dddd")</f>
        <v>Wednesday</v>
      </c>
    </row>
    <row r="1280" spans="1:14">
      <c r="A1280" t="s">
        <v>45</v>
      </c>
      <c r="B1280" t="s">
        <v>3904</v>
      </c>
      <c r="C1280" t="s">
        <v>54</v>
      </c>
      <c r="D1280" t="s">
        <v>26</v>
      </c>
      <c r="E1280" s="7">
        <v>45637</v>
      </c>
      <c r="F1280" t="s">
        <v>852</v>
      </c>
      <c r="G1280">
        <v>0</v>
      </c>
      <c r="H1280" t="s">
        <v>27</v>
      </c>
      <c r="I1280" t="s">
        <v>16</v>
      </c>
      <c r="J1280" t="s">
        <v>16</v>
      </c>
      <c r="K1280" s="16" t="str">
        <f>VLOOKUP(C1280,CheckName!A:B,2,0)</f>
        <v>Edu</v>
      </c>
      <c r="L1280">
        <v>0</v>
      </c>
      <c r="M1280" s="16">
        <f t="shared" si="144"/>
        <v>11</v>
      </c>
      <c r="N1280" t="str">
        <f>TEXT(MTDRejection[[#This Row],[RejectionDate]],"dddd")</f>
        <v>Wednesday</v>
      </c>
    </row>
    <row r="1281" spans="1:14">
      <c r="A1281" t="s">
        <v>186</v>
      </c>
      <c r="B1281" t="s">
        <v>3293</v>
      </c>
      <c r="C1281" t="s">
        <v>12</v>
      </c>
      <c r="D1281" t="s">
        <v>26</v>
      </c>
      <c r="E1281" s="7">
        <v>45637</v>
      </c>
      <c r="F1281" t="s">
        <v>184</v>
      </c>
      <c r="G1281">
        <v>0</v>
      </c>
      <c r="H1281" t="s">
        <v>27</v>
      </c>
      <c r="I1281" t="s">
        <v>16</v>
      </c>
      <c r="J1281" t="s">
        <v>16</v>
      </c>
      <c r="K1281" s="16" t="str">
        <f>VLOOKUP(C1281,CheckName!A:B,2,0)</f>
        <v>Emp</v>
      </c>
      <c r="L1281">
        <v>0</v>
      </c>
      <c r="M1281" s="16">
        <f t="shared" si="144"/>
        <v>11</v>
      </c>
      <c r="N1281" t="str">
        <f>TEXT(MTDRejection[[#This Row],[RejectionDate]],"dddd")</f>
        <v>Wednesday</v>
      </c>
    </row>
    <row r="1282" spans="1:14">
      <c r="A1282" t="s">
        <v>45</v>
      </c>
      <c r="B1282" t="s">
        <v>1194</v>
      </c>
      <c r="C1282" t="s">
        <v>19</v>
      </c>
      <c r="D1282" t="s">
        <v>20</v>
      </c>
      <c r="E1282" s="7">
        <v>45637</v>
      </c>
      <c r="F1282" t="s">
        <v>2330</v>
      </c>
      <c r="G1282">
        <v>0</v>
      </c>
      <c r="H1282" t="s">
        <v>22</v>
      </c>
      <c r="I1282" t="s">
        <v>16</v>
      </c>
      <c r="J1282" t="s">
        <v>16</v>
      </c>
      <c r="K1282" s="16" t="str">
        <f>VLOOKUP(C1282,CheckName!A:B,2,0)</f>
        <v>Add</v>
      </c>
      <c r="L1282">
        <v>0</v>
      </c>
      <c r="M1282" s="16">
        <f>DAY(E1282)</f>
        <v>11</v>
      </c>
      <c r="N1282" t="str">
        <f>TEXT(MTDRejection[[#This Row],[RejectionDate]],"dddd")</f>
        <v>Wednesday</v>
      </c>
    </row>
    <row r="1283" spans="1:14">
      <c r="A1283" t="s">
        <v>306</v>
      </c>
      <c r="B1283" t="s">
        <v>3905</v>
      </c>
      <c r="C1283" t="s">
        <v>12</v>
      </c>
      <c r="D1283" t="s">
        <v>26</v>
      </c>
      <c r="E1283" s="7">
        <v>45637</v>
      </c>
      <c r="F1283" t="s">
        <v>277</v>
      </c>
      <c r="G1283">
        <v>0</v>
      </c>
      <c r="H1283" t="s">
        <v>22</v>
      </c>
      <c r="I1283" t="s">
        <v>16</v>
      </c>
      <c r="J1283" t="s">
        <v>16</v>
      </c>
      <c r="K1283" s="16" t="str">
        <f>VLOOKUP(C1283,CheckName!A:B,2,0)</f>
        <v>Emp</v>
      </c>
      <c r="L1283">
        <v>0</v>
      </c>
      <c r="M1283" s="16">
        <f t="shared" ref="M1283:M1284" si="145">DAY(E1283)</f>
        <v>11</v>
      </c>
      <c r="N1283" t="str">
        <f>TEXT(MTDRejection[[#This Row],[RejectionDate]],"dddd")</f>
        <v>Wednesday</v>
      </c>
    </row>
    <row r="1284" spans="1:14">
      <c r="A1284" t="s">
        <v>131</v>
      </c>
      <c r="B1284" t="s">
        <v>3906</v>
      </c>
      <c r="C1284" t="s">
        <v>19</v>
      </c>
      <c r="D1284" t="s">
        <v>20</v>
      </c>
      <c r="E1284" s="7">
        <v>45637</v>
      </c>
      <c r="F1284" t="s">
        <v>273</v>
      </c>
      <c r="G1284">
        <v>0</v>
      </c>
      <c r="H1284" t="s">
        <v>22</v>
      </c>
      <c r="I1284" t="s">
        <v>16</v>
      </c>
      <c r="J1284" t="s">
        <v>16</v>
      </c>
      <c r="K1284" s="16" t="str">
        <f>VLOOKUP(C1284,CheckName!A:B,2,0)</f>
        <v>Add</v>
      </c>
      <c r="L1284">
        <v>0</v>
      </c>
      <c r="M1284" s="16">
        <f t="shared" si="145"/>
        <v>11</v>
      </c>
      <c r="N1284" t="str">
        <f>TEXT(MTDRejection[[#This Row],[RejectionDate]],"dddd")</f>
        <v>Wednesday</v>
      </c>
    </row>
    <row r="1285" spans="1:14">
      <c r="A1285" t="s">
        <v>288</v>
      </c>
      <c r="B1285" t="s">
        <v>3907</v>
      </c>
      <c r="C1285" t="s">
        <v>25</v>
      </c>
      <c r="D1285" t="s">
        <v>20</v>
      </c>
      <c r="E1285" s="7">
        <v>45637</v>
      </c>
      <c r="F1285" t="s">
        <v>129</v>
      </c>
      <c r="G1285">
        <v>0</v>
      </c>
      <c r="H1285" t="s">
        <v>22</v>
      </c>
      <c r="I1285" t="s">
        <v>16</v>
      </c>
      <c r="J1285" t="s">
        <v>16</v>
      </c>
      <c r="K1285" s="16" t="str">
        <f>VLOOKUP(C1285,CheckName!A:B,2,0)</f>
        <v>Add</v>
      </c>
      <c r="L1285">
        <v>0</v>
      </c>
      <c r="M1285" s="16">
        <f>DAY(E1285)</f>
        <v>11</v>
      </c>
      <c r="N1285" t="str">
        <f>TEXT(MTDRejection[[#This Row],[RejectionDate]],"dddd")</f>
        <v>Wednesday</v>
      </c>
    </row>
    <row r="1286" spans="1:14">
      <c r="A1286" t="s">
        <v>176</v>
      </c>
      <c r="B1286" t="s">
        <v>3908</v>
      </c>
      <c r="C1286" t="s">
        <v>12</v>
      </c>
      <c r="D1286" t="s">
        <v>38</v>
      </c>
      <c r="E1286" s="7">
        <v>45637</v>
      </c>
      <c r="F1286" t="s">
        <v>39</v>
      </c>
      <c r="G1286">
        <v>0</v>
      </c>
      <c r="H1286" t="s">
        <v>42</v>
      </c>
      <c r="I1286" t="s">
        <v>16</v>
      </c>
      <c r="J1286" t="s">
        <v>16</v>
      </c>
      <c r="K1286" s="16" t="str">
        <f>VLOOKUP(C1286,CheckName!A:B,2,0)</f>
        <v>Emp</v>
      </c>
      <c r="L1286">
        <v>0</v>
      </c>
      <c r="M1286" s="16">
        <f>DAY(E1286)</f>
        <v>11</v>
      </c>
      <c r="N1286" t="str">
        <f>TEXT(MTDRejection[[#This Row],[RejectionDate]],"dddd")</f>
        <v>Wednesday</v>
      </c>
    </row>
    <row r="1287" spans="1:14">
      <c r="A1287" t="s">
        <v>100</v>
      </c>
      <c r="B1287" t="s">
        <v>3909</v>
      </c>
      <c r="C1287" t="s">
        <v>359</v>
      </c>
      <c r="D1287" t="s">
        <v>38</v>
      </c>
      <c r="E1287" s="7">
        <v>45637</v>
      </c>
      <c r="F1287" t="s">
        <v>39</v>
      </c>
      <c r="G1287">
        <v>0</v>
      </c>
      <c r="H1287" t="s">
        <v>42</v>
      </c>
      <c r="I1287" t="s">
        <v>16</v>
      </c>
      <c r="J1287" t="s">
        <v>16</v>
      </c>
      <c r="K1287" s="16" t="str">
        <f>VLOOKUP(C1287,CheckName!A:B,2,0)</f>
        <v>Emp</v>
      </c>
      <c r="L1287">
        <v>0</v>
      </c>
      <c r="M1287" s="16">
        <f>DAY(E1287)</f>
        <v>11</v>
      </c>
      <c r="N1287" t="str">
        <f>TEXT(MTDRejection[[#This Row],[RejectionDate]],"dddd")</f>
        <v>Wednesday</v>
      </c>
    </row>
    <row r="1288" spans="1:14">
      <c r="A1288" t="s">
        <v>45</v>
      </c>
      <c r="B1288" t="s">
        <v>3910</v>
      </c>
      <c r="C1288" t="s">
        <v>54</v>
      </c>
      <c r="D1288" t="s">
        <v>26</v>
      </c>
      <c r="E1288" s="7">
        <v>45631</v>
      </c>
      <c r="F1288" t="s">
        <v>604</v>
      </c>
      <c r="G1288">
        <v>6</v>
      </c>
      <c r="H1288" t="s">
        <v>22</v>
      </c>
      <c r="I1288" t="s">
        <v>16</v>
      </c>
      <c r="J1288" t="s">
        <v>16</v>
      </c>
      <c r="K1288" s="16" t="str">
        <f>VLOOKUP(C1288,CheckName!A:B,2,0)</f>
        <v>Edu</v>
      </c>
      <c r="L1288">
        <v>0</v>
      </c>
      <c r="M1288" s="16">
        <f>DAY(E1288)</f>
        <v>5</v>
      </c>
      <c r="N1288" t="str">
        <f>TEXT(MTDRejection[[#This Row],[RejectionDate]],"dddd")</f>
        <v>Thursday</v>
      </c>
    </row>
    <row r="1289" spans="1:14">
      <c r="A1289" t="s">
        <v>211</v>
      </c>
      <c r="B1289" t="s">
        <v>3911</v>
      </c>
      <c r="C1289" t="s">
        <v>12</v>
      </c>
      <c r="D1289" t="s">
        <v>26</v>
      </c>
      <c r="E1289" s="7">
        <v>45629</v>
      </c>
      <c r="F1289" t="s">
        <v>184</v>
      </c>
      <c r="G1289">
        <v>8</v>
      </c>
      <c r="H1289" t="s">
        <v>27</v>
      </c>
      <c r="I1289" t="s">
        <v>16</v>
      </c>
      <c r="J1289" t="s">
        <v>16</v>
      </c>
      <c r="K1289" s="16" t="str">
        <f>VLOOKUP(C1289,CheckName!A:B,2,0)</f>
        <v>Emp</v>
      </c>
      <c r="L1289">
        <v>0</v>
      </c>
      <c r="M1289" s="16">
        <f>DAY(E1289)</f>
        <v>3</v>
      </c>
      <c r="N1289" t="str">
        <f>TEXT(MTDRejection[[#This Row],[RejectionDate]],"dddd")</f>
        <v>Tuesday</v>
      </c>
    </row>
    <row r="1290" spans="1:14">
      <c r="A1290" t="s">
        <v>47</v>
      </c>
      <c r="B1290" t="s">
        <v>3912</v>
      </c>
      <c r="C1290" t="s">
        <v>54</v>
      </c>
      <c r="D1290" t="s">
        <v>13</v>
      </c>
      <c r="E1290" s="7">
        <v>45637</v>
      </c>
      <c r="F1290" t="s">
        <v>2326</v>
      </c>
      <c r="G1290">
        <v>0</v>
      </c>
      <c r="H1290" t="s">
        <v>15</v>
      </c>
      <c r="I1290" t="s">
        <v>16</v>
      </c>
      <c r="J1290" t="s">
        <v>16</v>
      </c>
      <c r="K1290" s="16" t="str">
        <f>VLOOKUP(C1290,CheckName!A:B,2,0)</f>
        <v>Edu</v>
      </c>
      <c r="L1290">
        <v>0</v>
      </c>
      <c r="M1290" s="16">
        <f t="shared" ref="M1290:M1293" si="146">DAY(E1290)</f>
        <v>11</v>
      </c>
      <c r="N1290" t="str">
        <f>TEXT(MTDRejection[[#This Row],[RejectionDate]],"dddd")</f>
        <v>Wednesday</v>
      </c>
    </row>
    <row r="1291" spans="1:14">
      <c r="A1291" t="s">
        <v>172</v>
      </c>
      <c r="B1291" t="s">
        <v>3913</v>
      </c>
      <c r="C1291" t="s">
        <v>25</v>
      </c>
      <c r="D1291" t="s">
        <v>20</v>
      </c>
      <c r="E1291" s="7">
        <v>45637</v>
      </c>
      <c r="F1291" t="s">
        <v>2327</v>
      </c>
      <c r="G1291">
        <v>0</v>
      </c>
      <c r="H1291" t="s">
        <v>27</v>
      </c>
      <c r="I1291" t="s">
        <v>16</v>
      </c>
      <c r="J1291" t="s">
        <v>16</v>
      </c>
      <c r="K1291" s="16" t="str">
        <f>VLOOKUP(C1291,CheckName!A:B,2,0)</f>
        <v>Add</v>
      </c>
      <c r="L1291">
        <v>0</v>
      </c>
      <c r="M1291" s="16">
        <f t="shared" si="146"/>
        <v>11</v>
      </c>
      <c r="N1291" t="str">
        <f>TEXT(MTDRejection[[#This Row],[RejectionDate]],"dddd")</f>
        <v>Wednesday</v>
      </c>
    </row>
    <row r="1292" spans="1:14">
      <c r="A1292" t="s">
        <v>172</v>
      </c>
      <c r="B1292" t="s">
        <v>2501</v>
      </c>
      <c r="C1292" t="s">
        <v>25</v>
      </c>
      <c r="D1292" t="s">
        <v>20</v>
      </c>
      <c r="E1292" s="7">
        <v>45637</v>
      </c>
      <c r="F1292" t="s">
        <v>2327</v>
      </c>
      <c r="G1292">
        <v>0</v>
      </c>
      <c r="H1292" t="s">
        <v>27</v>
      </c>
      <c r="I1292" t="s">
        <v>16</v>
      </c>
      <c r="J1292" t="s">
        <v>16</v>
      </c>
      <c r="K1292" s="16" t="str">
        <f>VLOOKUP(C1292,CheckName!A:B,2,0)</f>
        <v>Add</v>
      </c>
      <c r="L1292">
        <v>0</v>
      </c>
      <c r="M1292" s="16">
        <f t="shared" si="146"/>
        <v>11</v>
      </c>
      <c r="N1292" t="str">
        <f>TEXT(MTDRejection[[#This Row],[RejectionDate]],"dddd")</f>
        <v>Wednesday</v>
      </c>
    </row>
    <row r="1293" spans="1:14">
      <c r="A1293" t="s">
        <v>172</v>
      </c>
      <c r="B1293" t="s">
        <v>2502</v>
      </c>
      <c r="C1293" t="s">
        <v>19</v>
      </c>
      <c r="D1293" t="s">
        <v>20</v>
      </c>
      <c r="E1293" s="7">
        <v>45637</v>
      </c>
      <c r="F1293" t="s">
        <v>2327</v>
      </c>
      <c r="G1293">
        <v>0</v>
      </c>
      <c r="H1293" t="s">
        <v>27</v>
      </c>
      <c r="I1293" t="s">
        <v>16</v>
      </c>
      <c r="J1293" t="s">
        <v>16</v>
      </c>
      <c r="K1293" s="16" t="str">
        <f>VLOOKUP(C1293,CheckName!A:B,2,0)</f>
        <v>Add</v>
      </c>
      <c r="L1293">
        <v>0</v>
      </c>
      <c r="M1293" s="16">
        <f t="shared" si="146"/>
        <v>11</v>
      </c>
      <c r="N1293" t="str">
        <f>TEXT(MTDRejection[[#This Row],[RejectionDate]],"dddd")</f>
        <v>Wednesday</v>
      </c>
    </row>
    <row r="1294" spans="1:14">
      <c r="A1294" t="s">
        <v>91</v>
      </c>
      <c r="B1294" t="s">
        <v>3914</v>
      </c>
      <c r="C1294" t="s">
        <v>587</v>
      </c>
      <c r="D1294" t="s">
        <v>20</v>
      </c>
      <c r="E1294" s="7">
        <v>45637</v>
      </c>
      <c r="F1294" t="s">
        <v>273</v>
      </c>
      <c r="G1294">
        <v>0</v>
      </c>
      <c r="H1294" t="s">
        <v>22</v>
      </c>
      <c r="I1294" t="s">
        <v>16</v>
      </c>
      <c r="J1294" t="s">
        <v>16</v>
      </c>
      <c r="K1294" s="16" t="str">
        <f>VLOOKUP(C1294,CheckName!A:B,2,0)</f>
        <v>Add</v>
      </c>
      <c r="L1294">
        <v>0</v>
      </c>
      <c r="M1294" s="16">
        <f>DAY(E1294)</f>
        <v>11</v>
      </c>
      <c r="N1294" t="str">
        <f>TEXT(MTDRejection[[#This Row],[RejectionDate]],"dddd")</f>
        <v>Wednesday</v>
      </c>
    </row>
    <row r="1295" spans="1:14">
      <c r="A1295" t="s">
        <v>200</v>
      </c>
      <c r="B1295" t="s">
        <v>1769</v>
      </c>
      <c r="C1295" t="s">
        <v>25</v>
      </c>
      <c r="D1295" t="s">
        <v>20</v>
      </c>
      <c r="E1295" s="7">
        <v>45637</v>
      </c>
      <c r="F1295" t="s">
        <v>2327</v>
      </c>
      <c r="G1295">
        <v>0</v>
      </c>
      <c r="H1295" t="s">
        <v>22</v>
      </c>
      <c r="I1295" t="s">
        <v>16</v>
      </c>
      <c r="J1295" t="s">
        <v>16</v>
      </c>
      <c r="K1295" s="16" t="str">
        <f>VLOOKUP(C1295,CheckName!A:B,2,0)</f>
        <v>Add</v>
      </c>
      <c r="L1295">
        <v>0</v>
      </c>
      <c r="M1295" s="16">
        <f>DAY(E1295)</f>
        <v>11</v>
      </c>
      <c r="N1295" t="str">
        <f>TEXT(MTDRejection[[#This Row],[RejectionDate]],"dddd")</f>
        <v>Wednesday</v>
      </c>
    </row>
    <row r="1296" spans="1:14">
      <c r="A1296" t="s">
        <v>317</v>
      </c>
      <c r="B1296" t="s">
        <v>3915</v>
      </c>
      <c r="C1296" t="s">
        <v>36</v>
      </c>
      <c r="D1296" t="s">
        <v>26</v>
      </c>
      <c r="E1296" s="7">
        <v>45637</v>
      </c>
      <c r="F1296" t="s">
        <v>37</v>
      </c>
      <c r="G1296">
        <v>0</v>
      </c>
      <c r="H1296" t="s">
        <v>27</v>
      </c>
      <c r="I1296" t="s">
        <v>16</v>
      </c>
      <c r="J1296" t="s">
        <v>16</v>
      </c>
      <c r="K1296" s="16" t="str">
        <f>VLOOKUP(C1296,CheckName!A:B,2,0)</f>
        <v>Emp</v>
      </c>
      <c r="L1296">
        <v>0</v>
      </c>
      <c r="M1296" s="16">
        <f t="shared" ref="M1296:M1297" si="147">DAY(E1296)</f>
        <v>11</v>
      </c>
      <c r="N1296" t="str">
        <f>TEXT(MTDRejection[[#This Row],[RejectionDate]],"dddd")</f>
        <v>Wednesday</v>
      </c>
    </row>
    <row r="1297" spans="1:14">
      <c r="A1297" t="s">
        <v>45</v>
      </c>
      <c r="B1297" t="s">
        <v>3916</v>
      </c>
      <c r="C1297" t="s">
        <v>259</v>
      </c>
      <c r="D1297" t="s">
        <v>38</v>
      </c>
      <c r="E1297" s="7">
        <v>45637</v>
      </c>
      <c r="F1297" t="s">
        <v>39</v>
      </c>
      <c r="G1297">
        <v>0</v>
      </c>
      <c r="H1297" t="s">
        <v>42</v>
      </c>
      <c r="I1297" t="s">
        <v>16</v>
      </c>
      <c r="J1297" t="s">
        <v>16</v>
      </c>
      <c r="K1297" s="16" t="str">
        <f>VLOOKUP(C1297,CheckName!A:B,2,0)</f>
        <v>Emp</v>
      </c>
      <c r="L1297">
        <v>0</v>
      </c>
      <c r="M1297" s="16">
        <f t="shared" si="147"/>
        <v>11</v>
      </c>
      <c r="N1297" t="str">
        <f>TEXT(MTDRejection[[#This Row],[RejectionDate]],"dddd")</f>
        <v>Wednesday</v>
      </c>
    </row>
    <row r="1298" spans="1:14">
      <c r="A1298" t="s">
        <v>160</v>
      </c>
      <c r="B1298" t="s">
        <v>3917</v>
      </c>
      <c r="C1298" t="s">
        <v>36</v>
      </c>
      <c r="D1298" t="s">
        <v>26</v>
      </c>
      <c r="E1298" s="7">
        <v>45637</v>
      </c>
      <c r="F1298" t="s">
        <v>1055</v>
      </c>
      <c r="G1298">
        <v>0</v>
      </c>
      <c r="H1298" t="s">
        <v>22</v>
      </c>
      <c r="I1298" t="s">
        <v>16</v>
      </c>
      <c r="J1298" t="s">
        <v>16</v>
      </c>
      <c r="K1298" s="16" t="str">
        <f>VLOOKUP(C1298,CheckName!A:B,2,0)</f>
        <v>Emp</v>
      </c>
      <c r="L1298">
        <v>0</v>
      </c>
      <c r="M1298" s="16">
        <f>DAY(E1298)</f>
        <v>11</v>
      </c>
      <c r="N1298" t="str">
        <f>TEXT(MTDRejection[[#This Row],[RejectionDate]],"dddd")</f>
        <v>Wednesday</v>
      </c>
    </row>
    <row r="1299" spans="1:14">
      <c r="A1299" t="s">
        <v>295</v>
      </c>
      <c r="B1299" t="s">
        <v>3918</v>
      </c>
      <c r="C1299" t="s">
        <v>36</v>
      </c>
      <c r="D1299" t="s">
        <v>26</v>
      </c>
      <c r="E1299" s="7">
        <v>45637</v>
      </c>
      <c r="F1299" t="s">
        <v>1055</v>
      </c>
      <c r="G1299">
        <v>0</v>
      </c>
      <c r="H1299" t="s">
        <v>27</v>
      </c>
      <c r="I1299" t="s">
        <v>16</v>
      </c>
      <c r="J1299" t="s">
        <v>16</v>
      </c>
      <c r="K1299" s="16" t="str">
        <f>VLOOKUP(C1299,CheckName!A:B,2,0)</f>
        <v>Emp</v>
      </c>
      <c r="L1299">
        <v>0</v>
      </c>
      <c r="M1299" s="16">
        <f t="shared" ref="M1299:M1303" si="148">DAY(E1299)</f>
        <v>11</v>
      </c>
      <c r="N1299" t="str">
        <f>TEXT(MTDRejection[[#This Row],[RejectionDate]],"dddd")</f>
        <v>Wednesday</v>
      </c>
    </row>
    <row r="1300" spans="1:14">
      <c r="A1300" t="s">
        <v>45</v>
      </c>
      <c r="B1300" t="s">
        <v>3919</v>
      </c>
      <c r="C1300" t="s">
        <v>19</v>
      </c>
      <c r="D1300" t="s">
        <v>20</v>
      </c>
      <c r="E1300" s="7">
        <v>45637</v>
      </c>
      <c r="F1300" t="s">
        <v>2330</v>
      </c>
      <c r="G1300">
        <v>0</v>
      </c>
      <c r="H1300" t="s">
        <v>22</v>
      </c>
      <c r="I1300" t="s">
        <v>16</v>
      </c>
      <c r="J1300" t="s">
        <v>16</v>
      </c>
      <c r="K1300" s="16" t="str">
        <f>VLOOKUP(C1300,CheckName!A:B,2,0)</f>
        <v>Add</v>
      </c>
      <c r="L1300">
        <v>0</v>
      </c>
      <c r="M1300" s="16">
        <f t="shared" si="148"/>
        <v>11</v>
      </c>
      <c r="N1300" t="str">
        <f>TEXT(MTDRejection[[#This Row],[RejectionDate]],"dddd")</f>
        <v>Wednesday</v>
      </c>
    </row>
    <row r="1301" spans="1:14">
      <c r="A1301" t="s">
        <v>84</v>
      </c>
      <c r="B1301" t="s">
        <v>2503</v>
      </c>
      <c r="C1301" t="s">
        <v>25</v>
      </c>
      <c r="D1301" t="s">
        <v>26</v>
      </c>
      <c r="E1301" s="7">
        <v>45637</v>
      </c>
      <c r="F1301" t="s">
        <v>66</v>
      </c>
      <c r="G1301">
        <v>0</v>
      </c>
      <c r="H1301" t="s">
        <v>27</v>
      </c>
      <c r="I1301" t="s">
        <v>16</v>
      </c>
      <c r="J1301" t="s">
        <v>16</v>
      </c>
      <c r="K1301" s="16" t="str">
        <f>VLOOKUP(C1301,CheckName!A:B,2,0)</f>
        <v>Add</v>
      </c>
      <c r="L1301">
        <v>0</v>
      </c>
      <c r="M1301" s="16">
        <f t="shared" si="148"/>
        <v>11</v>
      </c>
      <c r="N1301" t="str">
        <f>TEXT(MTDRejection[[#This Row],[RejectionDate]],"dddd")</f>
        <v>Wednesday</v>
      </c>
    </row>
    <row r="1302" spans="1:14">
      <c r="A1302" t="s">
        <v>200</v>
      </c>
      <c r="B1302" t="s">
        <v>3920</v>
      </c>
      <c r="C1302" t="s">
        <v>25</v>
      </c>
      <c r="D1302" t="s">
        <v>20</v>
      </c>
      <c r="E1302" s="7">
        <v>45637</v>
      </c>
      <c r="F1302" t="s">
        <v>2330</v>
      </c>
      <c r="G1302">
        <v>0</v>
      </c>
      <c r="H1302" t="s">
        <v>22</v>
      </c>
      <c r="I1302" t="s">
        <v>16</v>
      </c>
      <c r="J1302" t="s">
        <v>16</v>
      </c>
      <c r="K1302" s="16" t="str">
        <f>VLOOKUP(C1302,CheckName!A:B,2,0)</f>
        <v>Add</v>
      </c>
      <c r="L1302">
        <v>0</v>
      </c>
      <c r="M1302" s="16">
        <f t="shared" si="148"/>
        <v>11</v>
      </c>
      <c r="N1302" t="str">
        <f>TEXT(MTDRejection[[#This Row],[RejectionDate]],"dddd")</f>
        <v>Wednesday</v>
      </c>
    </row>
    <row r="1303" spans="1:14">
      <c r="A1303" t="s">
        <v>96</v>
      </c>
      <c r="B1303" t="s">
        <v>3921</v>
      </c>
      <c r="C1303" t="s">
        <v>12</v>
      </c>
      <c r="D1303" t="s">
        <v>26</v>
      </c>
      <c r="E1303" s="7">
        <v>45637</v>
      </c>
      <c r="F1303" t="s">
        <v>2341</v>
      </c>
      <c r="G1303">
        <v>0</v>
      </c>
      <c r="H1303" t="s">
        <v>27</v>
      </c>
      <c r="I1303" t="s">
        <v>16</v>
      </c>
      <c r="J1303" t="s">
        <v>16</v>
      </c>
      <c r="K1303" s="16" t="str">
        <f>VLOOKUP(C1303,CheckName!A:B,2,0)</f>
        <v>Emp</v>
      </c>
      <c r="L1303">
        <v>0</v>
      </c>
      <c r="M1303" s="16">
        <f t="shared" si="148"/>
        <v>11</v>
      </c>
      <c r="N1303" t="str">
        <f>TEXT(MTDRejection[[#This Row],[RejectionDate]],"dddd")</f>
        <v>Wednesday</v>
      </c>
    </row>
    <row r="1304" spans="1:14">
      <c r="A1304" t="s">
        <v>306</v>
      </c>
      <c r="B1304" t="s">
        <v>3922</v>
      </c>
      <c r="C1304" t="s">
        <v>125</v>
      </c>
      <c r="D1304" t="s">
        <v>26</v>
      </c>
      <c r="E1304" s="7">
        <v>45637</v>
      </c>
      <c r="F1304" t="s">
        <v>277</v>
      </c>
      <c r="G1304">
        <v>0</v>
      </c>
      <c r="H1304" t="s">
        <v>27</v>
      </c>
      <c r="I1304" t="s">
        <v>16</v>
      </c>
      <c r="J1304" t="s">
        <v>16</v>
      </c>
      <c r="K1304" s="16" t="str">
        <f>VLOOKUP(C1304,CheckName!A:B,2,0)</f>
        <v>Emp</v>
      </c>
      <c r="L1304">
        <v>0</v>
      </c>
      <c r="M1304" s="16">
        <f t="shared" ref="M1304:M1305" si="149">DAY(E1304)</f>
        <v>11</v>
      </c>
      <c r="N1304" t="str">
        <f>TEXT(MTDRejection[[#This Row],[RejectionDate]],"dddd")</f>
        <v>Wednesday</v>
      </c>
    </row>
    <row r="1305" spans="1:14">
      <c r="A1305" t="s">
        <v>306</v>
      </c>
      <c r="B1305" t="s">
        <v>3923</v>
      </c>
      <c r="C1305" t="s">
        <v>112</v>
      </c>
      <c r="D1305" t="s">
        <v>26</v>
      </c>
      <c r="E1305" s="7">
        <v>45637</v>
      </c>
      <c r="F1305" t="s">
        <v>277</v>
      </c>
      <c r="G1305">
        <v>0</v>
      </c>
      <c r="H1305" t="s">
        <v>27</v>
      </c>
      <c r="I1305" t="s">
        <v>16</v>
      </c>
      <c r="J1305" t="s">
        <v>16</v>
      </c>
      <c r="K1305" s="16" t="str">
        <f>VLOOKUP(C1305,CheckName!A:B,2,0)</f>
        <v>Emp</v>
      </c>
      <c r="L1305">
        <v>0</v>
      </c>
      <c r="M1305" s="16">
        <f t="shared" si="149"/>
        <v>11</v>
      </c>
      <c r="N1305" t="str">
        <f>TEXT(MTDRejection[[#This Row],[RejectionDate]],"dddd")</f>
        <v>Wednesday</v>
      </c>
    </row>
    <row r="1306" spans="1:14">
      <c r="A1306" t="s">
        <v>1437</v>
      </c>
      <c r="B1306" t="s">
        <v>3924</v>
      </c>
      <c r="C1306" t="s">
        <v>12</v>
      </c>
      <c r="D1306" t="s">
        <v>26</v>
      </c>
      <c r="E1306" s="7">
        <v>45637</v>
      </c>
      <c r="F1306" t="s">
        <v>614</v>
      </c>
      <c r="G1306">
        <v>0</v>
      </c>
      <c r="H1306" t="s">
        <v>27</v>
      </c>
      <c r="I1306" t="s">
        <v>16</v>
      </c>
      <c r="J1306" t="s">
        <v>16</v>
      </c>
      <c r="K1306" s="16" t="str">
        <f>VLOOKUP(C1306,CheckName!A:B,2,0)</f>
        <v>Emp</v>
      </c>
      <c r="L1306">
        <v>0</v>
      </c>
      <c r="M1306" s="16">
        <f>DAY(E1306)</f>
        <v>11</v>
      </c>
      <c r="N1306" t="str">
        <f>TEXT(MTDRejection[[#This Row],[RejectionDate]],"dddd")</f>
        <v>Wednesday</v>
      </c>
    </row>
    <row r="1307" spans="1:14">
      <c r="A1307" t="s">
        <v>176</v>
      </c>
      <c r="B1307" t="s">
        <v>3925</v>
      </c>
      <c r="C1307" t="s">
        <v>36</v>
      </c>
      <c r="D1307" t="s">
        <v>26</v>
      </c>
      <c r="E1307" s="7">
        <v>45637</v>
      </c>
      <c r="F1307" t="s">
        <v>184</v>
      </c>
      <c r="G1307">
        <v>0</v>
      </c>
      <c r="H1307" t="s">
        <v>22</v>
      </c>
      <c r="I1307" t="s">
        <v>16</v>
      </c>
      <c r="J1307" t="s">
        <v>16</v>
      </c>
      <c r="K1307" s="16" t="str">
        <f>VLOOKUP(C1307,CheckName!A:B,2,0)</f>
        <v>Emp</v>
      </c>
      <c r="L1307">
        <v>0</v>
      </c>
      <c r="M1307" s="16">
        <f>DAY(E1307)</f>
        <v>11</v>
      </c>
      <c r="N1307" t="str">
        <f>TEXT(MTDRejection[[#This Row],[RejectionDate]],"dddd")</f>
        <v>Wednesday</v>
      </c>
    </row>
    <row r="1308" spans="1:14">
      <c r="A1308" t="s">
        <v>100</v>
      </c>
      <c r="B1308" t="s">
        <v>3926</v>
      </c>
      <c r="C1308" t="s">
        <v>359</v>
      </c>
      <c r="D1308" t="s">
        <v>26</v>
      </c>
      <c r="E1308" s="7">
        <v>45637</v>
      </c>
      <c r="F1308" t="s">
        <v>380</v>
      </c>
      <c r="G1308">
        <v>0</v>
      </c>
      <c r="H1308" t="s">
        <v>27</v>
      </c>
      <c r="I1308" t="s">
        <v>16</v>
      </c>
      <c r="J1308" t="s">
        <v>16</v>
      </c>
      <c r="K1308" s="16" t="str">
        <f>VLOOKUP(C1308,CheckName!A:B,2,0)</f>
        <v>Emp</v>
      </c>
      <c r="L1308">
        <v>0</v>
      </c>
      <c r="M1308" s="16">
        <f t="shared" ref="M1308:M1312" si="150">DAY(E1308)</f>
        <v>11</v>
      </c>
      <c r="N1308" t="str">
        <f>TEXT(MTDRejection[[#This Row],[RejectionDate]],"dddd")</f>
        <v>Wednesday</v>
      </c>
    </row>
    <row r="1309" spans="1:14">
      <c r="A1309" t="s">
        <v>100</v>
      </c>
      <c r="B1309" t="s">
        <v>3927</v>
      </c>
      <c r="C1309" t="s">
        <v>359</v>
      </c>
      <c r="D1309" t="s">
        <v>26</v>
      </c>
      <c r="E1309" s="7">
        <v>45637</v>
      </c>
      <c r="F1309" t="s">
        <v>380</v>
      </c>
      <c r="G1309">
        <v>0</v>
      </c>
      <c r="H1309" t="s">
        <v>27</v>
      </c>
      <c r="I1309" t="s">
        <v>16</v>
      </c>
      <c r="J1309" t="s">
        <v>16</v>
      </c>
      <c r="K1309" s="16" t="str">
        <f>VLOOKUP(C1309,CheckName!A:B,2,0)</f>
        <v>Emp</v>
      </c>
      <c r="L1309">
        <v>0</v>
      </c>
      <c r="M1309" s="16">
        <f t="shared" si="150"/>
        <v>11</v>
      </c>
      <c r="N1309" t="str">
        <f>TEXT(MTDRejection[[#This Row],[RejectionDate]],"dddd")</f>
        <v>Wednesday</v>
      </c>
    </row>
    <row r="1310" spans="1:14">
      <c r="A1310" t="s">
        <v>1850</v>
      </c>
      <c r="B1310" t="s">
        <v>3928</v>
      </c>
      <c r="C1310" t="s">
        <v>36</v>
      </c>
      <c r="D1310" t="s">
        <v>26</v>
      </c>
      <c r="E1310" s="7">
        <v>45637</v>
      </c>
      <c r="F1310" t="s">
        <v>355</v>
      </c>
      <c r="G1310">
        <v>0</v>
      </c>
      <c r="H1310" t="s">
        <v>27</v>
      </c>
      <c r="I1310" t="s">
        <v>16</v>
      </c>
      <c r="J1310" t="s">
        <v>16</v>
      </c>
      <c r="K1310" s="16" t="str">
        <f>VLOOKUP(C1310,CheckName!A:B,2,0)</f>
        <v>Emp</v>
      </c>
      <c r="L1310">
        <v>0</v>
      </c>
      <c r="M1310" s="16">
        <f t="shared" si="150"/>
        <v>11</v>
      </c>
      <c r="N1310" t="str">
        <f>TEXT(MTDRejection[[#This Row],[RejectionDate]],"dddd")</f>
        <v>Wednesday</v>
      </c>
    </row>
    <row r="1311" spans="1:14">
      <c r="A1311" t="s">
        <v>517</v>
      </c>
      <c r="B1311" t="s">
        <v>3929</v>
      </c>
      <c r="C1311" t="s">
        <v>36</v>
      </c>
      <c r="D1311" t="s">
        <v>26</v>
      </c>
      <c r="E1311" s="7">
        <v>45637</v>
      </c>
      <c r="F1311" t="s">
        <v>182</v>
      </c>
      <c r="G1311">
        <v>0</v>
      </c>
      <c r="H1311" t="s">
        <v>27</v>
      </c>
      <c r="I1311" t="s">
        <v>16</v>
      </c>
      <c r="J1311" t="s">
        <v>16</v>
      </c>
      <c r="K1311" s="16" t="str">
        <f>VLOOKUP(C1311,CheckName!A:B,2,0)</f>
        <v>Emp</v>
      </c>
      <c r="L1311">
        <v>0</v>
      </c>
      <c r="M1311" s="16">
        <f t="shared" si="150"/>
        <v>11</v>
      </c>
      <c r="N1311" t="str">
        <f>TEXT(MTDRejection[[#This Row],[RejectionDate]],"dddd")</f>
        <v>Wednesday</v>
      </c>
    </row>
    <row r="1312" spans="1:14">
      <c r="A1312" t="s">
        <v>1437</v>
      </c>
      <c r="B1312" t="s">
        <v>3930</v>
      </c>
      <c r="C1312" t="s">
        <v>12</v>
      </c>
      <c r="D1312" t="s">
        <v>13</v>
      </c>
      <c r="E1312" s="7">
        <v>45637</v>
      </c>
      <c r="F1312" t="s">
        <v>530</v>
      </c>
      <c r="G1312">
        <v>0</v>
      </c>
      <c r="H1312" t="s">
        <v>15</v>
      </c>
      <c r="I1312" t="s">
        <v>16</v>
      </c>
      <c r="J1312" t="s">
        <v>16</v>
      </c>
      <c r="K1312" s="16" t="str">
        <f>VLOOKUP(C1312,CheckName!A:B,2,0)</f>
        <v>Emp</v>
      </c>
      <c r="L1312">
        <v>0</v>
      </c>
      <c r="M1312" s="16">
        <f t="shared" si="150"/>
        <v>11</v>
      </c>
      <c r="N1312" t="str">
        <f>TEXT(MTDRejection[[#This Row],[RejectionDate]],"dddd")</f>
        <v>Wednesday</v>
      </c>
    </row>
    <row r="1313" spans="1:14">
      <c r="A1313" t="s">
        <v>160</v>
      </c>
      <c r="B1313" t="s">
        <v>3931</v>
      </c>
      <c r="C1313" t="s">
        <v>36</v>
      </c>
      <c r="D1313" t="s">
        <v>26</v>
      </c>
      <c r="E1313" s="7">
        <v>45637</v>
      </c>
      <c r="F1313" t="s">
        <v>311</v>
      </c>
      <c r="G1313">
        <v>0</v>
      </c>
      <c r="H1313" t="s">
        <v>27</v>
      </c>
      <c r="I1313" t="s">
        <v>16</v>
      </c>
      <c r="J1313" t="s">
        <v>16</v>
      </c>
      <c r="K1313" s="16" t="str">
        <f>VLOOKUP(C1313,CheckName!A:B,2,0)</f>
        <v>Emp</v>
      </c>
      <c r="L1313">
        <v>0</v>
      </c>
      <c r="M1313" s="16">
        <f>DAY(E1313)</f>
        <v>11</v>
      </c>
      <c r="N1313" t="str">
        <f>TEXT(MTDRejection[[#This Row],[RejectionDate]],"dddd")</f>
        <v>Wednesday</v>
      </c>
    </row>
    <row r="1314" spans="1:14">
      <c r="A1314" t="s">
        <v>456</v>
      </c>
      <c r="B1314" t="s">
        <v>3932</v>
      </c>
      <c r="C1314" t="s">
        <v>54</v>
      </c>
      <c r="D1314" t="s">
        <v>26</v>
      </c>
      <c r="E1314" s="7">
        <v>45637</v>
      </c>
      <c r="F1314" t="s">
        <v>538</v>
      </c>
      <c r="G1314">
        <v>0</v>
      </c>
      <c r="H1314" t="s">
        <v>22</v>
      </c>
      <c r="I1314" t="s">
        <v>16</v>
      </c>
      <c r="J1314" t="s">
        <v>16</v>
      </c>
      <c r="K1314" s="16" t="str">
        <f>VLOOKUP(C1314,CheckName!A:B,2,0)</f>
        <v>Edu</v>
      </c>
      <c r="L1314">
        <v>0</v>
      </c>
      <c r="M1314" s="16">
        <f>DAY(E1314)</f>
        <v>11</v>
      </c>
      <c r="N1314" t="str">
        <f>TEXT(MTDRejection[[#This Row],[RejectionDate]],"dddd")</f>
        <v>Wednesday</v>
      </c>
    </row>
    <row r="1315" spans="1:14">
      <c r="A1315" t="s">
        <v>1779</v>
      </c>
      <c r="B1315" t="s">
        <v>3933</v>
      </c>
      <c r="C1315" t="s">
        <v>54</v>
      </c>
      <c r="D1315" t="s">
        <v>13</v>
      </c>
      <c r="E1315" s="7">
        <v>45637</v>
      </c>
      <c r="F1315" t="s">
        <v>107</v>
      </c>
      <c r="G1315">
        <v>0</v>
      </c>
      <c r="H1315" t="s">
        <v>15</v>
      </c>
      <c r="I1315" t="s">
        <v>16</v>
      </c>
      <c r="J1315" t="s">
        <v>16</v>
      </c>
      <c r="K1315" s="16" t="str">
        <f>VLOOKUP(C1315,CheckName!A:B,2,0)</f>
        <v>Edu</v>
      </c>
      <c r="L1315">
        <v>0</v>
      </c>
      <c r="M1315" s="16">
        <f t="shared" ref="M1315:M1317" si="151">DAY(E1315)</f>
        <v>11</v>
      </c>
      <c r="N1315" t="str">
        <f>TEXT(MTDRejection[[#This Row],[RejectionDate]],"dddd")</f>
        <v>Wednesday</v>
      </c>
    </row>
    <row r="1316" spans="1:14">
      <c r="A1316" t="s">
        <v>91</v>
      </c>
      <c r="B1316" t="s">
        <v>3934</v>
      </c>
      <c r="C1316" t="s">
        <v>93</v>
      </c>
      <c r="D1316" t="s">
        <v>13</v>
      </c>
      <c r="E1316" s="7">
        <v>45637</v>
      </c>
      <c r="F1316" t="s">
        <v>107</v>
      </c>
      <c r="G1316">
        <v>0</v>
      </c>
      <c r="H1316" t="s">
        <v>15</v>
      </c>
      <c r="I1316" t="s">
        <v>16</v>
      </c>
      <c r="J1316" t="s">
        <v>16</v>
      </c>
      <c r="K1316" s="16" t="str">
        <f>VLOOKUP(C1316,CheckName!A:B,2,0)</f>
        <v>Edu</v>
      </c>
      <c r="L1316">
        <v>0</v>
      </c>
      <c r="M1316" s="16">
        <f t="shared" si="151"/>
        <v>11</v>
      </c>
      <c r="N1316" t="str">
        <f>TEXT(MTDRejection[[#This Row],[RejectionDate]],"dddd")</f>
        <v>Wednesday</v>
      </c>
    </row>
    <row r="1317" spans="1:14">
      <c r="A1317" t="s">
        <v>1276</v>
      </c>
      <c r="B1317" t="s">
        <v>3935</v>
      </c>
      <c r="C1317" t="s">
        <v>12</v>
      </c>
      <c r="D1317" t="s">
        <v>26</v>
      </c>
      <c r="E1317" s="7">
        <v>45637</v>
      </c>
      <c r="F1317" t="s">
        <v>159</v>
      </c>
      <c r="G1317">
        <v>0</v>
      </c>
      <c r="H1317" t="s">
        <v>22</v>
      </c>
      <c r="I1317" t="s">
        <v>16</v>
      </c>
      <c r="J1317" t="s">
        <v>16</v>
      </c>
      <c r="K1317" s="16" t="str">
        <f>VLOOKUP(C1317,CheckName!A:B,2,0)</f>
        <v>Emp</v>
      </c>
      <c r="L1317">
        <v>0</v>
      </c>
      <c r="M1317" s="16">
        <f t="shared" si="151"/>
        <v>11</v>
      </c>
      <c r="N1317" t="str">
        <f>TEXT(MTDRejection[[#This Row],[RejectionDate]],"dddd")</f>
        <v>Wednesday</v>
      </c>
    </row>
    <row r="1318" spans="1:14">
      <c r="A1318" t="s">
        <v>1806</v>
      </c>
      <c r="B1318" t="s">
        <v>3936</v>
      </c>
      <c r="C1318" t="s">
        <v>36</v>
      </c>
      <c r="D1318" t="s">
        <v>26</v>
      </c>
      <c r="E1318" s="7">
        <v>45637</v>
      </c>
      <c r="F1318" t="s">
        <v>162</v>
      </c>
      <c r="G1318">
        <v>0</v>
      </c>
      <c r="H1318" t="s">
        <v>95</v>
      </c>
      <c r="I1318" t="s">
        <v>16</v>
      </c>
      <c r="J1318" t="s">
        <v>16</v>
      </c>
      <c r="K1318" s="16" t="str">
        <f>VLOOKUP(C1318,CheckName!A:B,2,0)</f>
        <v>Emp</v>
      </c>
      <c r="L1318">
        <v>0</v>
      </c>
      <c r="M1318" s="16">
        <f>DAY(E1318)</f>
        <v>11</v>
      </c>
      <c r="N1318" t="str">
        <f>TEXT(MTDRejection[[#This Row],[RejectionDate]],"dddd")</f>
        <v>Wednesday</v>
      </c>
    </row>
    <row r="1319" spans="1:14">
      <c r="A1319" t="s">
        <v>250</v>
      </c>
      <c r="B1319" t="s">
        <v>3937</v>
      </c>
      <c r="C1319" t="s">
        <v>12</v>
      </c>
      <c r="D1319" t="s">
        <v>26</v>
      </c>
      <c r="E1319" s="7">
        <v>45637</v>
      </c>
      <c r="F1319" t="s">
        <v>2337</v>
      </c>
      <c r="G1319">
        <v>0</v>
      </c>
      <c r="H1319" t="s">
        <v>27</v>
      </c>
      <c r="I1319" t="s">
        <v>16</v>
      </c>
      <c r="J1319" t="s">
        <v>16</v>
      </c>
      <c r="K1319" s="16" t="str">
        <f>VLOOKUP(C1319,CheckName!A:B,2,0)</f>
        <v>Emp</v>
      </c>
      <c r="L1319">
        <v>0</v>
      </c>
      <c r="M1319" s="16">
        <f t="shared" ref="M1319:M1320" si="152">DAY(E1319)</f>
        <v>11</v>
      </c>
      <c r="N1319" t="str">
        <f>TEXT(MTDRejection[[#This Row],[RejectionDate]],"dddd")</f>
        <v>Wednesday</v>
      </c>
    </row>
    <row r="1320" spans="1:14">
      <c r="A1320" t="s">
        <v>10</v>
      </c>
      <c r="B1320" t="s">
        <v>3938</v>
      </c>
      <c r="C1320" t="s">
        <v>12</v>
      </c>
      <c r="D1320" t="s">
        <v>26</v>
      </c>
      <c r="E1320" s="7">
        <v>45637</v>
      </c>
      <c r="F1320" t="s">
        <v>115</v>
      </c>
      <c r="G1320">
        <v>0</v>
      </c>
      <c r="H1320" t="s">
        <v>22</v>
      </c>
      <c r="I1320" t="s">
        <v>16</v>
      </c>
      <c r="J1320" t="s">
        <v>16</v>
      </c>
      <c r="K1320" s="16" t="str">
        <f>VLOOKUP(C1320,CheckName!A:B,2,0)</f>
        <v>Emp</v>
      </c>
      <c r="L1320">
        <v>0</v>
      </c>
      <c r="M1320" s="16">
        <f t="shared" si="152"/>
        <v>11</v>
      </c>
      <c r="N1320" t="str">
        <f>TEXT(MTDRejection[[#This Row],[RejectionDate]],"dddd")</f>
        <v>Wednesday</v>
      </c>
    </row>
    <row r="1321" spans="1:14">
      <c r="A1321" t="s">
        <v>1851</v>
      </c>
      <c r="B1321" t="s">
        <v>3939</v>
      </c>
      <c r="C1321" t="s">
        <v>1321</v>
      </c>
      <c r="D1321" t="s">
        <v>13</v>
      </c>
      <c r="E1321" s="7">
        <v>45637</v>
      </c>
      <c r="F1321" t="s">
        <v>1013</v>
      </c>
      <c r="G1321">
        <v>0</v>
      </c>
      <c r="H1321" t="s">
        <v>15</v>
      </c>
      <c r="I1321" t="s">
        <v>16</v>
      </c>
      <c r="J1321" t="s">
        <v>16</v>
      </c>
      <c r="K1321" s="16" t="str">
        <f>VLOOKUP(C1321,CheckName!A:B,2,0)</f>
        <v>Special Check</v>
      </c>
      <c r="L1321">
        <v>0</v>
      </c>
      <c r="M1321" s="16">
        <f t="shared" ref="M1321:M1322" si="153">DAY(E1321)</f>
        <v>11</v>
      </c>
      <c r="N1321" t="str">
        <f>TEXT(MTDRejection[[#This Row],[RejectionDate]],"dddd")</f>
        <v>Wednesday</v>
      </c>
    </row>
    <row r="1322" spans="1:14">
      <c r="A1322" t="s">
        <v>419</v>
      </c>
      <c r="B1322" t="s">
        <v>3940</v>
      </c>
      <c r="C1322" t="s">
        <v>36</v>
      </c>
      <c r="D1322" t="s">
        <v>13</v>
      </c>
      <c r="E1322" s="7">
        <v>45637</v>
      </c>
      <c r="F1322" t="s">
        <v>1013</v>
      </c>
      <c r="G1322">
        <v>0</v>
      </c>
      <c r="H1322" t="s">
        <v>15</v>
      </c>
      <c r="I1322" t="s">
        <v>16</v>
      </c>
      <c r="J1322" t="s">
        <v>16</v>
      </c>
      <c r="K1322" s="16" t="str">
        <f>VLOOKUP(C1322,CheckName!A:B,2,0)</f>
        <v>Emp</v>
      </c>
      <c r="L1322">
        <v>0</v>
      </c>
      <c r="M1322" s="16">
        <f t="shared" si="153"/>
        <v>11</v>
      </c>
      <c r="N1322" t="str">
        <f>TEXT(MTDRejection[[#This Row],[RejectionDate]],"dddd")</f>
        <v>Wednesday</v>
      </c>
    </row>
    <row r="1323" spans="1:14">
      <c r="A1323" t="s">
        <v>1566</v>
      </c>
      <c r="B1323" t="s">
        <v>3941</v>
      </c>
      <c r="C1323" t="s">
        <v>25</v>
      </c>
      <c r="D1323" t="s">
        <v>20</v>
      </c>
      <c r="E1323" s="7">
        <v>45637</v>
      </c>
      <c r="F1323" t="s">
        <v>129</v>
      </c>
      <c r="G1323">
        <v>0</v>
      </c>
      <c r="H1323" t="s">
        <v>22</v>
      </c>
      <c r="I1323" t="s">
        <v>16</v>
      </c>
      <c r="J1323" t="s">
        <v>16</v>
      </c>
      <c r="K1323" s="16" t="str">
        <f>VLOOKUP(C1323,CheckName!A:B,2,0)</f>
        <v>Add</v>
      </c>
      <c r="L1323">
        <v>0</v>
      </c>
      <c r="M1323" s="16">
        <f t="shared" ref="M1323:M1324" si="154">DAY(E1323)</f>
        <v>11</v>
      </c>
      <c r="N1323" t="str">
        <f>TEXT(MTDRejection[[#This Row],[RejectionDate]],"dddd")</f>
        <v>Wednesday</v>
      </c>
    </row>
    <row r="1324" spans="1:14">
      <c r="A1324" t="s">
        <v>137</v>
      </c>
      <c r="B1324" t="s">
        <v>3942</v>
      </c>
      <c r="C1324" t="s">
        <v>25</v>
      </c>
      <c r="D1324" t="s">
        <v>20</v>
      </c>
      <c r="E1324" s="7">
        <v>45637</v>
      </c>
      <c r="F1324" t="s">
        <v>129</v>
      </c>
      <c r="G1324">
        <v>0</v>
      </c>
      <c r="H1324" t="s">
        <v>22</v>
      </c>
      <c r="I1324" t="s">
        <v>16</v>
      </c>
      <c r="J1324" t="s">
        <v>16</v>
      </c>
      <c r="K1324" s="16" t="str">
        <f>VLOOKUP(C1324,CheckName!A:B,2,0)</f>
        <v>Add</v>
      </c>
      <c r="L1324">
        <v>0</v>
      </c>
      <c r="M1324" s="16">
        <f t="shared" si="154"/>
        <v>11</v>
      </c>
      <c r="N1324" t="str">
        <f>TEXT(MTDRejection[[#This Row],[RejectionDate]],"dddd")</f>
        <v>Wednesday</v>
      </c>
    </row>
    <row r="1325" spans="1:14">
      <c r="A1325" t="s">
        <v>119</v>
      </c>
      <c r="B1325" t="s">
        <v>3943</v>
      </c>
      <c r="C1325" t="s">
        <v>125</v>
      </c>
      <c r="D1325" t="s">
        <v>26</v>
      </c>
      <c r="E1325" s="7">
        <v>45636</v>
      </c>
      <c r="F1325" t="s">
        <v>355</v>
      </c>
      <c r="G1325">
        <v>1</v>
      </c>
      <c r="H1325" t="s">
        <v>15</v>
      </c>
      <c r="I1325" t="s">
        <v>16</v>
      </c>
      <c r="J1325" t="s">
        <v>16</v>
      </c>
      <c r="K1325" s="16" t="str">
        <f>VLOOKUP(C1325,CheckName!A:B,2,0)</f>
        <v>Emp</v>
      </c>
      <c r="L1325">
        <v>0</v>
      </c>
      <c r="M1325" s="16">
        <f>DAY(E1325)</f>
        <v>10</v>
      </c>
      <c r="N1325" t="str">
        <f>TEXT(MTDRejection[[#This Row],[RejectionDate]],"dddd")</f>
        <v>Tuesday</v>
      </c>
    </row>
    <row r="1326" spans="1:14">
      <c r="A1326" t="s">
        <v>84</v>
      </c>
      <c r="B1326" t="s">
        <v>3944</v>
      </c>
      <c r="C1326" t="s">
        <v>12</v>
      </c>
      <c r="D1326" t="s">
        <v>26</v>
      </c>
      <c r="E1326" s="7">
        <v>45635</v>
      </c>
      <c r="F1326" t="s">
        <v>151</v>
      </c>
      <c r="G1326">
        <v>2</v>
      </c>
      <c r="H1326" t="s">
        <v>27</v>
      </c>
      <c r="I1326" t="s">
        <v>16</v>
      </c>
      <c r="J1326" t="s">
        <v>16</v>
      </c>
      <c r="K1326" s="16" t="str">
        <f>VLOOKUP(C1326,CheckName!A:B,2,0)</f>
        <v>Emp</v>
      </c>
      <c r="L1326">
        <v>0</v>
      </c>
      <c r="M1326" s="16">
        <f>DAY(E1326)</f>
        <v>9</v>
      </c>
      <c r="N1326" t="str">
        <f>TEXT(MTDRejection[[#This Row],[RejectionDate]],"dddd")</f>
        <v>Monday</v>
      </c>
    </row>
    <row r="1327" spans="1:14">
      <c r="A1327" t="s">
        <v>73</v>
      </c>
      <c r="B1327" t="s">
        <v>3945</v>
      </c>
      <c r="C1327" t="s">
        <v>12</v>
      </c>
      <c r="D1327" t="s">
        <v>26</v>
      </c>
      <c r="E1327" s="7">
        <v>45630</v>
      </c>
      <c r="F1327" t="s">
        <v>2354</v>
      </c>
      <c r="G1327">
        <v>7</v>
      </c>
      <c r="H1327" t="s">
        <v>27</v>
      </c>
      <c r="I1327" t="s">
        <v>16</v>
      </c>
      <c r="J1327" t="s">
        <v>16</v>
      </c>
      <c r="K1327" s="16" t="str">
        <f>VLOOKUP(C1327,CheckName!A:B,2,0)</f>
        <v>Emp</v>
      </c>
      <c r="L1327">
        <v>0</v>
      </c>
      <c r="M1327" s="16">
        <f>DAY(E1327)</f>
        <v>4</v>
      </c>
      <c r="N1327" t="str">
        <f>TEXT(MTDRejection[[#This Row],[RejectionDate]],"dddd")</f>
        <v>Wednesday</v>
      </c>
    </row>
    <row r="1328" spans="1:14">
      <c r="A1328" t="s">
        <v>402</v>
      </c>
      <c r="B1328" t="s">
        <v>3946</v>
      </c>
      <c r="C1328" t="s">
        <v>25</v>
      </c>
      <c r="D1328" t="s">
        <v>20</v>
      </c>
      <c r="E1328" s="7">
        <v>45637</v>
      </c>
      <c r="F1328" t="s">
        <v>273</v>
      </c>
      <c r="G1328">
        <v>0</v>
      </c>
      <c r="H1328" t="s">
        <v>22</v>
      </c>
      <c r="I1328" t="s">
        <v>16</v>
      </c>
      <c r="J1328" t="s">
        <v>16</v>
      </c>
      <c r="K1328" s="16" t="str">
        <f>VLOOKUP(C1328,CheckName!A:B,2,0)</f>
        <v>Add</v>
      </c>
      <c r="L1328">
        <v>0</v>
      </c>
      <c r="M1328" s="16">
        <f>DAY(E1328)</f>
        <v>11</v>
      </c>
      <c r="N1328" t="str">
        <f>TEXT(MTDRejection[[#This Row],[RejectionDate]],"dddd")</f>
        <v>Wednesday</v>
      </c>
    </row>
    <row r="1329" spans="1:14">
      <c r="A1329" t="s">
        <v>239</v>
      </c>
      <c r="B1329" t="s">
        <v>3947</v>
      </c>
      <c r="C1329" t="s">
        <v>19</v>
      </c>
      <c r="D1329" t="s">
        <v>20</v>
      </c>
      <c r="E1329" s="7">
        <v>45637</v>
      </c>
      <c r="F1329" t="s">
        <v>2327</v>
      </c>
      <c r="G1329">
        <v>0</v>
      </c>
      <c r="H1329" t="s">
        <v>22</v>
      </c>
      <c r="I1329" t="s">
        <v>16</v>
      </c>
      <c r="J1329" t="s">
        <v>16</v>
      </c>
      <c r="K1329" s="16" t="str">
        <f>VLOOKUP(C1329,CheckName!A:B,2,0)</f>
        <v>Add</v>
      </c>
      <c r="L1329">
        <v>0</v>
      </c>
      <c r="M1329" s="16">
        <f t="shared" ref="M1329:M1330" si="155">DAY(E1329)</f>
        <v>11</v>
      </c>
      <c r="N1329" t="str">
        <f>TEXT(MTDRejection[[#This Row],[RejectionDate]],"dddd")</f>
        <v>Wednesday</v>
      </c>
    </row>
    <row r="1330" spans="1:14">
      <c r="A1330" t="s">
        <v>119</v>
      </c>
      <c r="B1330" t="s">
        <v>2992</v>
      </c>
      <c r="C1330" t="s">
        <v>19</v>
      </c>
      <c r="D1330" t="s">
        <v>20</v>
      </c>
      <c r="E1330" s="7">
        <v>45637</v>
      </c>
      <c r="F1330" t="s">
        <v>273</v>
      </c>
      <c r="G1330">
        <v>0</v>
      </c>
      <c r="H1330" t="s">
        <v>27</v>
      </c>
      <c r="I1330" t="s">
        <v>16</v>
      </c>
      <c r="J1330" t="s">
        <v>16</v>
      </c>
      <c r="K1330" s="16" t="str">
        <f>VLOOKUP(C1330,CheckName!A:B,2,0)</f>
        <v>Add</v>
      </c>
      <c r="L1330">
        <v>0</v>
      </c>
      <c r="M1330" s="16">
        <f t="shared" si="155"/>
        <v>11</v>
      </c>
      <c r="N1330" t="str">
        <f>TEXT(MTDRejection[[#This Row],[RejectionDate]],"dddd")</f>
        <v>Wednesday</v>
      </c>
    </row>
    <row r="1331" spans="1:14">
      <c r="A1331" t="s">
        <v>419</v>
      </c>
      <c r="B1331" t="s">
        <v>3948</v>
      </c>
      <c r="C1331" t="s">
        <v>25</v>
      </c>
      <c r="D1331" t="s">
        <v>20</v>
      </c>
      <c r="E1331" s="7">
        <v>45637</v>
      </c>
      <c r="F1331" t="s">
        <v>273</v>
      </c>
      <c r="G1331">
        <v>0</v>
      </c>
      <c r="H1331" t="s">
        <v>22</v>
      </c>
      <c r="I1331" t="s">
        <v>16</v>
      </c>
      <c r="J1331" t="s">
        <v>16</v>
      </c>
      <c r="K1331" s="16" t="str">
        <f>VLOOKUP(C1331,CheckName!A:B,2,0)</f>
        <v>Add</v>
      </c>
      <c r="L1331">
        <v>0</v>
      </c>
      <c r="M1331" s="16">
        <f>DAY(E1331)</f>
        <v>11</v>
      </c>
      <c r="N1331" t="str">
        <f>TEXT(MTDRejection[[#This Row],[RejectionDate]],"dddd")</f>
        <v>Wednesday</v>
      </c>
    </row>
    <row r="1332" spans="1:14">
      <c r="A1332" t="s">
        <v>40</v>
      </c>
      <c r="B1332" t="s">
        <v>3949</v>
      </c>
      <c r="C1332" t="s">
        <v>12</v>
      </c>
      <c r="D1332" t="s">
        <v>38</v>
      </c>
      <c r="E1332" s="7">
        <v>45637</v>
      </c>
      <c r="F1332" t="s">
        <v>39</v>
      </c>
      <c r="G1332">
        <v>0</v>
      </c>
      <c r="H1332" t="s">
        <v>42</v>
      </c>
      <c r="I1332" t="s">
        <v>16</v>
      </c>
      <c r="J1332" t="s">
        <v>16</v>
      </c>
      <c r="K1332" s="16" t="str">
        <f>VLOOKUP(C1332,CheckName!A:B,2,0)</f>
        <v>Emp</v>
      </c>
      <c r="L1332">
        <v>0</v>
      </c>
      <c r="M1332" s="16">
        <f t="shared" ref="M1332:M1333" si="156">DAY(E1332)</f>
        <v>11</v>
      </c>
      <c r="N1332" t="str">
        <f>TEXT(MTDRejection[[#This Row],[RejectionDate]],"dddd")</f>
        <v>Wednesday</v>
      </c>
    </row>
    <row r="1333" spans="1:14">
      <c r="A1333" t="s">
        <v>60</v>
      </c>
      <c r="B1333" t="s">
        <v>3950</v>
      </c>
      <c r="C1333" t="s">
        <v>36</v>
      </c>
      <c r="D1333" t="s">
        <v>38</v>
      </c>
      <c r="E1333" s="7">
        <v>45637</v>
      </c>
      <c r="F1333" t="s">
        <v>39</v>
      </c>
      <c r="G1333">
        <v>0</v>
      </c>
      <c r="H1333" t="s">
        <v>42</v>
      </c>
      <c r="I1333" t="s">
        <v>16</v>
      </c>
      <c r="J1333" t="s">
        <v>16</v>
      </c>
      <c r="K1333" s="16" t="str">
        <f>VLOOKUP(C1333,CheckName!A:B,2,0)</f>
        <v>Emp</v>
      </c>
      <c r="L1333">
        <v>0</v>
      </c>
      <c r="M1333" s="16">
        <f t="shared" si="156"/>
        <v>11</v>
      </c>
      <c r="N1333" t="str">
        <f>TEXT(MTDRejection[[#This Row],[RejectionDate]],"dddd")</f>
        <v>Wednesday</v>
      </c>
    </row>
    <row r="1334" spans="1:14">
      <c r="A1334" t="s">
        <v>133</v>
      </c>
      <c r="B1334" t="s">
        <v>3951</v>
      </c>
      <c r="C1334" t="s">
        <v>25</v>
      </c>
      <c r="D1334" t="s">
        <v>20</v>
      </c>
      <c r="E1334" s="7">
        <v>45637</v>
      </c>
      <c r="F1334" t="s">
        <v>2330</v>
      </c>
      <c r="G1334">
        <v>0</v>
      </c>
      <c r="H1334" t="s">
        <v>22</v>
      </c>
      <c r="I1334" t="s">
        <v>16</v>
      </c>
      <c r="J1334" t="s">
        <v>16</v>
      </c>
      <c r="K1334" s="16" t="str">
        <f>VLOOKUP(C1334,CheckName!A:B,2,0)</f>
        <v>Add</v>
      </c>
      <c r="L1334">
        <v>0</v>
      </c>
      <c r="M1334" s="16">
        <f>DAY(E1334)</f>
        <v>11</v>
      </c>
      <c r="N1334" t="str">
        <f>TEXT(MTDRejection[[#This Row],[RejectionDate]],"dddd")</f>
        <v>Wednesday</v>
      </c>
    </row>
    <row r="1335" spans="1:14">
      <c r="A1335" t="s">
        <v>893</v>
      </c>
      <c r="B1335" t="s">
        <v>3952</v>
      </c>
      <c r="C1335" t="s">
        <v>25</v>
      </c>
      <c r="D1335" t="s">
        <v>20</v>
      </c>
      <c r="E1335" s="7">
        <v>45637</v>
      </c>
      <c r="F1335" t="s">
        <v>2330</v>
      </c>
      <c r="G1335">
        <v>0</v>
      </c>
      <c r="H1335" t="s">
        <v>22</v>
      </c>
      <c r="I1335" t="s">
        <v>16</v>
      </c>
      <c r="J1335" t="s">
        <v>16</v>
      </c>
      <c r="K1335" s="16" t="str">
        <f>VLOOKUP(C1335,CheckName!A:B,2,0)</f>
        <v>Add</v>
      </c>
      <c r="L1335">
        <v>0</v>
      </c>
      <c r="M1335" s="16">
        <f t="shared" ref="M1335:M1336" si="157">DAY(E1335)</f>
        <v>11</v>
      </c>
      <c r="N1335" t="str">
        <f>TEXT(MTDRejection[[#This Row],[RejectionDate]],"dddd")</f>
        <v>Wednesday</v>
      </c>
    </row>
    <row r="1336" spans="1:14">
      <c r="A1336" t="s">
        <v>91</v>
      </c>
      <c r="B1336" t="s">
        <v>3953</v>
      </c>
      <c r="C1336" t="s">
        <v>93</v>
      </c>
      <c r="D1336" t="s">
        <v>13</v>
      </c>
      <c r="E1336" s="7">
        <v>45637</v>
      </c>
      <c r="F1336" t="s">
        <v>574</v>
      </c>
      <c r="G1336">
        <v>0</v>
      </c>
      <c r="H1336" t="s">
        <v>15</v>
      </c>
      <c r="I1336" t="s">
        <v>16</v>
      </c>
      <c r="J1336" t="s">
        <v>16</v>
      </c>
      <c r="K1336" s="16" t="str">
        <f>VLOOKUP(C1336,CheckName!A:B,2,0)</f>
        <v>Edu</v>
      </c>
      <c r="L1336">
        <v>0</v>
      </c>
      <c r="M1336" s="16">
        <f t="shared" si="157"/>
        <v>11</v>
      </c>
      <c r="N1336" t="str">
        <f>TEXT(MTDRejection[[#This Row],[RejectionDate]],"dddd")</f>
        <v>Wednesday</v>
      </c>
    </row>
    <row r="1337" spans="1:14">
      <c r="A1337" t="s">
        <v>45</v>
      </c>
      <c r="B1337" t="s">
        <v>3954</v>
      </c>
      <c r="C1337" t="s">
        <v>1730</v>
      </c>
      <c r="D1337" t="s">
        <v>51</v>
      </c>
      <c r="E1337" s="7">
        <v>45637</v>
      </c>
      <c r="F1337" t="s">
        <v>2349</v>
      </c>
      <c r="G1337">
        <v>0</v>
      </c>
      <c r="H1337" t="s">
        <v>53</v>
      </c>
      <c r="I1337" t="s">
        <v>16</v>
      </c>
      <c r="J1337" t="s">
        <v>16</v>
      </c>
      <c r="K1337" s="16" t="str">
        <f>VLOOKUP(C1337,CheckName!A:B,2,0)</f>
        <v>Special Check</v>
      </c>
      <c r="L1337">
        <v>0</v>
      </c>
      <c r="M1337" s="16">
        <f>DAY(E1337)</f>
        <v>11</v>
      </c>
      <c r="N1337" t="str">
        <f>TEXT(MTDRejection[[#This Row],[RejectionDate]],"dddd")</f>
        <v>Wednesday</v>
      </c>
    </row>
    <row r="1338" spans="1:14">
      <c r="A1338" t="s">
        <v>963</v>
      </c>
      <c r="B1338" t="s">
        <v>3955</v>
      </c>
      <c r="C1338" t="s">
        <v>36</v>
      </c>
      <c r="D1338" t="s">
        <v>26</v>
      </c>
      <c r="E1338" s="7">
        <v>45637</v>
      </c>
      <c r="F1338" t="s">
        <v>1139</v>
      </c>
      <c r="G1338">
        <v>0</v>
      </c>
      <c r="H1338" t="s">
        <v>22</v>
      </c>
      <c r="I1338" t="s">
        <v>16</v>
      </c>
      <c r="J1338" t="s">
        <v>16</v>
      </c>
      <c r="K1338" s="16" t="str">
        <f>VLOOKUP(C1338,CheckName!A:B,2,0)</f>
        <v>Emp</v>
      </c>
      <c r="L1338">
        <v>0</v>
      </c>
      <c r="M1338" s="16">
        <f t="shared" ref="M1338:M1339" si="158">DAY(E1338)</f>
        <v>11</v>
      </c>
      <c r="N1338" t="str">
        <f>TEXT(MTDRejection[[#This Row],[RejectionDate]],"dddd")</f>
        <v>Wednesday</v>
      </c>
    </row>
    <row r="1339" spans="1:14">
      <c r="A1339" t="s">
        <v>73</v>
      </c>
      <c r="B1339" t="s">
        <v>3956</v>
      </c>
      <c r="C1339" t="s">
        <v>12</v>
      </c>
      <c r="D1339" t="s">
        <v>26</v>
      </c>
      <c r="E1339" s="7">
        <v>45637</v>
      </c>
      <c r="F1339" t="s">
        <v>721</v>
      </c>
      <c r="G1339">
        <v>0</v>
      </c>
      <c r="H1339" t="s">
        <v>27</v>
      </c>
      <c r="I1339" t="s">
        <v>16</v>
      </c>
      <c r="J1339" t="s">
        <v>16</v>
      </c>
      <c r="K1339" s="16" t="str">
        <f>VLOOKUP(C1339,CheckName!A:B,2,0)</f>
        <v>Emp</v>
      </c>
      <c r="L1339">
        <v>0</v>
      </c>
      <c r="M1339" s="16">
        <f t="shared" si="158"/>
        <v>11</v>
      </c>
      <c r="N1339" t="str">
        <f>TEXT(MTDRejection[[#This Row],[RejectionDate]],"dddd")</f>
        <v>Wednesday</v>
      </c>
    </row>
    <row r="1340" spans="1:14">
      <c r="A1340" t="s">
        <v>1852</v>
      </c>
      <c r="B1340" t="s">
        <v>2504</v>
      </c>
      <c r="C1340" t="s">
        <v>36</v>
      </c>
      <c r="D1340" t="s">
        <v>26</v>
      </c>
      <c r="E1340" s="7">
        <v>45637</v>
      </c>
      <c r="F1340" t="s">
        <v>2337</v>
      </c>
      <c r="G1340">
        <v>0</v>
      </c>
      <c r="H1340" t="s">
        <v>27</v>
      </c>
      <c r="I1340" t="s">
        <v>16</v>
      </c>
      <c r="J1340" t="s">
        <v>16</v>
      </c>
      <c r="K1340" s="16" t="str">
        <f>VLOOKUP(C1340,CheckName!A:B,2,0)</f>
        <v>Emp</v>
      </c>
      <c r="L1340">
        <v>0</v>
      </c>
      <c r="M1340" s="16">
        <f t="shared" ref="M1340:M1346" si="159">DAY(E1340)</f>
        <v>11</v>
      </c>
      <c r="N1340" t="str">
        <f>TEXT(MTDRejection[[#This Row],[RejectionDate]],"dddd")</f>
        <v>Wednesday</v>
      </c>
    </row>
    <row r="1341" spans="1:14">
      <c r="A1341" t="s">
        <v>160</v>
      </c>
      <c r="B1341" t="s">
        <v>3957</v>
      </c>
      <c r="C1341" t="s">
        <v>125</v>
      </c>
      <c r="D1341" t="s">
        <v>26</v>
      </c>
      <c r="E1341" s="7">
        <v>45637</v>
      </c>
      <c r="F1341" t="s">
        <v>151</v>
      </c>
      <c r="G1341">
        <v>0</v>
      </c>
      <c r="H1341" t="s">
        <v>27</v>
      </c>
      <c r="I1341" t="s">
        <v>16</v>
      </c>
      <c r="J1341" t="s">
        <v>16</v>
      </c>
      <c r="K1341" s="16" t="str">
        <f>VLOOKUP(C1341,CheckName!A:B,2,0)</f>
        <v>Emp</v>
      </c>
      <c r="L1341">
        <v>0</v>
      </c>
      <c r="M1341" s="16">
        <f t="shared" si="159"/>
        <v>11</v>
      </c>
      <c r="N1341" t="str">
        <f>TEXT(MTDRejection[[#This Row],[RejectionDate]],"dddd")</f>
        <v>Wednesday</v>
      </c>
    </row>
    <row r="1342" spans="1:14">
      <c r="A1342" t="s">
        <v>374</v>
      </c>
      <c r="B1342" t="s">
        <v>2505</v>
      </c>
      <c r="C1342" t="s">
        <v>12</v>
      </c>
      <c r="D1342" t="s">
        <v>26</v>
      </c>
      <c r="E1342" s="7">
        <v>45636</v>
      </c>
      <c r="F1342" t="s">
        <v>141</v>
      </c>
      <c r="G1342">
        <v>1</v>
      </c>
      <c r="H1342" t="s">
        <v>22</v>
      </c>
      <c r="I1342" t="s">
        <v>16</v>
      </c>
      <c r="J1342" t="s">
        <v>16</v>
      </c>
      <c r="K1342" s="16" t="str">
        <f>VLOOKUP(C1342,CheckName!A:B,2,0)</f>
        <v>Emp</v>
      </c>
      <c r="L1342">
        <v>0</v>
      </c>
      <c r="M1342" s="16">
        <f t="shared" si="159"/>
        <v>10</v>
      </c>
      <c r="N1342" t="str">
        <f>TEXT(MTDRejection[[#This Row],[RejectionDate]],"dddd")</f>
        <v>Tuesday</v>
      </c>
    </row>
    <row r="1343" spans="1:14">
      <c r="A1343" t="s">
        <v>1802</v>
      </c>
      <c r="B1343" t="s">
        <v>2506</v>
      </c>
      <c r="C1343" t="s">
        <v>36</v>
      </c>
      <c r="D1343" t="s">
        <v>26</v>
      </c>
      <c r="E1343" s="7">
        <v>45629</v>
      </c>
      <c r="F1343" t="s">
        <v>1055</v>
      </c>
      <c r="G1343">
        <v>8</v>
      </c>
      <c r="H1343" t="s">
        <v>30</v>
      </c>
      <c r="I1343" t="s">
        <v>16</v>
      </c>
      <c r="J1343" t="s">
        <v>16</v>
      </c>
      <c r="K1343" s="16" t="str">
        <f>VLOOKUP(C1343,CheckName!A:B,2,0)</f>
        <v>Emp</v>
      </c>
      <c r="L1343">
        <v>0</v>
      </c>
      <c r="M1343" s="16">
        <f t="shared" si="159"/>
        <v>3</v>
      </c>
      <c r="N1343" t="str">
        <f>TEXT(MTDRejection[[#This Row],[RejectionDate]],"dddd")</f>
        <v>Tuesday</v>
      </c>
    </row>
    <row r="1344" spans="1:14">
      <c r="A1344" t="s">
        <v>245</v>
      </c>
      <c r="B1344" t="s">
        <v>3958</v>
      </c>
      <c r="C1344" t="s">
        <v>12</v>
      </c>
      <c r="D1344" t="s">
        <v>26</v>
      </c>
      <c r="E1344" s="7">
        <v>45629</v>
      </c>
      <c r="F1344" t="s">
        <v>1139</v>
      </c>
      <c r="G1344">
        <v>8</v>
      </c>
      <c r="H1344" t="s">
        <v>27</v>
      </c>
      <c r="I1344" t="s">
        <v>16</v>
      </c>
      <c r="J1344" t="s">
        <v>16</v>
      </c>
      <c r="K1344" s="16" t="str">
        <f>VLOOKUP(C1344,CheckName!A:B,2,0)</f>
        <v>Emp</v>
      </c>
      <c r="L1344">
        <v>0</v>
      </c>
      <c r="M1344" s="16">
        <f t="shared" si="159"/>
        <v>3</v>
      </c>
      <c r="N1344" t="str">
        <f>TEXT(MTDRejection[[#This Row],[RejectionDate]],"dddd")</f>
        <v>Tuesday</v>
      </c>
    </row>
    <row r="1345" spans="1:14">
      <c r="A1345" t="s">
        <v>131</v>
      </c>
      <c r="B1345" t="s">
        <v>2507</v>
      </c>
      <c r="C1345" t="s">
        <v>19</v>
      </c>
      <c r="D1345" t="s">
        <v>26</v>
      </c>
      <c r="E1345" s="7">
        <v>45637</v>
      </c>
      <c r="F1345" t="s">
        <v>273</v>
      </c>
      <c r="G1345">
        <v>0</v>
      </c>
      <c r="H1345" t="s">
        <v>27</v>
      </c>
      <c r="I1345" t="s">
        <v>16</v>
      </c>
      <c r="J1345" t="s">
        <v>16</v>
      </c>
      <c r="K1345" s="16" t="str">
        <f>VLOOKUP(C1345,CheckName!A:B,2,0)</f>
        <v>Add</v>
      </c>
      <c r="L1345">
        <v>0</v>
      </c>
      <c r="M1345" s="16">
        <f t="shared" si="159"/>
        <v>11</v>
      </c>
      <c r="N1345" t="str">
        <f>TEXT(MTDRejection[[#This Row],[RejectionDate]],"dddd")</f>
        <v>Wednesday</v>
      </c>
    </row>
    <row r="1346" spans="1:14">
      <c r="A1346" t="s">
        <v>131</v>
      </c>
      <c r="B1346" t="s">
        <v>3959</v>
      </c>
      <c r="C1346" t="s">
        <v>19</v>
      </c>
      <c r="D1346" t="s">
        <v>20</v>
      </c>
      <c r="E1346" s="7">
        <v>45637</v>
      </c>
      <c r="F1346" t="s">
        <v>273</v>
      </c>
      <c r="G1346">
        <v>0</v>
      </c>
      <c r="H1346" t="s">
        <v>22</v>
      </c>
      <c r="I1346" t="s">
        <v>16</v>
      </c>
      <c r="J1346" t="s">
        <v>16</v>
      </c>
      <c r="K1346" s="16" t="str">
        <f>VLOOKUP(C1346,CheckName!A:B,2,0)</f>
        <v>Add</v>
      </c>
      <c r="L1346">
        <v>0</v>
      </c>
      <c r="M1346" s="16">
        <f t="shared" si="159"/>
        <v>11</v>
      </c>
      <c r="N1346" t="str">
        <f>TEXT(MTDRejection[[#This Row],[RejectionDate]],"dddd")</f>
        <v>Wednesday</v>
      </c>
    </row>
    <row r="1347" spans="1:14">
      <c r="A1347" t="s">
        <v>1854</v>
      </c>
      <c r="B1347" t="s">
        <v>2508</v>
      </c>
      <c r="C1347" t="s">
        <v>12</v>
      </c>
      <c r="D1347" t="s">
        <v>38</v>
      </c>
      <c r="E1347" s="7">
        <v>45637</v>
      </c>
      <c r="F1347" t="s">
        <v>39</v>
      </c>
      <c r="G1347">
        <v>0</v>
      </c>
      <c r="H1347" t="s">
        <v>42</v>
      </c>
      <c r="I1347" t="s">
        <v>16</v>
      </c>
      <c r="J1347" t="s">
        <v>16</v>
      </c>
      <c r="K1347" s="16" t="str">
        <f>VLOOKUP(C1347,CheckName!A:B,2,0)</f>
        <v>Emp</v>
      </c>
      <c r="L1347">
        <v>0</v>
      </c>
      <c r="M1347" s="16">
        <f t="shared" ref="M1347:M1352" si="160">DAY(E1347)</f>
        <v>11</v>
      </c>
      <c r="N1347" t="str">
        <f>TEXT(MTDRejection[[#This Row],[RejectionDate]],"dddd")</f>
        <v>Wednesday</v>
      </c>
    </row>
    <row r="1348" spans="1:14">
      <c r="A1348" t="s">
        <v>1855</v>
      </c>
      <c r="B1348" t="s">
        <v>3960</v>
      </c>
      <c r="C1348" t="s">
        <v>12</v>
      </c>
      <c r="D1348" t="s">
        <v>38</v>
      </c>
      <c r="E1348" s="7">
        <v>45637</v>
      </c>
      <c r="F1348" t="s">
        <v>39</v>
      </c>
      <c r="G1348">
        <v>0</v>
      </c>
      <c r="H1348" t="s">
        <v>42</v>
      </c>
      <c r="I1348" t="s">
        <v>16</v>
      </c>
      <c r="J1348" t="s">
        <v>16</v>
      </c>
      <c r="K1348" s="16" t="str">
        <f>VLOOKUP(C1348,CheckName!A:B,2,0)</f>
        <v>Emp</v>
      </c>
      <c r="L1348">
        <v>0</v>
      </c>
      <c r="M1348" s="16">
        <f t="shared" si="160"/>
        <v>11</v>
      </c>
      <c r="N1348" t="str">
        <f>TEXT(MTDRejection[[#This Row],[RejectionDate]],"dddd")</f>
        <v>Wednesday</v>
      </c>
    </row>
    <row r="1349" spans="1:14">
      <c r="A1349" t="s">
        <v>45</v>
      </c>
      <c r="B1349" t="s">
        <v>3961</v>
      </c>
      <c r="C1349" t="s">
        <v>36</v>
      </c>
      <c r="D1349" t="s">
        <v>38</v>
      </c>
      <c r="E1349" s="7">
        <v>45637</v>
      </c>
      <c r="F1349" t="s">
        <v>39</v>
      </c>
      <c r="G1349">
        <v>0</v>
      </c>
      <c r="H1349" t="s">
        <v>42</v>
      </c>
      <c r="I1349" t="s">
        <v>16</v>
      </c>
      <c r="J1349" t="s">
        <v>16</v>
      </c>
      <c r="K1349" s="16" t="str">
        <f>VLOOKUP(C1349,CheckName!A:B,2,0)</f>
        <v>Emp</v>
      </c>
      <c r="L1349">
        <v>0</v>
      </c>
      <c r="M1349" s="16">
        <f t="shared" si="160"/>
        <v>11</v>
      </c>
      <c r="N1349" t="str">
        <f>TEXT(MTDRejection[[#This Row],[RejectionDate]],"dddd")</f>
        <v>Wednesday</v>
      </c>
    </row>
    <row r="1350" spans="1:14">
      <c r="A1350" t="s">
        <v>432</v>
      </c>
      <c r="B1350" t="s">
        <v>3962</v>
      </c>
      <c r="C1350" t="s">
        <v>36</v>
      </c>
      <c r="D1350" t="s">
        <v>38</v>
      </c>
      <c r="E1350" s="7">
        <v>45637</v>
      </c>
      <c r="F1350" t="s">
        <v>39</v>
      </c>
      <c r="G1350">
        <v>0</v>
      </c>
      <c r="H1350" t="s">
        <v>42</v>
      </c>
      <c r="I1350" t="s">
        <v>16</v>
      </c>
      <c r="J1350" t="s">
        <v>16</v>
      </c>
      <c r="K1350" s="16" t="str">
        <f>VLOOKUP(C1350,CheckName!A:B,2,0)</f>
        <v>Emp</v>
      </c>
      <c r="L1350">
        <v>0</v>
      </c>
      <c r="M1350" s="16">
        <f t="shared" si="160"/>
        <v>11</v>
      </c>
      <c r="N1350" t="str">
        <f>TEXT(MTDRejection[[#This Row],[RejectionDate]],"dddd")</f>
        <v>Wednesday</v>
      </c>
    </row>
    <row r="1351" spans="1:14">
      <c r="A1351" t="s">
        <v>1808</v>
      </c>
      <c r="B1351" t="s">
        <v>3963</v>
      </c>
      <c r="C1351" t="s">
        <v>12</v>
      </c>
      <c r="D1351" t="s">
        <v>38</v>
      </c>
      <c r="E1351" s="7">
        <v>45637</v>
      </c>
      <c r="F1351" t="s">
        <v>39</v>
      </c>
      <c r="G1351">
        <v>0</v>
      </c>
      <c r="H1351" t="s">
        <v>42</v>
      </c>
      <c r="I1351" t="s">
        <v>16</v>
      </c>
      <c r="J1351" t="s">
        <v>16</v>
      </c>
      <c r="K1351" s="16" t="str">
        <f>VLOOKUP(C1351,CheckName!A:B,2,0)</f>
        <v>Emp</v>
      </c>
      <c r="L1351">
        <v>0</v>
      </c>
      <c r="M1351" s="16">
        <f t="shared" si="160"/>
        <v>11</v>
      </c>
      <c r="N1351" t="str">
        <f>TEXT(MTDRejection[[#This Row],[RejectionDate]],"dddd")</f>
        <v>Wednesday</v>
      </c>
    </row>
    <row r="1352" spans="1:14">
      <c r="A1352" t="s">
        <v>1808</v>
      </c>
      <c r="B1352" t="s">
        <v>3964</v>
      </c>
      <c r="C1352" t="s">
        <v>12</v>
      </c>
      <c r="D1352" t="s">
        <v>51</v>
      </c>
      <c r="E1352" s="7">
        <v>45637</v>
      </c>
      <c r="F1352" t="s">
        <v>52</v>
      </c>
      <c r="G1352">
        <v>0</v>
      </c>
      <c r="H1352" t="s">
        <v>53</v>
      </c>
      <c r="I1352" t="s">
        <v>16</v>
      </c>
      <c r="J1352" t="s">
        <v>16</v>
      </c>
      <c r="K1352" s="16" t="str">
        <f>VLOOKUP(C1352,CheckName!A:B,2,0)</f>
        <v>Emp</v>
      </c>
      <c r="L1352">
        <v>0</v>
      </c>
      <c r="M1352" s="16">
        <f t="shared" si="160"/>
        <v>11</v>
      </c>
      <c r="N1352" t="str">
        <f>TEXT(MTDRejection[[#This Row],[RejectionDate]],"dddd")</f>
        <v>Wednesday</v>
      </c>
    </row>
    <row r="1353" spans="1:14">
      <c r="A1353" t="s">
        <v>320</v>
      </c>
      <c r="B1353" t="s">
        <v>3965</v>
      </c>
      <c r="C1353" t="s">
        <v>1650</v>
      </c>
      <c r="D1353" t="s">
        <v>20</v>
      </c>
      <c r="E1353" s="7">
        <v>45637</v>
      </c>
      <c r="F1353" t="s">
        <v>66</v>
      </c>
      <c r="G1353">
        <v>0</v>
      </c>
      <c r="H1353" t="s">
        <v>22</v>
      </c>
      <c r="I1353" t="s">
        <v>16</v>
      </c>
      <c r="J1353" t="s">
        <v>16</v>
      </c>
      <c r="K1353" s="16" t="str">
        <f>VLOOKUP(C1353,CheckName!A:B,2,0)</f>
        <v>Add</v>
      </c>
      <c r="L1353">
        <v>0</v>
      </c>
      <c r="M1353" s="16">
        <f>DAY(E1353)</f>
        <v>11</v>
      </c>
      <c r="N1353" t="str">
        <f>TEXT(MTDRejection[[#This Row],[RejectionDate]],"dddd")</f>
        <v>Wednesday</v>
      </c>
    </row>
    <row r="1354" spans="1:14">
      <c r="A1354" t="s">
        <v>137</v>
      </c>
      <c r="B1354" t="s">
        <v>3966</v>
      </c>
      <c r="C1354" t="s">
        <v>54</v>
      </c>
      <c r="D1354" t="s">
        <v>26</v>
      </c>
      <c r="E1354" s="7">
        <v>45637</v>
      </c>
      <c r="F1354" t="s">
        <v>63</v>
      </c>
      <c r="G1354">
        <v>0</v>
      </c>
      <c r="H1354" t="s">
        <v>22</v>
      </c>
      <c r="I1354" t="s">
        <v>16</v>
      </c>
      <c r="J1354" t="s">
        <v>16</v>
      </c>
      <c r="K1354" s="16" t="str">
        <f>VLOOKUP(C1354,CheckName!A:B,2,0)</f>
        <v>Edu</v>
      </c>
      <c r="L1354">
        <v>0</v>
      </c>
      <c r="M1354" s="16">
        <f>DAY(E1354)</f>
        <v>11</v>
      </c>
      <c r="N1354" t="str">
        <f>TEXT(MTDRejection[[#This Row],[RejectionDate]],"dddd")</f>
        <v>Wednesday</v>
      </c>
    </row>
    <row r="1355" spans="1:14">
      <c r="A1355" t="s">
        <v>1806</v>
      </c>
      <c r="B1355" t="s">
        <v>3967</v>
      </c>
      <c r="C1355" t="s">
        <v>54</v>
      </c>
      <c r="D1355" t="s">
        <v>26</v>
      </c>
      <c r="E1355" s="7">
        <v>45637</v>
      </c>
      <c r="F1355" t="s">
        <v>63</v>
      </c>
      <c r="G1355">
        <v>0</v>
      </c>
      <c r="H1355" t="s">
        <v>27</v>
      </c>
      <c r="I1355" t="s">
        <v>16</v>
      </c>
      <c r="J1355" t="s">
        <v>16</v>
      </c>
      <c r="K1355" s="16" t="str">
        <f>VLOOKUP(C1355,CheckName!A:B,2,0)</f>
        <v>Edu</v>
      </c>
      <c r="L1355">
        <v>0</v>
      </c>
      <c r="M1355" s="16">
        <f t="shared" ref="M1355:M1356" si="161">DAY(E1355)</f>
        <v>11</v>
      </c>
      <c r="N1355" t="str">
        <f>TEXT(MTDRejection[[#This Row],[RejectionDate]],"dddd")</f>
        <v>Wednesday</v>
      </c>
    </row>
    <row r="1356" spans="1:14">
      <c r="A1356" t="s">
        <v>281</v>
      </c>
      <c r="B1356" t="s">
        <v>3968</v>
      </c>
      <c r="C1356" t="s">
        <v>54</v>
      </c>
      <c r="D1356" t="s">
        <v>26</v>
      </c>
      <c r="E1356" s="7">
        <v>45637</v>
      </c>
      <c r="F1356" t="s">
        <v>63</v>
      </c>
      <c r="G1356">
        <v>0</v>
      </c>
      <c r="H1356" t="s">
        <v>27</v>
      </c>
      <c r="I1356" t="s">
        <v>16</v>
      </c>
      <c r="J1356" t="s">
        <v>16</v>
      </c>
      <c r="K1356" s="16" t="str">
        <f>VLOOKUP(C1356,CheckName!A:B,2,0)</f>
        <v>Edu</v>
      </c>
      <c r="L1356">
        <v>0</v>
      </c>
      <c r="M1356" s="16">
        <f t="shared" si="161"/>
        <v>11</v>
      </c>
      <c r="N1356" t="str">
        <f>TEXT(MTDRejection[[#This Row],[RejectionDate]],"dddd")</f>
        <v>Wednesday</v>
      </c>
    </row>
    <row r="1357" spans="1:14">
      <c r="A1357" t="s">
        <v>64</v>
      </c>
      <c r="B1357" t="s">
        <v>3969</v>
      </c>
      <c r="C1357" t="s">
        <v>54</v>
      </c>
      <c r="D1357" t="s">
        <v>51</v>
      </c>
      <c r="E1357" s="7">
        <v>45637</v>
      </c>
      <c r="F1357" t="s">
        <v>2331</v>
      </c>
      <c r="G1357">
        <v>0</v>
      </c>
      <c r="H1357" t="s">
        <v>53</v>
      </c>
      <c r="I1357" t="s">
        <v>16</v>
      </c>
      <c r="J1357" t="s">
        <v>16</v>
      </c>
      <c r="K1357" s="16" t="str">
        <f>VLOOKUP(C1357,CheckName!A:B,2,0)</f>
        <v>Edu</v>
      </c>
      <c r="L1357">
        <v>0</v>
      </c>
      <c r="M1357" s="16">
        <f t="shared" ref="M1357:M1359" si="162">DAY(E1357)</f>
        <v>11</v>
      </c>
      <c r="N1357" t="str">
        <f>TEXT(MTDRejection[[#This Row],[RejectionDate]],"dddd")</f>
        <v>Wednesday</v>
      </c>
    </row>
    <row r="1358" spans="1:14">
      <c r="A1358" t="s">
        <v>295</v>
      </c>
      <c r="B1358" t="s">
        <v>3970</v>
      </c>
      <c r="C1358" t="s">
        <v>1856</v>
      </c>
      <c r="D1358" t="s">
        <v>13</v>
      </c>
      <c r="E1358" s="7">
        <v>45637</v>
      </c>
      <c r="F1358" t="s">
        <v>574</v>
      </c>
      <c r="G1358">
        <v>0</v>
      </c>
      <c r="H1358" t="s">
        <v>15</v>
      </c>
      <c r="I1358" t="s">
        <v>16</v>
      </c>
      <c r="J1358" t="s">
        <v>16</v>
      </c>
      <c r="K1358" s="16" t="str">
        <f>VLOOKUP(C1358,CheckName!A:B,2,0)</f>
        <v>Special Check</v>
      </c>
      <c r="L1358">
        <v>0</v>
      </c>
      <c r="M1358" s="16">
        <f t="shared" si="162"/>
        <v>11</v>
      </c>
      <c r="N1358" t="str">
        <f>TEXT(MTDRejection[[#This Row],[RejectionDate]],"dddd")</f>
        <v>Wednesday</v>
      </c>
    </row>
    <row r="1359" spans="1:14">
      <c r="A1359" t="s">
        <v>827</v>
      </c>
      <c r="B1359" t="s">
        <v>3971</v>
      </c>
      <c r="C1359" t="s">
        <v>12</v>
      </c>
      <c r="D1359" t="s">
        <v>26</v>
      </c>
      <c r="E1359" s="7">
        <v>45637</v>
      </c>
      <c r="F1359" t="s">
        <v>2354</v>
      </c>
      <c r="G1359">
        <v>0</v>
      </c>
      <c r="H1359" t="s">
        <v>27</v>
      </c>
      <c r="I1359" t="s">
        <v>16</v>
      </c>
      <c r="J1359" t="s">
        <v>16</v>
      </c>
      <c r="K1359" s="16" t="str">
        <f>VLOOKUP(C1359,CheckName!A:B,2,0)</f>
        <v>Emp</v>
      </c>
      <c r="L1359">
        <v>0</v>
      </c>
      <c r="M1359" s="16">
        <f t="shared" si="162"/>
        <v>11</v>
      </c>
      <c r="N1359" t="str">
        <f>TEXT(MTDRejection[[#This Row],[RejectionDate]],"dddd")</f>
        <v>Wednesday</v>
      </c>
    </row>
    <row r="1360" spans="1:14">
      <c r="A1360" t="s">
        <v>362</v>
      </c>
      <c r="B1360" t="s">
        <v>3972</v>
      </c>
      <c r="C1360" t="s">
        <v>54</v>
      </c>
      <c r="D1360" t="s">
        <v>51</v>
      </c>
      <c r="E1360" s="7">
        <v>45637</v>
      </c>
      <c r="F1360" t="s">
        <v>2349</v>
      </c>
      <c r="G1360">
        <v>0</v>
      </c>
      <c r="H1360" t="s">
        <v>53</v>
      </c>
      <c r="I1360" t="s">
        <v>16</v>
      </c>
      <c r="J1360" t="s">
        <v>16</v>
      </c>
      <c r="K1360" s="16" t="str">
        <f>VLOOKUP(C1360,CheckName!A:B,2,0)</f>
        <v>Edu</v>
      </c>
      <c r="L1360">
        <v>0</v>
      </c>
      <c r="M1360" s="16">
        <f>DAY(E1360)</f>
        <v>11</v>
      </c>
      <c r="N1360" t="str">
        <f>TEXT(MTDRejection[[#This Row],[RejectionDate]],"dddd")</f>
        <v>Wednesday</v>
      </c>
    </row>
    <row r="1361" spans="1:14">
      <c r="A1361" t="s">
        <v>45</v>
      </c>
      <c r="B1361" t="s">
        <v>2509</v>
      </c>
      <c r="C1361" t="s">
        <v>125</v>
      </c>
      <c r="D1361" t="s">
        <v>26</v>
      </c>
      <c r="E1361" s="7">
        <v>45637</v>
      </c>
      <c r="F1361" t="s">
        <v>83</v>
      </c>
      <c r="G1361">
        <v>0</v>
      </c>
      <c r="H1361" t="s">
        <v>22</v>
      </c>
      <c r="I1361" t="s">
        <v>16</v>
      </c>
      <c r="J1361" t="s">
        <v>16</v>
      </c>
      <c r="K1361" s="16" t="str">
        <f>VLOOKUP(C1361,CheckName!A:B,2,0)</f>
        <v>Emp</v>
      </c>
      <c r="L1361">
        <v>0</v>
      </c>
      <c r="M1361" s="16">
        <f t="shared" ref="M1361:M1362" si="163">DAY(E1361)</f>
        <v>11</v>
      </c>
      <c r="N1361" t="str">
        <f>TEXT(MTDRejection[[#This Row],[RejectionDate]],"dddd")</f>
        <v>Wednesday</v>
      </c>
    </row>
    <row r="1362" spans="1:14">
      <c r="A1362" t="s">
        <v>84</v>
      </c>
      <c r="B1362" t="s">
        <v>3973</v>
      </c>
      <c r="C1362" t="s">
        <v>12</v>
      </c>
      <c r="D1362" t="s">
        <v>26</v>
      </c>
      <c r="E1362" s="7">
        <v>45637</v>
      </c>
      <c r="F1362" t="s">
        <v>83</v>
      </c>
      <c r="G1362">
        <v>0</v>
      </c>
      <c r="H1362" t="s">
        <v>27</v>
      </c>
      <c r="I1362" t="s">
        <v>16</v>
      </c>
      <c r="J1362" t="s">
        <v>16</v>
      </c>
      <c r="K1362" s="16" t="str">
        <f>VLOOKUP(C1362,CheckName!A:B,2,0)</f>
        <v>Emp</v>
      </c>
      <c r="L1362">
        <v>0</v>
      </c>
      <c r="M1362" s="16">
        <f t="shared" si="163"/>
        <v>11</v>
      </c>
      <c r="N1362" t="str">
        <f>TEXT(MTDRejection[[#This Row],[RejectionDate]],"dddd")</f>
        <v>Wednesday</v>
      </c>
    </row>
    <row r="1363" spans="1:14">
      <c r="A1363" t="s">
        <v>1758</v>
      </c>
      <c r="B1363" t="s">
        <v>3974</v>
      </c>
      <c r="C1363" t="s">
        <v>54</v>
      </c>
      <c r="D1363" t="s">
        <v>26</v>
      </c>
      <c r="E1363" s="7">
        <v>45637</v>
      </c>
      <c r="F1363" t="s">
        <v>94</v>
      </c>
      <c r="G1363">
        <v>0</v>
      </c>
      <c r="H1363" t="s">
        <v>27</v>
      </c>
      <c r="I1363" t="s">
        <v>16</v>
      </c>
      <c r="J1363" t="s">
        <v>16</v>
      </c>
      <c r="K1363" s="16" t="str">
        <f>VLOOKUP(C1363,CheckName!A:B,2,0)</f>
        <v>Edu</v>
      </c>
      <c r="L1363">
        <v>0</v>
      </c>
      <c r="M1363" s="16">
        <f>DAY(E1363)</f>
        <v>11</v>
      </c>
      <c r="N1363" t="str">
        <f>TEXT(MTDRejection[[#This Row],[RejectionDate]],"dddd")</f>
        <v>Wednesday</v>
      </c>
    </row>
    <row r="1364" spans="1:14">
      <c r="A1364" t="s">
        <v>142</v>
      </c>
      <c r="B1364" t="s">
        <v>3975</v>
      </c>
      <c r="C1364" t="s">
        <v>54</v>
      </c>
      <c r="D1364" t="s">
        <v>13</v>
      </c>
      <c r="E1364" s="7">
        <v>45637</v>
      </c>
      <c r="F1364" t="s">
        <v>98</v>
      </c>
      <c r="G1364">
        <v>0</v>
      </c>
      <c r="H1364" t="s">
        <v>15</v>
      </c>
      <c r="I1364" t="s">
        <v>16</v>
      </c>
      <c r="J1364" t="s">
        <v>16</v>
      </c>
      <c r="K1364" s="16" t="str">
        <f>VLOOKUP(C1364,CheckName!A:B,2,0)</f>
        <v>Edu</v>
      </c>
      <c r="L1364">
        <v>0</v>
      </c>
      <c r="M1364" s="16">
        <f>DAY(E1364)</f>
        <v>11</v>
      </c>
      <c r="N1364" t="str">
        <f>TEXT(MTDRejection[[#This Row],[RejectionDate]],"dddd")</f>
        <v>Wednesday</v>
      </c>
    </row>
    <row r="1365" spans="1:14">
      <c r="A1365" t="s">
        <v>45</v>
      </c>
      <c r="B1365" t="s">
        <v>3976</v>
      </c>
      <c r="C1365" t="s">
        <v>54</v>
      </c>
      <c r="D1365" t="s">
        <v>26</v>
      </c>
      <c r="E1365" s="7">
        <v>45637</v>
      </c>
      <c r="F1365" t="s">
        <v>604</v>
      </c>
      <c r="G1365">
        <v>0</v>
      </c>
      <c r="H1365" t="s">
        <v>22</v>
      </c>
      <c r="I1365" t="s">
        <v>16</v>
      </c>
      <c r="J1365" t="s">
        <v>16</v>
      </c>
      <c r="K1365" s="16" t="str">
        <f>VLOOKUP(C1365,CheckName!A:B,2,0)</f>
        <v>Edu</v>
      </c>
      <c r="L1365">
        <v>0</v>
      </c>
      <c r="M1365" s="16">
        <f t="shared" ref="M1365:M1366" si="164">DAY(E1365)</f>
        <v>11</v>
      </c>
      <c r="N1365" t="str">
        <f>TEXT(MTDRejection[[#This Row],[RejectionDate]],"dddd")</f>
        <v>Wednesday</v>
      </c>
    </row>
    <row r="1366" spans="1:14">
      <c r="A1366" t="s">
        <v>362</v>
      </c>
      <c r="B1366" t="s">
        <v>3977</v>
      </c>
      <c r="C1366" t="s">
        <v>54</v>
      </c>
      <c r="D1366" t="s">
        <v>26</v>
      </c>
      <c r="E1366" s="7">
        <v>45637</v>
      </c>
      <c r="F1366" t="s">
        <v>604</v>
      </c>
      <c r="G1366">
        <v>0</v>
      </c>
      <c r="H1366" t="s">
        <v>27</v>
      </c>
      <c r="I1366" t="s">
        <v>16</v>
      </c>
      <c r="J1366" t="s">
        <v>16</v>
      </c>
      <c r="K1366" s="16" t="str">
        <f>VLOOKUP(C1366,CheckName!A:B,2,0)</f>
        <v>Edu</v>
      </c>
      <c r="L1366">
        <v>0</v>
      </c>
      <c r="M1366" s="16">
        <f t="shared" si="164"/>
        <v>11</v>
      </c>
      <c r="N1366" t="str">
        <f>TEXT(MTDRejection[[#This Row],[RejectionDate]],"dddd")</f>
        <v>Wednesday</v>
      </c>
    </row>
    <row r="1367" spans="1:14">
      <c r="A1367" t="s">
        <v>165</v>
      </c>
      <c r="B1367" t="s">
        <v>2878</v>
      </c>
      <c r="C1367" t="s">
        <v>1857</v>
      </c>
      <c r="D1367" t="s">
        <v>38</v>
      </c>
      <c r="E1367" s="7">
        <v>45637</v>
      </c>
      <c r="F1367" t="s">
        <v>108</v>
      </c>
      <c r="G1367">
        <v>0</v>
      </c>
      <c r="H1367" t="s">
        <v>42</v>
      </c>
      <c r="I1367" t="s">
        <v>16</v>
      </c>
      <c r="J1367" t="s">
        <v>16</v>
      </c>
      <c r="K1367" s="16" t="str">
        <f>VLOOKUP(C1367,CheckName!A:B,2,0)</f>
        <v>CRC</v>
      </c>
      <c r="L1367">
        <v>0</v>
      </c>
      <c r="M1367" s="16">
        <f t="shared" ref="M1367:M1370" si="165">DAY(E1367)</f>
        <v>11</v>
      </c>
      <c r="N1367" t="str">
        <f>TEXT(MTDRejection[[#This Row],[RejectionDate]],"dddd")</f>
        <v>Wednesday</v>
      </c>
    </row>
    <row r="1368" spans="1:14">
      <c r="A1368" t="s">
        <v>45</v>
      </c>
      <c r="B1368" t="s">
        <v>3978</v>
      </c>
      <c r="C1368" t="s">
        <v>71</v>
      </c>
      <c r="D1368" t="s">
        <v>26</v>
      </c>
      <c r="E1368" s="7">
        <v>45637</v>
      </c>
      <c r="F1368" t="s">
        <v>118</v>
      </c>
      <c r="G1368">
        <v>0</v>
      </c>
      <c r="H1368" t="s">
        <v>27</v>
      </c>
      <c r="I1368" t="s">
        <v>16</v>
      </c>
      <c r="J1368" t="s">
        <v>16</v>
      </c>
      <c r="K1368" s="16" t="str">
        <f>VLOOKUP(C1368,CheckName!A:B,2,0)</f>
        <v>CRC</v>
      </c>
      <c r="L1368">
        <v>0</v>
      </c>
      <c r="M1368" s="16">
        <f t="shared" si="165"/>
        <v>11</v>
      </c>
      <c r="N1368" t="str">
        <f>TEXT(MTDRejection[[#This Row],[RejectionDate]],"dddd")</f>
        <v>Wednesday</v>
      </c>
    </row>
    <row r="1369" spans="1:14">
      <c r="A1369" t="s">
        <v>45</v>
      </c>
      <c r="B1369" t="s">
        <v>2066</v>
      </c>
      <c r="C1369" t="s">
        <v>49</v>
      </c>
      <c r="D1369" t="s">
        <v>26</v>
      </c>
      <c r="E1369" s="7">
        <v>45637</v>
      </c>
      <c r="F1369" t="s">
        <v>118</v>
      </c>
      <c r="G1369">
        <v>0</v>
      </c>
      <c r="H1369" t="s">
        <v>27</v>
      </c>
      <c r="I1369" t="s">
        <v>16</v>
      </c>
      <c r="J1369" t="s">
        <v>16</v>
      </c>
      <c r="K1369" s="16" t="str">
        <f>VLOOKUP(C1369,CheckName!A:B,2,0)</f>
        <v>CRC</v>
      </c>
      <c r="L1369">
        <v>0</v>
      </c>
      <c r="M1369" s="16">
        <f t="shared" si="165"/>
        <v>11</v>
      </c>
      <c r="N1369" t="str">
        <f>TEXT(MTDRejection[[#This Row],[RejectionDate]],"dddd")</f>
        <v>Wednesday</v>
      </c>
    </row>
    <row r="1370" spans="1:14">
      <c r="A1370" t="s">
        <v>510</v>
      </c>
      <c r="B1370" t="s">
        <v>3979</v>
      </c>
      <c r="C1370" t="s">
        <v>54</v>
      </c>
      <c r="D1370" t="s">
        <v>26</v>
      </c>
      <c r="E1370" s="7">
        <v>45637</v>
      </c>
      <c r="F1370" t="s">
        <v>121</v>
      </c>
      <c r="G1370">
        <v>0</v>
      </c>
      <c r="H1370" t="s">
        <v>27</v>
      </c>
      <c r="I1370" t="s">
        <v>16</v>
      </c>
      <c r="J1370" t="s">
        <v>16</v>
      </c>
      <c r="K1370" s="16" t="str">
        <f>VLOOKUP(C1370,CheckName!A:B,2,0)</f>
        <v>Edu</v>
      </c>
      <c r="L1370">
        <v>0</v>
      </c>
      <c r="M1370" s="16">
        <f t="shared" si="165"/>
        <v>11</v>
      </c>
      <c r="N1370" t="str">
        <f>TEXT(MTDRejection[[#This Row],[RejectionDate]],"dddd")</f>
        <v>Wednesday</v>
      </c>
    </row>
    <row r="1371" spans="1:14">
      <c r="A1371" t="s">
        <v>40</v>
      </c>
      <c r="B1371" t="s">
        <v>3980</v>
      </c>
      <c r="C1371" t="s">
        <v>59</v>
      </c>
      <c r="D1371" t="s">
        <v>13</v>
      </c>
      <c r="E1371" s="7">
        <v>45637</v>
      </c>
      <c r="F1371" t="s">
        <v>540</v>
      </c>
      <c r="G1371">
        <v>0</v>
      </c>
      <c r="H1371" t="s">
        <v>15</v>
      </c>
      <c r="I1371" t="s">
        <v>16</v>
      </c>
      <c r="J1371" t="s">
        <v>16</v>
      </c>
      <c r="K1371" s="16" t="str">
        <f>VLOOKUP(C1371,CheckName!A:B,2,0)</f>
        <v>Special Check</v>
      </c>
      <c r="L1371">
        <v>0</v>
      </c>
      <c r="M1371" s="16">
        <f>DAY(E1371)</f>
        <v>11</v>
      </c>
      <c r="N1371" t="str">
        <f>TEXT(MTDRejection[[#This Row],[RejectionDate]],"dddd")</f>
        <v>Wednesday</v>
      </c>
    </row>
    <row r="1372" spans="1:14">
      <c r="A1372" t="s">
        <v>64</v>
      </c>
      <c r="B1372" t="s">
        <v>3981</v>
      </c>
      <c r="C1372" t="s">
        <v>54</v>
      </c>
      <c r="D1372" t="s">
        <v>26</v>
      </c>
      <c r="E1372" s="7">
        <v>45637</v>
      </c>
      <c r="F1372" t="s">
        <v>121</v>
      </c>
      <c r="G1372">
        <v>0</v>
      </c>
      <c r="H1372" t="s">
        <v>27</v>
      </c>
      <c r="I1372" t="s">
        <v>16</v>
      </c>
      <c r="J1372" t="s">
        <v>16</v>
      </c>
      <c r="K1372" s="16" t="str">
        <f>VLOOKUP(C1372,CheckName!A:B,2,0)</f>
        <v>Edu</v>
      </c>
      <c r="L1372">
        <v>0</v>
      </c>
      <c r="M1372" s="16">
        <f>DAY(E1372)</f>
        <v>11</v>
      </c>
      <c r="N1372" t="str">
        <f>TEXT(MTDRejection[[#This Row],[RejectionDate]],"dddd")</f>
        <v>Wednesday</v>
      </c>
    </row>
    <row r="1373" spans="1:14">
      <c r="A1373" t="s">
        <v>84</v>
      </c>
      <c r="B1373" t="s">
        <v>3982</v>
      </c>
      <c r="C1373" t="s">
        <v>12</v>
      </c>
      <c r="D1373" t="s">
        <v>26</v>
      </c>
      <c r="E1373" s="7">
        <v>45637</v>
      </c>
      <c r="F1373" t="s">
        <v>2355</v>
      </c>
      <c r="G1373">
        <v>0</v>
      </c>
      <c r="H1373" t="s">
        <v>27</v>
      </c>
      <c r="I1373" t="s">
        <v>16</v>
      </c>
      <c r="J1373" t="s">
        <v>16</v>
      </c>
      <c r="K1373" s="16" t="str">
        <f>VLOOKUP(C1373,CheckName!A:B,2,0)</f>
        <v>Emp</v>
      </c>
      <c r="L1373">
        <v>0</v>
      </c>
      <c r="M1373" s="16">
        <f>DAY(E1373)</f>
        <v>11</v>
      </c>
      <c r="N1373" t="str">
        <f>TEXT(MTDRejection[[#This Row],[RejectionDate]],"dddd")</f>
        <v>Wednesday</v>
      </c>
    </row>
    <row r="1374" spans="1:14">
      <c r="A1374" t="s">
        <v>1858</v>
      </c>
      <c r="B1374" t="s">
        <v>3983</v>
      </c>
      <c r="C1374" t="s">
        <v>56</v>
      </c>
      <c r="D1374" t="s">
        <v>26</v>
      </c>
      <c r="E1374" s="7">
        <v>45636</v>
      </c>
      <c r="F1374" t="s">
        <v>118</v>
      </c>
      <c r="G1374">
        <v>1</v>
      </c>
      <c r="H1374" t="s">
        <v>130</v>
      </c>
      <c r="I1374" t="s">
        <v>16</v>
      </c>
      <c r="J1374" t="s">
        <v>16</v>
      </c>
      <c r="K1374" s="16" t="str">
        <f>VLOOKUP(C1374,CheckName!A:B,2,0)</f>
        <v>Special Check</v>
      </c>
      <c r="L1374">
        <v>0</v>
      </c>
      <c r="M1374" s="16">
        <f>DAY(E1374)</f>
        <v>10</v>
      </c>
      <c r="N1374" t="str">
        <f>TEXT(MTDRejection[[#This Row],[RejectionDate]],"dddd")</f>
        <v>Tuesday</v>
      </c>
    </row>
    <row r="1375" spans="1:14">
      <c r="A1375" t="s">
        <v>91</v>
      </c>
      <c r="B1375" t="s">
        <v>3984</v>
      </c>
      <c r="C1375" t="s">
        <v>71</v>
      </c>
      <c r="D1375" t="s">
        <v>13</v>
      </c>
      <c r="E1375" s="7">
        <v>45638</v>
      </c>
      <c r="F1375" t="s">
        <v>1310</v>
      </c>
      <c r="G1375">
        <v>0</v>
      </c>
      <c r="H1375" t="s">
        <v>15</v>
      </c>
      <c r="I1375" t="s">
        <v>16</v>
      </c>
      <c r="J1375" t="s">
        <v>16</v>
      </c>
      <c r="K1375" s="16" t="str">
        <f>VLOOKUP(C1375,CheckName!A:B,2,0)</f>
        <v>CRC</v>
      </c>
      <c r="L1375">
        <v>0</v>
      </c>
      <c r="M1375" s="16">
        <f t="shared" ref="M1375:M1378" si="166">DAY(E1375)</f>
        <v>12</v>
      </c>
      <c r="N1375" t="str">
        <f>TEXT(MTDRejection[[#This Row],[RejectionDate]],"dddd")</f>
        <v>Thursday</v>
      </c>
    </row>
    <row r="1376" spans="1:14">
      <c r="A1376" t="s">
        <v>119</v>
      </c>
      <c r="B1376" t="s">
        <v>3985</v>
      </c>
      <c r="C1376" t="s">
        <v>19</v>
      </c>
      <c r="D1376" t="s">
        <v>26</v>
      </c>
      <c r="E1376" s="7">
        <v>45638</v>
      </c>
      <c r="F1376" t="s">
        <v>2327</v>
      </c>
      <c r="G1376">
        <v>0</v>
      </c>
      <c r="H1376" t="s">
        <v>27</v>
      </c>
      <c r="I1376" t="s">
        <v>16</v>
      </c>
      <c r="J1376" t="s">
        <v>16</v>
      </c>
      <c r="K1376" s="16" t="str">
        <f>VLOOKUP(C1376,CheckName!A:B,2,0)</f>
        <v>Add</v>
      </c>
      <c r="L1376">
        <v>0</v>
      </c>
      <c r="M1376" s="16">
        <f t="shared" si="166"/>
        <v>12</v>
      </c>
      <c r="N1376" t="str">
        <f>TEXT(MTDRejection[[#This Row],[RejectionDate]],"dddd")</f>
        <v>Thursday</v>
      </c>
    </row>
    <row r="1377" spans="1:14">
      <c r="A1377" t="s">
        <v>81</v>
      </c>
      <c r="B1377" t="s">
        <v>3986</v>
      </c>
      <c r="C1377" t="s">
        <v>54</v>
      </c>
      <c r="D1377" t="s">
        <v>38</v>
      </c>
      <c r="E1377" s="7">
        <v>45638</v>
      </c>
      <c r="F1377" t="s">
        <v>1776</v>
      </c>
      <c r="G1377">
        <v>0</v>
      </c>
      <c r="H1377" t="s">
        <v>42</v>
      </c>
      <c r="I1377" t="s">
        <v>16</v>
      </c>
      <c r="J1377" t="s">
        <v>16</v>
      </c>
      <c r="K1377" s="16" t="str">
        <f>VLOOKUP(C1377,CheckName!A:B,2,0)</f>
        <v>Edu</v>
      </c>
      <c r="L1377">
        <v>0</v>
      </c>
      <c r="M1377" s="16">
        <f t="shared" si="166"/>
        <v>12</v>
      </c>
      <c r="N1377" t="str">
        <f>TEXT(MTDRejection[[#This Row],[RejectionDate]],"dddd")</f>
        <v>Thursday</v>
      </c>
    </row>
    <row r="1378" spans="1:14">
      <c r="A1378" t="s">
        <v>137</v>
      </c>
      <c r="B1378" t="s">
        <v>3987</v>
      </c>
      <c r="C1378" t="s">
        <v>12</v>
      </c>
      <c r="D1378" t="s">
        <v>38</v>
      </c>
      <c r="E1378" s="7">
        <v>45638</v>
      </c>
      <c r="F1378" t="s">
        <v>39</v>
      </c>
      <c r="G1378">
        <v>0</v>
      </c>
      <c r="H1378" t="s">
        <v>42</v>
      </c>
      <c r="I1378" t="s">
        <v>16</v>
      </c>
      <c r="J1378" t="s">
        <v>16</v>
      </c>
      <c r="K1378" s="16" t="str">
        <f>VLOOKUP(C1378,CheckName!A:B,2,0)</f>
        <v>Emp</v>
      </c>
      <c r="L1378">
        <v>0</v>
      </c>
      <c r="M1378" s="16">
        <f t="shared" si="166"/>
        <v>12</v>
      </c>
      <c r="N1378" t="str">
        <f>TEXT(MTDRejection[[#This Row],[RejectionDate]],"dddd")</f>
        <v>Thursday</v>
      </c>
    </row>
    <row r="1379" spans="1:14">
      <c r="A1379" t="s">
        <v>100</v>
      </c>
      <c r="B1379" t="s">
        <v>2511</v>
      </c>
      <c r="C1379" t="s">
        <v>775</v>
      </c>
      <c r="D1379" t="s">
        <v>13</v>
      </c>
      <c r="E1379" s="7">
        <v>45638</v>
      </c>
      <c r="F1379" t="s">
        <v>1219</v>
      </c>
      <c r="G1379">
        <v>0</v>
      </c>
      <c r="H1379" t="s">
        <v>15</v>
      </c>
      <c r="I1379" t="s">
        <v>16</v>
      </c>
      <c r="J1379" t="s">
        <v>16</v>
      </c>
      <c r="K1379" s="16" t="str">
        <f>VLOOKUP(C1379,CheckName!A:B,2,0)</f>
        <v>Emp</v>
      </c>
      <c r="L1379">
        <v>0</v>
      </c>
      <c r="M1379" s="16">
        <f t="shared" ref="M1379:M1386" si="167">DAY(E1379)</f>
        <v>12</v>
      </c>
      <c r="N1379" t="str">
        <f>TEXT(MTDRejection[[#This Row],[RejectionDate]],"dddd")</f>
        <v>Thursday</v>
      </c>
    </row>
    <row r="1380" spans="1:14">
      <c r="A1380" t="s">
        <v>362</v>
      </c>
      <c r="B1380" t="s">
        <v>3988</v>
      </c>
      <c r="C1380" t="s">
        <v>25</v>
      </c>
      <c r="D1380" t="s">
        <v>26</v>
      </c>
      <c r="E1380" s="7">
        <v>45638</v>
      </c>
      <c r="F1380" t="s">
        <v>66</v>
      </c>
      <c r="G1380">
        <v>0</v>
      </c>
      <c r="H1380" t="s">
        <v>425</v>
      </c>
      <c r="I1380" t="s">
        <v>16</v>
      </c>
      <c r="J1380" t="s">
        <v>16</v>
      </c>
      <c r="K1380" s="16" t="str">
        <f>VLOOKUP(C1380,CheckName!A:B,2,0)</f>
        <v>Add</v>
      </c>
      <c r="L1380">
        <v>0</v>
      </c>
      <c r="M1380" s="16">
        <f t="shared" si="167"/>
        <v>12</v>
      </c>
      <c r="N1380" t="str">
        <f>TEXT(MTDRejection[[#This Row],[RejectionDate]],"dddd")</f>
        <v>Thursday</v>
      </c>
    </row>
    <row r="1381" spans="1:14">
      <c r="A1381" t="s">
        <v>1860</v>
      </c>
      <c r="B1381" t="s">
        <v>3989</v>
      </c>
      <c r="C1381" t="s">
        <v>54</v>
      </c>
      <c r="D1381" t="s">
        <v>51</v>
      </c>
      <c r="E1381" s="7">
        <v>45638</v>
      </c>
      <c r="F1381" t="s">
        <v>2331</v>
      </c>
      <c r="G1381">
        <v>0</v>
      </c>
      <c r="H1381" t="s">
        <v>53</v>
      </c>
      <c r="I1381" t="s">
        <v>16</v>
      </c>
      <c r="J1381" t="s">
        <v>16</v>
      </c>
      <c r="K1381" s="16" t="str">
        <f>VLOOKUP(C1381,CheckName!A:B,2,0)</f>
        <v>Edu</v>
      </c>
      <c r="L1381">
        <v>0</v>
      </c>
      <c r="M1381" s="16">
        <f t="shared" si="167"/>
        <v>12</v>
      </c>
      <c r="N1381" t="str">
        <f>TEXT(MTDRejection[[#This Row],[RejectionDate]],"dddd")</f>
        <v>Thursday</v>
      </c>
    </row>
    <row r="1382" spans="1:14">
      <c r="A1382" t="s">
        <v>1860</v>
      </c>
      <c r="B1382" t="s">
        <v>3990</v>
      </c>
      <c r="C1382" t="s">
        <v>36</v>
      </c>
      <c r="D1382" t="s">
        <v>51</v>
      </c>
      <c r="E1382" s="7">
        <v>45638</v>
      </c>
      <c r="F1382" t="s">
        <v>2331</v>
      </c>
      <c r="G1382">
        <v>0</v>
      </c>
      <c r="H1382" t="s">
        <v>53</v>
      </c>
      <c r="I1382" t="s">
        <v>16</v>
      </c>
      <c r="J1382" t="s">
        <v>16</v>
      </c>
      <c r="K1382" s="16" t="str">
        <f>VLOOKUP(C1382,CheckName!A:B,2,0)</f>
        <v>Emp</v>
      </c>
      <c r="L1382">
        <v>0</v>
      </c>
      <c r="M1382" s="16">
        <f t="shared" si="167"/>
        <v>12</v>
      </c>
      <c r="N1382" t="str">
        <f>TEXT(MTDRejection[[#This Row],[RejectionDate]],"dddd")</f>
        <v>Thursday</v>
      </c>
    </row>
    <row r="1383" spans="1:14">
      <c r="A1383" t="s">
        <v>1860</v>
      </c>
      <c r="B1383" t="s">
        <v>3991</v>
      </c>
      <c r="C1383" t="s">
        <v>12</v>
      </c>
      <c r="D1383" t="s">
        <v>51</v>
      </c>
      <c r="E1383" s="7">
        <v>45638</v>
      </c>
      <c r="F1383" t="s">
        <v>2331</v>
      </c>
      <c r="G1383">
        <v>0</v>
      </c>
      <c r="H1383" t="s">
        <v>53</v>
      </c>
      <c r="I1383" t="s">
        <v>16</v>
      </c>
      <c r="J1383" t="s">
        <v>16</v>
      </c>
      <c r="K1383" s="16" t="str">
        <f>VLOOKUP(C1383,CheckName!A:B,2,0)</f>
        <v>Emp</v>
      </c>
      <c r="L1383">
        <v>0</v>
      </c>
      <c r="M1383" s="16">
        <f t="shared" si="167"/>
        <v>12</v>
      </c>
      <c r="N1383" t="str">
        <f>TEXT(MTDRejection[[#This Row],[RejectionDate]],"dddd")</f>
        <v>Thursday</v>
      </c>
    </row>
    <row r="1384" spans="1:14">
      <c r="A1384" t="s">
        <v>133</v>
      </c>
      <c r="B1384" t="s">
        <v>3992</v>
      </c>
      <c r="C1384" t="s">
        <v>71</v>
      </c>
      <c r="D1384" t="s">
        <v>13</v>
      </c>
      <c r="E1384" s="7">
        <v>45638</v>
      </c>
      <c r="F1384" t="s">
        <v>72</v>
      </c>
      <c r="G1384">
        <v>0</v>
      </c>
      <c r="H1384" t="s">
        <v>15</v>
      </c>
      <c r="I1384" t="s">
        <v>16</v>
      </c>
      <c r="J1384" t="s">
        <v>16</v>
      </c>
      <c r="K1384" s="16" t="str">
        <f>VLOOKUP(C1384,CheckName!A:B,2,0)</f>
        <v>CRC</v>
      </c>
      <c r="L1384">
        <v>0</v>
      </c>
      <c r="M1384" s="16">
        <f t="shared" si="167"/>
        <v>12</v>
      </c>
      <c r="N1384" t="str">
        <f>TEXT(MTDRejection[[#This Row],[RejectionDate]],"dddd")</f>
        <v>Thursday</v>
      </c>
    </row>
    <row r="1385" spans="1:14">
      <c r="A1385" t="s">
        <v>133</v>
      </c>
      <c r="B1385" t="s">
        <v>3993</v>
      </c>
      <c r="C1385" t="s">
        <v>25</v>
      </c>
      <c r="D1385" t="s">
        <v>13</v>
      </c>
      <c r="E1385" s="7">
        <v>45638</v>
      </c>
      <c r="F1385" t="s">
        <v>72</v>
      </c>
      <c r="G1385">
        <v>0</v>
      </c>
      <c r="H1385" t="s">
        <v>15</v>
      </c>
      <c r="I1385" t="s">
        <v>16</v>
      </c>
      <c r="J1385" t="s">
        <v>16</v>
      </c>
      <c r="K1385" s="16" t="str">
        <f>VLOOKUP(C1385,CheckName!A:B,2,0)</f>
        <v>Add</v>
      </c>
      <c r="L1385">
        <v>0</v>
      </c>
      <c r="M1385" s="16">
        <f t="shared" si="167"/>
        <v>12</v>
      </c>
      <c r="N1385" t="str">
        <f>TEXT(MTDRejection[[#This Row],[RejectionDate]],"dddd")</f>
        <v>Thursday</v>
      </c>
    </row>
    <row r="1386" spans="1:14">
      <c r="A1386" t="s">
        <v>100</v>
      </c>
      <c r="B1386" t="s">
        <v>3994</v>
      </c>
      <c r="C1386" t="s">
        <v>1184</v>
      </c>
      <c r="D1386" t="s">
        <v>13</v>
      </c>
      <c r="E1386" s="7">
        <v>45638</v>
      </c>
      <c r="F1386" t="s">
        <v>1861</v>
      </c>
      <c r="G1386">
        <v>0</v>
      </c>
      <c r="H1386" t="s">
        <v>15</v>
      </c>
      <c r="I1386" t="s">
        <v>16</v>
      </c>
      <c r="J1386" t="s">
        <v>16</v>
      </c>
      <c r="K1386" s="16" t="str">
        <f>VLOOKUP(C1386,CheckName!A:B,2,0)</f>
        <v>Investigation</v>
      </c>
      <c r="L1386">
        <v>0</v>
      </c>
      <c r="M1386" s="16">
        <f t="shared" si="167"/>
        <v>12</v>
      </c>
      <c r="N1386" t="str">
        <f>TEXT(MTDRejection[[#This Row],[RejectionDate]],"dddd")</f>
        <v>Thursday</v>
      </c>
    </row>
    <row r="1387" spans="1:14">
      <c r="A1387" t="s">
        <v>1862</v>
      </c>
      <c r="B1387" t="s">
        <v>3995</v>
      </c>
      <c r="C1387" t="s">
        <v>19</v>
      </c>
      <c r="D1387" t="s">
        <v>13</v>
      </c>
      <c r="E1387" s="7">
        <v>45638</v>
      </c>
      <c r="F1387" t="s">
        <v>2332</v>
      </c>
      <c r="G1387">
        <v>0</v>
      </c>
      <c r="H1387" t="s">
        <v>15</v>
      </c>
      <c r="I1387" t="s">
        <v>16</v>
      </c>
      <c r="J1387" t="s">
        <v>16</v>
      </c>
      <c r="K1387" s="16" t="str">
        <f>VLOOKUP(C1387,CheckName!A:B,2,0)</f>
        <v>Add</v>
      </c>
      <c r="L1387">
        <v>0</v>
      </c>
      <c r="M1387" s="16">
        <f t="shared" ref="M1387:M1389" si="168">DAY(E1387)</f>
        <v>12</v>
      </c>
      <c r="N1387" t="str">
        <f>TEXT(MTDRejection[[#This Row],[RejectionDate]],"dddd")</f>
        <v>Thursday</v>
      </c>
    </row>
    <row r="1388" spans="1:14">
      <c r="A1388" t="s">
        <v>142</v>
      </c>
      <c r="B1388" t="s">
        <v>2051</v>
      </c>
      <c r="C1388" t="s">
        <v>49</v>
      </c>
      <c r="D1388" t="s">
        <v>13</v>
      </c>
      <c r="E1388" s="7">
        <v>45638</v>
      </c>
      <c r="F1388" t="s">
        <v>1013</v>
      </c>
      <c r="G1388">
        <v>0</v>
      </c>
      <c r="H1388" t="s">
        <v>15</v>
      </c>
      <c r="I1388" t="s">
        <v>16</v>
      </c>
      <c r="J1388" t="s">
        <v>16</v>
      </c>
      <c r="K1388" s="16" t="str">
        <f>VLOOKUP(C1388,CheckName!A:B,2,0)</f>
        <v>CRC</v>
      </c>
      <c r="L1388">
        <v>0</v>
      </c>
      <c r="M1388" s="16">
        <f t="shared" si="168"/>
        <v>12</v>
      </c>
      <c r="N1388" t="str">
        <f>TEXT(MTDRejection[[#This Row],[RejectionDate]],"dddd")</f>
        <v>Thursday</v>
      </c>
    </row>
    <row r="1389" spans="1:14">
      <c r="A1389" t="s">
        <v>64</v>
      </c>
      <c r="B1389" t="s">
        <v>3996</v>
      </c>
      <c r="C1389" t="s">
        <v>25</v>
      </c>
      <c r="D1389" t="s">
        <v>26</v>
      </c>
      <c r="E1389" s="7">
        <v>45637</v>
      </c>
      <c r="F1389" t="s">
        <v>129</v>
      </c>
      <c r="G1389">
        <v>1</v>
      </c>
      <c r="H1389" t="s">
        <v>27</v>
      </c>
      <c r="I1389" t="s">
        <v>16</v>
      </c>
      <c r="J1389" t="s">
        <v>16</v>
      </c>
      <c r="K1389" s="16" t="str">
        <f>VLOOKUP(C1389,CheckName!A:B,2,0)</f>
        <v>Add</v>
      </c>
      <c r="L1389">
        <v>0</v>
      </c>
      <c r="M1389" s="16">
        <f t="shared" si="168"/>
        <v>11</v>
      </c>
      <c r="N1389" t="str">
        <f>TEXT(MTDRejection[[#This Row],[RejectionDate]],"dddd")</f>
        <v>Wednesday</v>
      </c>
    </row>
    <row r="1390" spans="1:14">
      <c r="A1390" t="s">
        <v>1863</v>
      </c>
      <c r="B1390" t="s">
        <v>3997</v>
      </c>
      <c r="C1390" t="s">
        <v>36</v>
      </c>
      <c r="D1390" t="s">
        <v>26</v>
      </c>
      <c r="E1390" s="7">
        <v>45637</v>
      </c>
      <c r="F1390" t="s">
        <v>2335</v>
      </c>
      <c r="G1390">
        <v>1</v>
      </c>
      <c r="H1390" t="s">
        <v>27</v>
      </c>
      <c r="I1390" t="s">
        <v>16</v>
      </c>
      <c r="J1390" t="s">
        <v>16</v>
      </c>
      <c r="K1390" s="16" t="str">
        <f>VLOOKUP(C1390,CheckName!A:B,2,0)</f>
        <v>Emp</v>
      </c>
      <c r="L1390">
        <v>0</v>
      </c>
      <c r="M1390" s="16">
        <f>DAY(E1390)</f>
        <v>11</v>
      </c>
      <c r="N1390" t="str">
        <f>TEXT(MTDRejection[[#This Row],[RejectionDate]],"dddd")</f>
        <v>Wednesday</v>
      </c>
    </row>
    <row r="1391" spans="1:14">
      <c r="A1391" t="s">
        <v>84</v>
      </c>
      <c r="B1391" t="s">
        <v>3998</v>
      </c>
      <c r="C1391" t="s">
        <v>54</v>
      </c>
      <c r="D1391" t="s">
        <v>13</v>
      </c>
      <c r="E1391" s="7">
        <v>45637</v>
      </c>
      <c r="F1391" t="s">
        <v>98</v>
      </c>
      <c r="G1391">
        <v>1</v>
      </c>
      <c r="H1391" t="s">
        <v>15</v>
      </c>
      <c r="I1391" t="s">
        <v>16</v>
      </c>
      <c r="J1391" t="s">
        <v>16</v>
      </c>
      <c r="K1391" s="16" t="str">
        <f>VLOOKUP(C1391,CheckName!A:B,2,0)</f>
        <v>Edu</v>
      </c>
      <c r="L1391">
        <v>0</v>
      </c>
      <c r="M1391" s="16">
        <f>DAY(E1391)</f>
        <v>11</v>
      </c>
      <c r="N1391" t="str">
        <f>TEXT(MTDRejection[[#This Row],[RejectionDate]],"dddd")</f>
        <v>Wednesday</v>
      </c>
    </row>
    <row r="1392" spans="1:14">
      <c r="A1392" t="s">
        <v>43</v>
      </c>
      <c r="B1392" t="s">
        <v>3999</v>
      </c>
      <c r="C1392" t="s">
        <v>12</v>
      </c>
      <c r="D1392" t="s">
        <v>26</v>
      </c>
      <c r="E1392" s="7">
        <v>45637</v>
      </c>
      <c r="F1392" t="s">
        <v>184</v>
      </c>
      <c r="G1392">
        <v>1</v>
      </c>
      <c r="H1392" t="s">
        <v>27</v>
      </c>
      <c r="I1392" t="s">
        <v>16</v>
      </c>
      <c r="J1392" t="s">
        <v>16</v>
      </c>
      <c r="K1392" s="16" t="str">
        <f>VLOOKUP(C1392,CheckName!A:B,2,0)</f>
        <v>Emp</v>
      </c>
      <c r="L1392">
        <v>0</v>
      </c>
      <c r="M1392" s="16">
        <f>DAY(E1392)</f>
        <v>11</v>
      </c>
      <c r="N1392" t="str">
        <f>TEXT(MTDRejection[[#This Row],[RejectionDate]],"dddd")</f>
        <v>Wednesday</v>
      </c>
    </row>
    <row r="1393" spans="1:14">
      <c r="A1393" t="s">
        <v>142</v>
      </c>
      <c r="B1393" t="s">
        <v>4000</v>
      </c>
      <c r="C1393" t="s">
        <v>54</v>
      </c>
      <c r="D1393" t="s">
        <v>26</v>
      </c>
      <c r="E1393" s="7">
        <v>45637</v>
      </c>
      <c r="F1393" t="s">
        <v>1825</v>
      </c>
      <c r="G1393">
        <v>1</v>
      </c>
      <c r="H1393" t="s">
        <v>27</v>
      </c>
      <c r="I1393" t="s">
        <v>16</v>
      </c>
      <c r="J1393" t="s">
        <v>16</v>
      </c>
      <c r="K1393" s="16" t="str">
        <f>VLOOKUP(C1393,CheckName!A:B,2,0)</f>
        <v>Edu</v>
      </c>
      <c r="L1393">
        <v>0</v>
      </c>
      <c r="M1393" s="16">
        <f>DAY(E1393)</f>
        <v>11</v>
      </c>
      <c r="N1393" t="str">
        <f>TEXT(MTDRejection[[#This Row],[RejectionDate]],"dddd")</f>
        <v>Wednesday</v>
      </c>
    </row>
    <row r="1394" spans="1:14">
      <c r="A1394" t="s">
        <v>100</v>
      </c>
      <c r="B1394" t="s">
        <v>4001</v>
      </c>
      <c r="C1394" t="s">
        <v>1184</v>
      </c>
      <c r="D1394" t="s">
        <v>13</v>
      </c>
      <c r="E1394" s="7">
        <v>45637</v>
      </c>
      <c r="F1394" t="s">
        <v>492</v>
      </c>
      <c r="G1394">
        <v>1</v>
      </c>
      <c r="H1394" t="s">
        <v>30</v>
      </c>
      <c r="I1394" t="s">
        <v>16</v>
      </c>
      <c r="J1394" t="s">
        <v>16</v>
      </c>
      <c r="K1394" s="16" t="str">
        <f>VLOOKUP(C1394,CheckName!A:B,2,0)</f>
        <v>Investigation</v>
      </c>
      <c r="L1394">
        <v>0</v>
      </c>
      <c r="M1394" s="16">
        <f t="shared" ref="M1394:M1395" si="169">DAY(E1394)</f>
        <v>11</v>
      </c>
      <c r="N1394" t="str">
        <f>TEXT(MTDRejection[[#This Row],[RejectionDate]],"dddd")</f>
        <v>Wednesday</v>
      </c>
    </row>
    <row r="1395" spans="1:14">
      <c r="A1395" t="s">
        <v>100</v>
      </c>
      <c r="B1395" t="s">
        <v>4002</v>
      </c>
      <c r="C1395" t="s">
        <v>359</v>
      </c>
      <c r="D1395" t="s">
        <v>13</v>
      </c>
      <c r="E1395" s="7">
        <v>45637</v>
      </c>
      <c r="F1395" t="s">
        <v>492</v>
      </c>
      <c r="G1395">
        <v>1</v>
      </c>
      <c r="H1395" t="s">
        <v>30</v>
      </c>
      <c r="I1395" t="s">
        <v>16</v>
      </c>
      <c r="J1395" t="s">
        <v>16</v>
      </c>
      <c r="K1395" s="16" t="str">
        <f>VLOOKUP(C1395,CheckName!A:B,2,0)</f>
        <v>Emp</v>
      </c>
      <c r="L1395">
        <v>0</v>
      </c>
      <c r="M1395" s="16">
        <f t="shared" si="169"/>
        <v>11</v>
      </c>
      <c r="N1395" t="str">
        <f>TEXT(MTDRejection[[#This Row],[RejectionDate]],"dddd")</f>
        <v>Wednesday</v>
      </c>
    </row>
    <row r="1396" spans="1:14">
      <c r="A1396" t="s">
        <v>186</v>
      </c>
      <c r="B1396" t="s">
        <v>4003</v>
      </c>
      <c r="C1396" t="s">
        <v>12</v>
      </c>
      <c r="D1396" t="s">
        <v>38</v>
      </c>
      <c r="E1396" s="7">
        <v>45637</v>
      </c>
      <c r="F1396" t="s">
        <v>39</v>
      </c>
      <c r="G1396">
        <v>1</v>
      </c>
      <c r="H1396" t="s">
        <v>42</v>
      </c>
      <c r="I1396" t="s">
        <v>16</v>
      </c>
      <c r="J1396" t="s">
        <v>16</v>
      </c>
      <c r="K1396" s="16" t="str">
        <f>VLOOKUP(C1396,CheckName!A:B,2,0)</f>
        <v>Emp</v>
      </c>
      <c r="L1396">
        <v>0</v>
      </c>
      <c r="M1396" s="16">
        <f>DAY(E1396)</f>
        <v>11</v>
      </c>
      <c r="N1396" t="str">
        <f>TEXT(MTDRejection[[#This Row],[RejectionDate]],"dddd")</f>
        <v>Wednesday</v>
      </c>
    </row>
    <row r="1397" spans="1:14">
      <c r="A1397" t="s">
        <v>64</v>
      </c>
      <c r="B1397" t="s">
        <v>4004</v>
      </c>
      <c r="C1397" t="s">
        <v>25</v>
      </c>
      <c r="D1397" t="s">
        <v>26</v>
      </c>
      <c r="E1397" s="7">
        <v>45637</v>
      </c>
      <c r="F1397" t="s">
        <v>273</v>
      </c>
      <c r="G1397">
        <v>1</v>
      </c>
      <c r="H1397" t="s">
        <v>27</v>
      </c>
      <c r="I1397" t="s">
        <v>16</v>
      </c>
      <c r="J1397" t="s">
        <v>16</v>
      </c>
      <c r="K1397" s="16" t="str">
        <f>VLOOKUP(C1397,CheckName!A:B,2,0)</f>
        <v>Add</v>
      </c>
      <c r="L1397">
        <v>0</v>
      </c>
      <c r="M1397" s="16">
        <f>DAY(E1397)</f>
        <v>11</v>
      </c>
      <c r="N1397" t="str">
        <f>TEXT(MTDRejection[[#This Row],[RejectionDate]],"dddd")</f>
        <v>Wednesday</v>
      </c>
    </row>
    <row r="1398" spans="1:14">
      <c r="A1398" t="s">
        <v>362</v>
      </c>
      <c r="B1398" t="s">
        <v>4005</v>
      </c>
      <c r="C1398" t="s">
        <v>25</v>
      </c>
      <c r="D1398" t="s">
        <v>26</v>
      </c>
      <c r="E1398" s="7">
        <v>45636</v>
      </c>
      <c r="F1398" t="s">
        <v>66</v>
      </c>
      <c r="G1398">
        <v>2</v>
      </c>
      <c r="H1398" t="s">
        <v>30</v>
      </c>
      <c r="I1398" t="s">
        <v>16</v>
      </c>
      <c r="J1398" t="s">
        <v>16</v>
      </c>
      <c r="K1398" s="16" t="str">
        <f>VLOOKUP(C1398,CheckName!A:B,2,0)</f>
        <v>Add</v>
      </c>
      <c r="L1398">
        <v>0</v>
      </c>
      <c r="M1398" s="16">
        <f>DAY(E1398)</f>
        <v>10</v>
      </c>
      <c r="N1398" t="str">
        <f>TEXT(MTDRejection[[#This Row],[RejectionDate]],"dddd")</f>
        <v>Tuesday</v>
      </c>
    </row>
    <row r="1399" spans="1:14">
      <c r="A1399" t="s">
        <v>878</v>
      </c>
      <c r="B1399" t="s">
        <v>4006</v>
      </c>
      <c r="C1399" t="s">
        <v>36</v>
      </c>
      <c r="D1399" t="s">
        <v>26</v>
      </c>
      <c r="E1399" s="7">
        <v>45636</v>
      </c>
      <c r="F1399" t="s">
        <v>2335</v>
      </c>
      <c r="G1399">
        <v>2</v>
      </c>
      <c r="H1399" t="s">
        <v>27</v>
      </c>
      <c r="I1399" t="s">
        <v>16</v>
      </c>
      <c r="J1399" t="s">
        <v>16</v>
      </c>
      <c r="K1399" s="16" t="str">
        <f>VLOOKUP(C1399,CheckName!A:B,2,0)</f>
        <v>Emp</v>
      </c>
      <c r="L1399">
        <v>0</v>
      </c>
      <c r="M1399" s="16">
        <f>DAY(E1399)</f>
        <v>10</v>
      </c>
      <c r="N1399" t="str">
        <f>TEXT(MTDRejection[[#This Row],[RejectionDate]],"dddd")</f>
        <v>Tuesday</v>
      </c>
    </row>
    <row r="1400" spans="1:14">
      <c r="A1400" t="s">
        <v>91</v>
      </c>
      <c r="B1400" t="s">
        <v>4007</v>
      </c>
      <c r="C1400" t="s">
        <v>71</v>
      </c>
      <c r="D1400" t="s">
        <v>13</v>
      </c>
      <c r="E1400" s="7">
        <v>45638</v>
      </c>
      <c r="F1400" t="s">
        <v>1310</v>
      </c>
      <c r="G1400">
        <v>0</v>
      </c>
      <c r="H1400" t="s">
        <v>15</v>
      </c>
      <c r="I1400" t="s">
        <v>16</v>
      </c>
      <c r="J1400" t="s">
        <v>16</v>
      </c>
      <c r="K1400" s="16" t="str">
        <f>VLOOKUP(C1400,CheckName!A:B,2,0)</f>
        <v>CRC</v>
      </c>
      <c r="L1400">
        <v>0</v>
      </c>
      <c r="M1400" s="16">
        <f t="shared" ref="M1400:M1408" si="170">DAY(E1400)</f>
        <v>12</v>
      </c>
      <c r="N1400" t="str">
        <f>TEXT(MTDRejection[[#This Row],[RejectionDate]],"dddd")</f>
        <v>Thursday</v>
      </c>
    </row>
    <row r="1401" spans="1:14">
      <c r="A1401" t="s">
        <v>91</v>
      </c>
      <c r="B1401" t="s">
        <v>4008</v>
      </c>
      <c r="C1401" t="s">
        <v>71</v>
      </c>
      <c r="D1401" t="s">
        <v>13</v>
      </c>
      <c r="E1401" s="7">
        <v>45638</v>
      </c>
      <c r="F1401" t="s">
        <v>1421</v>
      </c>
      <c r="G1401">
        <v>0</v>
      </c>
      <c r="H1401" t="s">
        <v>15</v>
      </c>
      <c r="I1401" t="s">
        <v>16</v>
      </c>
      <c r="J1401" t="s">
        <v>16</v>
      </c>
      <c r="K1401" s="16" t="str">
        <f>VLOOKUP(C1401,CheckName!A:B,2,0)</f>
        <v>CRC</v>
      </c>
      <c r="L1401">
        <v>0</v>
      </c>
      <c r="M1401" s="16">
        <f t="shared" si="170"/>
        <v>12</v>
      </c>
      <c r="N1401" t="str">
        <f>TEXT(MTDRejection[[#This Row],[RejectionDate]],"dddd")</f>
        <v>Thursday</v>
      </c>
    </row>
    <row r="1402" spans="1:14">
      <c r="A1402" t="s">
        <v>419</v>
      </c>
      <c r="B1402" t="s">
        <v>4009</v>
      </c>
      <c r="C1402" t="s">
        <v>36</v>
      </c>
      <c r="D1402" t="s">
        <v>13</v>
      </c>
      <c r="E1402" s="7">
        <v>45638</v>
      </c>
      <c r="F1402" t="s">
        <v>2326</v>
      </c>
      <c r="G1402">
        <v>0</v>
      </c>
      <c r="H1402" t="s">
        <v>15</v>
      </c>
      <c r="I1402" t="s">
        <v>16</v>
      </c>
      <c r="J1402" t="s">
        <v>16</v>
      </c>
      <c r="K1402" s="16" t="str">
        <f>VLOOKUP(C1402,CheckName!A:B,2,0)</f>
        <v>Emp</v>
      </c>
      <c r="L1402">
        <v>0</v>
      </c>
      <c r="M1402" s="16">
        <f t="shared" si="170"/>
        <v>12</v>
      </c>
      <c r="N1402" t="str">
        <f>TEXT(MTDRejection[[#This Row],[RejectionDate]],"dddd")</f>
        <v>Thursday</v>
      </c>
    </row>
    <row r="1403" spans="1:14">
      <c r="A1403" t="s">
        <v>91</v>
      </c>
      <c r="B1403" t="s">
        <v>4010</v>
      </c>
      <c r="C1403" t="s">
        <v>71</v>
      </c>
      <c r="D1403" t="s">
        <v>13</v>
      </c>
      <c r="E1403" s="7">
        <v>45638</v>
      </c>
      <c r="F1403" t="s">
        <v>33</v>
      </c>
      <c r="G1403">
        <v>0</v>
      </c>
      <c r="H1403" t="s">
        <v>15</v>
      </c>
      <c r="I1403" t="s">
        <v>16</v>
      </c>
      <c r="J1403" t="s">
        <v>16</v>
      </c>
      <c r="K1403" s="16" t="str">
        <f>VLOOKUP(C1403,CheckName!A:B,2,0)</f>
        <v>CRC</v>
      </c>
      <c r="L1403">
        <v>0</v>
      </c>
      <c r="M1403" s="16">
        <f t="shared" si="170"/>
        <v>12</v>
      </c>
      <c r="N1403" t="str">
        <f>TEXT(MTDRejection[[#This Row],[RejectionDate]],"dddd")</f>
        <v>Thursday</v>
      </c>
    </row>
    <row r="1404" spans="1:14">
      <c r="A1404" t="s">
        <v>317</v>
      </c>
      <c r="B1404" t="s">
        <v>3083</v>
      </c>
      <c r="C1404" t="s">
        <v>12</v>
      </c>
      <c r="D1404" t="s">
        <v>13</v>
      </c>
      <c r="E1404" s="7">
        <v>45638</v>
      </c>
      <c r="F1404" t="s">
        <v>107</v>
      </c>
      <c r="G1404">
        <v>0</v>
      </c>
      <c r="H1404" t="s">
        <v>15</v>
      </c>
      <c r="I1404" t="s">
        <v>16</v>
      </c>
      <c r="J1404" t="s">
        <v>16</v>
      </c>
      <c r="K1404" s="16" t="str">
        <f>VLOOKUP(C1404,CheckName!A:B,2,0)</f>
        <v>Emp</v>
      </c>
      <c r="L1404">
        <v>0</v>
      </c>
      <c r="M1404" s="16">
        <f t="shared" si="170"/>
        <v>12</v>
      </c>
      <c r="N1404" t="str">
        <f>TEXT(MTDRejection[[#This Row],[RejectionDate]],"dddd")</f>
        <v>Thursday</v>
      </c>
    </row>
    <row r="1405" spans="1:14">
      <c r="A1405" t="s">
        <v>266</v>
      </c>
      <c r="B1405" t="s">
        <v>4011</v>
      </c>
      <c r="C1405" t="s">
        <v>54</v>
      </c>
      <c r="D1405" t="s">
        <v>13</v>
      </c>
      <c r="E1405" s="7">
        <v>45638</v>
      </c>
      <c r="F1405" t="s">
        <v>1421</v>
      </c>
      <c r="G1405">
        <v>0</v>
      </c>
      <c r="H1405" t="s">
        <v>15</v>
      </c>
      <c r="I1405" t="s">
        <v>16</v>
      </c>
      <c r="J1405" t="s">
        <v>16</v>
      </c>
      <c r="K1405" s="16" t="str">
        <f>VLOOKUP(C1405,CheckName!A:B,2,0)</f>
        <v>Edu</v>
      </c>
      <c r="L1405">
        <v>0</v>
      </c>
      <c r="M1405" s="16">
        <f t="shared" si="170"/>
        <v>12</v>
      </c>
      <c r="N1405" t="str">
        <f>TEXT(MTDRejection[[#This Row],[RejectionDate]],"dddd")</f>
        <v>Thursday</v>
      </c>
    </row>
    <row r="1406" spans="1:14">
      <c r="A1406" t="s">
        <v>1864</v>
      </c>
      <c r="B1406" t="s">
        <v>2512</v>
      </c>
      <c r="C1406" t="s">
        <v>123</v>
      </c>
      <c r="D1406" t="s">
        <v>13</v>
      </c>
      <c r="E1406" s="7">
        <v>45638</v>
      </c>
      <c r="F1406" t="s">
        <v>2343</v>
      </c>
      <c r="G1406">
        <v>0</v>
      </c>
      <c r="H1406" t="s">
        <v>30</v>
      </c>
      <c r="I1406" t="s">
        <v>16</v>
      </c>
      <c r="J1406" t="s">
        <v>16</v>
      </c>
      <c r="K1406" s="16" t="str">
        <f>VLOOKUP(C1406,CheckName!A:B,2,0)</f>
        <v>Special Check</v>
      </c>
      <c r="L1406">
        <v>0</v>
      </c>
      <c r="M1406" s="16">
        <f t="shared" si="170"/>
        <v>12</v>
      </c>
      <c r="N1406" t="str">
        <f>TEXT(MTDRejection[[#This Row],[RejectionDate]],"dddd")</f>
        <v>Thursday</v>
      </c>
    </row>
    <row r="1407" spans="1:14">
      <c r="A1407" t="s">
        <v>200</v>
      </c>
      <c r="B1407" t="s">
        <v>4012</v>
      </c>
      <c r="C1407" t="s">
        <v>71</v>
      </c>
      <c r="D1407" t="s">
        <v>13</v>
      </c>
      <c r="E1407" s="7">
        <v>45638</v>
      </c>
      <c r="F1407" t="s">
        <v>230</v>
      </c>
      <c r="G1407">
        <v>0</v>
      </c>
      <c r="H1407" t="s">
        <v>15</v>
      </c>
      <c r="I1407" t="s">
        <v>16</v>
      </c>
      <c r="J1407" t="s">
        <v>16</v>
      </c>
      <c r="K1407" s="16" t="str">
        <f>VLOOKUP(C1407,CheckName!A:B,2,0)</f>
        <v>CRC</v>
      </c>
      <c r="L1407">
        <v>0</v>
      </c>
      <c r="M1407" s="16">
        <f t="shared" si="170"/>
        <v>12</v>
      </c>
      <c r="N1407" t="str">
        <f>TEXT(MTDRejection[[#This Row],[RejectionDate]],"dddd")</f>
        <v>Thursday</v>
      </c>
    </row>
    <row r="1408" spans="1:14">
      <c r="A1408" t="s">
        <v>84</v>
      </c>
      <c r="B1408" t="s">
        <v>4013</v>
      </c>
      <c r="C1408" t="s">
        <v>49</v>
      </c>
      <c r="D1408" t="s">
        <v>13</v>
      </c>
      <c r="E1408" s="7">
        <v>45638</v>
      </c>
      <c r="F1408" t="s">
        <v>1861</v>
      </c>
      <c r="G1408">
        <v>0</v>
      </c>
      <c r="H1408" t="s">
        <v>15</v>
      </c>
      <c r="I1408" t="s">
        <v>16</v>
      </c>
      <c r="J1408" t="s">
        <v>16</v>
      </c>
      <c r="K1408" s="16" t="str">
        <f>VLOOKUP(C1408,CheckName!A:B,2,0)</f>
        <v>CRC</v>
      </c>
      <c r="L1408">
        <v>0</v>
      </c>
      <c r="M1408" s="16">
        <f t="shared" si="170"/>
        <v>12</v>
      </c>
      <c r="N1408" t="str">
        <f>TEXT(MTDRejection[[#This Row],[RejectionDate]],"dddd")</f>
        <v>Thursday</v>
      </c>
    </row>
    <row r="1409" spans="1:14">
      <c r="A1409" t="s">
        <v>131</v>
      </c>
      <c r="B1409" t="s">
        <v>4014</v>
      </c>
      <c r="C1409" t="s">
        <v>71</v>
      </c>
      <c r="D1409" t="s">
        <v>13</v>
      </c>
      <c r="E1409" s="7">
        <v>45638</v>
      </c>
      <c r="F1409" t="s">
        <v>1421</v>
      </c>
      <c r="G1409">
        <v>0</v>
      </c>
      <c r="H1409" t="s">
        <v>15</v>
      </c>
      <c r="I1409" t="s">
        <v>16</v>
      </c>
      <c r="J1409" t="s">
        <v>16</v>
      </c>
      <c r="K1409" s="16" t="str">
        <f>VLOOKUP(C1409,CheckName!A:B,2,0)</f>
        <v>CRC</v>
      </c>
      <c r="L1409">
        <v>0</v>
      </c>
      <c r="M1409" s="16">
        <f t="shared" ref="M1409:M1410" si="171">DAY(E1409)</f>
        <v>12</v>
      </c>
      <c r="N1409" t="str">
        <f>TEXT(MTDRejection[[#This Row],[RejectionDate]],"dddd")</f>
        <v>Thursday</v>
      </c>
    </row>
    <row r="1410" spans="1:14">
      <c r="A1410" t="s">
        <v>131</v>
      </c>
      <c r="B1410" t="s">
        <v>4015</v>
      </c>
      <c r="C1410" t="s">
        <v>49</v>
      </c>
      <c r="D1410" t="s">
        <v>13</v>
      </c>
      <c r="E1410" s="7">
        <v>45638</v>
      </c>
      <c r="F1410" t="s">
        <v>1421</v>
      </c>
      <c r="G1410">
        <v>0</v>
      </c>
      <c r="H1410" t="s">
        <v>15</v>
      </c>
      <c r="I1410" t="s">
        <v>16</v>
      </c>
      <c r="J1410" t="s">
        <v>16</v>
      </c>
      <c r="K1410" s="16" t="str">
        <f>VLOOKUP(C1410,CheckName!A:B,2,0)</f>
        <v>CRC</v>
      </c>
      <c r="L1410">
        <v>0</v>
      </c>
      <c r="M1410" s="16">
        <f t="shared" si="171"/>
        <v>12</v>
      </c>
      <c r="N1410" t="str">
        <f>TEXT(MTDRejection[[#This Row],[RejectionDate]],"dddd")</f>
        <v>Thursday</v>
      </c>
    </row>
    <row r="1411" spans="1:14">
      <c r="A1411" t="s">
        <v>682</v>
      </c>
      <c r="B1411" t="s">
        <v>4016</v>
      </c>
      <c r="C1411" t="s">
        <v>12</v>
      </c>
      <c r="D1411" t="s">
        <v>26</v>
      </c>
      <c r="E1411" s="7">
        <v>45638</v>
      </c>
      <c r="F1411" t="s">
        <v>83</v>
      </c>
      <c r="G1411">
        <v>0</v>
      </c>
      <c r="H1411" t="s">
        <v>27</v>
      </c>
      <c r="I1411" t="s">
        <v>16</v>
      </c>
      <c r="J1411" t="s">
        <v>16</v>
      </c>
      <c r="K1411" s="16" t="str">
        <f>VLOOKUP(C1411,CheckName!A:B,2,0)</f>
        <v>Emp</v>
      </c>
      <c r="L1411">
        <v>0</v>
      </c>
      <c r="M1411" s="16">
        <f t="shared" ref="M1411:M1413" si="172">DAY(E1411)</f>
        <v>12</v>
      </c>
      <c r="N1411" t="str">
        <f>TEXT(MTDRejection[[#This Row],[RejectionDate]],"dddd")</f>
        <v>Thursday</v>
      </c>
    </row>
    <row r="1412" spans="1:14">
      <c r="A1412" t="s">
        <v>682</v>
      </c>
      <c r="B1412" t="s">
        <v>4017</v>
      </c>
      <c r="C1412" t="s">
        <v>12</v>
      </c>
      <c r="D1412" t="s">
        <v>26</v>
      </c>
      <c r="E1412" s="7">
        <v>45638</v>
      </c>
      <c r="F1412" t="s">
        <v>83</v>
      </c>
      <c r="G1412">
        <v>0</v>
      </c>
      <c r="H1412" t="s">
        <v>27</v>
      </c>
      <c r="I1412" t="s">
        <v>16</v>
      </c>
      <c r="J1412" t="s">
        <v>16</v>
      </c>
      <c r="K1412" s="16" t="str">
        <f>VLOOKUP(C1412,CheckName!A:B,2,0)</f>
        <v>Emp</v>
      </c>
      <c r="L1412">
        <v>0</v>
      </c>
      <c r="M1412" s="16">
        <f t="shared" si="172"/>
        <v>12</v>
      </c>
      <c r="N1412" t="str">
        <f>TEXT(MTDRejection[[#This Row],[RejectionDate]],"dddd")</f>
        <v>Thursday</v>
      </c>
    </row>
    <row r="1413" spans="1:14">
      <c r="A1413" t="s">
        <v>91</v>
      </c>
      <c r="B1413" t="s">
        <v>1867</v>
      </c>
      <c r="C1413" t="s">
        <v>12</v>
      </c>
      <c r="D1413" t="s">
        <v>26</v>
      </c>
      <c r="E1413" s="7">
        <v>45638</v>
      </c>
      <c r="F1413" t="s">
        <v>184</v>
      </c>
      <c r="G1413">
        <v>0</v>
      </c>
      <c r="H1413" t="s">
        <v>22</v>
      </c>
      <c r="I1413" t="s">
        <v>16</v>
      </c>
      <c r="J1413" t="s">
        <v>16</v>
      </c>
      <c r="K1413" s="16" t="str">
        <f>VLOOKUP(C1413,CheckName!A:B,2,0)</f>
        <v>Emp</v>
      </c>
      <c r="L1413">
        <v>0</v>
      </c>
      <c r="M1413" s="16">
        <f t="shared" si="172"/>
        <v>12</v>
      </c>
      <c r="N1413" t="str">
        <f>TEXT(MTDRejection[[#This Row],[RejectionDate]],"dddd")</f>
        <v>Thursday</v>
      </c>
    </row>
    <row r="1414" spans="1:14">
      <c r="A1414" t="s">
        <v>242</v>
      </c>
      <c r="B1414" t="s">
        <v>4018</v>
      </c>
      <c r="C1414" t="s">
        <v>19</v>
      </c>
      <c r="D1414" t="s">
        <v>20</v>
      </c>
      <c r="E1414" s="7">
        <v>45638</v>
      </c>
      <c r="F1414" t="s">
        <v>2327</v>
      </c>
      <c r="G1414">
        <v>0</v>
      </c>
      <c r="H1414" t="s">
        <v>22</v>
      </c>
      <c r="I1414" t="s">
        <v>16</v>
      </c>
      <c r="J1414" t="s">
        <v>16</v>
      </c>
      <c r="K1414" s="16" t="str">
        <f>VLOOKUP(C1414,CheckName!A:B,2,0)</f>
        <v>Add</v>
      </c>
      <c r="L1414">
        <v>0</v>
      </c>
      <c r="M1414" s="16">
        <f>DAY(E1414)</f>
        <v>12</v>
      </c>
      <c r="N1414" t="str">
        <f>TEXT(MTDRejection[[#This Row],[RejectionDate]],"dddd")</f>
        <v>Thursday</v>
      </c>
    </row>
    <row r="1415" spans="1:14">
      <c r="A1415" t="s">
        <v>100</v>
      </c>
      <c r="B1415" t="s">
        <v>4019</v>
      </c>
      <c r="C1415" t="s">
        <v>357</v>
      </c>
      <c r="D1415" t="s">
        <v>26</v>
      </c>
      <c r="E1415" s="7">
        <v>45638</v>
      </c>
      <c r="F1415" t="s">
        <v>380</v>
      </c>
      <c r="G1415">
        <v>0</v>
      </c>
      <c r="H1415" t="s">
        <v>27</v>
      </c>
      <c r="I1415" t="s">
        <v>16</v>
      </c>
      <c r="J1415" t="s">
        <v>16</v>
      </c>
      <c r="K1415" s="16" t="str">
        <f>VLOOKUP(C1415,CheckName!A:B,2,0)</f>
        <v>Emp</v>
      </c>
      <c r="L1415">
        <v>0</v>
      </c>
      <c r="M1415" s="16">
        <f>DAY(E1415)</f>
        <v>12</v>
      </c>
      <c r="N1415" t="str">
        <f>TEXT(MTDRejection[[#This Row],[RejectionDate]],"dddd")</f>
        <v>Thursday</v>
      </c>
    </row>
    <row r="1416" spans="1:14">
      <c r="A1416" t="s">
        <v>360</v>
      </c>
      <c r="B1416" t="s">
        <v>4020</v>
      </c>
      <c r="C1416" t="s">
        <v>980</v>
      </c>
      <c r="D1416" t="s">
        <v>20</v>
      </c>
      <c r="E1416" s="7">
        <v>45638</v>
      </c>
      <c r="F1416" t="s">
        <v>2327</v>
      </c>
      <c r="G1416">
        <v>0</v>
      </c>
      <c r="H1416" t="s">
        <v>27</v>
      </c>
      <c r="I1416" t="s">
        <v>16</v>
      </c>
      <c r="J1416" t="s">
        <v>16</v>
      </c>
      <c r="K1416" s="16" t="str">
        <f>VLOOKUP(C1416,CheckName!A:B,2,0)</f>
        <v>Add</v>
      </c>
      <c r="L1416">
        <v>0</v>
      </c>
      <c r="M1416" s="16">
        <f>DAY(E1416)</f>
        <v>12</v>
      </c>
      <c r="N1416" t="str">
        <f>TEXT(MTDRejection[[#This Row],[RejectionDate]],"dddd")</f>
        <v>Thursday</v>
      </c>
    </row>
    <row r="1417" spans="1:14">
      <c r="A1417" t="s">
        <v>1814</v>
      </c>
      <c r="B1417" t="s">
        <v>4021</v>
      </c>
      <c r="C1417" t="s">
        <v>25</v>
      </c>
      <c r="D1417" t="s">
        <v>20</v>
      </c>
      <c r="E1417" s="7">
        <v>45638</v>
      </c>
      <c r="F1417" t="s">
        <v>2327</v>
      </c>
      <c r="G1417">
        <v>0</v>
      </c>
      <c r="H1417" t="s">
        <v>130</v>
      </c>
      <c r="I1417" t="s">
        <v>16</v>
      </c>
      <c r="J1417" t="s">
        <v>16</v>
      </c>
      <c r="K1417" s="16" t="str">
        <f>VLOOKUP(C1417,CheckName!A:B,2,0)</f>
        <v>Add</v>
      </c>
      <c r="L1417">
        <v>0</v>
      </c>
      <c r="M1417" s="16">
        <f t="shared" ref="M1417:M1421" si="173">DAY(E1417)</f>
        <v>12</v>
      </c>
      <c r="N1417" t="str">
        <f>TEXT(MTDRejection[[#This Row],[RejectionDate]],"dddd")</f>
        <v>Thursday</v>
      </c>
    </row>
    <row r="1418" spans="1:14">
      <c r="A1418" t="s">
        <v>239</v>
      </c>
      <c r="B1418" t="s">
        <v>4022</v>
      </c>
      <c r="C1418" t="s">
        <v>19</v>
      </c>
      <c r="D1418" t="s">
        <v>20</v>
      </c>
      <c r="E1418" s="7">
        <v>45638</v>
      </c>
      <c r="F1418" t="s">
        <v>2327</v>
      </c>
      <c r="G1418">
        <v>0</v>
      </c>
      <c r="H1418" t="s">
        <v>27</v>
      </c>
      <c r="I1418" t="s">
        <v>16</v>
      </c>
      <c r="J1418" t="s">
        <v>16</v>
      </c>
      <c r="K1418" s="16" t="str">
        <f>VLOOKUP(C1418,CheckName!A:B,2,0)</f>
        <v>Add</v>
      </c>
      <c r="L1418">
        <v>0</v>
      </c>
      <c r="M1418" s="16">
        <f t="shared" si="173"/>
        <v>12</v>
      </c>
      <c r="N1418" t="str">
        <f>TEXT(MTDRejection[[#This Row],[RejectionDate]],"dddd")</f>
        <v>Thursday</v>
      </c>
    </row>
    <row r="1419" spans="1:14">
      <c r="A1419" t="s">
        <v>362</v>
      </c>
      <c r="B1419" t="s">
        <v>4023</v>
      </c>
      <c r="C1419" t="s">
        <v>25</v>
      </c>
      <c r="D1419" t="s">
        <v>26</v>
      </c>
      <c r="E1419" s="7">
        <v>45638</v>
      </c>
      <c r="F1419" t="s">
        <v>66</v>
      </c>
      <c r="G1419">
        <v>0</v>
      </c>
      <c r="H1419" t="s">
        <v>27</v>
      </c>
      <c r="I1419" t="s">
        <v>16</v>
      </c>
      <c r="J1419" t="s">
        <v>16</v>
      </c>
      <c r="K1419" s="16" t="str">
        <f>VLOOKUP(C1419,CheckName!A:B,2,0)</f>
        <v>Add</v>
      </c>
      <c r="L1419">
        <v>0</v>
      </c>
      <c r="M1419" s="16">
        <f t="shared" si="173"/>
        <v>12</v>
      </c>
      <c r="N1419" t="str">
        <f>TEXT(MTDRejection[[#This Row],[RejectionDate]],"dddd")</f>
        <v>Thursday</v>
      </c>
    </row>
    <row r="1420" spans="1:14">
      <c r="A1420" t="s">
        <v>362</v>
      </c>
      <c r="B1420" t="s">
        <v>4024</v>
      </c>
      <c r="C1420" t="s">
        <v>25</v>
      </c>
      <c r="D1420" t="s">
        <v>26</v>
      </c>
      <c r="E1420" s="7">
        <v>45638</v>
      </c>
      <c r="F1420" t="s">
        <v>66</v>
      </c>
      <c r="G1420">
        <v>0</v>
      </c>
      <c r="H1420" t="s">
        <v>27</v>
      </c>
      <c r="I1420" t="s">
        <v>16</v>
      </c>
      <c r="J1420" t="s">
        <v>16</v>
      </c>
      <c r="K1420" s="16" t="str">
        <f>VLOOKUP(C1420,CheckName!A:B,2,0)</f>
        <v>Add</v>
      </c>
      <c r="L1420">
        <v>0</v>
      </c>
      <c r="M1420" s="16">
        <f t="shared" si="173"/>
        <v>12</v>
      </c>
      <c r="N1420" t="str">
        <f>TEXT(MTDRejection[[#This Row],[RejectionDate]],"dddd")</f>
        <v>Thursday</v>
      </c>
    </row>
    <row r="1421" spans="1:14">
      <c r="A1421" t="s">
        <v>362</v>
      </c>
      <c r="B1421" t="s">
        <v>4025</v>
      </c>
      <c r="C1421" t="s">
        <v>25</v>
      </c>
      <c r="D1421" t="s">
        <v>26</v>
      </c>
      <c r="E1421" s="7">
        <v>45638</v>
      </c>
      <c r="F1421" t="s">
        <v>66</v>
      </c>
      <c r="G1421">
        <v>0</v>
      </c>
      <c r="H1421" t="s">
        <v>30</v>
      </c>
      <c r="I1421" t="s">
        <v>16</v>
      </c>
      <c r="J1421" t="s">
        <v>16</v>
      </c>
      <c r="K1421" s="16" t="str">
        <f>VLOOKUP(C1421,CheckName!A:B,2,0)</f>
        <v>Add</v>
      </c>
      <c r="L1421">
        <v>0</v>
      </c>
      <c r="M1421" s="16">
        <f t="shared" si="173"/>
        <v>12</v>
      </c>
      <c r="N1421" t="str">
        <f>TEXT(MTDRejection[[#This Row],[RejectionDate]],"dddd")</f>
        <v>Thursday</v>
      </c>
    </row>
    <row r="1422" spans="1:14">
      <c r="A1422" t="s">
        <v>43</v>
      </c>
      <c r="B1422" t="s">
        <v>4026</v>
      </c>
      <c r="C1422" t="s">
        <v>12</v>
      </c>
      <c r="D1422" t="s">
        <v>26</v>
      </c>
      <c r="E1422" s="7">
        <v>45637</v>
      </c>
      <c r="F1422" t="s">
        <v>159</v>
      </c>
      <c r="G1422">
        <v>1</v>
      </c>
      <c r="H1422" t="s">
        <v>22</v>
      </c>
      <c r="I1422" t="s">
        <v>16</v>
      </c>
      <c r="J1422" t="s">
        <v>16</v>
      </c>
      <c r="K1422" s="16" t="str">
        <f>VLOOKUP(C1422,CheckName!A:B,2,0)</f>
        <v>Emp</v>
      </c>
      <c r="L1422">
        <v>1</v>
      </c>
      <c r="M1422" s="16">
        <f>DAY(E1422)</f>
        <v>11</v>
      </c>
      <c r="N1422" t="str">
        <f>TEXT(MTDRejection[[#This Row],[RejectionDate]],"dddd")</f>
        <v>Wednesday</v>
      </c>
    </row>
    <row r="1423" spans="1:14">
      <c r="A1423" t="s">
        <v>88</v>
      </c>
      <c r="B1423" t="s">
        <v>4027</v>
      </c>
      <c r="C1423" t="s">
        <v>25</v>
      </c>
      <c r="D1423" t="s">
        <v>26</v>
      </c>
      <c r="E1423" s="7">
        <v>45636</v>
      </c>
      <c r="F1423" t="s">
        <v>66</v>
      </c>
      <c r="G1423">
        <v>2</v>
      </c>
      <c r="H1423" t="s">
        <v>22</v>
      </c>
      <c r="I1423" t="s">
        <v>16</v>
      </c>
      <c r="J1423" t="s">
        <v>16</v>
      </c>
      <c r="K1423" s="16" t="str">
        <f>VLOOKUP(C1423,CheckName!A:B,2,0)</f>
        <v>Add</v>
      </c>
      <c r="L1423">
        <v>0</v>
      </c>
      <c r="M1423" s="16">
        <f>DAY(E1423)</f>
        <v>10</v>
      </c>
      <c r="N1423" t="str">
        <f>TEXT(MTDRejection[[#This Row],[RejectionDate]],"dddd")</f>
        <v>Tuesday</v>
      </c>
    </row>
    <row r="1424" spans="1:14">
      <c r="A1424" t="s">
        <v>362</v>
      </c>
      <c r="B1424" t="s">
        <v>4028</v>
      </c>
      <c r="C1424" t="s">
        <v>25</v>
      </c>
      <c r="D1424" t="s">
        <v>26</v>
      </c>
      <c r="E1424" s="7">
        <v>45636</v>
      </c>
      <c r="F1424" t="s">
        <v>66</v>
      </c>
      <c r="G1424">
        <v>2</v>
      </c>
      <c r="H1424" t="s">
        <v>22</v>
      </c>
      <c r="I1424" t="s">
        <v>16</v>
      </c>
      <c r="J1424" t="s">
        <v>16</v>
      </c>
      <c r="K1424" s="16" t="str">
        <f>VLOOKUP(C1424,CheckName!A:B,2,0)</f>
        <v>Add</v>
      </c>
      <c r="L1424">
        <v>0</v>
      </c>
      <c r="M1424" s="16">
        <f>DAY(E1424)</f>
        <v>10</v>
      </c>
      <c r="N1424" t="str">
        <f>TEXT(MTDRejection[[#This Row],[RejectionDate]],"dddd")</f>
        <v>Tuesday</v>
      </c>
    </row>
    <row r="1425" spans="1:14">
      <c r="A1425" t="s">
        <v>100</v>
      </c>
      <c r="B1425" t="s">
        <v>3395</v>
      </c>
      <c r="C1425" t="s">
        <v>102</v>
      </c>
      <c r="D1425" t="s">
        <v>26</v>
      </c>
      <c r="E1425" s="7">
        <v>45634</v>
      </c>
      <c r="F1425" t="s">
        <v>103</v>
      </c>
      <c r="G1425">
        <v>4</v>
      </c>
      <c r="H1425" t="s">
        <v>27</v>
      </c>
      <c r="I1425" t="s">
        <v>16</v>
      </c>
      <c r="J1425" t="s">
        <v>16</v>
      </c>
      <c r="K1425" s="16" t="str">
        <f>VLOOKUP(C1425,CheckName!A:B,2,0)</f>
        <v>Edu</v>
      </c>
      <c r="L1425">
        <v>0</v>
      </c>
      <c r="M1425" s="16">
        <f>DAY(E1425)</f>
        <v>8</v>
      </c>
      <c r="N1425" t="str">
        <f>TEXT(MTDRejection[[#This Row],[RejectionDate]],"dddd")</f>
        <v>Sunday</v>
      </c>
    </row>
    <row r="1426" spans="1:14">
      <c r="A1426" t="s">
        <v>687</v>
      </c>
      <c r="B1426" t="s">
        <v>4029</v>
      </c>
      <c r="C1426" t="s">
        <v>19</v>
      </c>
      <c r="D1426" t="s">
        <v>20</v>
      </c>
      <c r="E1426" s="7">
        <v>45638</v>
      </c>
      <c r="F1426" t="s">
        <v>273</v>
      </c>
      <c r="G1426">
        <v>0</v>
      </c>
      <c r="H1426" t="s">
        <v>22</v>
      </c>
      <c r="I1426" t="s">
        <v>16</v>
      </c>
      <c r="J1426" t="s">
        <v>16</v>
      </c>
      <c r="K1426" s="16" t="str">
        <f>VLOOKUP(C1426,CheckName!A:B,2,0)</f>
        <v>Add</v>
      </c>
      <c r="L1426">
        <v>0</v>
      </c>
      <c r="M1426" s="16">
        <f>DAY(E1426)</f>
        <v>12</v>
      </c>
      <c r="N1426" t="str">
        <f>TEXT(MTDRejection[[#This Row],[RejectionDate]],"dddd")</f>
        <v>Thursday</v>
      </c>
    </row>
    <row r="1427" spans="1:14">
      <c r="A1427" t="s">
        <v>133</v>
      </c>
      <c r="B1427" t="s">
        <v>4030</v>
      </c>
      <c r="C1427" t="s">
        <v>25</v>
      </c>
      <c r="D1427" t="s">
        <v>20</v>
      </c>
      <c r="E1427" s="7">
        <v>45638</v>
      </c>
      <c r="F1427" t="s">
        <v>273</v>
      </c>
      <c r="G1427">
        <v>0</v>
      </c>
      <c r="H1427" t="s">
        <v>30</v>
      </c>
      <c r="I1427" t="s">
        <v>16</v>
      </c>
      <c r="J1427" t="s">
        <v>16</v>
      </c>
      <c r="K1427" s="16" t="str">
        <f>VLOOKUP(C1427,CheckName!A:B,2,0)</f>
        <v>Add</v>
      </c>
      <c r="L1427">
        <v>0</v>
      </c>
      <c r="M1427" s="16">
        <f t="shared" ref="M1427:M1432" si="174">DAY(E1427)</f>
        <v>12</v>
      </c>
      <c r="N1427" t="str">
        <f>TEXT(MTDRejection[[#This Row],[RejectionDate]],"dddd")</f>
        <v>Thursday</v>
      </c>
    </row>
    <row r="1428" spans="1:14">
      <c r="A1428" t="s">
        <v>10</v>
      </c>
      <c r="B1428" t="s">
        <v>4031</v>
      </c>
      <c r="C1428" t="s">
        <v>1869</v>
      </c>
      <c r="D1428" t="s">
        <v>26</v>
      </c>
      <c r="E1428" s="7">
        <v>45638</v>
      </c>
      <c r="F1428" t="s">
        <v>236</v>
      </c>
      <c r="G1428">
        <v>0</v>
      </c>
      <c r="H1428" t="s">
        <v>27</v>
      </c>
      <c r="I1428" t="s">
        <v>16</v>
      </c>
      <c r="J1428" t="s">
        <v>16</v>
      </c>
      <c r="K1428" s="16" t="str">
        <f>VLOOKUP(C1428,CheckName!A:B,2,0)</f>
        <v>Special Check</v>
      </c>
      <c r="L1428">
        <v>0</v>
      </c>
      <c r="M1428" s="16">
        <f t="shared" si="174"/>
        <v>12</v>
      </c>
      <c r="N1428" t="str">
        <f>TEXT(MTDRejection[[#This Row],[RejectionDate]],"dddd")</f>
        <v>Thursday</v>
      </c>
    </row>
    <row r="1429" spans="1:14">
      <c r="A1429" t="s">
        <v>10</v>
      </c>
      <c r="B1429" t="s">
        <v>4032</v>
      </c>
      <c r="C1429" t="s">
        <v>1869</v>
      </c>
      <c r="D1429" t="s">
        <v>26</v>
      </c>
      <c r="E1429" s="7">
        <v>45638</v>
      </c>
      <c r="F1429" t="s">
        <v>236</v>
      </c>
      <c r="G1429">
        <v>0</v>
      </c>
      <c r="H1429" t="s">
        <v>27</v>
      </c>
      <c r="I1429" t="s">
        <v>16</v>
      </c>
      <c r="J1429" t="s">
        <v>16</v>
      </c>
      <c r="K1429" s="16" t="str">
        <f>VLOOKUP(C1429,CheckName!A:B,2,0)</f>
        <v>Special Check</v>
      </c>
      <c r="L1429">
        <v>0</v>
      </c>
      <c r="M1429" s="16">
        <f t="shared" si="174"/>
        <v>12</v>
      </c>
      <c r="N1429" t="str">
        <f>TEXT(MTDRejection[[#This Row],[RejectionDate]],"dddd")</f>
        <v>Thursday</v>
      </c>
    </row>
    <row r="1430" spans="1:14">
      <c r="A1430" t="s">
        <v>10</v>
      </c>
      <c r="B1430" t="s">
        <v>4033</v>
      </c>
      <c r="C1430" t="s">
        <v>1869</v>
      </c>
      <c r="D1430" t="s">
        <v>26</v>
      </c>
      <c r="E1430" s="7">
        <v>45638</v>
      </c>
      <c r="F1430" t="s">
        <v>236</v>
      </c>
      <c r="G1430">
        <v>0</v>
      </c>
      <c r="H1430" t="s">
        <v>27</v>
      </c>
      <c r="I1430" t="s">
        <v>16</v>
      </c>
      <c r="J1430" t="s">
        <v>16</v>
      </c>
      <c r="K1430" s="16" t="str">
        <f>VLOOKUP(C1430,CheckName!A:B,2,0)</f>
        <v>Special Check</v>
      </c>
      <c r="L1430">
        <v>0</v>
      </c>
      <c r="M1430" s="16">
        <f t="shared" si="174"/>
        <v>12</v>
      </c>
      <c r="N1430" t="str">
        <f>TEXT(MTDRejection[[#This Row],[RejectionDate]],"dddd")</f>
        <v>Thursday</v>
      </c>
    </row>
    <row r="1431" spans="1:14">
      <c r="A1431" t="s">
        <v>10</v>
      </c>
      <c r="B1431" t="s">
        <v>4034</v>
      </c>
      <c r="C1431" t="s">
        <v>1869</v>
      </c>
      <c r="D1431" t="s">
        <v>26</v>
      </c>
      <c r="E1431" s="7">
        <v>45638</v>
      </c>
      <c r="F1431" t="s">
        <v>236</v>
      </c>
      <c r="G1431">
        <v>0</v>
      </c>
      <c r="H1431" t="s">
        <v>27</v>
      </c>
      <c r="I1431" t="s">
        <v>16</v>
      </c>
      <c r="J1431" t="s">
        <v>16</v>
      </c>
      <c r="K1431" s="16" t="str">
        <f>VLOOKUP(C1431,CheckName!A:B,2,0)</f>
        <v>Special Check</v>
      </c>
      <c r="L1431">
        <v>0</v>
      </c>
      <c r="M1431" s="16">
        <f t="shared" si="174"/>
        <v>12</v>
      </c>
      <c r="N1431" t="str">
        <f>TEXT(MTDRejection[[#This Row],[RejectionDate]],"dddd")</f>
        <v>Thursday</v>
      </c>
    </row>
    <row r="1432" spans="1:14">
      <c r="A1432" t="s">
        <v>10</v>
      </c>
      <c r="B1432" t="s">
        <v>4035</v>
      </c>
      <c r="C1432" t="s">
        <v>1869</v>
      </c>
      <c r="D1432" t="s">
        <v>26</v>
      </c>
      <c r="E1432" s="7">
        <v>45638</v>
      </c>
      <c r="F1432" t="s">
        <v>236</v>
      </c>
      <c r="G1432">
        <v>0</v>
      </c>
      <c r="H1432" t="s">
        <v>27</v>
      </c>
      <c r="I1432" t="s">
        <v>16</v>
      </c>
      <c r="J1432" t="s">
        <v>16</v>
      </c>
      <c r="K1432" s="16" t="str">
        <f>VLOOKUP(C1432,CheckName!A:B,2,0)</f>
        <v>Special Check</v>
      </c>
      <c r="L1432">
        <v>0</v>
      </c>
      <c r="M1432" s="16">
        <f t="shared" si="174"/>
        <v>12</v>
      </c>
      <c r="N1432" t="str">
        <f>TEXT(MTDRejection[[#This Row],[RejectionDate]],"dddd")</f>
        <v>Thursday</v>
      </c>
    </row>
    <row r="1433" spans="1:14">
      <c r="A1433" t="s">
        <v>1870</v>
      </c>
      <c r="B1433" t="s">
        <v>4036</v>
      </c>
      <c r="C1433" t="s">
        <v>19</v>
      </c>
      <c r="D1433" t="s">
        <v>20</v>
      </c>
      <c r="E1433" s="7">
        <v>45638</v>
      </c>
      <c r="F1433" t="s">
        <v>2327</v>
      </c>
      <c r="G1433">
        <v>0</v>
      </c>
      <c r="H1433" t="s">
        <v>22</v>
      </c>
      <c r="I1433" t="s">
        <v>16</v>
      </c>
      <c r="J1433" t="s">
        <v>16</v>
      </c>
      <c r="K1433" s="16" t="str">
        <f>VLOOKUP(C1433,CheckName!A:B,2,0)</f>
        <v>Add</v>
      </c>
      <c r="L1433">
        <v>0</v>
      </c>
      <c r="M1433" s="16">
        <f t="shared" ref="M1433:M1436" si="175">DAY(E1433)</f>
        <v>12</v>
      </c>
      <c r="N1433" t="str">
        <f>TEXT(MTDRejection[[#This Row],[RejectionDate]],"dddd")</f>
        <v>Thursday</v>
      </c>
    </row>
    <row r="1434" spans="1:14">
      <c r="A1434" t="s">
        <v>242</v>
      </c>
      <c r="B1434" t="s">
        <v>4037</v>
      </c>
      <c r="C1434" t="s">
        <v>25</v>
      </c>
      <c r="D1434" t="s">
        <v>20</v>
      </c>
      <c r="E1434" s="7">
        <v>45638</v>
      </c>
      <c r="F1434" t="s">
        <v>2327</v>
      </c>
      <c r="G1434">
        <v>0</v>
      </c>
      <c r="H1434" t="s">
        <v>22</v>
      </c>
      <c r="I1434" t="s">
        <v>16</v>
      </c>
      <c r="J1434" t="s">
        <v>16</v>
      </c>
      <c r="K1434" s="16" t="str">
        <f>VLOOKUP(C1434,CheckName!A:B,2,0)</f>
        <v>Add</v>
      </c>
      <c r="L1434">
        <v>1</v>
      </c>
      <c r="M1434" s="16">
        <f t="shared" si="175"/>
        <v>12</v>
      </c>
      <c r="N1434" t="str">
        <f>TEXT(MTDRejection[[#This Row],[RejectionDate]],"dddd")</f>
        <v>Thursday</v>
      </c>
    </row>
    <row r="1435" spans="1:14">
      <c r="A1435" t="s">
        <v>320</v>
      </c>
      <c r="B1435" t="s">
        <v>4038</v>
      </c>
      <c r="C1435" t="s">
        <v>324</v>
      </c>
      <c r="D1435" t="s">
        <v>26</v>
      </c>
      <c r="E1435" s="7">
        <v>45638</v>
      </c>
      <c r="F1435" t="s">
        <v>325</v>
      </c>
      <c r="G1435">
        <v>0</v>
      </c>
      <c r="H1435" t="s">
        <v>27</v>
      </c>
      <c r="I1435" t="s">
        <v>16</v>
      </c>
      <c r="J1435" t="s">
        <v>16</v>
      </c>
      <c r="K1435" s="16" t="str">
        <f>VLOOKUP(C1435,CheckName!A:B,2,0)</f>
        <v>Emp</v>
      </c>
      <c r="L1435">
        <v>0</v>
      </c>
      <c r="M1435" s="16">
        <f t="shared" si="175"/>
        <v>12</v>
      </c>
      <c r="N1435" t="str">
        <f>TEXT(MTDRejection[[#This Row],[RejectionDate]],"dddd")</f>
        <v>Thursday</v>
      </c>
    </row>
    <row r="1436" spans="1:14">
      <c r="A1436" t="s">
        <v>100</v>
      </c>
      <c r="B1436" t="s">
        <v>4039</v>
      </c>
      <c r="C1436" t="s">
        <v>102</v>
      </c>
      <c r="D1436" t="s">
        <v>51</v>
      </c>
      <c r="E1436" s="7">
        <v>45638</v>
      </c>
      <c r="F1436" t="s">
        <v>555</v>
      </c>
      <c r="G1436">
        <v>0</v>
      </c>
      <c r="H1436" t="s">
        <v>53</v>
      </c>
      <c r="I1436" t="s">
        <v>16</v>
      </c>
      <c r="J1436" t="s">
        <v>16</v>
      </c>
      <c r="K1436" s="16" t="str">
        <f>VLOOKUP(C1436,CheckName!A:B,2,0)</f>
        <v>Edu</v>
      </c>
      <c r="L1436">
        <v>0</v>
      </c>
      <c r="M1436" s="16">
        <f t="shared" si="175"/>
        <v>12</v>
      </c>
      <c r="N1436" t="str">
        <f>TEXT(MTDRejection[[#This Row],[RejectionDate]],"dddd")</f>
        <v>Thursday</v>
      </c>
    </row>
    <row r="1437" spans="1:14">
      <c r="A1437" t="s">
        <v>84</v>
      </c>
      <c r="B1437" t="s">
        <v>2514</v>
      </c>
      <c r="C1437" t="s">
        <v>12</v>
      </c>
      <c r="D1437" t="s">
        <v>38</v>
      </c>
      <c r="E1437" s="7">
        <v>45638</v>
      </c>
      <c r="F1437" t="s">
        <v>39</v>
      </c>
      <c r="G1437">
        <v>0</v>
      </c>
      <c r="H1437" t="s">
        <v>42</v>
      </c>
      <c r="I1437" t="s">
        <v>16</v>
      </c>
      <c r="J1437" t="s">
        <v>16</v>
      </c>
      <c r="K1437" s="16" t="str">
        <f>VLOOKUP(C1437,CheckName!A:B,2,0)</f>
        <v>Emp</v>
      </c>
      <c r="L1437">
        <v>0</v>
      </c>
      <c r="M1437" s="16">
        <f t="shared" ref="M1437:M1440" si="176">DAY(E1437)</f>
        <v>12</v>
      </c>
      <c r="N1437" t="str">
        <f>TEXT(MTDRejection[[#This Row],[RejectionDate]],"dddd")</f>
        <v>Thursday</v>
      </c>
    </row>
    <row r="1438" spans="1:14">
      <c r="A1438" t="s">
        <v>360</v>
      </c>
      <c r="B1438" t="s">
        <v>4040</v>
      </c>
      <c r="C1438" t="s">
        <v>36</v>
      </c>
      <c r="D1438" t="s">
        <v>38</v>
      </c>
      <c r="E1438" s="7">
        <v>45638</v>
      </c>
      <c r="F1438" t="s">
        <v>39</v>
      </c>
      <c r="G1438">
        <v>0</v>
      </c>
      <c r="H1438" t="s">
        <v>42</v>
      </c>
      <c r="I1438" t="s">
        <v>16</v>
      </c>
      <c r="J1438" t="s">
        <v>16</v>
      </c>
      <c r="K1438" s="16" t="str">
        <f>VLOOKUP(C1438,CheckName!A:B,2,0)</f>
        <v>Emp</v>
      </c>
      <c r="L1438">
        <v>0</v>
      </c>
      <c r="M1438" s="16">
        <f t="shared" si="176"/>
        <v>12</v>
      </c>
      <c r="N1438" t="str">
        <f>TEXT(MTDRejection[[#This Row],[RejectionDate]],"dddd")</f>
        <v>Thursday</v>
      </c>
    </row>
    <row r="1439" spans="1:14">
      <c r="A1439" t="s">
        <v>45</v>
      </c>
      <c r="B1439" t="s">
        <v>3033</v>
      </c>
      <c r="C1439" t="s">
        <v>36</v>
      </c>
      <c r="D1439" t="s">
        <v>38</v>
      </c>
      <c r="E1439" s="7">
        <v>45638</v>
      </c>
      <c r="F1439" t="s">
        <v>39</v>
      </c>
      <c r="G1439">
        <v>0</v>
      </c>
      <c r="H1439" t="s">
        <v>42</v>
      </c>
      <c r="I1439" t="s">
        <v>16</v>
      </c>
      <c r="J1439" t="s">
        <v>16</v>
      </c>
      <c r="K1439" s="16" t="str">
        <f>VLOOKUP(C1439,CheckName!A:B,2,0)</f>
        <v>Emp</v>
      </c>
      <c r="L1439">
        <v>0</v>
      </c>
      <c r="M1439" s="16">
        <f t="shared" si="176"/>
        <v>12</v>
      </c>
      <c r="N1439" t="str">
        <f>TEXT(MTDRejection[[#This Row],[RejectionDate]],"dddd")</f>
        <v>Thursday</v>
      </c>
    </row>
    <row r="1440" spans="1:14">
      <c r="A1440" t="s">
        <v>10</v>
      </c>
      <c r="B1440" t="s">
        <v>4041</v>
      </c>
      <c r="C1440" t="s">
        <v>12</v>
      </c>
      <c r="D1440" t="s">
        <v>13</v>
      </c>
      <c r="E1440" s="7">
        <v>45638</v>
      </c>
      <c r="F1440" t="s">
        <v>2334</v>
      </c>
      <c r="G1440">
        <v>0</v>
      </c>
      <c r="H1440" t="s">
        <v>15</v>
      </c>
      <c r="I1440" t="s">
        <v>16</v>
      </c>
      <c r="J1440" t="s">
        <v>16</v>
      </c>
      <c r="K1440" s="16" t="str">
        <f>VLOOKUP(C1440,CheckName!A:B,2,0)</f>
        <v>Emp</v>
      </c>
      <c r="L1440">
        <v>0</v>
      </c>
      <c r="M1440" s="16">
        <f t="shared" si="176"/>
        <v>12</v>
      </c>
      <c r="N1440" t="str">
        <f>TEXT(MTDRejection[[#This Row],[RejectionDate]],"dddd")</f>
        <v>Thursday</v>
      </c>
    </row>
    <row r="1441" spans="1:14">
      <c r="A1441" t="s">
        <v>391</v>
      </c>
      <c r="B1441" t="s">
        <v>4042</v>
      </c>
      <c r="C1441" t="s">
        <v>54</v>
      </c>
      <c r="D1441" t="s">
        <v>26</v>
      </c>
      <c r="E1441" s="7">
        <v>45638</v>
      </c>
      <c r="F1441" t="s">
        <v>2344</v>
      </c>
      <c r="G1441">
        <v>0</v>
      </c>
      <c r="H1441" t="s">
        <v>27</v>
      </c>
      <c r="I1441" t="s">
        <v>16</v>
      </c>
      <c r="J1441" t="s">
        <v>16</v>
      </c>
      <c r="K1441" s="16" t="str">
        <f>VLOOKUP(C1441,CheckName!A:B,2,0)</f>
        <v>Edu</v>
      </c>
      <c r="L1441">
        <v>0</v>
      </c>
      <c r="M1441" s="16">
        <f t="shared" ref="M1441:M1444" si="177">DAY(E1441)</f>
        <v>12</v>
      </c>
      <c r="N1441" t="str">
        <f>TEXT(MTDRejection[[#This Row],[RejectionDate]],"dddd")</f>
        <v>Thursday</v>
      </c>
    </row>
    <row r="1442" spans="1:14">
      <c r="A1442" t="s">
        <v>1221</v>
      </c>
      <c r="B1442" t="s">
        <v>4043</v>
      </c>
      <c r="C1442" t="s">
        <v>19</v>
      </c>
      <c r="D1442" t="s">
        <v>20</v>
      </c>
      <c r="E1442" s="7">
        <v>45638</v>
      </c>
      <c r="F1442" t="s">
        <v>66</v>
      </c>
      <c r="G1442">
        <v>0</v>
      </c>
      <c r="H1442" t="s">
        <v>27</v>
      </c>
      <c r="I1442" t="s">
        <v>16</v>
      </c>
      <c r="J1442" t="s">
        <v>16</v>
      </c>
      <c r="K1442" s="16" t="str">
        <f>VLOOKUP(C1442,CheckName!A:B,2,0)</f>
        <v>Add</v>
      </c>
      <c r="L1442">
        <v>0</v>
      </c>
      <c r="M1442" s="16">
        <f t="shared" si="177"/>
        <v>12</v>
      </c>
      <c r="N1442" t="str">
        <f>TEXT(MTDRejection[[#This Row],[RejectionDate]],"dddd")</f>
        <v>Thursday</v>
      </c>
    </row>
    <row r="1443" spans="1:14">
      <c r="A1443" t="s">
        <v>1814</v>
      </c>
      <c r="B1443" t="s">
        <v>4044</v>
      </c>
      <c r="C1443" t="s">
        <v>25</v>
      </c>
      <c r="D1443" t="s">
        <v>20</v>
      </c>
      <c r="E1443" s="7">
        <v>45638</v>
      </c>
      <c r="F1443" t="s">
        <v>2330</v>
      </c>
      <c r="G1443">
        <v>0</v>
      </c>
      <c r="H1443" t="s">
        <v>130</v>
      </c>
      <c r="I1443" t="s">
        <v>16</v>
      </c>
      <c r="J1443" t="s">
        <v>16</v>
      </c>
      <c r="K1443" s="16" t="str">
        <f>VLOOKUP(C1443,CheckName!A:B,2,0)</f>
        <v>Add</v>
      </c>
      <c r="L1443">
        <v>0</v>
      </c>
      <c r="M1443" s="16">
        <f t="shared" si="177"/>
        <v>12</v>
      </c>
      <c r="N1443" t="str">
        <f>TEXT(MTDRejection[[#This Row],[RejectionDate]],"dddd")</f>
        <v>Thursday</v>
      </c>
    </row>
    <row r="1444" spans="1:14">
      <c r="A1444" t="s">
        <v>996</v>
      </c>
      <c r="B1444" t="s">
        <v>4045</v>
      </c>
      <c r="C1444" t="s">
        <v>25</v>
      </c>
      <c r="D1444" t="s">
        <v>20</v>
      </c>
      <c r="E1444" s="7">
        <v>45638</v>
      </c>
      <c r="F1444" t="s">
        <v>2330</v>
      </c>
      <c r="G1444">
        <v>0</v>
      </c>
      <c r="H1444" t="s">
        <v>27</v>
      </c>
      <c r="I1444" t="s">
        <v>16</v>
      </c>
      <c r="J1444" t="s">
        <v>16</v>
      </c>
      <c r="K1444" s="16" t="str">
        <f>VLOOKUP(C1444,CheckName!A:B,2,0)</f>
        <v>Add</v>
      </c>
      <c r="L1444">
        <v>0</v>
      </c>
      <c r="M1444" s="16">
        <f t="shared" si="177"/>
        <v>12</v>
      </c>
      <c r="N1444" t="str">
        <f>TEXT(MTDRejection[[#This Row],[RejectionDate]],"dddd")</f>
        <v>Thursday</v>
      </c>
    </row>
    <row r="1445" spans="1:14">
      <c r="A1445" t="s">
        <v>45</v>
      </c>
      <c r="B1445" t="s">
        <v>4046</v>
      </c>
      <c r="C1445" t="s">
        <v>25</v>
      </c>
      <c r="D1445" t="s">
        <v>20</v>
      </c>
      <c r="E1445" s="7">
        <v>45638</v>
      </c>
      <c r="F1445" t="s">
        <v>2330</v>
      </c>
      <c r="G1445">
        <v>0</v>
      </c>
      <c r="H1445" t="s">
        <v>130</v>
      </c>
      <c r="I1445" t="s">
        <v>16</v>
      </c>
      <c r="J1445" t="s">
        <v>16</v>
      </c>
      <c r="K1445" s="16" t="str">
        <f>VLOOKUP(C1445,CheckName!A:B,2,0)</f>
        <v>Add</v>
      </c>
      <c r="L1445">
        <v>0</v>
      </c>
      <c r="M1445" s="16">
        <f>DAY(E1445)</f>
        <v>12</v>
      </c>
      <c r="N1445" t="str">
        <f>TEXT(MTDRejection[[#This Row],[RejectionDate]],"dddd")</f>
        <v>Thursday</v>
      </c>
    </row>
    <row r="1446" spans="1:14">
      <c r="A1446" t="s">
        <v>43</v>
      </c>
      <c r="B1446" t="s">
        <v>4047</v>
      </c>
      <c r="C1446" t="s">
        <v>12</v>
      </c>
      <c r="D1446" t="s">
        <v>26</v>
      </c>
      <c r="E1446" s="7">
        <v>45638</v>
      </c>
      <c r="F1446" t="s">
        <v>2354</v>
      </c>
      <c r="G1446">
        <v>0</v>
      </c>
      <c r="H1446" t="s">
        <v>27</v>
      </c>
      <c r="I1446" t="s">
        <v>16</v>
      </c>
      <c r="J1446" t="s">
        <v>16</v>
      </c>
      <c r="K1446" s="16" t="str">
        <f>VLOOKUP(C1446,CheckName!A:B,2,0)</f>
        <v>Emp</v>
      </c>
      <c r="L1446">
        <v>0</v>
      </c>
      <c r="M1446" s="16">
        <f t="shared" ref="M1446:M1447" si="178">DAY(E1446)</f>
        <v>12</v>
      </c>
      <c r="N1446" t="str">
        <f>TEXT(MTDRejection[[#This Row],[RejectionDate]],"dddd")</f>
        <v>Thursday</v>
      </c>
    </row>
    <row r="1447" spans="1:14">
      <c r="A1447" t="s">
        <v>306</v>
      </c>
      <c r="B1447" t="s">
        <v>1845</v>
      </c>
      <c r="C1447" t="s">
        <v>19</v>
      </c>
      <c r="D1447" t="s">
        <v>51</v>
      </c>
      <c r="E1447" s="7">
        <v>45638</v>
      </c>
      <c r="F1447" t="s">
        <v>2349</v>
      </c>
      <c r="G1447">
        <v>0</v>
      </c>
      <c r="H1447" t="s">
        <v>53</v>
      </c>
      <c r="I1447" t="s">
        <v>16</v>
      </c>
      <c r="J1447" t="s">
        <v>16</v>
      </c>
      <c r="K1447" s="16" t="str">
        <f>VLOOKUP(C1447,CheckName!A:B,2,0)</f>
        <v>Add</v>
      </c>
      <c r="L1447">
        <v>0</v>
      </c>
      <c r="M1447" s="16">
        <f t="shared" si="178"/>
        <v>12</v>
      </c>
      <c r="N1447" t="str">
        <f>TEXT(MTDRejection[[#This Row],[RejectionDate]],"dddd")</f>
        <v>Thursday</v>
      </c>
    </row>
    <row r="1448" spans="1:14">
      <c r="A1448" t="s">
        <v>160</v>
      </c>
      <c r="B1448" t="s">
        <v>4048</v>
      </c>
      <c r="C1448" t="s">
        <v>125</v>
      </c>
      <c r="D1448" t="s">
        <v>26</v>
      </c>
      <c r="E1448" s="7">
        <v>45638</v>
      </c>
      <c r="F1448" t="s">
        <v>83</v>
      </c>
      <c r="G1448">
        <v>0</v>
      </c>
      <c r="H1448" t="s">
        <v>27</v>
      </c>
      <c r="I1448" t="s">
        <v>16</v>
      </c>
      <c r="J1448" t="s">
        <v>16</v>
      </c>
      <c r="K1448" s="16" t="str">
        <f>VLOOKUP(C1448,CheckName!A:B,2,0)</f>
        <v>Emp</v>
      </c>
      <c r="L1448">
        <v>0</v>
      </c>
      <c r="M1448" s="16">
        <f>DAY(E1448)</f>
        <v>12</v>
      </c>
      <c r="N1448" t="str">
        <f>TEXT(MTDRejection[[#This Row],[RejectionDate]],"dddd")</f>
        <v>Thursday</v>
      </c>
    </row>
    <row r="1449" spans="1:14">
      <c r="A1449" t="s">
        <v>1778</v>
      </c>
      <c r="B1449" t="s">
        <v>4049</v>
      </c>
      <c r="C1449" t="s">
        <v>12</v>
      </c>
      <c r="D1449" t="s">
        <v>26</v>
      </c>
      <c r="E1449" s="7">
        <v>45638</v>
      </c>
      <c r="F1449" t="s">
        <v>182</v>
      </c>
      <c r="G1449">
        <v>0</v>
      </c>
      <c r="H1449" t="s">
        <v>130</v>
      </c>
      <c r="I1449" t="s">
        <v>16</v>
      </c>
      <c r="J1449" t="s">
        <v>16</v>
      </c>
      <c r="K1449" s="16" t="str">
        <f>VLOOKUP(C1449,CheckName!A:B,2,0)</f>
        <v>Emp</v>
      </c>
      <c r="L1449">
        <v>0</v>
      </c>
      <c r="M1449" s="16">
        <f>DAY(E1449)</f>
        <v>12</v>
      </c>
      <c r="N1449" t="str">
        <f>TEXT(MTDRejection[[#This Row],[RejectionDate]],"dddd")</f>
        <v>Thursday</v>
      </c>
    </row>
    <row r="1450" spans="1:14">
      <c r="A1450" t="s">
        <v>45</v>
      </c>
      <c r="B1450" t="s">
        <v>4050</v>
      </c>
      <c r="C1450" t="s">
        <v>36</v>
      </c>
      <c r="D1450" t="s">
        <v>26</v>
      </c>
      <c r="E1450" s="7">
        <v>45638</v>
      </c>
      <c r="F1450" t="s">
        <v>179</v>
      </c>
      <c r="G1450">
        <v>0</v>
      </c>
      <c r="H1450" t="s">
        <v>22</v>
      </c>
      <c r="I1450" t="s">
        <v>16</v>
      </c>
      <c r="J1450" t="s">
        <v>16</v>
      </c>
      <c r="K1450" s="16" t="str">
        <f>VLOOKUP(C1450,CheckName!A:B,2,0)</f>
        <v>Emp</v>
      </c>
      <c r="L1450">
        <v>0</v>
      </c>
      <c r="M1450" s="16">
        <f t="shared" ref="M1450:M1451" si="179">DAY(E1450)</f>
        <v>12</v>
      </c>
      <c r="N1450" t="str">
        <f>TEXT(MTDRejection[[#This Row],[RejectionDate]],"dddd")</f>
        <v>Thursday</v>
      </c>
    </row>
    <row r="1451" spans="1:14">
      <c r="A1451" t="s">
        <v>84</v>
      </c>
      <c r="B1451" t="s">
        <v>4051</v>
      </c>
      <c r="C1451" t="s">
        <v>12</v>
      </c>
      <c r="D1451" t="s">
        <v>26</v>
      </c>
      <c r="E1451" s="7">
        <v>45638</v>
      </c>
      <c r="F1451" t="s">
        <v>184</v>
      </c>
      <c r="G1451">
        <v>0</v>
      </c>
      <c r="H1451" t="s">
        <v>27</v>
      </c>
      <c r="I1451" t="s">
        <v>16</v>
      </c>
      <c r="J1451" t="s">
        <v>16</v>
      </c>
      <c r="K1451" s="16" t="str">
        <f>VLOOKUP(C1451,CheckName!A:B,2,0)</f>
        <v>Emp</v>
      </c>
      <c r="L1451">
        <v>0</v>
      </c>
      <c r="M1451" s="16">
        <f t="shared" si="179"/>
        <v>12</v>
      </c>
      <c r="N1451" t="str">
        <f>TEXT(MTDRejection[[#This Row],[RejectionDate]],"dddd")</f>
        <v>Thursday</v>
      </c>
    </row>
    <row r="1452" spans="1:14">
      <c r="A1452" t="s">
        <v>912</v>
      </c>
      <c r="B1452" t="s">
        <v>4052</v>
      </c>
      <c r="C1452" t="s">
        <v>125</v>
      </c>
      <c r="D1452" t="s">
        <v>26</v>
      </c>
      <c r="E1452" s="7">
        <v>45638</v>
      </c>
      <c r="F1452" t="s">
        <v>721</v>
      </c>
      <c r="G1452">
        <v>0</v>
      </c>
      <c r="H1452" t="s">
        <v>27</v>
      </c>
      <c r="I1452" t="s">
        <v>16</v>
      </c>
      <c r="J1452" t="s">
        <v>16</v>
      </c>
      <c r="K1452" s="16" t="str">
        <f>VLOOKUP(C1452,CheckName!A:B,2,0)</f>
        <v>Emp</v>
      </c>
      <c r="L1452">
        <v>0</v>
      </c>
      <c r="M1452" s="16">
        <f t="shared" ref="M1452:M1453" si="180">DAY(E1452)</f>
        <v>12</v>
      </c>
      <c r="N1452" t="str">
        <f>TEXT(MTDRejection[[#This Row],[RejectionDate]],"dddd")</f>
        <v>Thursday</v>
      </c>
    </row>
    <row r="1453" spans="1:14">
      <c r="A1453" t="s">
        <v>239</v>
      </c>
      <c r="B1453" t="s">
        <v>4053</v>
      </c>
      <c r="C1453" t="s">
        <v>106</v>
      </c>
      <c r="D1453" t="s">
        <v>26</v>
      </c>
      <c r="E1453" s="7">
        <v>45638</v>
      </c>
      <c r="F1453" t="s">
        <v>330</v>
      </c>
      <c r="G1453">
        <v>0</v>
      </c>
      <c r="H1453" t="s">
        <v>95</v>
      </c>
      <c r="I1453" t="s">
        <v>16</v>
      </c>
      <c r="J1453" t="s">
        <v>16</v>
      </c>
      <c r="K1453" s="16" t="str">
        <f>VLOOKUP(C1453,CheckName!A:B,2,0)</f>
        <v>Ref</v>
      </c>
      <c r="L1453">
        <v>0</v>
      </c>
      <c r="M1453" s="16">
        <f t="shared" si="180"/>
        <v>12</v>
      </c>
      <c r="N1453" t="str">
        <f>TEXT(MTDRejection[[#This Row],[RejectionDate]],"dddd")</f>
        <v>Thursday</v>
      </c>
    </row>
    <row r="1454" spans="1:14">
      <c r="A1454" t="s">
        <v>34</v>
      </c>
      <c r="B1454" t="s">
        <v>4054</v>
      </c>
      <c r="C1454" t="s">
        <v>36</v>
      </c>
      <c r="D1454" t="s">
        <v>13</v>
      </c>
      <c r="E1454" s="7">
        <v>45638</v>
      </c>
      <c r="F1454" t="s">
        <v>107</v>
      </c>
      <c r="G1454">
        <v>0</v>
      </c>
      <c r="H1454" t="s">
        <v>15</v>
      </c>
      <c r="I1454" t="s">
        <v>16</v>
      </c>
      <c r="J1454" t="s">
        <v>16</v>
      </c>
      <c r="K1454" s="16" t="str">
        <f>VLOOKUP(C1454,CheckName!A:B,2,0)</f>
        <v>Emp</v>
      </c>
      <c r="L1454">
        <v>0</v>
      </c>
      <c r="M1454" s="16">
        <f>DAY(E1454)</f>
        <v>12</v>
      </c>
      <c r="N1454" t="str">
        <f>TEXT(MTDRejection[[#This Row],[RejectionDate]],"dddd")</f>
        <v>Thursday</v>
      </c>
    </row>
    <row r="1455" spans="1:14">
      <c r="A1455" t="s">
        <v>1316</v>
      </c>
      <c r="B1455" t="s">
        <v>4055</v>
      </c>
      <c r="C1455" t="s">
        <v>123</v>
      </c>
      <c r="D1455" t="s">
        <v>13</v>
      </c>
      <c r="E1455" s="7">
        <v>45638</v>
      </c>
      <c r="F1455" t="s">
        <v>107</v>
      </c>
      <c r="G1455">
        <v>0</v>
      </c>
      <c r="H1455" t="s">
        <v>30</v>
      </c>
      <c r="I1455" t="s">
        <v>16</v>
      </c>
      <c r="J1455" t="s">
        <v>16</v>
      </c>
      <c r="K1455" s="16" t="str">
        <f>VLOOKUP(C1455,CheckName!A:B,2,0)</f>
        <v>Special Check</v>
      </c>
      <c r="L1455">
        <v>0</v>
      </c>
      <c r="M1455" s="16">
        <f t="shared" ref="M1455:M1459" si="181">DAY(E1455)</f>
        <v>12</v>
      </c>
      <c r="N1455" t="str">
        <f>TEXT(MTDRejection[[#This Row],[RejectionDate]],"dddd")</f>
        <v>Thursday</v>
      </c>
    </row>
    <row r="1456" spans="1:14">
      <c r="A1456" t="s">
        <v>394</v>
      </c>
      <c r="B1456" t="s">
        <v>4056</v>
      </c>
      <c r="C1456" t="s">
        <v>12</v>
      </c>
      <c r="D1456" t="s">
        <v>26</v>
      </c>
      <c r="E1456" s="7">
        <v>45638</v>
      </c>
      <c r="F1456" t="s">
        <v>2335</v>
      </c>
      <c r="G1456">
        <v>0</v>
      </c>
      <c r="H1456" t="s">
        <v>22</v>
      </c>
      <c r="I1456" t="s">
        <v>16</v>
      </c>
      <c r="J1456" t="s">
        <v>16</v>
      </c>
      <c r="K1456" s="16" t="str">
        <f>VLOOKUP(C1456,CheckName!A:B,2,0)</f>
        <v>Emp</v>
      </c>
      <c r="L1456">
        <v>0</v>
      </c>
      <c r="M1456" s="16">
        <f t="shared" si="181"/>
        <v>12</v>
      </c>
      <c r="N1456" t="str">
        <f>TEXT(MTDRejection[[#This Row],[RejectionDate]],"dddd")</f>
        <v>Thursday</v>
      </c>
    </row>
    <row r="1457" spans="1:14">
      <c r="A1457" t="s">
        <v>203</v>
      </c>
      <c r="B1457" t="s">
        <v>2515</v>
      </c>
      <c r="C1457" t="s">
        <v>112</v>
      </c>
      <c r="D1457" t="s">
        <v>26</v>
      </c>
      <c r="E1457" s="7">
        <v>45638</v>
      </c>
      <c r="F1457" t="s">
        <v>151</v>
      </c>
      <c r="G1457">
        <v>0</v>
      </c>
      <c r="H1457" t="s">
        <v>22</v>
      </c>
      <c r="I1457" t="s">
        <v>16</v>
      </c>
      <c r="J1457" t="s">
        <v>16</v>
      </c>
      <c r="K1457" s="16" t="str">
        <f>VLOOKUP(C1457,CheckName!A:B,2,0)</f>
        <v>Emp</v>
      </c>
      <c r="L1457">
        <v>0</v>
      </c>
      <c r="M1457" s="16">
        <f t="shared" si="181"/>
        <v>12</v>
      </c>
      <c r="N1457" t="str">
        <f>TEXT(MTDRejection[[#This Row],[RejectionDate]],"dddd")</f>
        <v>Thursday</v>
      </c>
    </row>
    <row r="1458" spans="1:14">
      <c r="A1458" t="s">
        <v>1871</v>
      </c>
      <c r="B1458" t="s">
        <v>4057</v>
      </c>
      <c r="C1458" t="s">
        <v>12</v>
      </c>
      <c r="D1458" t="s">
        <v>26</v>
      </c>
      <c r="E1458" s="7">
        <v>45638</v>
      </c>
      <c r="F1458" t="s">
        <v>2337</v>
      </c>
      <c r="G1458">
        <v>0</v>
      </c>
      <c r="H1458" t="s">
        <v>27</v>
      </c>
      <c r="I1458" t="s">
        <v>16</v>
      </c>
      <c r="J1458" t="s">
        <v>16</v>
      </c>
      <c r="K1458" s="16" t="str">
        <f>VLOOKUP(C1458,CheckName!A:B,2,0)</f>
        <v>Emp</v>
      </c>
      <c r="L1458">
        <v>0</v>
      </c>
      <c r="M1458" s="16">
        <f t="shared" si="181"/>
        <v>12</v>
      </c>
      <c r="N1458" t="str">
        <f>TEXT(MTDRejection[[#This Row],[RejectionDate]],"dddd")</f>
        <v>Thursday</v>
      </c>
    </row>
    <row r="1459" spans="1:14">
      <c r="A1459" t="s">
        <v>142</v>
      </c>
      <c r="B1459" t="s">
        <v>4058</v>
      </c>
      <c r="C1459" t="s">
        <v>12</v>
      </c>
      <c r="D1459" t="s">
        <v>26</v>
      </c>
      <c r="E1459" s="7">
        <v>45638</v>
      </c>
      <c r="F1459" t="s">
        <v>151</v>
      </c>
      <c r="G1459">
        <v>0</v>
      </c>
      <c r="H1459" t="s">
        <v>27</v>
      </c>
      <c r="I1459" t="s">
        <v>16</v>
      </c>
      <c r="J1459" t="s">
        <v>16</v>
      </c>
      <c r="K1459" s="16" t="str">
        <f>VLOOKUP(C1459,CheckName!A:B,2,0)</f>
        <v>Emp</v>
      </c>
      <c r="L1459">
        <v>1</v>
      </c>
      <c r="M1459" s="16">
        <f t="shared" si="181"/>
        <v>12</v>
      </c>
      <c r="N1459" t="str">
        <f>TEXT(MTDRejection[[#This Row],[RejectionDate]],"dddd")</f>
        <v>Thursday</v>
      </c>
    </row>
    <row r="1460" spans="1:14">
      <c r="A1460" t="s">
        <v>45</v>
      </c>
      <c r="B1460" t="s">
        <v>4059</v>
      </c>
      <c r="C1460" t="s">
        <v>12</v>
      </c>
      <c r="D1460" t="s">
        <v>26</v>
      </c>
      <c r="E1460" s="7">
        <v>45637</v>
      </c>
      <c r="F1460" t="s">
        <v>2336</v>
      </c>
      <c r="G1460">
        <v>1</v>
      </c>
      <c r="H1460" t="s">
        <v>27</v>
      </c>
      <c r="I1460" t="s">
        <v>16</v>
      </c>
      <c r="J1460" t="s">
        <v>16</v>
      </c>
      <c r="K1460" s="16" t="str">
        <f>VLOOKUP(C1460,CheckName!A:B,2,0)</f>
        <v>Emp</v>
      </c>
      <c r="L1460">
        <v>0</v>
      </c>
      <c r="M1460" s="16">
        <f t="shared" ref="M1460:M1467" si="182">DAY(E1460)</f>
        <v>11</v>
      </c>
      <c r="N1460" t="str">
        <f>TEXT(MTDRejection[[#This Row],[RejectionDate]],"dddd")</f>
        <v>Wednesday</v>
      </c>
    </row>
    <row r="1461" spans="1:14">
      <c r="A1461" t="s">
        <v>912</v>
      </c>
      <c r="B1461" t="s">
        <v>4060</v>
      </c>
      <c r="C1461" t="s">
        <v>112</v>
      </c>
      <c r="D1461" t="s">
        <v>38</v>
      </c>
      <c r="E1461" s="7">
        <v>45636</v>
      </c>
      <c r="F1461" t="s">
        <v>39</v>
      </c>
      <c r="G1461">
        <v>2</v>
      </c>
      <c r="H1461" t="s">
        <v>42</v>
      </c>
      <c r="I1461" t="s">
        <v>16</v>
      </c>
      <c r="J1461" t="s">
        <v>16</v>
      </c>
      <c r="K1461" s="16" t="str">
        <f>VLOOKUP(C1461,CheckName!A:B,2,0)</f>
        <v>Emp</v>
      </c>
      <c r="L1461">
        <v>0</v>
      </c>
      <c r="M1461" s="16">
        <f t="shared" si="182"/>
        <v>10</v>
      </c>
      <c r="N1461" t="str">
        <f>TEXT(MTDRejection[[#This Row],[RejectionDate]],"dddd")</f>
        <v>Tuesday</v>
      </c>
    </row>
    <row r="1462" spans="1:14">
      <c r="A1462" t="s">
        <v>1823</v>
      </c>
      <c r="B1462" t="s">
        <v>4061</v>
      </c>
      <c r="C1462" t="s">
        <v>19</v>
      </c>
      <c r="D1462" t="s">
        <v>26</v>
      </c>
      <c r="E1462" s="7">
        <v>45636</v>
      </c>
      <c r="F1462" t="s">
        <v>129</v>
      </c>
      <c r="G1462">
        <v>2</v>
      </c>
      <c r="H1462" t="s">
        <v>27</v>
      </c>
      <c r="I1462" t="s">
        <v>16</v>
      </c>
      <c r="J1462" t="s">
        <v>16</v>
      </c>
      <c r="K1462" s="16" t="str">
        <f>VLOOKUP(C1462,CheckName!A:B,2,0)</f>
        <v>Add</v>
      </c>
      <c r="L1462">
        <v>0</v>
      </c>
      <c r="M1462" s="16">
        <f t="shared" si="182"/>
        <v>10</v>
      </c>
      <c r="N1462" t="str">
        <f>TEXT(MTDRejection[[#This Row],[RejectionDate]],"dddd")</f>
        <v>Tuesday</v>
      </c>
    </row>
    <row r="1463" spans="1:14">
      <c r="A1463" t="s">
        <v>160</v>
      </c>
      <c r="B1463" t="s">
        <v>4062</v>
      </c>
      <c r="C1463" t="s">
        <v>93</v>
      </c>
      <c r="D1463" t="s">
        <v>26</v>
      </c>
      <c r="E1463" s="7">
        <v>45635</v>
      </c>
      <c r="F1463" t="s">
        <v>121</v>
      </c>
      <c r="G1463">
        <v>3</v>
      </c>
      <c r="H1463" t="s">
        <v>27</v>
      </c>
      <c r="I1463" t="s">
        <v>16</v>
      </c>
      <c r="J1463" t="s">
        <v>16</v>
      </c>
      <c r="K1463" s="16" t="str">
        <f>VLOOKUP(C1463,CheckName!A:B,2,0)</f>
        <v>Edu</v>
      </c>
      <c r="L1463">
        <v>0</v>
      </c>
      <c r="M1463" s="16">
        <f t="shared" si="182"/>
        <v>9</v>
      </c>
      <c r="N1463" t="str">
        <f>TEXT(MTDRejection[[#This Row],[RejectionDate]],"dddd")</f>
        <v>Monday</v>
      </c>
    </row>
    <row r="1464" spans="1:14">
      <c r="A1464" t="s">
        <v>1491</v>
      </c>
      <c r="B1464" t="s">
        <v>4063</v>
      </c>
      <c r="C1464" t="s">
        <v>54</v>
      </c>
      <c r="D1464" t="s">
        <v>26</v>
      </c>
      <c r="E1464" s="7">
        <v>45630</v>
      </c>
      <c r="F1464" t="s">
        <v>121</v>
      </c>
      <c r="G1464">
        <v>8</v>
      </c>
      <c r="H1464" t="s">
        <v>27</v>
      </c>
      <c r="I1464" t="s">
        <v>16</v>
      </c>
      <c r="J1464" t="s">
        <v>16</v>
      </c>
      <c r="K1464" s="16" t="str">
        <f>VLOOKUP(C1464,CheckName!A:B,2,0)</f>
        <v>Edu</v>
      </c>
      <c r="L1464">
        <v>0</v>
      </c>
      <c r="M1464" s="16">
        <f t="shared" si="182"/>
        <v>4</v>
      </c>
      <c r="N1464" t="str">
        <f>TEXT(MTDRejection[[#This Row],[RejectionDate]],"dddd")</f>
        <v>Wednesday</v>
      </c>
    </row>
    <row r="1465" spans="1:14">
      <c r="A1465" t="s">
        <v>160</v>
      </c>
      <c r="B1465" t="s">
        <v>4064</v>
      </c>
      <c r="C1465" t="s">
        <v>19</v>
      </c>
      <c r="D1465" t="s">
        <v>20</v>
      </c>
      <c r="E1465" s="7">
        <v>45638</v>
      </c>
      <c r="F1465" t="s">
        <v>2327</v>
      </c>
      <c r="G1465">
        <v>0</v>
      </c>
      <c r="H1465" t="s">
        <v>22</v>
      </c>
      <c r="I1465" t="s">
        <v>16</v>
      </c>
      <c r="J1465" t="s">
        <v>16</v>
      </c>
      <c r="K1465" s="16" t="str">
        <f>VLOOKUP(C1465,CheckName!A:B,2,0)</f>
        <v>Add</v>
      </c>
      <c r="L1465">
        <v>0</v>
      </c>
      <c r="M1465" s="16">
        <f t="shared" si="182"/>
        <v>12</v>
      </c>
      <c r="N1465" t="str">
        <f>TEXT(MTDRejection[[#This Row],[RejectionDate]],"dddd")</f>
        <v>Thursday</v>
      </c>
    </row>
    <row r="1466" spans="1:14">
      <c r="A1466" t="s">
        <v>419</v>
      </c>
      <c r="B1466" t="s">
        <v>4065</v>
      </c>
      <c r="C1466" t="s">
        <v>56</v>
      </c>
      <c r="D1466" t="s">
        <v>51</v>
      </c>
      <c r="E1466" s="7">
        <v>45638</v>
      </c>
      <c r="F1466" t="s">
        <v>555</v>
      </c>
      <c r="G1466">
        <v>0</v>
      </c>
      <c r="H1466" t="s">
        <v>53</v>
      </c>
      <c r="I1466" t="s">
        <v>16</v>
      </c>
      <c r="J1466" t="s">
        <v>16</v>
      </c>
      <c r="K1466" s="16" t="str">
        <f>VLOOKUP(C1466,CheckName!A:B,2,0)</f>
        <v>Special Check</v>
      </c>
      <c r="L1466">
        <v>0</v>
      </c>
      <c r="M1466" s="16">
        <f t="shared" si="182"/>
        <v>12</v>
      </c>
      <c r="N1466" t="str">
        <f>TEXT(MTDRejection[[#This Row],[RejectionDate]],"dddd")</f>
        <v>Thursday</v>
      </c>
    </row>
    <row r="1467" spans="1:14">
      <c r="A1467" t="s">
        <v>100</v>
      </c>
      <c r="B1467" t="s">
        <v>4066</v>
      </c>
      <c r="C1467" t="s">
        <v>102</v>
      </c>
      <c r="D1467" t="s">
        <v>26</v>
      </c>
      <c r="E1467" s="7">
        <v>45638</v>
      </c>
      <c r="F1467" t="s">
        <v>458</v>
      </c>
      <c r="G1467">
        <v>0</v>
      </c>
      <c r="H1467" t="s">
        <v>27</v>
      </c>
      <c r="I1467" t="s">
        <v>16</v>
      </c>
      <c r="J1467" t="s">
        <v>16</v>
      </c>
      <c r="K1467" s="16" t="str">
        <f>VLOOKUP(C1467,CheckName!A:B,2,0)</f>
        <v>Edu</v>
      </c>
      <c r="L1467">
        <v>0</v>
      </c>
      <c r="M1467" s="16">
        <f t="shared" si="182"/>
        <v>12</v>
      </c>
      <c r="N1467" t="str">
        <f>TEXT(MTDRejection[[#This Row],[RejectionDate]],"dddd")</f>
        <v>Thursday</v>
      </c>
    </row>
    <row r="1468" spans="1:14">
      <c r="A1468" t="s">
        <v>1001</v>
      </c>
      <c r="B1468" t="s">
        <v>4067</v>
      </c>
      <c r="C1468" t="s">
        <v>12</v>
      </c>
      <c r="D1468" t="s">
        <v>38</v>
      </c>
      <c r="E1468" s="7">
        <v>45638</v>
      </c>
      <c r="F1468" t="s">
        <v>39</v>
      </c>
      <c r="G1468">
        <v>0</v>
      </c>
      <c r="H1468" t="s">
        <v>42</v>
      </c>
      <c r="I1468" t="s">
        <v>16</v>
      </c>
      <c r="J1468" t="s">
        <v>16</v>
      </c>
      <c r="K1468" s="16" t="str">
        <f>VLOOKUP(C1468,CheckName!A:B,2,0)</f>
        <v>Emp</v>
      </c>
      <c r="L1468">
        <v>0</v>
      </c>
      <c r="M1468" s="16">
        <f t="shared" ref="M1468:M1471" si="183">DAY(E1468)</f>
        <v>12</v>
      </c>
      <c r="N1468" t="str">
        <f>TEXT(MTDRejection[[#This Row],[RejectionDate]],"dddd")</f>
        <v>Thursday</v>
      </c>
    </row>
    <row r="1469" spans="1:14">
      <c r="A1469" t="s">
        <v>45</v>
      </c>
      <c r="B1469" t="s">
        <v>4068</v>
      </c>
      <c r="C1469" t="s">
        <v>125</v>
      </c>
      <c r="D1469" t="s">
        <v>38</v>
      </c>
      <c r="E1469" s="7">
        <v>45638</v>
      </c>
      <c r="F1469" t="s">
        <v>39</v>
      </c>
      <c r="G1469">
        <v>0</v>
      </c>
      <c r="H1469" t="s">
        <v>42</v>
      </c>
      <c r="I1469" t="s">
        <v>16</v>
      </c>
      <c r="J1469" t="s">
        <v>16</v>
      </c>
      <c r="K1469" s="16" t="str">
        <f>VLOOKUP(C1469,CheckName!A:B,2,0)</f>
        <v>Emp</v>
      </c>
      <c r="L1469">
        <v>0</v>
      </c>
      <c r="M1469" s="16">
        <f t="shared" si="183"/>
        <v>12</v>
      </c>
      <c r="N1469" t="str">
        <f>TEXT(MTDRejection[[#This Row],[RejectionDate]],"dddd")</f>
        <v>Thursday</v>
      </c>
    </row>
    <row r="1470" spans="1:14">
      <c r="A1470" t="s">
        <v>1483</v>
      </c>
      <c r="B1470" t="s">
        <v>4069</v>
      </c>
      <c r="C1470" t="s">
        <v>12</v>
      </c>
      <c r="D1470" t="s">
        <v>38</v>
      </c>
      <c r="E1470" s="7">
        <v>45638</v>
      </c>
      <c r="F1470" t="s">
        <v>39</v>
      </c>
      <c r="G1470">
        <v>0</v>
      </c>
      <c r="H1470" t="s">
        <v>42</v>
      </c>
      <c r="I1470" t="s">
        <v>16</v>
      </c>
      <c r="J1470" t="s">
        <v>16</v>
      </c>
      <c r="K1470" s="16" t="str">
        <f>VLOOKUP(C1470,CheckName!A:B,2,0)</f>
        <v>Emp</v>
      </c>
      <c r="L1470">
        <v>0</v>
      </c>
      <c r="M1470" s="16">
        <f t="shared" si="183"/>
        <v>12</v>
      </c>
      <c r="N1470" t="str">
        <f>TEXT(MTDRejection[[#This Row],[RejectionDate]],"dddd")</f>
        <v>Thursday</v>
      </c>
    </row>
    <row r="1471" spans="1:14">
      <c r="A1471" t="s">
        <v>10</v>
      </c>
      <c r="B1471" t="s">
        <v>4070</v>
      </c>
      <c r="C1471" t="s">
        <v>12</v>
      </c>
      <c r="D1471" t="s">
        <v>38</v>
      </c>
      <c r="E1471" s="7">
        <v>45638</v>
      </c>
      <c r="F1471" t="s">
        <v>39</v>
      </c>
      <c r="G1471">
        <v>0</v>
      </c>
      <c r="H1471" t="s">
        <v>42</v>
      </c>
      <c r="I1471" t="s">
        <v>16</v>
      </c>
      <c r="J1471" t="s">
        <v>16</v>
      </c>
      <c r="K1471" s="16" t="str">
        <f>VLOOKUP(C1471,CheckName!A:B,2,0)</f>
        <v>Emp</v>
      </c>
      <c r="L1471">
        <v>0</v>
      </c>
      <c r="M1471" s="16">
        <f t="shared" si="183"/>
        <v>12</v>
      </c>
      <c r="N1471" t="str">
        <f>TEXT(MTDRejection[[#This Row],[RejectionDate]],"dddd")</f>
        <v>Thursday</v>
      </c>
    </row>
    <row r="1472" spans="1:14">
      <c r="A1472" t="s">
        <v>160</v>
      </c>
      <c r="B1472" t="s">
        <v>4071</v>
      </c>
      <c r="C1472" t="s">
        <v>36</v>
      </c>
      <c r="D1472" t="s">
        <v>26</v>
      </c>
      <c r="E1472" s="7">
        <v>45638</v>
      </c>
      <c r="F1472" t="s">
        <v>222</v>
      </c>
      <c r="G1472">
        <v>0</v>
      </c>
      <c r="H1472" t="s">
        <v>27</v>
      </c>
      <c r="I1472" t="s">
        <v>16</v>
      </c>
      <c r="J1472" t="s">
        <v>16</v>
      </c>
      <c r="K1472" s="16" t="str">
        <f>VLOOKUP(C1472,CheckName!A:B,2,0)</f>
        <v>Emp</v>
      </c>
      <c r="L1472">
        <v>0</v>
      </c>
      <c r="M1472" s="16">
        <f t="shared" ref="M1472:M1475" si="184">DAY(E1472)</f>
        <v>12</v>
      </c>
      <c r="N1472" t="str">
        <f>TEXT(MTDRejection[[#This Row],[RejectionDate]],"dddd")</f>
        <v>Thursday</v>
      </c>
    </row>
    <row r="1473" spans="1:14">
      <c r="A1473" t="s">
        <v>517</v>
      </c>
      <c r="B1473" t="s">
        <v>4072</v>
      </c>
      <c r="C1473" t="s">
        <v>12</v>
      </c>
      <c r="D1473" t="s">
        <v>26</v>
      </c>
      <c r="E1473" s="7">
        <v>45638</v>
      </c>
      <c r="F1473" t="s">
        <v>222</v>
      </c>
      <c r="G1473">
        <v>0</v>
      </c>
      <c r="H1473" t="s">
        <v>22</v>
      </c>
      <c r="I1473" t="s">
        <v>16</v>
      </c>
      <c r="J1473" t="s">
        <v>16</v>
      </c>
      <c r="K1473" s="16" t="str">
        <f>VLOOKUP(C1473,CheckName!A:B,2,0)</f>
        <v>Emp</v>
      </c>
      <c r="L1473">
        <v>0</v>
      </c>
      <c r="M1473" s="16">
        <f t="shared" si="184"/>
        <v>12</v>
      </c>
      <c r="N1473" t="str">
        <f>TEXT(MTDRejection[[#This Row],[RejectionDate]],"dddd")</f>
        <v>Thursday</v>
      </c>
    </row>
    <row r="1474" spans="1:14">
      <c r="A1474" t="s">
        <v>1833</v>
      </c>
      <c r="B1474" t="s">
        <v>4073</v>
      </c>
      <c r="C1474" t="s">
        <v>12</v>
      </c>
      <c r="D1474" t="s">
        <v>26</v>
      </c>
      <c r="E1474" s="7">
        <v>45638</v>
      </c>
      <c r="F1474" t="s">
        <v>224</v>
      </c>
      <c r="G1474">
        <v>0</v>
      </c>
      <c r="H1474" t="s">
        <v>27</v>
      </c>
      <c r="I1474" t="s">
        <v>16</v>
      </c>
      <c r="J1474" t="s">
        <v>16</v>
      </c>
      <c r="K1474" s="16" t="str">
        <f>VLOOKUP(C1474,CheckName!A:B,2,0)</f>
        <v>Emp</v>
      </c>
      <c r="L1474">
        <v>0</v>
      </c>
      <c r="M1474" s="16">
        <f t="shared" si="184"/>
        <v>12</v>
      </c>
      <c r="N1474" t="str">
        <f>TEXT(MTDRejection[[#This Row],[RejectionDate]],"dddd")</f>
        <v>Thursday</v>
      </c>
    </row>
    <row r="1475" spans="1:14">
      <c r="A1475" t="s">
        <v>45</v>
      </c>
      <c r="B1475" t="s">
        <v>4074</v>
      </c>
      <c r="C1475" t="s">
        <v>125</v>
      </c>
      <c r="D1475" t="s">
        <v>26</v>
      </c>
      <c r="E1475" s="7">
        <v>45638</v>
      </c>
      <c r="F1475" t="s">
        <v>224</v>
      </c>
      <c r="G1475">
        <v>0</v>
      </c>
      <c r="H1475" t="s">
        <v>27</v>
      </c>
      <c r="I1475" t="s">
        <v>16</v>
      </c>
      <c r="J1475" t="s">
        <v>16</v>
      </c>
      <c r="K1475" s="16" t="str">
        <f>VLOOKUP(C1475,CheckName!A:B,2,0)</f>
        <v>Emp</v>
      </c>
      <c r="L1475">
        <v>0</v>
      </c>
      <c r="M1475" s="16">
        <f t="shared" si="184"/>
        <v>12</v>
      </c>
      <c r="N1475" t="str">
        <f>TEXT(MTDRejection[[#This Row],[RejectionDate]],"dddd")</f>
        <v>Thursday</v>
      </c>
    </row>
    <row r="1476" spans="1:14">
      <c r="A1476" t="s">
        <v>1204</v>
      </c>
      <c r="B1476" t="s">
        <v>4075</v>
      </c>
      <c r="C1476" t="s">
        <v>36</v>
      </c>
      <c r="D1476" t="s">
        <v>26</v>
      </c>
      <c r="E1476" s="7">
        <v>45638</v>
      </c>
      <c r="F1476" t="s">
        <v>224</v>
      </c>
      <c r="G1476">
        <v>0</v>
      </c>
      <c r="H1476" t="s">
        <v>27</v>
      </c>
      <c r="I1476" t="s">
        <v>16</v>
      </c>
      <c r="J1476" t="s">
        <v>16</v>
      </c>
      <c r="K1476" s="16" t="str">
        <f>VLOOKUP(C1476,CheckName!A:B,2,0)</f>
        <v>Emp</v>
      </c>
      <c r="L1476">
        <v>0</v>
      </c>
      <c r="M1476" s="16">
        <f>DAY(E1476)</f>
        <v>12</v>
      </c>
      <c r="N1476" t="str">
        <f>TEXT(MTDRejection[[#This Row],[RejectionDate]],"dddd")</f>
        <v>Thursday</v>
      </c>
    </row>
    <row r="1477" spans="1:14">
      <c r="A1477" t="s">
        <v>170</v>
      </c>
      <c r="B1477" t="s">
        <v>2516</v>
      </c>
      <c r="C1477" t="s">
        <v>19</v>
      </c>
      <c r="D1477" t="s">
        <v>20</v>
      </c>
      <c r="E1477" s="7">
        <v>45638</v>
      </c>
      <c r="F1477" t="s">
        <v>2330</v>
      </c>
      <c r="G1477">
        <v>0</v>
      </c>
      <c r="H1477" t="s">
        <v>22</v>
      </c>
      <c r="I1477" t="s">
        <v>16</v>
      </c>
      <c r="J1477" t="s">
        <v>16</v>
      </c>
      <c r="K1477" s="16" t="str">
        <f>VLOOKUP(C1477,CheckName!A:B,2,0)</f>
        <v>Add</v>
      </c>
      <c r="L1477">
        <v>0</v>
      </c>
      <c r="M1477" s="16">
        <f>DAY(E1477)</f>
        <v>12</v>
      </c>
      <c r="N1477" t="str">
        <f>TEXT(MTDRejection[[#This Row],[RejectionDate]],"dddd")</f>
        <v>Thursday</v>
      </c>
    </row>
    <row r="1478" spans="1:14">
      <c r="A1478" t="s">
        <v>91</v>
      </c>
      <c r="B1478" t="s">
        <v>4076</v>
      </c>
      <c r="C1478" t="s">
        <v>56</v>
      </c>
      <c r="D1478" t="s">
        <v>51</v>
      </c>
      <c r="E1478" s="7">
        <v>45638</v>
      </c>
      <c r="F1478" t="s">
        <v>2331</v>
      </c>
      <c r="G1478">
        <v>0</v>
      </c>
      <c r="H1478" t="s">
        <v>53</v>
      </c>
      <c r="I1478" t="s">
        <v>16</v>
      </c>
      <c r="J1478" t="s">
        <v>16</v>
      </c>
      <c r="K1478" s="16" t="str">
        <f>VLOOKUP(C1478,CheckName!A:B,2,0)</f>
        <v>Special Check</v>
      </c>
      <c r="L1478">
        <v>0</v>
      </c>
      <c r="M1478" s="16">
        <f t="shared" ref="M1478:M1479" si="185">DAY(E1478)</f>
        <v>12</v>
      </c>
      <c r="N1478" t="str">
        <f>TEXT(MTDRejection[[#This Row],[RejectionDate]],"dddd")</f>
        <v>Thursday</v>
      </c>
    </row>
    <row r="1479" spans="1:14">
      <c r="A1479" t="s">
        <v>697</v>
      </c>
      <c r="B1479" t="s">
        <v>4077</v>
      </c>
      <c r="C1479" t="s">
        <v>125</v>
      </c>
      <c r="D1479" t="s">
        <v>26</v>
      </c>
      <c r="E1479" s="7">
        <v>45638</v>
      </c>
      <c r="F1479" t="s">
        <v>2354</v>
      </c>
      <c r="G1479">
        <v>0</v>
      </c>
      <c r="H1479" t="s">
        <v>27</v>
      </c>
      <c r="I1479" t="s">
        <v>16</v>
      </c>
      <c r="J1479" t="s">
        <v>16</v>
      </c>
      <c r="K1479" s="16" t="str">
        <f>VLOOKUP(C1479,CheckName!A:B,2,0)</f>
        <v>Emp</v>
      </c>
      <c r="L1479">
        <v>0</v>
      </c>
      <c r="M1479" s="16">
        <f t="shared" si="185"/>
        <v>12</v>
      </c>
      <c r="N1479" t="str">
        <f>TEXT(MTDRejection[[#This Row],[RejectionDate]],"dddd")</f>
        <v>Thursday</v>
      </c>
    </row>
    <row r="1480" spans="1:14">
      <c r="A1480" t="s">
        <v>292</v>
      </c>
      <c r="B1480" t="s">
        <v>4078</v>
      </c>
      <c r="C1480" t="s">
        <v>36</v>
      </c>
      <c r="D1480" t="s">
        <v>26</v>
      </c>
      <c r="E1480" s="7">
        <v>45638</v>
      </c>
      <c r="F1480" t="s">
        <v>2347</v>
      </c>
      <c r="G1480">
        <v>0</v>
      </c>
      <c r="H1480" t="s">
        <v>22</v>
      </c>
      <c r="I1480" t="s">
        <v>16</v>
      </c>
      <c r="J1480" t="s">
        <v>16</v>
      </c>
      <c r="K1480" s="16" t="str">
        <f>VLOOKUP(C1480,CheckName!A:B,2,0)</f>
        <v>Emp</v>
      </c>
      <c r="L1480">
        <v>0</v>
      </c>
      <c r="M1480" s="16">
        <f t="shared" ref="M1480:M1482" si="186">DAY(E1480)</f>
        <v>12</v>
      </c>
      <c r="N1480" t="str">
        <f>TEXT(MTDRejection[[#This Row],[RejectionDate]],"dddd")</f>
        <v>Thursday</v>
      </c>
    </row>
    <row r="1481" spans="1:14">
      <c r="A1481" t="s">
        <v>100</v>
      </c>
      <c r="B1481" t="s">
        <v>4079</v>
      </c>
      <c r="C1481" t="s">
        <v>359</v>
      </c>
      <c r="D1481" t="s">
        <v>26</v>
      </c>
      <c r="E1481" s="7">
        <v>45638</v>
      </c>
      <c r="F1481" t="s">
        <v>380</v>
      </c>
      <c r="G1481">
        <v>0</v>
      </c>
      <c r="H1481" t="s">
        <v>27</v>
      </c>
      <c r="I1481" t="s">
        <v>16</v>
      </c>
      <c r="J1481" t="s">
        <v>16</v>
      </c>
      <c r="K1481" s="16" t="str">
        <f>VLOOKUP(C1481,CheckName!A:B,2,0)</f>
        <v>Emp</v>
      </c>
      <c r="L1481">
        <v>0</v>
      </c>
      <c r="M1481" s="16">
        <f t="shared" si="186"/>
        <v>12</v>
      </c>
      <c r="N1481" t="str">
        <f>TEXT(MTDRejection[[#This Row],[RejectionDate]],"dddd")</f>
        <v>Thursday</v>
      </c>
    </row>
    <row r="1482" spans="1:14">
      <c r="A1482" t="s">
        <v>100</v>
      </c>
      <c r="B1482" t="s">
        <v>4080</v>
      </c>
      <c r="C1482" t="s">
        <v>516</v>
      </c>
      <c r="D1482" t="s">
        <v>26</v>
      </c>
      <c r="E1482" s="7">
        <v>45638</v>
      </c>
      <c r="F1482" t="s">
        <v>380</v>
      </c>
      <c r="G1482">
        <v>0</v>
      </c>
      <c r="H1482" t="s">
        <v>15</v>
      </c>
      <c r="I1482" t="s">
        <v>16</v>
      </c>
      <c r="J1482" t="s">
        <v>16</v>
      </c>
      <c r="K1482" s="16" t="str">
        <f>VLOOKUP(C1482,CheckName!A:B,2,0)</f>
        <v>Emp</v>
      </c>
      <c r="L1482">
        <v>0</v>
      </c>
      <c r="M1482" s="16">
        <f t="shared" si="186"/>
        <v>12</v>
      </c>
      <c r="N1482" t="str">
        <f>TEXT(MTDRejection[[#This Row],[RejectionDate]],"dddd")</f>
        <v>Thursday</v>
      </c>
    </row>
    <row r="1483" spans="1:14">
      <c r="A1483" t="s">
        <v>519</v>
      </c>
      <c r="B1483" t="s">
        <v>4081</v>
      </c>
      <c r="C1483" t="s">
        <v>12</v>
      </c>
      <c r="D1483" t="s">
        <v>26</v>
      </c>
      <c r="E1483" s="7">
        <v>45638</v>
      </c>
      <c r="F1483" t="s">
        <v>182</v>
      </c>
      <c r="G1483">
        <v>0</v>
      </c>
      <c r="H1483" t="s">
        <v>27</v>
      </c>
      <c r="I1483" t="s">
        <v>16</v>
      </c>
      <c r="J1483" t="s">
        <v>16</v>
      </c>
      <c r="K1483" s="16" t="str">
        <f>VLOOKUP(C1483,CheckName!A:B,2,0)</f>
        <v>Emp</v>
      </c>
      <c r="L1483">
        <v>0</v>
      </c>
      <c r="M1483" s="16">
        <f>DAY(E1483)</f>
        <v>12</v>
      </c>
      <c r="N1483" t="str">
        <f>TEXT(MTDRejection[[#This Row],[RejectionDate]],"dddd")</f>
        <v>Thursday</v>
      </c>
    </row>
    <row r="1484" spans="1:14">
      <c r="A1484" t="s">
        <v>599</v>
      </c>
      <c r="B1484" t="s">
        <v>2517</v>
      </c>
      <c r="C1484" t="s">
        <v>36</v>
      </c>
      <c r="D1484" t="s">
        <v>26</v>
      </c>
      <c r="E1484" s="7">
        <v>45638</v>
      </c>
      <c r="F1484" t="s">
        <v>182</v>
      </c>
      <c r="G1484">
        <v>0</v>
      </c>
      <c r="H1484" t="s">
        <v>27</v>
      </c>
      <c r="I1484" t="s">
        <v>16</v>
      </c>
      <c r="J1484" t="s">
        <v>16</v>
      </c>
      <c r="K1484" s="16" t="str">
        <f>VLOOKUP(C1484,CheckName!A:B,2,0)</f>
        <v>Emp</v>
      </c>
      <c r="L1484">
        <v>0</v>
      </c>
      <c r="M1484" s="16">
        <f t="shared" ref="M1484:M1485" si="187">DAY(E1484)</f>
        <v>12</v>
      </c>
      <c r="N1484" t="str">
        <f>TEXT(MTDRejection[[#This Row],[RejectionDate]],"dddd")</f>
        <v>Thursday</v>
      </c>
    </row>
    <row r="1485" spans="1:14">
      <c r="A1485" t="s">
        <v>160</v>
      </c>
      <c r="B1485" t="s">
        <v>4082</v>
      </c>
      <c r="C1485" t="s">
        <v>36</v>
      </c>
      <c r="D1485" t="s">
        <v>26</v>
      </c>
      <c r="E1485" s="7">
        <v>45638</v>
      </c>
      <c r="F1485" t="s">
        <v>721</v>
      </c>
      <c r="G1485">
        <v>0</v>
      </c>
      <c r="H1485" t="s">
        <v>27</v>
      </c>
      <c r="I1485" t="s">
        <v>16</v>
      </c>
      <c r="J1485" t="s">
        <v>16</v>
      </c>
      <c r="K1485" s="16" t="str">
        <f>VLOOKUP(C1485,CheckName!A:B,2,0)</f>
        <v>Emp</v>
      </c>
      <c r="L1485">
        <v>0</v>
      </c>
      <c r="M1485" s="16">
        <f t="shared" si="187"/>
        <v>12</v>
      </c>
      <c r="N1485" t="str">
        <f>TEXT(MTDRejection[[#This Row],[RejectionDate]],"dddd")</f>
        <v>Thursday</v>
      </c>
    </row>
    <row r="1486" spans="1:14">
      <c r="A1486" t="s">
        <v>1872</v>
      </c>
      <c r="B1486" t="s">
        <v>4083</v>
      </c>
      <c r="C1486" t="s">
        <v>12</v>
      </c>
      <c r="D1486" t="s">
        <v>26</v>
      </c>
      <c r="E1486" s="7">
        <v>45638</v>
      </c>
      <c r="F1486" t="s">
        <v>169</v>
      </c>
      <c r="G1486">
        <v>0</v>
      </c>
      <c r="H1486" t="s">
        <v>27</v>
      </c>
      <c r="I1486" t="s">
        <v>16</v>
      </c>
      <c r="J1486" t="s">
        <v>16</v>
      </c>
      <c r="K1486" s="16" t="str">
        <f>VLOOKUP(C1486,CheckName!A:B,2,0)</f>
        <v>Emp</v>
      </c>
      <c r="L1486">
        <v>0</v>
      </c>
      <c r="M1486" s="16">
        <f t="shared" ref="M1486:M1490" si="188">DAY(E1486)</f>
        <v>12</v>
      </c>
      <c r="N1486" t="str">
        <f>TEXT(MTDRejection[[#This Row],[RejectionDate]],"dddd")</f>
        <v>Thursday</v>
      </c>
    </row>
    <row r="1487" spans="1:14">
      <c r="A1487" t="s">
        <v>163</v>
      </c>
      <c r="B1487" t="s">
        <v>4084</v>
      </c>
      <c r="C1487" t="s">
        <v>54</v>
      </c>
      <c r="D1487" t="s">
        <v>26</v>
      </c>
      <c r="E1487" s="7">
        <v>45638</v>
      </c>
      <c r="F1487" t="s">
        <v>604</v>
      </c>
      <c r="G1487">
        <v>0</v>
      </c>
      <c r="H1487" t="s">
        <v>27</v>
      </c>
      <c r="I1487" t="s">
        <v>16</v>
      </c>
      <c r="J1487" t="s">
        <v>16</v>
      </c>
      <c r="K1487" s="16" t="str">
        <f>VLOOKUP(C1487,CheckName!A:B,2,0)</f>
        <v>Edu</v>
      </c>
      <c r="L1487">
        <v>0</v>
      </c>
      <c r="M1487" s="16">
        <f t="shared" si="188"/>
        <v>12</v>
      </c>
      <c r="N1487" t="str">
        <f>TEXT(MTDRejection[[#This Row],[RejectionDate]],"dddd")</f>
        <v>Thursday</v>
      </c>
    </row>
    <row r="1488" spans="1:14">
      <c r="A1488" t="s">
        <v>1024</v>
      </c>
      <c r="B1488" t="s">
        <v>4085</v>
      </c>
      <c r="C1488" t="s">
        <v>1873</v>
      </c>
      <c r="D1488" t="s">
        <v>13</v>
      </c>
      <c r="E1488" s="7">
        <v>45638</v>
      </c>
      <c r="F1488" t="s">
        <v>107</v>
      </c>
      <c r="G1488">
        <v>0</v>
      </c>
      <c r="H1488" t="s">
        <v>15</v>
      </c>
      <c r="I1488" t="s">
        <v>16</v>
      </c>
      <c r="J1488" t="s">
        <v>16</v>
      </c>
      <c r="K1488" s="16" t="str">
        <f>VLOOKUP(C1488,CheckName!A:B,2,0)</f>
        <v>Edu</v>
      </c>
      <c r="L1488">
        <v>0</v>
      </c>
      <c r="M1488" s="16">
        <f t="shared" si="188"/>
        <v>12</v>
      </c>
      <c r="N1488" t="str">
        <f>TEXT(MTDRejection[[#This Row],[RejectionDate]],"dddd")</f>
        <v>Thursday</v>
      </c>
    </row>
    <row r="1489" spans="1:14">
      <c r="A1489" t="s">
        <v>680</v>
      </c>
      <c r="B1489" t="s">
        <v>4086</v>
      </c>
      <c r="C1489" t="s">
        <v>54</v>
      </c>
      <c r="D1489" t="s">
        <v>13</v>
      </c>
      <c r="E1489" s="7">
        <v>45638</v>
      </c>
      <c r="F1489" t="s">
        <v>107</v>
      </c>
      <c r="G1489">
        <v>0</v>
      </c>
      <c r="H1489" t="s">
        <v>30</v>
      </c>
      <c r="I1489" t="s">
        <v>16</v>
      </c>
      <c r="J1489" t="s">
        <v>16</v>
      </c>
      <c r="K1489" s="16" t="str">
        <f>VLOOKUP(C1489,CheckName!A:B,2,0)</f>
        <v>Edu</v>
      </c>
      <c r="L1489">
        <v>0</v>
      </c>
      <c r="M1489" s="16">
        <f t="shared" si="188"/>
        <v>12</v>
      </c>
      <c r="N1489" t="str">
        <f>TEXT(MTDRejection[[#This Row],[RejectionDate]],"dddd")</f>
        <v>Thursday</v>
      </c>
    </row>
    <row r="1490" spans="1:14">
      <c r="A1490" t="s">
        <v>1874</v>
      </c>
      <c r="B1490" t="s">
        <v>4087</v>
      </c>
      <c r="C1490" t="s">
        <v>71</v>
      </c>
      <c r="D1490" t="s">
        <v>13</v>
      </c>
      <c r="E1490" s="7">
        <v>45638</v>
      </c>
      <c r="F1490" t="s">
        <v>107</v>
      </c>
      <c r="G1490">
        <v>0</v>
      </c>
      <c r="H1490" t="s">
        <v>15</v>
      </c>
      <c r="I1490" t="s">
        <v>16</v>
      </c>
      <c r="J1490" t="s">
        <v>16</v>
      </c>
      <c r="K1490" s="16" t="str">
        <f>VLOOKUP(C1490,CheckName!A:B,2,0)</f>
        <v>CRC</v>
      </c>
      <c r="L1490">
        <v>0</v>
      </c>
      <c r="M1490" s="16">
        <f t="shared" si="188"/>
        <v>12</v>
      </c>
      <c r="N1490" t="str">
        <f>TEXT(MTDRejection[[#This Row],[RejectionDate]],"dddd")</f>
        <v>Thursday</v>
      </c>
    </row>
    <row r="1491" spans="1:14">
      <c r="A1491" t="s">
        <v>1246</v>
      </c>
      <c r="B1491" t="s">
        <v>4088</v>
      </c>
      <c r="C1491" t="s">
        <v>12</v>
      </c>
      <c r="D1491" t="s">
        <v>26</v>
      </c>
      <c r="E1491" s="7">
        <v>45638</v>
      </c>
      <c r="F1491" t="s">
        <v>2335</v>
      </c>
      <c r="G1491">
        <v>0</v>
      </c>
      <c r="H1491" t="s">
        <v>27</v>
      </c>
      <c r="I1491" t="s">
        <v>16</v>
      </c>
      <c r="J1491" t="s">
        <v>16</v>
      </c>
      <c r="K1491" s="16" t="str">
        <f>VLOOKUP(C1491,CheckName!A:B,2,0)</f>
        <v>Emp</v>
      </c>
      <c r="L1491">
        <v>0</v>
      </c>
      <c r="M1491" s="16">
        <f>DAY(E1491)</f>
        <v>12</v>
      </c>
      <c r="N1491" t="str">
        <f>TEXT(MTDRejection[[#This Row],[RejectionDate]],"dddd")</f>
        <v>Thursday</v>
      </c>
    </row>
    <row r="1492" spans="1:14">
      <c r="A1492" t="s">
        <v>176</v>
      </c>
      <c r="B1492" t="s">
        <v>4089</v>
      </c>
      <c r="C1492" t="s">
        <v>71</v>
      </c>
      <c r="D1492" t="s">
        <v>26</v>
      </c>
      <c r="E1492" s="7">
        <v>45638</v>
      </c>
      <c r="F1492" t="s">
        <v>118</v>
      </c>
      <c r="G1492">
        <v>0</v>
      </c>
      <c r="H1492" t="s">
        <v>27</v>
      </c>
      <c r="I1492" t="s">
        <v>16</v>
      </c>
      <c r="J1492" t="s">
        <v>16</v>
      </c>
      <c r="K1492" s="16" t="str">
        <f>VLOOKUP(C1492,CheckName!A:B,2,0)</f>
        <v>CRC</v>
      </c>
      <c r="L1492">
        <v>0</v>
      </c>
      <c r="M1492" s="16">
        <f t="shared" ref="M1492:M1503" si="189">DAY(E1492)</f>
        <v>12</v>
      </c>
      <c r="N1492" t="str">
        <f>TEXT(MTDRejection[[#This Row],[RejectionDate]],"dddd")</f>
        <v>Thursday</v>
      </c>
    </row>
    <row r="1493" spans="1:14">
      <c r="A1493" t="s">
        <v>176</v>
      </c>
      <c r="B1493" t="s">
        <v>1875</v>
      </c>
      <c r="C1493" t="s">
        <v>71</v>
      </c>
      <c r="D1493" t="s">
        <v>26</v>
      </c>
      <c r="E1493" s="7">
        <v>45638</v>
      </c>
      <c r="F1493" t="s">
        <v>118</v>
      </c>
      <c r="G1493">
        <v>0</v>
      </c>
      <c r="H1493" t="s">
        <v>27</v>
      </c>
      <c r="I1493" t="s">
        <v>16</v>
      </c>
      <c r="J1493" t="s">
        <v>16</v>
      </c>
      <c r="K1493" s="16" t="str">
        <f>VLOOKUP(C1493,CheckName!A:B,2,0)</f>
        <v>CRC</v>
      </c>
      <c r="L1493">
        <v>0</v>
      </c>
      <c r="M1493" s="16">
        <f t="shared" si="189"/>
        <v>12</v>
      </c>
      <c r="N1493" t="str">
        <f>TEXT(MTDRejection[[#This Row],[RejectionDate]],"dddd")</f>
        <v>Thursday</v>
      </c>
    </row>
    <row r="1494" spans="1:14">
      <c r="A1494" t="s">
        <v>176</v>
      </c>
      <c r="B1494" t="s">
        <v>2518</v>
      </c>
      <c r="C1494" t="s">
        <v>71</v>
      </c>
      <c r="D1494" t="s">
        <v>26</v>
      </c>
      <c r="E1494" s="7">
        <v>45638</v>
      </c>
      <c r="F1494" t="s">
        <v>118</v>
      </c>
      <c r="G1494">
        <v>0</v>
      </c>
      <c r="H1494" t="s">
        <v>30</v>
      </c>
      <c r="I1494" t="s">
        <v>16</v>
      </c>
      <c r="J1494" t="s">
        <v>16</v>
      </c>
      <c r="K1494" s="16" t="str">
        <f>VLOOKUP(C1494,CheckName!A:B,2,0)</f>
        <v>CRC</v>
      </c>
      <c r="L1494">
        <v>0</v>
      </c>
      <c r="M1494" s="16">
        <f t="shared" si="189"/>
        <v>12</v>
      </c>
      <c r="N1494" t="str">
        <f>TEXT(MTDRejection[[#This Row],[RejectionDate]],"dddd")</f>
        <v>Thursday</v>
      </c>
    </row>
    <row r="1495" spans="1:14">
      <c r="A1495" t="s">
        <v>176</v>
      </c>
      <c r="B1495" t="s">
        <v>4090</v>
      </c>
      <c r="C1495" t="s">
        <v>71</v>
      </c>
      <c r="D1495" t="s">
        <v>26</v>
      </c>
      <c r="E1495" s="7">
        <v>45638</v>
      </c>
      <c r="F1495" t="s">
        <v>118</v>
      </c>
      <c r="G1495">
        <v>0</v>
      </c>
      <c r="H1495" t="s">
        <v>15</v>
      </c>
      <c r="I1495" t="s">
        <v>16</v>
      </c>
      <c r="J1495" t="s">
        <v>16</v>
      </c>
      <c r="K1495" s="16" t="str">
        <f>VLOOKUP(C1495,CheckName!A:B,2,0)</f>
        <v>CRC</v>
      </c>
      <c r="L1495">
        <v>0</v>
      </c>
      <c r="M1495" s="16">
        <f t="shared" si="189"/>
        <v>12</v>
      </c>
      <c r="N1495" t="str">
        <f>TEXT(MTDRejection[[#This Row],[RejectionDate]],"dddd")</f>
        <v>Thursday</v>
      </c>
    </row>
    <row r="1496" spans="1:14">
      <c r="A1496" t="s">
        <v>176</v>
      </c>
      <c r="B1496" t="s">
        <v>4091</v>
      </c>
      <c r="C1496" t="s">
        <v>71</v>
      </c>
      <c r="D1496" t="s">
        <v>26</v>
      </c>
      <c r="E1496" s="7">
        <v>45638</v>
      </c>
      <c r="F1496" t="s">
        <v>118</v>
      </c>
      <c r="G1496">
        <v>0</v>
      </c>
      <c r="H1496" t="s">
        <v>22</v>
      </c>
      <c r="I1496" t="s">
        <v>16</v>
      </c>
      <c r="J1496" t="s">
        <v>16</v>
      </c>
      <c r="K1496" s="16" t="str">
        <f>VLOOKUP(C1496,CheckName!A:B,2,0)</f>
        <v>CRC</v>
      </c>
      <c r="L1496">
        <v>0</v>
      </c>
      <c r="M1496" s="16">
        <f t="shared" si="189"/>
        <v>12</v>
      </c>
      <c r="N1496" t="str">
        <f>TEXT(MTDRejection[[#This Row],[RejectionDate]],"dddd")</f>
        <v>Thursday</v>
      </c>
    </row>
    <row r="1497" spans="1:14">
      <c r="A1497" t="s">
        <v>176</v>
      </c>
      <c r="B1497" t="s">
        <v>4092</v>
      </c>
      <c r="C1497" t="s">
        <v>71</v>
      </c>
      <c r="D1497" t="s">
        <v>26</v>
      </c>
      <c r="E1497" s="7">
        <v>45638</v>
      </c>
      <c r="F1497" t="s">
        <v>118</v>
      </c>
      <c r="G1497">
        <v>0</v>
      </c>
      <c r="H1497" t="s">
        <v>22</v>
      </c>
      <c r="I1497" t="s">
        <v>16</v>
      </c>
      <c r="J1497" t="s">
        <v>16</v>
      </c>
      <c r="K1497" s="16" t="str">
        <f>VLOOKUP(C1497,CheckName!A:B,2,0)</f>
        <v>CRC</v>
      </c>
      <c r="L1497">
        <v>0</v>
      </c>
      <c r="M1497" s="16">
        <f t="shared" si="189"/>
        <v>12</v>
      </c>
      <c r="N1497" t="str">
        <f>TEXT(MTDRejection[[#This Row],[RejectionDate]],"dddd")</f>
        <v>Thursday</v>
      </c>
    </row>
    <row r="1498" spans="1:14">
      <c r="A1498" t="s">
        <v>176</v>
      </c>
      <c r="B1498" t="s">
        <v>4093</v>
      </c>
      <c r="C1498" t="s">
        <v>71</v>
      </c>
      <c r="D1498" t="s">
        <v>26</v>
      </c>
      <c r="E1498" s="7">
        <v>45638</v>
      </c>
      <c r="F1498" t="s">
        <v>118</v>
      </c>
      <c r="G1498">
        <v>0</v>
      </c>
      <c r="H1498" t="s">
        <v>22</v>
      </c>
      <c r="I1498" t="s">
        <v>16</v>
      </c>
      <c r="J1498" t="s">
        <v>16</v>
      </c>
      <c r="K1498" s="16" t="str">
        <f>VLOOKUP(C1498,CheckName!A:B,2,0)</f>
        <v>CRC</v>
      </c>
      <c r="L1498">
        <v>0</v>
      </c>
      <c r="M1498" s="16">
        <f t="shared" si="189"/>
        <v>12</v>
      </c>
      <c r="N1498" t="str">
        <f>TEXT(MTDRejection[[#This Row],[RejectionDate]],"dddd")</f>
        <v>Thursday</v>
      </c>
    </row>
    <row r="1499" spans="1:14">
      <c r="A1499" t="s">
        <v>176</v>
      </c>
      <c r="B1499" t="s">
        <v>4094</v>
      </c>
      <c r="C1499" t="s">
        <v>71</v>
      </c>
      <c r="D1499" t="s">
        <v>26</v>
      </c>
      <c r="E1499" s="7">
        <v>45638</v>
      </c>
      <c r="F1499" t="s">
        <v>118</v>
      </c>
      <c r="G1499">
        <v>0</v>
      </c>
      <c r="H1499" t="s">
        <v>425</v>
      </c>
      <c r="I1499" t="s">
        <v>16</v>
      </c>
      <c r="J1499" t="s">
        <v>16</v>
      </c>
      <c r="K1499" s="16" t="str">
        <f>VLOOKUP(C1499,CheckName!A:B,2,0)</f>
        <v>CRC</v>
      </c>
      <c r="L1499">
        <v>0</v>
      </c>
      <c r="M1499" s="16">
        <f t="shared" si="189"/>
        <v>12</v>
      </c>
      <c r="N1499" t="str">
        <f>TEXT(MTDRejection[[#This Row],[RejectionDate]],"dddd")</f>
        <v>Thursday</v>
      </c>
    </row>
    <row r="1500" spans="1:14">
      <c r="A1500" t="s">
        <v>176</v>
      </c>
      <c r="B1500" t="s">
        <v>4095</v>
      </c>
      <c r="C1500" t="s">
        <v>71</v>
      </c>
      <c r="D1500" t="s">
        <v>26</v>
      </c>
      <c r="E1500" s="7">
        <v>45638</v>
      </c>
      <c r="F1500" t="s">
        <v>118</v>
      </c>
      <c r="G1500">
        <v>0</v>
      </c>
      <c r="H1500" t="s">
        <v>27</v>
      </c>
      <c r="I1500" t="s">
        <v>16</v>
      </c>
      <c r="J1500" t="s">
        <v>16</v>
      </c>
      <c r="K1500" s="16" t="str">
        <f>VLOOKUP(C1500,CheckName!A:B,2,0)</f>
        <v>CRC</v>
      </c>
      <c r="L1500">
        <v>0</v>
      </c>
      <c r="M1500" s="16">
        <f t="shared" si="189"/>
        <v>12</v>
      </c>
      <c r="N1500" t="str">
        <f>TEXT(MTDRejection[[#This Row],[RejectionDate]],"dddd")</f>
        <v>Thursday</v>
      </c>
    </row>
    <row r="1501" spans="1:14">
      <c r="A1501" t="s">
        <v>176</v>
      </c>
      <c r="B1501" t="s">
        <v>4096</v>
      </c>
      <c r="C1501" t="s">
        <v>71</v>
      </c>
      <c r="D1501" t="s">
        <v>26</v>
      </c>
      <c r="E1501" s="7">
        <v>45638</v>
      </c>
      <c r="F1501" t="s">
        <v>118</v>
      </c>
      <c r="G1501">
        <v>0</v>
      </c>
      <c r="H1501" t="s">
        <v>27</v>
      </c>
      <c r="I1501" t="s">
        <v>16</v>
      </c>
      <c r="J1501" t="s">
        <v>16</v>
      </c>
      <c r="K1501" s="16" t="str">
        <f>VLOOKUP(C1501,CheckName!A:B,2,0)</f>
        <v>CRC</v>
      </c>
      <c r="L1501">
        <v>0</v>
      </c>
      <c r="M1501" s="16">
        <f t="shared" si="189"/>
        <v>12</v>
      </c>
      <c r="N1501" t="str">
        <f>TEXT(MTDRejection[[#This Row],[RejectionDate]],"dddd")</f>
        <v>Thursday</v>
      </c>
    </row>
    <row r="1502" spans="1:14">
      <c r="A1502" t="s">
        <v>176</v>
      </c>
      <c r="B1502" t="s">
        <v>4092</v>
      </c>
      <c r="C1502" t="s">
        <v>71</v>
      </c>
      <c r="D1502" t="s">
        <v>26</v>
      </c>
      <c r="E1502" s="7">
        <v>45638</v>
      </c>
      <c r="F1502" t="s">
        <v>118</v>
      </c>
      <c r="G1502">
        <v>0</v>
      </c>
      <c r="H1502" t="s">
        <v>1169</v>
      </c>
      <c r="I1502" t="s">
        <v>16</v>
      </c>
      <c r="J1502" t="s">
        <v>16</v>
      </c>
      <c r="K1502" s="16" t="str">
        <f>VLOOKUP(C1502,CheckName!A:B,2,0)</f>
        <v>CRC</v>
      </c>
      <c r="L1502">
        <v>0</v>
      </c>
      <c r="M1502" s="16">
        <f t="shared" si="189"/>
        <v>12</v>
      </c>
      <c r="N1502" t="str">
        <f>TEXT(MTDRejection[[#This Row],[RejectionDate]],"dddd")</f>
        <v>Thursday</v>
      </c>
    </row>
    <row r="1503" spans="1:14">
      <c r="A1503" t="s">
        <v>176</v>
      </c>
      <c r="B1503" t="s">
        <v>4097</v>
      </c>
      <c r="C1503" t="s">
        <v>71</v>
      </c>
      <c r="D1503" t="s">
        <v>26</v>
      </c>
      <c r="E1503" s="7">
        <v>45638</v>
      </c>
      <c r="F1503" t="s">
        <v>118</v>
      </c>
      <c r="G1503">
        <v>0</v>
      </c>
      <c r="H1503" t="s">
        <v>22</v>
      </c>
      <c r="I1503" t="s">
        <v>16</v>
      </c>
      <c r="J1503" t="s">
        <v>16</v>
      </c>
      <c r="K1503" s="16" t="str">
        <f>VLOOKUP(C1503,CheckName!A:B,2,0)</f>
        <v>CRC</v>
      </c>
      <c r="L1503">
        <v>0</v>
      </c>
      <c r="M1503" s="16">
        <f t="shared" si="189"/>
        <v>12</v>
      </c>
      <c r="N1503" t="str">
        <f>TEXT(MTDRejection[[#This Row],[RejectionDate]],"dddd")</f>
        <v>Thursday</v>
      </c>
    </row>
    <row r="1504" spans="1:14">
      <c r="A1504" t="s">
        <v>1584</v>
      </c>
      <c r="B1504" t="s">
        <v>4098</v>
      </c>
      <c r="C1504" t="s">
        <v>125</v>
      </c>
      <c r="D1504" t="s">
        <v>26</v>
      </c>
      <c r="E1504" s="7">
        <v>45638</v>
      </c>
      <c r="F1504" t="s">
        <v>141</v>
      </c>
      <c r="G1504">
        <v>0</v>
      </c>
      <c r="H1504" t="s">
        <v>27</v>
      </c>
      <c r="I1504" t="s">
        <v>16</v>
      </c>
      <c r="J1504" t="s">
        <v>16</v>
      </c>
      <c r="K1504" s="16" t="str">
        <f>VLOOKUP(C1504,CheckName!A:B,2,0)</f>
        <v>Emp</v>
      </c>
      <c r="L1504">
        <v>0</v>
      </c>
      <c r="M1504" s="16">
        <f t="shared" ref="M1504:M1505" si="190">DAY(E1504)</f>
        <v>12</v>
      </c>
      <c r="N1504" t="str">
        <f>TEXT(MTDRejection[[#This Row],[RejectionDate]],"dddd")</f>
        <v>Thursday</v>
      </c>
    </row>
    <row r="1505" spans="1:14">
      <c r="A1505" t="s">
        <v>189</v>
      </c>
      <c r="B1505" t="s">
        <v>4099</v>
      </c>
      <c r="C1505" t="s">
        <v>12</v>
      </c>
      <c r="D1505" t="s">
        <v>26</v>
      </c>
      <c r="E1505" s="7">
        <v>45638</v>
      </c>
      <c r="F1505" t="s">
        <v>115</v>
      </c>
      <c r="G1505">
        <v>0</v>
      </c>
      <c r="H1505" t="s">
        <v>27</v>
      </c>
      <c r="I1505" t="s">
        <v>16</v>
      </c>
      <c r="J1505" t="s">
        <v>16</v>
      </c>
      <c r="K1505" s="16" t="str">
        <f>VLOOKUP(C1505,CheckName!A:B,2,0)</f>
        <v>Emp</v>
      </c>
      <c r="L1505">
        <v>0</v>
      </c>
      <c r="M1505" s="16">
        <f t="shared" si="190"/>
        <v>12</v>
      </c>
      <c r="N1505" t="str">
        <f>TEXT(MTDRejection[[#This Row],[RejectionDate]],"dddd")</f>
        <v>Thursday</v>
      </c>
    </row>
    <row r="1506" spans="1:14">
      <c r="A1506" t="s">
        <v>144</v>
      </c>
      <c r="B1506" t="s">
        <v>2519</v>
      </c>
      <c r="C1506" t="s">
        <v>36</v>
      </c>
      <c r="D1506" t="s">
        <v>13</v>
      </c>
      <c r="E1506" s="7">
        <v>45637</v>
      </c>
      <c r="F1506" t="s">
        <v>540</v>
      </c>
      <c r="G1506">
        <v>1</v>
      </c>
      <c r="H1506" t="s">
        <v>15</v>
      </c>
      <c r="I1506" t="s">
        <v>16</v>
      </c>
      <c r="J1506" t="s">
        <v>16</v>
      </c>
      <c r="K1506" s="16" t="str">
        <f>VLOOKUP(C1506,CheckName!A:B,2,0)</f>
        <v>Emp</v>
      </c>
      <c r="L1506">
        <v>0</v>
      </c>
      <c r="M1506" s="16">
        <f>DAY(E1506)</f>
        <v>11</v>
      </c>
      <c r="N1506" t="str">
        <f>TEXT(MTDRejection[[#This Row],[RejectionDate]],"dddd")</f>
        <v>Wednesday</v>
      </c>
    </row>
    <row r="1507" spans="1:14">
      <c r="A1507" t="s">
        <v>119</v>
      </c>
      <c r="B1507" t="s">
        <v>4100</v>
      </c>
      <c r="C1507" t="s">
        <v>36</v>
      </c>
      <c r="D1507" t="s">
        <v>26</v>
      </c>
      <c r="E1507" s="7">
        <v>45636</v>
      </c>
      <c r="F1507" t="s">
        <v>2354</v>
      </c>
      <c r="G1507">
        <v>2</v>
      </c>
      <c r="H1507" t="s">
        <v>22</v>
      </c>
      <c r="I1507" t="s">
        <v>16</v>
      </c>
      <c r="J1507" t="s">
        <v>16</v>
      </c>
      <c r="K1507" s="16" t="str">
        <f>VLOOKUP(C1507,CheckName!A:B,2,0)</f>
        <v>Emp</v>
      </c>
      <c r="L1507">
        <v>0</v>
      </c>
      <c r="M1507" s="16">
        <f>DAY(E1507)</f>
        <v>10</v>
      </c>
      <c r="N1507" t="str">
        <f>TEXT(MTDRejection[[#This Row],[RejectionDate]],"dddd")</f>
        <v>Tuesday</v>
      </c>
    </row>
    <row r="1508" spans="1:14">
      <c r="A1508" t="s">
        <v>519</v>
      </c>
      <c r="B1508" t="s">
        <v>4101</v>
      </c>
      <c r="C1508" t="s">
        <v>1671</v>
      </c>
      <c r="D1508" t="s">
        <v>13</v>
      </c>
      <c r="E1508" s="7">
        <v>45638</v>
      </c>
      <c r="F1508" t="s">
        <v>2326</v>
      </c>
      <c r="G1508">
        <v>0</v>
      </c>
      <c r="H1508" t="s">
        <v>130</v>
      </c>
      <c r="I1508" t="s">
        <v>16</v>
      </c>
      <c r="J1508" t="s">
        <v>16</v>
      </c>
      <c r="K1508" s="16" t="str">
        <f>VLOOKUP(C1508,CheckName!A:B,2,0)</f>
        <v>Edu</v>
      </c>
      <c r="L1508">
        <v>0</v>
      </c>
      <c r="M1508" s="16">
        <f>DAY(E1508)</f>
        <v>12</v>
      </c>
      <c r="N1508" t="str">
        <f>TEXT(MTDRejection[[#This Row],[RejectionDate]],"dddd")</f>
        <v>Thursday</v>
      </c>
    </row>
    <row r="1509" spans="1:14">
      <c r="A1509" t="s">
        <v>519</v>
      </c>
      <c r="B1509" t="s">
        <v>4102</v>
      </c>
      <c r="C1509" t="s">
        <v>1671</v>
      </c>
      <c r="D1509" t="s">
        <v>13</v>
      </c>
      <c r="E1509" s="7">
        <v>45638</v>
      </c>
      <c r="F1509" t="s">
        <v>2326</v>
      </c>
      <c r="G1509">
        <v>0</v>
      </c>
      <c r="H1509" t="s">
        <v>15</v>
      </c>
      <c r="I1509" t="s">
        <v>16</v>
      </c>
      <c r="J1509" t="s">
        <v>16</v>
      </c>
      <c r="K1509" t="str">
        <f>VLOOKUP(C1509,CheckName!A:B,2,0)</f>
        <v>Edu</v>
      </c>
      <c r="L1509">
        <v>0</v>
      </c>
      <c r="M1509">
        <f t="shared" ref="M1509:M1512" si="191">DAY(E1509)</f>
        <v>12</v>
      </c>
      <c r="N1509" t="str">
        <f>TEXT(MTDRejection[[#This Row],[RejectionDate]],"dddd")</f>
        <v>Thursday</v>
      </c>
    </row>
    <row r="1510" spans="1:14">
      <c r="A1510" t="s">
        <v>100</v>
      </c>
      <c r="B1510" t="s">
        <v>2520</v>
      </c>
      <c r="C1510" t="s">
        <v>102</v>
      </c>
      <c r="D1510" t="s">
        <v>26</v>
      </c>
      <c r="E1510" s="7">
        <v>45638</v>
      </c>
      <c r="F1510" t="s">
        <v>663</v>
      </c>
      <c r="G1510">
        <v>0</v>
      </c>
      <c r="H1510" t="s">
        <v>27</v>
      </c>
      <c r="I1510" t="s">
        <v>16</v>
      </c>
      <c r="J1510" t="s">
        <v>16</v>
      </c>
      <c r="K1510" t="str">
        <f>VLOOKUP(C1510,CheckName!A:B,2,0)</f>
        <v>Edu</v>
      </c>
      <c r="L1510">
        <v>0</v>
      </c>
      <c r="M1510">
        <f t="shared" si="191"/>
        <v>12</v>
      </c>
      <c r="N1510" t="str">
        <f>TEXT(MTDRejection[[#This Row],[RejectionDate]],"dddd")</f>
        <v>Thursday</v>
      </c>
    </row>
    <row r="1511" spans="1:14">
      <c r="A1511" t="s">
        <v>100</v>
      </c>
      <c r="B1511" t="s">
        <v>4103</v>
      </c>
      <c r="C1511" t="s">
        <v>102</v>
      </c>
      <c r="D1511" t="s">
        <v>26</v>
      </c>
      <c r="E1511" s="7">
        <v>45638</v>
      </c>
      <c r="F1511" t="s">
        <v>663</v>
      </c>
      <c r="G1511">
        <v>0</v>
      </c>
      <c r="H1511" t="s">
        <v>27</v>
      </c>
      <c r="I1511" t="s">
        <v>16</v>
      </c>
      <c r="J1511" t="s">
        <v>16</v>
      </c>
      <c r="K1511" t="str">
        <f>VLOOKUP(C1511,CheckName!A:B,2,0)</f>
        <v>Edu</v>
      </c>
      <c r="L1511">
        <v>0</v>
      </c>
      <c r="M1511">
        <f t="shared" si="191"/>
        <v>12</v>
      </c>
      <c r="N1511" t="str">
        <f>TEXT(MTDRejection[[#This Row],[RejectionDate]],"dddd")</f>
        <v>Thursday</v>
      </c>
    </row>
    <row r="1512" spans="1:14">
      <c r="A1512" t="s">
        <v>360</v>
      </c>
      <c r="B1512" t="s">
        <v>4104</v>
      </c>
      <c r="C1512" t="s">
        <v>125</v>
      </c>
      <c r="D1512" t="s">
        <v>26</v>
      </c>
      <c r="E1512" s="7">
        <v>45638</v>
      </c>
      <c r="F1512" t="s">
        <v>325</v>
      </c>
      <c r="G1512">
        <v>0</v>
      </c>
      <c r="H1512" t="s">
        <v>27</v>
      </c>
      <c r="I1512" t="s">
        <v>16</v>
      </c>
      <c r="J1512" t="s">
        <v>16</v>
      </c>
      <c r="K1512" t="str">
        <f>VLOOKUP(C1512,CheckName!A:B,2,0)</f>
        <v>Emp</v>
      </c>
      <c r="L1512">
        <v>0</v>
      </c>
      <c r="M1512">
        <f t="shared" si="191"/>
        <v>12</v>
      </c>
      <c r="N1512" t="str">
        <f>TEXT(MTDRejection[[#This Row],[RejectionDate]],"dddd")</f>
        <v>Thursday</v>
      </c>
    </row>
    <row r="1513" spans="1:14">
      <c r="A1513" t="s">
        <v>131</v>
      </c>
      <c r="B1513" t="s">
        <v>4105</v>
      </c>
      <c r="C1513" t="s">
        <v>19</v>
      </c>
      <c r="D1513" t="s">
        <v>20</v>
      </c>
      <c r="E1513" s="7">
        <v>45638</v>
      </c>
      <c r="F1513" t="s">
        <v>2327</v>
      </c>
      <c r="G1513">
        <v>0</v>
      </c>
      <c r="H1513" t="s">
        <v>22</v>
      </c>
      <c r="I1513" t="s">
        <v>16</v>
      </c>
      <c r="J1513" t="s">
        <v>16</v>
      </c>
      <c r="K1513" t="str">
        <f>VLOOKUP(C1513,CheckName!A:B,2,0)</f>
        <v>Add</v>
      </c>
      <c r="L1513">
        <v>0</v>
      </c>
      <c r="M1513">
        <f>DAY(E1513)</f>
        <v>12</v>
      </c>
      <c r="N1513" t="str">
        <f>TEXT(MTDRejection[[#This Row],[RejectionDate]],"dddd")</f>
        <v>Thursday</v>
      </c>
    </row>
    <row r="1514" spans="1:14">
      <c r="A1514" t="s">
        <v>45</v>
      </c>
      <c r="B1514" t="s">
        <v>4106</v>
      </c>
      <c r="C1514" t="s">
        <v>19</v>
      </c>
      <c r="D1514" t="s">
        <v>20</v>
      </c>
      <c r="E1514" s="7">
        <v>45638</v>
      </c>
      <c r="F1514" t="s">
        <v>2327</v>
      </c>
      <c r="G1514">
        <v>0</v>
      </c>
      <c r="H1514" t="s">
        <v>22</v>
      </c>
      <c r="I1514" t="s">
        <v>16</v>
      </c>
      <c r="J1514" t="s">
        <v>16</v>
      </c>
      <c r="K1514" t="str">
        <f>VLOOKUP(C1514,CheckName!A:B,2,0)</f>
        <v>Add</v>
      </c>
      <c r="L1514">
        <v>0</v>
      </c>
      <c r="M1514">
        <f>DAY(E1514)</f>
        <v>12</v>
      </c>
      <c r="N1514" t="str">
        <f>TEXT(MTDRejection[[#This Row],[RejectionDate]],"dddd")</f>
        <v>Thursday</v>
      </c>
    </row>
    <row r="1515" spans="1:14">
      <c r="A1515" t="s">
        <v>86</v>
      </c>
      <c r="B1515" t="s">
        <v>4107</v>
      </c>
      <c r="C1515" t="s">
        <v>12</v>
      </c>
      <c r="D1515" t="s">
        <v>26</v>
      </c>
      <c r="E1515" s="7">
        <v>45638</v>
      </c>
      <c r="F1515" t="s">
        <v>675</v>
      </c>
      <c r="G1515">
        <v>0</v>
      </c>
      <c r="H1515" t="s">
        <v>27</v>
      </c>
      <c r="I1515" t="s">
        <v>16</v>
      </c>
      <c r="J1515" t="s">
        <v>16</v>
      </c>
      <c r="K1515" t="str">
        <f>VLOOKUP(C1515,CheckName!A:B,2,0)</f>
        <v>Emp</v>
      </c>
      <c r="L1515">
        <v>0</v>
      </c>
      <c r="M1515">
        <f t="shared" ref="M1515:M1518" si="192">DAY(E1515)</f>
        <v>12</v>
      </c>
      <c r="N1515" t="str">
        <f>TEXT(MTDRejection[[#This Row],[RejectionDate]],"dddd")</f>
        <v>Thursday</v>
      </c>
    </row>
    <row r="1516" spans="1:14">
      <c r="A1516" t="s">
        <v>186</v>
      </c>
      <c r="B1516" t="s">
        <v>2465</v>
      </c>
      <c r="C1516" t="s">
        <v>125</v>
      </c>
      <c r="D1516" t="s">
        <v>26</v>
      </c>
      <c r="E1516" s="7">
        <v>45638</v>
      </c>
      <c r="F1516" t="s">
        <v>37</v>
      </c>
      <c r="G1516">
        <v>0</v>
      </c>
      <c r="H1516" t="s">
        <v>425</v>
      </c>
      <c r="I1516" t="s">
        <v>16</v>
      </c>
      <c r="J1516" t="s">
        <v>16</v>
      </c>
      <c r="K1516" t="str">
        <f>VLOOKUP(C1516,CheckName!A:B,2,0)</f>
        <v>Emp</v>
      </c>
      <c r="L1516">
        <v>0</v>
      </c>
      <c r="M1516">
        <f t="shared" si="192"/>
        <v>12</v>
      </c>
      <c r="N1516" t="str">
        <f>TEXT(MTDRejection[[#This Row],[RejectionDate]],"dddd")</f>
        <v>Thursday</v>
      </c>
    </row>
    <row r="1517" spans="1:14">
      <c r="A1517" t="s">
        <v>239</v>
      </c>
      <c r="B1517" t="s">
        <v>4108</v>
      </c>
      <c r="C1517" t="s">
        <v>106</v>
      </c>
      <c r="D1517" t="s">
        <v>38</v>
      </c>
      <c r="E1517" s="7">
        <v>45638</v>
      </c>
      <c r="F1517" t="s">
        <v>39</v>
      </c>
      <c r="G1517">
        <v>0</v>
      </c>
      <c r="H1517" t="s">
        <v>42</v>
      </c>
      <c r="I1517" t="s">
        <v>16</v>
      </c>
      <c r="J1517" t="s">
        <v>16</v>
      </c>
      <c r="K1517" t="str">
        <f>VLOOKUP(C1517,CheckName!A:B,2,0)</f>
        <v>Ref</v>
      </c>
      <c r="L1517">
        <v>0</v>
      </c>
      <c r="M1517">
        <f t="shared" si="192"/>
        <v>12</v>
      </c>
      <c r="N1517" t="str">
        <f>TEXT(MTDRejection[[#This Row],[RejectionDate]],"dddd")</f>
        <v>Thursday</v>
      </c>
    </row>
    <row r="1518" spans="1:14">
      <c r="A1518" t="s">
        <v>1564</v>
      </c>
      <c r="B1518" t="s">
        <v>4109</v>
      </c>
      <c r="C1518" t="s">
        <v>54</v>
      </c>
      <c r="D1518" t="s">
        <v>13</v>
      </c>
      <c r="E1518" s="7">
        <v>45638</v>
      </c>
      <c r="F1518" t="s">
        <v>2334</v>
      </c>
      <c r="G1518">
        <v>0</v>
      </c>
      <c r="H1518" t="s">
        <v>15</v>
      </c>
      <c r="I1518" t="s">
        <v>16</v>
      </c>
      <c r="J1518" t="s">
        <v>16</v>
      </c>
      <c r="K1518" t="str">
        <f>VLOOKUP(C1518,CheckName!A:B,2,0)</f>
        <v>Edu</v>
      </c>
      <c r="L1518">
        <v>0</v>
      </c>
      <c r="M1518">
        <f t="shared" si="192"/>
        <v>12</v>
      </c>
      <c r="N1518" t="str">
        <f>TEXT(MTDRejection[[#This Row],[RejectionDate]],"dddd")</f>
        <v>Thursday</v>
      </c>
    </row>
    <row r="1519" spans="1:14">
      <c r="A1519" t="s">
        <v>1787</v>
      </c>
      <c r="B1519" t="s">
        <v>4110</v>
      </c>
      <c r="C1519" t="s">
        <v>56</v>
      </c>
      <c r="D1519" t="s">
        <v>13</v>
      </c>
      <c r="E1519" s="7">
        <v>45638</v>
      </c>
      <c r="F1519" t="s">
        <v>2334</v>
      </c>
      <c r="G1519">
        <v>0</v>
      </c>
      <c r="H1519" t="s">
        <v>15</v>
      </c>
      <c r="I1519" t="s">
        <v>16</v>
      </c>
      <c r="J1519" t="s">
        <v>16</v>
      </c>
      <c r="K1519" t="str">
        <f>VLOOKUP(C1519,CheckName!A:B,2,0)</f>
        <v>Special Check</v>
      </c>
      <c r="L1519">
        <v>0</v>
      </c>
      <c r="M1519">
        <f t="shared" ref="M1519:M1525" si="193">DAY(E1519)</f>
        <v>12</v>
      </c>
      <c r="N1519" t="str">
        <f>TEXT(MTDRejection[[#This Row],[RejectionDate]],"dddd")</f>
        <v>Thursday</v>
      </c>
    </row>
    <row r="1520" spans="1:14">
      <c r="A1520" t="s">
        <v>100</v>
      </c>
      <c r="B1520" t="s">
        <v>4111</v>
      </c>
      <c r="C1520" t="s">
        <v>359</v>
      </c>
      <c r="D1520" t="s">
        <v>26</v>
      </c>
      <c r="E1520" s="7">
        <v>45638</v>
      </c>
      <c r="F1520" t="s">
        <v>222</v>
      </c>
      <c r="G1520">
        <v>0</v>
      </c>
      <c r="H1520" t="s">
        <v>22</v>
      </c>
      <c r="I1520" t="s">
        <v>16</v>
      </c>
      <c r="J1520" t="s">
        <v>16</v>
      </c>
      <c r="K1520" t="str">
        <f>VLOOKUP(C1520,CheckName!A:B,2,0)</f>
        <v>Emp</v>
      </c>
      <c r="L1520">
        <v>0</v>
      </c>
      <c r="M1520">
        <f t="shared" si="193"/>
        <v>12</v>
      </c>
      <c r="N1520" t="str">
        <f>TEXT(MTDRejection[[#This Row],[RejectionDate]],"dddd")</f>
        <v>Thursday</v>
      </c>
    </row>
    <row r="1521" spans="1:14">
      <c r="A1521" t="s">
        <v>495</v>
      </c>
      <c r="B1521" t="s">
        <v>4112</v>
      </c>
      <c r="C1521" t="s">
        <v>12</v>
      </c>
      <c r="D1521" t="s">
        <v>26</v>
      </c>
      <c r="E1521" s="7">
        <v>45638</v>
      </c>
      <c r="F1521" t="s">
        <v>1055</v>
      </c>
      <c r="G1521">
        <v>0</v>
      </c>
      <c r="H1521" t="s">
        <v>95</v>
      </c>
      <c r="I1521" t="s">
        <v>16</v>
      </c>
      <c r="J1521" t="s">
        <v>16</v>
      </c>
      <c r="K1521" t="str">
        <f>VLOOKUP(C1521,CheckName!A:B,2,0)</f>
        <v>Emp</v>
      </c>
      <c r="L1521">
        <v>0</v>
      </c>
      <c r="M1521">
        <f t="shared" si="193"/>
        <v>12</v>
      </c>
      <c r="N1521" t="str">
        <f>TEXT(MTDRejection[[#This Row],[RejectionDate]],"dddd")</f>
        <v>Thursday</v>
      </c>
    </row>
    <row r="1522" spans="1:14">
      <c r="A1522" t="s">
        <v>285</v>
      </c>
      <c r="B1522" t="s">
        <v>4113</v>
      </c>
      <c r="C1522" t="s">
        <v>125</v>
      </c>
      <c r="D1522" t="s">
        <v>26</v>
      </c>
      <c r="E1522" s="7">
        <v>45638</v>
      </c>
      <c r="F1522" t="s">
        <v>1055</v>
      </c>
      <c r="G1522">
        <v>0</v>
      </c>
      <c r="H1522" t="s">
        <v>27</v>
      </c>
      <c r="I1522" t="s">
        <v>16</v>
      </c>
      <c r="J1522" t="s">
        <v>16</v>
      </c>
      <c r="K1522" t="str">
        <f>VLOOKUP(C1522,CheckName!A:B,2,0)</f>
        <v>Emp</v>
      </c>
      <c r="L1522">
        <v>0</v>
      </c>
      <c r="M1522">
        <f t="shared" si="193"/>
        <v>12</v>
      </c>
      <c r="N1522" t="str">
        <f>TEXT(MTDRejection[[#This Row],[RejectionDate]],"dddd")</f>
        <v>Thursday</v>
      </c>
    </row>
    <row r="1523" spans="1:14">
      <c r="A1523" t="s">
        <v>682</v>
      </c>
      <c r="B1523" t="s">
        <v>4114</v>
      </c>
      <c r="C1523" t="s">
        <v>12</v>
      </c>
      <c r="D1523" t="s">
        <v>26</v>
      </c>
      <c r="E1523" s="7">
        <v>45638</v>
      </c>
      <c r="F1523" t="s">
        <v>222</v>
      </c>
      <c r="G1523">
        <v>0</v>
      </c>
      <c r="H1523" t="s">
        <v>27</v>
      </c>
      <c r="I1523" t="s">
        <v>16</v>
      </c>
      <c r="J1523" t="s">
        <v>16</v>
      </c>
      <c r="K1523" t="str">
        <f>VLOOKUP(C1523,CheckName!A:B,2,0)</f>
        <v>Emp</v>
      </c>
      <c r="L1523">
        <v>0</v>
      </c>
      <c r="M1523">
        <f t="shared" si="193"/>
        <v>12</v>
      </c>
      <c r="N1523" t="str">
        <f>TEXT(MTDRejection[[#This Row],[RejectionDate]],"dddd")</f>
        <v>Thursday</v>
      </c>
    </row>
    <row r="1524" spans="1:14">
      <c r="A1524" t="s">
        <v>1876</v>
      </c>
      <c r="B1524" t="s">
        <v>4115</v>
      </c>
      <c r="C1524" t="s">
        <v>36</v>
      </c>
      <c r="D1524" t="s">
        <v>26</v>
      </c>
      <c r="E1524" s="7">
        <v>45638</v>
      </c>
      <c r="F1524" t="s">
        <v>222</v>
      </c>
      <c r="G1524">
        <v>0</v>
      </c>
      <c r="H1524" t="s">
        <v>27</v>
      </c>
      <c r="I1524" t="s">
        <v>16</v>
      </c>
      <c r="J1524" t="s">
        <v>16</v>
      </c>
      <c r="K1524" t="str">
        <f>VLOOKUP(C1524,CheckName!A:B,2,0)</f>
        <v>Emp</v>
      </c>
      <c r="L1524">
        <v>0</v>
      </c>
      <c r="M1524">
        <f t="shared" si="193"/>
        <v>12</v>
      </c>
      <c r="N1524" t="str">
        <f>TEXT(MTDRejection[[#This Row],[RejectionDate]],"dddd")</f>
        <v>Thursday</v>
      </c>
    </row>
    <row r="1525" spans="1:14">
      <c r="A1525" t="s">
        <v>60</v>
      </c>
      <c r="B1525" t="s">
        <v>4116</v>
      </c>
      <c r="C1525" t="s">
        <v>36</v>
      </c>
      <c r="D1525" t="s">
        <v>26</v>
      </c>
      <c r="E1525" s="7">
        <v>45638</v>
      </c>
      <c r="F1525" t="s">
        <v>1055</v>
      </c>
      <c r="G1525">
        <v>0</v>
      </c>
      <c r="H1525" t="s">
        <v>27</v>
      </c>
      <c r="I1525" t="s">
        <v>16</v>
      </c>
      <c r="J1525" t="s">
        <v>16</v>
      </c>
      <c r="K1525" t="str">
        <f>VLOOKUP(C1525,CheckName!A:B,2,0)</f>
        <v>Emp</v>
      </c>
      <c r="L1525">
        <v>0</v>
      </c>
      <c r="M1525">
        <f t="shared" si="193"/>
        <v>12</v>
      </c>
      <c r="N1525" t="str">
        <f>TEXT(MTDRejection[[#This Row],[RejectionDate]],"dddd")</f>
        <v>Thursday</v>
      </c>
    </row>
    <row r="1526" spans="1:14">
      <c r="A1526" t="s">
        <v>312</v>
      </c>
      <c r="B1526" t="s">
        <v>4117</v>
      </c>
      <c r="C1526" t="s">
        <v>12</v>
      </c>
      <c r="D1526" t="s">
        <v>26</v>
      </c>
      <c r="E1526" s="7">
        <v>45638</v>
      </c>
      <c r="F1526" t="s">
        <v>222</v>
      </c>
      <c r="G1526">
        <v>0</v>
      </c>
      <c r="H1526" t="s">
        <v>27</v>
      </c>
      <c r="I1526" t="s">
        <v>16</v>
      </c>
      <c r="J1526" t="s">
        <v>16</v>
      </c>
      <c r="K1526" t="str">
        <f>VLOOKUP(C1526,CheckName!A:B,2,0)</f>
        <v>Emp</v>
      </c>
      <c r="L1526">
        <v>0</v>
      </c>
      <c r="M1526">
        <f>DAY(E1526)</f>
        <v>12</v>
      </c>
      <c r="N1526" t="str">
        <f>TEXT(MTDRejection[[#This Row],[RejectionDate]],"dddd")</f>
        <v>Thursday</v>
      </c>
    </row>
    <row r="1527" spans="1:14">
      <c r="A1527" t="s">
        <v>192</v>
      </c>
      <c r="B1527" t="s">
        <v>2521</v>
      </c>
      <c r="C1527" t="s">
        <v>25</v>
      </c>
      <c r="D1527" t="s">
        <v>20</v>
      </c>
      <c r="E1527" s="7">
        <v>45638</v>
      </c>
      <c r="F1527" t="s">
        <v>2330</v>
      </c>
      <c r="G1527">
        <v>0</v>
      </c>
      <c r="H1527" t="s">
        <v>22</v>
      </c>
      <c r="I1527" t="s">
        <v>16</v>
      </c>
      <c r="J1527" t="s">
        <v>16</v>
      </c>
      <c r="K1527" t="str">
        <f>VLOOKUP(C1527,CheckName!A:B,2,0)</f>
        <v>Add</v>
      </c>
      <c r="L1527">
        <v>0</v>
      </c>
      <c r="M1527">
        <f>DAY(E1527)</f>
        <v>12</v>
      </c>
      <c r="N1527" t="str">
        <f>TEXT(MTDRejection[[#This Row],[RejectionDate]],"dddd")</f>
        <v>Thursday</v>
      </c>
    </row>
    <row r="1528" spans="1:14">
      <c r="A1528" t="s">
        <v>239</v>
      </c>
      <c r="B1528" t="s">
        <v>4118</v>
      </c>
      <c r="C1528" t="s">
        <v>19</v>
      </c>
      <c r="D1528" t="s">
        <v>20</v>
      </c>
      <c r="E1528" s="7">
        <v>45638</v>
      </c>
      <c r="F1528" t="s">
        <v>2330</v>
      </c>
      <c r="G1528">
        <v>0</v>
      </c>
      <c r="H1528" t="s">
        <v>22</v>
      </c>
      <c r="I1528" t="s">
        <v>16</v>
      </c>
      <c r="J1528" t="s">
        <v>16</v>
      </c>
      <c r="K1528" t="str">
        <f>VLOOKUP(C1528,CheckName!A:B,2,0)</f>
        <v>Add</v>
      </c>
      <c r="L1528">
        <v>0</v>
      </c>
      <c r="M1528">
        <f t="shared" ref="M1528:M1529" si="194">DAY(E1528)</f>
        <v>12</v>
      </c>
      <c r="N1528" t="str">
        <f>TEXT(MTDRejection[[#This Row],[RejectionDate]],"dddd")</f>
        <v>Thursday</v>
      </c>
    </row>
    <row r="1529" spans="1:14">
      <c r="A1529" t="s">
        <v>1358</v>
      </c>
      <c r="B1529" t="s">
        <v>4119</v>
      </c>
      <c r="C1529" t="s">
        <v>54</v>
      </c>
      <c r="D1529" t="s">
        <v>26</v>
      </c>
      <c r="E1529" s="7">
        <v>45638</v>
      </c>
      <c r="F1529" t="s">
        <v>2344</v>
      </c>
      <c r="G1529">
        <v>0</v>
      </c>
      <c r="H1529" t="s">
        <v>27</v>
      </c>
      <c r="I1529" t="s">
        <v>16</v>
      </c>
      <c r="J1529" t="s">
        <v>16</v>
      </c>
      <c r="K1529" t="str">
        <f>VLOOKUP(C1529,CheckName!A:B,2,0)</f>
        <v>Edu</v>
      </c>
      <c r="L1529">
        <v>0</v>
      </c>
      <c r="M1529">
        <f t="shared" si="194"/>
        <v>12</v>
      </c>
      <c r="N1529" t="str">
        <f>TEXT(MTDRejection[[#This Row],[RejectionDate]],"dddd")</f>
        <v>Thursday</v>
      </c>
    </row>
    <row r="1530" spans="1:14">
      <c r="A1530" t="s">
        <v>160</v>
      </c>
      <c r="B1530" t="s">
        <v>4120</v>
      </c>
      <c r="C1530" t="s">
        <v>36</v>
      </c>
      <c r="D1530" t="s">
        <v>26</v>
      </c>
      <c r="E1530" s="7">
        <v>45638</v>
      </c>
      <c r="F1530" t="s">
        <v>277</v>
      </c>
      <c r="G1530">
        <v>0</v>
      </c>
      <c r="H1530" t="s">
        <v>30</v>
      </c>
      <c r="I1530" t="s">
        <v>16</v>
      </c>
      <c r="J1530" t="s">
        <v>16</v>
      </c>
      <c r="K1530" t="str">
        <f>VLOOKUP(C1530,CheckName!A:B,2,0)</f>
        <v>Emp</v>
      </c>
      <c r="L1530">
        <v>0</v>
      </c>
      <c r="M1530">
        <f>DAY(E1530)</f>
        <v>12</v>
      </c>
      <c r="N1530" t="str">
        <f>TEXT(MTDRejection[[#This Row],[RejectionDate]],"dddd")</f>
        <v>Thursday</v>
      </c>
    </row>
    <row r="1531" spans="1:14">
      <c r="A1531" t="s">
        <v>556</v>
      </c>
      <c r="B1531" t="s">
        <v>4121</v>
      </c>
      <c r="C1531" t="s">
        <v>36</v>
      </c>
      <c r="D1531" t="s">
        <v>26</v>
      </c>
      <c r="E1531" s="7">
        <v>45638</v>
      </c>
      <c r="F1531" t="s">
        <v>182</v>
      </c>
      <c r="G1531">
        <v>0</v>
      </c>
      <c r="H1531" t="s">
        <v>27</v>
      </c>
      <c r="I1531" t="s">
        <v>16</v>
      </c>
      <c r="J1531" t="s">
        <v>16</v>
      </c>
      <c r="K1531" t="str">
        <f>VLOOKUP(C1531,CheckName!A:B,2,0)</f>
        <v>Emp</v>
      </c>
      <c r="L1531">
        <v>0</v>
      </c>
      <c r="M1531">
        <f>DAY(E1531)</f>
        <v>12</v>
      </c>
      <c r="N1531" t="str">
        <f>TEXT(MTDRejection[[#This Row],[RejectionDate]],"dddd")</f>
        <v>Thursday</v>
      </c>
    </row>
    <row r="1532" spans="1:14">
      <c r="A1532" t="s">
        <v>84</v>
      </c>
      <c r="B1532" t="s">
        <v>2522</v>
      </c>
      <c r="C1532" t="s">
        <v>125</v>
      </c>
      <c r="D1532" t="s">
        <v>26</v>
      </c>
      <c r="E1532" s="7">
        <v>45638</v>
      </c>
      <c r="F1532" t="s">
        <v>83</v>
      </c>
      <c r="G1532">
        <v>0</v>
      </c>
      <c r="H1532" t="s">
        <v>27</v>
      </c>
      <c r="I1532" t="s">
        <v>16</v>
      </c>
      <c r="J1532" t="s">
        <v>16</v>
      </c>
      <c r="K1532" t="str">
        <f>VLOOKUP(C1532,CheckName!A:B,2,0)</f>
        <v>Emp</v>
      </c>
      <c r="L1532">
        <v>0</v>
      </c>
      <c r="M1532">
        <f t="shared" ref="M1532:M1533" si="195">DAY(E1532)</f>
        <v>12</v>
      </c>
      <c r="N1532" t="str">
        <f>TEXT(MTDRejection[[#This Row],[RejectionDate]],"dddd")</f>
        <v>Thursday</v>
      </c>
    </row>
    <row r="1533" spans="1:14">
      <c r="A1533" t="s">
        <v>100</v>
      </c>
      <c r="B1533" t="s">
        <v>4122</v>
      </c>
      <c r="C1533" t="s">
        <v>357</v>
      </c>
      <c r="D1533" t="s">
        <v>26</v>
      </c>
      <c r="E1533" s="7">
        <v>45638</v>
      </c>
      <c r="F1533" t="s">
        <v>380</v>
      </c>
      <c r="G1533">
        <v>0</v>
      </c>
      <c r="H1533" t="s">
        <v>27</v>
      </c>
      <c r="I1533" t="s">
        <v>16</v>
      </c>
      <c r="J1533" t="s">
        <v>16</v>
      </c>
      <c r="K1533" t="str">
        <f>VLOOKUP(C1533,CheckName!A:B,2,0)</f>
        <v>Emp</v>
      </c>
      <c r="L1533">
        <v>0</v>
      </c>
      <c r="M1533">
        <f t="shared" si="195"/>
        <v>12</v>
      </c>
      <c r="N1533" t="str">
        <f>TEXT(MTDRejection[[#This Row],[RejectionDate]],"dddd")</f>
        <v>Thursday</v>
      </c>
    </row>
    <row r="1534" spans="1:14">
      <c r="A1534" t="s">
        <v>160</v>
      </c>
      <c r="B1534" t="s">
        <v>4123</v>
      </c>
      <c r="C1534" t="s">
        <v>125</v>
      </c>
      <c r="D1534" t="s">
        <v>26</v>
      </c>
      <c r="E1534" s="7">
        <v>45638</v>
      </c>
      <c r="F1534" t="s">
        <v>311</v>
      </c>
      <c r="G1534">
        <v>0</v>
      </c>
      <c r="H1534" t="s">
        <v>22</v>
      </c>
      <c r="I1534" t="s">
        <v>16</v>
      </c>
      <c r="J1534" t="s">
        <v>16</v>
      </c>
      <c r="K1534" t="str">
        <f>VLOOKUP(C1534,CheckName!A:B,2,0)</f>
        <v>Emp</v>
      </c>
      <c r="L1534">
        <v>0</v>
      </c>
      <c r="M1534">
        <f t="shared" ref="M1534:M1536" si="196">DAY(E1534)</f>
        <v>12</v>
      </c>
      <c r="N1534" t="str">
        <f>TEXT(MTDRejection[[#This Row],[RejectionDate]],"dddd")</f>
        <v>Thursday</v>
      </c>
    </row>
    <row r="1535" spans="1:14">
      <c r="A1535" t="s">
        <v>1835</v>
      </c>
      <c r="B1535" t="s">
        <v>4124</v>
      </c>
      <c r="C1535" t="s">
        <v>125</v>
      </c>
      <c r="D1535" t="s">
        <v>26</v>
      </c>
      <c r="E1535" s="7">
        <v>45638</v>
      </c>
      <c r="F1535" t="s">
        <v>721</v>
      </c>
      <c r="G1535">
        <v>0</v>
      </c>
      <c r="H1535" t="s">
        <v>27</v>
      </c>
      <c r="I1535" t="s">
        <v>16</v>
      </c>
      <c r="J1535" t="s">
        <v>16</v>
      </c>
      <c r="K1535" t="str">
        <f>VLOOKUP(C1535,CheckName!A:B,2,0)</f>
        <v>Emp</v>
      </c>
      <c r="L1535">
        <v>0</v>
      </c>
      <c r="M1535">
        <f t="shared" si="196"/>
        <v>12</v>
      </c>
      <c r="N1535" t="str">
        <f>TEXT(MTDRejection[[#This Row],[RejectionDate]],"dddd")</f>
        <v>Thursday</v>
      </c>
    </row>
    <row r="1536" spans="1:14">
      <c r="A1536" t="s">
        <v>142</v>
      </c>
      <c r="B1536" t="s">
        <v>4125</v>
      </c>
      <c r="C1536" t="s">
        <v>12</v>
      </c>
      <c r="D1536" t="s">
        <v>13</v>
      </c>
      <c r="E1536" s="7">
        <v>45638</v>
      </c>
      <c r="F1536" t="s">
        <v>98</v>
      </c>
      <c r="G1536">
        <v>0</v>
      </c>
      <c r="H1536" t="s">
        <v>30</v>
      </c>
      <c r="I1536" t="s">
        <v>16</v>
      </c>
      <c r="J1536" t="s">
        <v>16</v>
      </c>
      <c r="K1536" t="str">
        <f>VLOOKUP(C1536,CheckName!A:B,2,0)</f>
        <v>Emp</v>
      </c>
      <c r="L1536">
        <v>0</v>
      </c>
      <c r="M1536">
        <f t="shared" si="196"/>
        <v>12</v>
      </c>
      <c r="N1536" t="str">
        <f>TEXT(MTDRejection[[#This Row],[RejectionDate]],"dddd")</f>
        <v>Thursday</v>
      </c>
    </row>
    <row r="1537" spans="1:14">
      <c r="A1537" t="s">
        <v>312</v>
      </c>
      <c r="B1537" t="s">
        <v>4126</v>
      </c>
      <c r="C1537" t="s">
        <v>125</v>
      </c>
      <c r="D1537" t="s">
        <v>26</v>
      </c>
      <c r="E1537" s="7">
        <v>45638</v>
      </c>
      <c r="F1537" t="s">
        <v>169</v>
      </c>
      <c r="G1537">
        <v>0</v>
      </c>
      <c r="H1537" t="s">
        <v>27</v>
      </c>
      <c r="I1537" t="s">
        <v>16</v>
      </c>
      <c r="J1537" t="s">
        <v>16</v>
      </c>
      <c r="K1537" t="str">
        <f>VLOOKUP(C1537,CheckName!A:B,2,0)</f>
        <v>Emp</v>
      </c>
      <c r="L1537">
        <v>0</v>
      </c>
      <c r="M1537">
        <f>DAY(E1537)</f>
        <v>12</v>
      </c>
      <c r="N1537" t="str">
        <f>TEXT(MTDRejection[[#This Row],[RejectionDate]],"dddd")</f>
        <v>Thursday</v>
      </c>
    </row>
    <row r="1538" spans="1:14">
      <c r="A1538" t="s">
        <v>1877</v>
      </c>
      <c r="B1538" t="s">
        <v>4127</v>
      </c>
      <c r="C1538" t="s">
        <v>12</v>
      </c>
      <c r="D1538" t="s">
        <v>13</v>
      </c>
      <c r="E1538" s="7">
        <v>45638</v>
      </c>
      <c r="F1538" t="s">
        <v>107</v>
      </c>
      <c r="G1538">
        <v>0</v>
      </c>
      <c r="H1538" t="s">
        <v>15</v>
      </c>
      <c r="I1538" t="s">
        <v>16</v>
      </c>
      <c r="J1538" t="s">
        <v>16</v>
      </c>
      <c r="K1538" t="str">
        <f>VLOOKUP(C1538,CheckName!A:B,2,0)</f>
        <v>Emp</v>
      </c>
      <c r="L1538">
        <v>0</v>
      </c>
      <c r="M1538">
        <f t="shared" ref="M1538:M1539" si="197">DAY(E1538)</f>
        <v>12</v>
      </c>
      <c r="N1538" t="str">
        <f>TEXT(MTDRejection[[#This Row],[RejectionDate]],"dddd")</f>
        <v>Thursday</v>
      </c>
    </row>
    <row r="1539" spans="1:14">
      <c r="A1539" t="s">
        <v>1253</v>
      </c>
      <c r="B1539" t="s">
        <v>4128</v>
      </c>
      <c r="C1539" t="s">
        <v>12</v>
      </c>
      <c r="D1539" t="s">
        <v>26</v>
      </c>
      <c r="E1539" s="7">
        <v>45638</v>
      </c>
      <c r="F1539" t="s">
        <v>162</v>
      </c>
      <c r="G1539">
        <v>0</v>
      </c>
      <c r="H1539" t="s">
        <v>27</v>
      </c>
      <c r="I1539" t="s">
        <v>16</v>
      </c>
      <c r="J1539" t="s">
        <v>16</v>
      </c>
      <c r="K1539" t="str">
        <f>VLOOKUP(C1539,CheckName!A:B,2,0)</f>
        <v>Emp</v>
      </c>
      <c r="L1539">
        <v>0</v>
      </c>
      <c r="M1539">
        <f t="shared" si="197"/>
        <v>12</v>
      </c>
      <c r="N1539" t="str">
        <f>TEXT(MTDRejection[[#This Row],[RejectionDate]],"dddd")</f>
        <v>Thursday</v>
      </c>
    </row>
    <row r="1540" spans="1:14">
      <c r="A1540" t="s">
        <v>461</v>
      </c>
      <c r="B1540" t="s">
        <v>4129</v>
      </c>
      <c r="C1540" t="s">
        <v>125</v>
      </c>
      <c r="D1540" t="s">
        <v>26</v>
      </c>
      <c r="E1540" s="7">
        <v>45638</v>
      </c>
      <c r="F1540" t="s">
        <v>2337</v>
      </c>
      <c r="G1540">
        <v>0</v>
      </c>
      <c r="H1540" t="s">
        <v>27</v>
      </c>
      <c r="I1540" t="s">
        <v>16</v>
      </c>
      <c r="J1540" t="s">
        <v>16</v>
      </c>
      <c r="K1540" t="str">
        <f>VLOOKUP(C1540,CheckName!A:B,2,0)</f>
        <v>Emp</v>
      </c>
      <c r="L1540">
        <v>0</v>
      </c>
      <c r="M1540">
        <f>DAY(E1540)</f>
        <v>12</v>
      </c>
      <c r="N1540" t="str">
        <f>TEXT(MTDRejection[[#This Row],[RejectionDate]],"dddd")</f>
        <v>Thursday</v>
      </c>
    </row>
    <row r="1541" spans="1:14">
      <c r="A1541" t="s">
        <v>432</v>
      </c>
      <c r="B1541" t="s">
        <v>4130</v>
      </c>
      <c r="C1541" t="s">
        <v>36</v>
      </c>
      <c r="D1541" t="s">
        <v>26</v>
      </c>
      <c r="E1541" s="7">
        <v>45638</v>
      </c>
      <c r="F1541" t="s">
        <v>141</v>
      </c>
      <c r="G1541">
        <v>0</v>
      </c>
      <c r="H1541" t="s">
        <v>27</v>
      </c>
      <c r="I1541" t="s">
        <v>16</v>
      </c>
      <c r="J1541" t="s">
        <v>16</v>
      </c>
      <c r="K1541" t="str">
        <f>VLOOKUP(C1541,CheckName!A:B,2,0)</f>
        <v>Emp</v>
      </c>
      <c r="L1541">
        <v>0</v>
      </c>
      <c r="M1541">
        <f>DAY(E1541)</f>
        <v>12</v>
      </c>
      <c r="N1541" t="str">
        <f>TEXT(MTDRejection[[#This Row],[RejectionDate]],"dddd")</f>
        <v>Thursday</v>
      </c>
    </row>
    <row r="1542" spans="1:14">
      <c r="A1542" t="s">
        <v>100</v>
      </c>
      <c r="B1542" t="s">
        <v>4131</v>
      </c>
      <c r="C1542" t="s">
        <v>102</v>
      </c>
      <c r="D1542" t="s">
        <v>26</v>
      </c>
      <c r="E1542" s="7">
        <v>45636</v>
      </c>
      <c r="F1542" t="s">
        <v>663</v>
      </c>
      <c r="G1542">
        <v>2</v>
      </c>
      <c r="H1542" t="s">
        <v>27</v>
      </c>
      <c r="I1542" t="s">
        <v>16</v>
      </c>
      <c r="J1542" t="s">
        <v>16</v>
      </c>
      <c r="K1542" t="str">
        <f>VLOOKUP(C1542,CheckName!A:B,2,0)</f>
        <v>Edu</v>
      </c>
      <c r="L1542">
        <v>0</v>
      </c>
      <c r="M1542">
        <f>DAY(E1542)</f>
        <v>10</v>
      </c>
      <c r="N1542" t="str">
        <f>TEXT(MTDRejection[[#This Row],[RejectionDate]],"dddd")</f>
        <v>Tuesday</v>
      </c>
    </row>
    <row r="1543" spans="1:14">
      <c r="A1543" t="s">
        <v>312</v>
      </c>
      <c r="B1543" t="s">
        <v>4132</v>
      </c>
      <c r="C1543" t="s">
        <v>12</v>
      </c>
      <c r="D1543" t="s">
        <v>26</v>
      </c>
      <c r="E1543" s="7">
        <v>45630</v>
      </c>
      <c r="F1543" t="s">
        <v>141</v>
      </c>
      <c r="G1543">
        <v>8</v>
      </c>
      <c r="H1543" t="s">
        <v>27</v>
      </c>
      <c r="I1543" t="s">
        <v>16</v>
      </c>
      <c r="J1543" t="s">
        <v>16</v>
      </c>
      <c r="K1543" t="str">
        <f>VLOOKUP(C1543,CheckName!A:B,2,0)</f>
        <v>Emp</v>
      </c>
      <c r="L1543">
        <v>0</v>
      </c>
      <c r="M1543">
        <f>DAY(E1543)</f>
        <v>4</v>
      </c>
      <c r="N1543" t="str">
        <f>TEXT(MTDRejection[[#This Row],[RejectionDate]],"dddd")</f>
        <v>Wednesday</v>
      </c>
    </row>
    <row r="1544" spans="1:14">
      <c r="A1544" t="s">
        <v>45</v>
      </c>
      <c r="B1544" t="s">
        <v>2840</v>
      </c>
      <c r="C1544" t="s">
        <v>54</v>
      </c>
      <c r="D1544" t="s">
        <v>26</v>
      </c>
      <c r="E1544" s="7">
        <v>45638</v>
      </c>
      <c r="F1544" t="s">
        <v>663</v>
      </c>
      <c r="G1544">
        <v>0</v>
      </c>
      <c r="H1544" t="s">
        <v>27</v>
      </c>
      <c r="I1544" t="s">
        <v>16</v>
      </c>
      <c r="J1544" t="s">
        <v>16</v>
      </c>
      <c r="K1544" t="str">
        <f>VLOOKUP(C1544,CheckName!A:B,2,0)</f>
        <v>Edu</v>
      </c>
      <c r="L1544">
        <v>0</v>
      </c>
      <c r="M1544">
        <f t="shared" ref="M1544:M1545" si="198">DAY(E1544)</f>
        <v>12</v>
      </c>
      <c r="N1544" t="str">
        <f>TEXT(MTDRejection[[#This Row],[RejectionDate]],"dddd")</f>
        <v>Thursday</v>
      </c>
    </row>
    <row r="1545" spans="1:14">
      <c r="A1545" t="s">
        <v>45</v>
      </c>
      <c r="B1545" t="s">
        <v>4133</v>
      </c>
      <c r="C1545" t="s">
        <v>54</v>
      </c>
      <c r="D1545" t="s">
        <v>26</v>
      </c>
      <c r="E1545" s="7">
        <v>45638</v>
      </c>
      <c r="F1545" t="s">
        <v>663</v>
      </c>
      <c r="G1545">
        <v>0</v>
      </c>
      <c r="H1545" t="s">
        <v>130</v>
      </c>
      <c r="I1545" t="s">
        <v>16</v>
      </c>
      <c r="J1545" t="s">
        <v>16</v>
      </c>
      <c r="K1545" t="str">
        <f>VLOOKUP(C1545,CheckName!A:B,2,0)</f>
        <v>Edu</v>
      </c>
      <c r="L1545">
        <v>0</v>
      </c>
      <c r="M1545">
        <f t="shared" si="198"/>
        <v>12</v>
      </c>
      <c r="N1545" t="str">
        <f>TEXT(MTDRejection[[#This Row],[RejectionDate]],"dddd")</f>
        <v>Thursday</v>
      </c>
    </row>
    <row r="1546" spans="1:14">
      <c r="A1546" t="s">
        <v>360</v>
      </c>
      <c r="B1546" t="s">
        <v>4134</v>
      </c>
      <c r="C1546" t="s">
        <v>12</v>
      </c>
      <c r="D1546" t="s">
        <v>26</v>
      </c>
      <c r="E1546" s="7">
        <v>45638</v>
      </c>
      <c r="F1546" t="s">
        <v>325</v>
      </c>
      <c r="G1546">
        <v>0</v>
      </c>
      <c r="H1546" t="s">
        <v>27</v>
      </c>
      <c r="I1546" t="s">
        <v>16</v>
      </c>
      <c r="J1546" t="s">
        <v>16</v>
      </c>
      <c r="K1546" t="str">
        <f>VLOOKUP(C1546,CheckName!A:B,2,0)</f>
        <v>Emp</v>
      </c>
      <c r="L1546">
        <v>0</v>
      </c>
      <c r="M1546">
        <f>DAY(E1546)</f>
        <v>12</v>
      </c>
      <c r="N1546" t="str">
        <f>TEXT(MTDRejection[[#This Row],[RejectionDate]],"dddd")</f>
        <v>Thursday</v>
      </c>
    </row>
    <row r="1547" spans="1:14">
      <c r="A1547" t="s">
        <v>1813</v>
      </c>
      <c r="B1547" t="s">
        <v>4135</v>
      </c>
      <c r="C1547" t="s">
        <v>54</v>
      </c>
      <c r="D1547" t="s">
        <v>26</v>
      </c>
      <c r="E1547" s="7">
        <v>45638</v>
      </c>
      <c r="F1547" t="s">
        <v>458</v>
      </c>
      <c r="G1547">
        <v>0</v>
      </c>
      <c r="H1547" t="s">
        <v>27</v>
      </c>
      <c r="I1547" t="s">
        <v>16</v>
      </c>
      <c r="J1547" t="s">
        <v>16</v>
      </c>
      <c r="K1547" t="str">
        <f>VLOOKUP(C1547,CheckName!A:B,2,0)</f>
        <v>Edu</v>
      </c>
      <c r="L1547">
        <v>0</v>
      </c>
      <c r="M1547">
        <f t="shared" ref="M1547:M1549" si="199">DAY(E1547)</f>
        <v>12</v>
      </c>
      <c r="N1547" t="str">
        <f>TEXT(MTDRejection[[#This Row],[RejectionDate]],"dddd")</f>
        <v>Thursday</v>
      </c>
    </row>
    <row r="1548" spans="1:14">
      <c r="A1548" t="s">
        <v>432</v>
      </c>
      <c r="B1548" t="s">
        <v>4136</v>
      </c>
      <c r="C1548" t="s">
        <v>125</v>
      </c>
      <c r="D1548" t="s">
        <v>26</v>
      </c>
      <c r="E1548" s="7">
        <v>45638</v>
      </c>
      <c r="F1548" t="s">
        <v>37</v>
      </c>
      <c r="G1548">
        <v>0</v>
      </c>
      <c r="H1548" t="s">
        <v>27</v>
      </c>
      <c r="I1548" t="s">
        <v>16</v>
      </c>
      <c r="J1548" t="s">
        <v>16</v>
      </c>
      <c r="K1548" t="str">
        <f>VLOOKUP(C1548,CheckName!A:B,2,0)</f>
        <v>Emp</v>
      </c>
      <c r="L1548">
        <v>0</v>
      </c>
      <c r="M1548">
        <f t="shared" si="199"/>
        <v>12</v>
      </c>
      <c r="N1548" t="str">
        <f>TEXT(MTDRejection[[#This Row],[RejectionDate]],"dddd")</f>
        <v>Thursday</v>
      </c>
    </row>
    <row r="1549" spans="1:14">
      <c r="A1549" t="s">
        <v>43</v>
      </c>
      <c r="B1549" t="s">
        <v>4137</v>
      </c>
      <c r="C1549" t="s">
        <v>12</v>
      </c>
      <c r="D1549" t="s">
        <v>26</v>
      </c>
      <c r="E1549" s="7">
        <v>45638</v>
      </c>
      <c r="F1549" t="s">
        <v>37</v>
      </c>
      <c r="G1549">
        <v>0</v>
      </c>
      <c r="H1549" t="s">
        <v>27</v>
      </c>
      <c r="I1549" t="s">
        <v>16</v>
      </c>
      <c r="J1549" t="s">
        <v>16</v>
      </c>
      <c r="K1549" t="str">
        <f>VLOOKUP(C1549,CheckName!A:B,2,0)</f>
        <v>Emp</v>
      </c>
      <c r="L1549">
        <v>0</v>
      </c>
      <c r="M1549">
        <f t="shared" si="199"/>
        <v>12</v>
      </c>
      <c r="N1549" t="str">
        <f>TEXT(MTDRejection[[#This Row],[RejectionDate]],"dddd")</f>
        <v>Thursday</v>
      </c>
    </row>
    <row r="1550" spans="1:14">
      <c r="A1550" t="s">
        <v>10</v>
      </c>
      <c r="B1550" t="s">
        <v>4138</v>
      </c>
      <c r="C1550" t="s">
        <v>36</v>
      </c>
      <c r="D1550" t="s">
        <v>26</v>
      </c>
      <c r="E1550" s="7">
        <v>45638</v>
      </c>
      <c r="F1550" t="s">
        <v>37</v>
      </c>
      <c r="G1550">
        <v>0</v>
      </c>
      <c r="H1550" t="s">
        <v>130</v>
      </c>
      <c r="I1550" t="s">
        <v>16</v>
      </c>
      <c r="J1550" t="s">
        <v>16</v>
      </c>
      <c r="K1550" t="str">
        <f>VLOOKUP(C1550,CheckName!A:B,2,0)</f>
        <v>Emp</v>
      </c>
      <c r="L1550">
        <v>0</v>
      </c>
      <c r="M1550">
        <f>DAY(E1550)</f>
        <v>12</v>
      </c>
      <c r="N1550" t="str">
        <f>TEXT(MTDRejection[[#This Row],[RejectionDate]],"dddd")</f>
        <v>Thursday</v>
      </c>
    </row>
    <row r="1551" spans="1:14">
      <c r="A1551" t="s">
        <v>176</v>
      </c>
      <c r="B1551" t="s">
        <v>2524</v>
      </c>
      <c r="C1551" t="s">
        <v>220</v>
      </c>
      <c r="D1551" t="s">
        <v>38</v>
      </c>
      <c r="E1551" s="7">
        <v>45638</v>
      </c>
      <c r="F1551" t="s">
        <v>39</v>
      </c>
      <c r="G1551">
        <v>0</v>
      </c>
      <c r="H1551" t="s">
        <v>42</v>
      </c>
      <c r="I1551" t="s">
        <v>16</v>
      </c>
      <c r="J1551" t="s">
        <v>16</v>
      </c>
      <c r="K1551" t="str">
        <f>VLOOKUP(C1551,CheckName!A:B,2,0)</f>
        <v>Ref</v>
      </c>
      <c r="L1551">
        <v>0</v>
      </c>
      <c r="M1551">
        <f t="shared" ref="M1551:M1556" si="200">DAY(E1551)</f>
        <v>12</v>
      </c>
      <c r="N1551" t="str">
        <f>TEXT(MTDRejection[[#This Row],[RejectionDate]],"dddd")</f>
        <v>Thursday</v>
      </c>
    </row>
    <row r="1552" spans="1:14">
      <c r="A1552" t="s">
        <v>180</v>
      </c>
      <c r="B1552" t="s">
        <v>4139</v>
      </c>
      <c r="C1552" t="s">
        <v>125</v>
      </c>
      <c r="D1552" t="s">
        <v>38</v>
      </c>
      <c r="E1552" s="7">
        <v>45638</v>
      </c>
      <c r="F1552" t="s">
        <v>39</v>
      </c>
      <c r="G1552">
        <v>0</v>
      </c>
      <c r="H1552" t="s">
        <v>42</v>
      </c>
      <c r="I1552" t="s">
        <v>16</v>
      </c>
      <c r="J1552" t="s">
        <v>16</v>
      </c>
      <c r="K1552" t="str">
        <f>VLOOKUP(C1552,CheckName!A:B,2,0)</f>
        <v>Emp</v>
      </c>
      <c r="L1552">
        <v>0</v>
      </c>
      <c r="M1552">
        <f t="shared" si="200"/>
        <v>12</v>
      </c>
      <c r="N1552" t="str">
        <f>TEXT(MTDRejection[[#This Row],[RejectionDate]],"dddd")</f>
        <v>Thursday</v>
      </c>
    </row>
    <row r="1553" spans="1:14">
      <c r="A1553" t="s">
        <v>766</v>
      </c>
      <c r="B1553" t="s">
        <v>4140</v>
      </c>
      <c r="C1553" t="s">
        <v>125</v>
      </c>
      <c r="D1553" t="s">
        <v>38</v>
      </c>
      <c r="E1553" s="7">
        <v>45638</v>
      </c>
      <c r="F1553" t="s">
        <v>39</v>
      </c>
      <c r="G1553">
        <v>0</v>
      </c>
      <c r="H1553" t="s">
        <v>42</v>
      </c>
      <c r="I1553" t="s">
        <v>16</v>
      </c>
      <c r="J1553" t="s">
        <v>16</v>
      </c>
      <c r="K1553" t="str">
        <f>VLOOKUP(C1553,CheckName!A:B,2,0)</f>
        <v>Emp</v>
      </c>
      <c r="L1553">
        <v>0</v>
      </c>
      <c r="M1553">
        <f t="shared" si="200"/>
        <v>12</v>
      </c>
      <c r="N1553" t="str">
        <f>TEXT(MTDRejection[[#This Row],[RejectionDate]],"dddd")</f>
        <v>Thursday</v>
      </c>
    </row>
    <row r="1554" spans="1:14">
      <c r="A1554" t="s">
        <v>84</v>
      </c>
      <c r="B1554" t="s">
        <v>4141</v>
      </c>
      <c r="C1554" t="s">
        <v>112</v>
      </c>
      <c r="D1554" t="s">
        <v>38</v>
      </c>
      <c r="E1554" s="7">
        <v>45638</v>
      </c>
      <c r="F1554" t="s">
        <v>39</v>
      </c>
      <c r="G1554">
        <v>0</v>
      </c>
      <c r="H1554" t="s">
        <v>22</v>
      </c>
      <c r="I1554" t="s">
        <v>16</v>
      </c>
      <c r="J1554" t="s">
        <v>16</v>
      </c>
      <c r="K1554" t="str">
        <f>VLOOKUP(C1554,CheckName!A:B,2,0)</f>
        <v>Emp</v>
      </c>
      <c r="L1554">
        <v>0</v>
      </c>
      <c r="M1554">
        <f t="shared" si="200"/>
        <v>12</v>
      </c>
      <c r="N1554" t="str">
        <f>TEXT(MTDRejection[[#This Row],[RejectionDate]],"dddd")</f>
        <v>Thursday</v>
      </c>
    </row>
    <row r="1555" spans="1:14">
      <c r="A1555" t="s">
        <v>84</v>
      </c>
      <c r="B1555" t="s">
        <v>4142</v>
      </c>
      <c r="C1555" t="s">
        <v>125</v>
      </c>
      <c r="D1555" t="s">
        <v>38</v>
      </c>
      <c r="E1555" s="7">
        <v>45638</v>
      </c>
      <c r="F1555" t="s">
        <v>39</v>
      </c>
      <c r="G1555">
        <v>0</v>
      </c>
      <c r="H1555" t="s">
        <v>22</v>
      </c>
      <c r="I1555" t="s">
        <v>16</v>
      </c>
      <c r="J1555" t="s">
        <v>16</v>
      </c>
      <c r="K1555" t="str">
        <f>VLOOKUP(C1555,CheckName!A:B,2,0)</f>
        <v>Emp</v>
      </c>
      <c r="L1555">
        <v>0</v>
      </c>
      <c r="M1555">
        <f t="shared" si="200"/>
        <v>12</v>
      </c>
      <c r="N1555" t="str">
        <f>TEXT(MTDRejection[[#This Row],[RejectionDate]],"dddd")</f>
        <v>Thursday</v>
      </c>
    </row>
    <row r="1556" spans="1:14">
      <c r="A1556" t="s">
        <v>84</v>
      </c>
      <c r="B1556" t="s">
        <v>4143</v>
      </c>
      <c r="C1556" t="s">
        <v>36</v>
      </c>
      <c r="D1556" t="s">
        <v>38</v>
      </c>
      <c r="E1556" s="7">
        <v>45638</v>
      </c>
      <c r="F1556" t="s">
        <v>39</v>
      </c>
      <c r="G1556">
        <v>0</v>
      </c>
      <c r="H1556" t="s">
        <v>22</v>
      </c>
      <c r="I1556" t="s">
        <v>16</v>
      </c>
      <c r="J1556" t="s">
        <v>16</v>
      </c>
      <c r="K1556" t="str">
        <f>VLOOKUP(C1556,CheckName!A:B,2,0)</f>
        <v>Emp</v>
      </c>
      <c r="L1556">
        <v>0</v>
      </c>
      <c r="M1556">
        <f t="shared" si="200"/>
        <v>12</v>
      </c>
      <c r="N1556" t="str">
        <f>TEXT(MTDRejection[[#This Row],[RejectionDate]],"dddd")</f>
        <v>Thursday</v>
      </c>
    </row>
    <row r="1557" spans="1:14">
      <c r="A1557" t="s">
        <v>945</v>
      </c>
      <c r="B1557" t="s">
        <v>4144</v>
      </c>
      <c r="C1557" t="s">
        <v>25</v>
      </c>
      <c r="D1557" t="s">
        <v>20</v>
      </c>
      <c r="E1557" s="7">
        <v>45638</v>
      </c>
      <c r="F1557" t="s">
        <v>2330</v>
      </c>
      <c r="G1557">
        <v>0</v>
      </c>
      <c r="H1557" t="s">
        <v>22</v>
      </c>
      <c r="I1557" t="s">
        <v>16</v>
      </c>
      <c r="J1557" t="s">
        <v>16</v>
      </c>
      <c r="K1557" t="str">
        <f>VLOOKUP(C1557,CheckName!A:B,2,0)</f>
        <v>Add</v>
      </c>
      <c r="L1557">
        <v>0</v>
      </c>
      <c r="M1557">
        <f t="shared" ref="M1557:M1558" si="201">DAY(E1557)</f>
        <v>12</v>
      </c>
      <c r="N1557" t="str">
        <f>TEXT(MTDRejection[[#This Row],[RejectionDate]],"dddd")</f>
        <v>Thursday</v>
      </c>
    </row>
    <row r="1558" spans="1:14">
      <c r="A1558" t="s">
        <v>1570</v>
      </c>
      <c r="B1558" t="s">
        <v>4145</v>
      </c>
      <c r="C1558" t="s">
        <v>19</v>
      </c>
      <c r="D1558" t="s">
        <v>20</v>
      </c>
      <c r="E1558" s="7">
        <v>45638</v>
      </c>
      <c r="F1558" t="s">
        <v>2330</v>
      </c>
      <c r="G1558">
        <v>0</v>
      </c>
      <c r="H1558" t="s">
        <v>22</v>
      </c>
      <c r="I1558" t="s">
        <v>16</v>
      </c>
      <c r="J1558" t="s">
        <v>16</v>
      </c>
      <c r="K1558" t="str">
        <f>VLOOKUP(C1558,CheckName!A:B,2,0)</f>
        <v>Add</v>
      </c>
      <c r="L1558">
        <v>0</v>
      </c>
      <c r="M1558">
        <f t="shared" si="201"/>
        <v>12</v>
      </c>
      <c r="N1558" t="str">
        <f>TEXT(MTDRejection[[#This Row],[RejectionDate]],"dddd")</f>
        <v>Thursday</v>
      </c>
    </row>
    <row r="1559" spans="1:14">
      <c r="A1559" t="s">
        <v>469</v>
      </c>
      <c r="B1559" t="s">
        <v>4146</v>
      </c>
      <c r="C1559" t="s">
        <v>25</v>
      </c>
      <c r="D1559" t="s">
        <v>20</v>
      </c>
      <c r="E1559" s="7">
        <v>45638</v>
      </c>
      <c r="F1559" t="s">
        <v>2330</v>
      </c>
      <c r="G1559">
        <v>0</v>
      </c>
      <c r="H1559" t="s">
        <v>30</v>
      </c>
      <c r="I1559" t="s">
        <v>16</v>
      </c>
      <c r="J1559" t="s">
        <v>16</v>
      </c>
      <c r="K1559" t="str">
        <f>VLOOKUP(C1559,CheckName!A:B,2,0)</f>
        <v>Add</v>
      </c>
      <c r="L1559">
        <v>0</v>
      </c>
      <c r="M1559">
        <f>DAY(E1559)</f>
        <v>12</v>
      </c>
      <c r="N1559" t="str">
        <f>TEXT(MTDRejection[[#This Row],[RejectionDate]],"dddd")</f>
        <v>Thursday</v>
      </c>
    </row>
    <row r="1560" spans="1:14">
      <c r="A1560" t="s">
        <v>165</v>
      </c>
      <c r="B1560" t="s">
        <v>4147</v>
      </c>
      <c r="C1560" t="s">
        <v>19</v>
      </c>
      <c r="D1560" t="s">
        <v>20</v>
      </c>
      <c r="E1560" s="7">
        <v>45638</v>
      </c>
      <c r="F1560" t="s">
        <v>2330</v>
      </c>
      <c r="G1560">
        <v>0</v>
      </c>
      <c r="H1560" t="s">
        <v>22</v>
      </c>
      <c r="I1560" t="s">
        <v>16</v>
      </c>
      <c r="J1560" t="s">
        <v>16</v>
      </c>
      <c r="K1560" t="str">
        <f>VLOOKUP(C1560,CheckName!A:B,2,0)</f>
        <v>Add</v>
      </c>
      <c r="L1560">
        <v>0</v>
      </c>
      <c r="M1560">
        <f>DAY(E1560)</f>
        <v>12</v>
      </c>
      <c r="N1560" t="str">
        <f>TEXT(MTDRejection[[#This Row],[RejectionDate]],"dddd")</f>
        <v>Thursday</v>
      </c>
    </row>
    <row r="1561" spans="1:14">
      <c r="A1561" t="s">
        <v>510</v>
      </c>
      <c r="B1561" t="s">
        <v>4148</v>
      </c>
      <c r="C1561" t="s">
        <v>19</v>
      </c>
      <c r="D1561" t="s">
        <v>20</v>
      </c>
      <c r="E1561" s="7">
        <v>45638</v>
      </c>
      <c r="F1561" t="s">
        <v>2330</v>
      </c>
      <c r="G1561">
        <v>0</v>
      </c>
      <c r="H1561" t="s">
        <v>22</v>
      </c>
      <c r="I1561" t="s">
        <v>16</v>
      </c>
      <c r="J1561" t="s">
        <v>16</v>
      </c>
      <c r="K1561" t="str">
        <f>VLOOKUP(C1561,CheckName!A:B,2,0)</f>
        <v>Add</v>
      </c>
      <c r="L1561">
        <v>0</v>
      </c>
      <c r="M1561">
        <f t="shared" ref="M1561:M1563" si="202">DAY(E1561)</f>
        <v>12</v>
      </c>
      <c r="N1561" t="str">
        <f>TEXT(MTDRejection[[#This Row],[RejectionDate]],"dddd")</f>
        <v>Thursday</v>
      </c>
    </row>
    <row r="1562" spans="1:14">
      <c r="A1562" t="s">
        <v>47</v>
      </c>
      <c r="B1562" t="s">
        <v>2324</v>
      </c>
      <c r="C1562" t="s">
        <v>25</v>
      </c>
      <c r="D1562" t="s">
        <v>26</v>
      </c>
      <c r="E1562" s="7">
        <v>45638</v>
      </c>
      <c r="F1562" t="s">
        <v>66</v>
      </c>
      <c r="G1562">
        <v>0</v>
      </c>
      <c r="H1562" t="s">
        <v>27</v>
      </c>
      <c r="I1562" t="s">
        <v>16</v>
      </c>
      <c r="J1562" t="s">
        <v>16</v>
      </c>
      <c r="K1562" t="str">
        <f>VLOOKUP(C1562,CheckName!A:B,2,0)</f>
        <v>Add</v>
      </c>
      <c r="L1562">
        <v>0</v>
      </c>
      <c r="M1562">
        <f t="shared" si="202"/>
        <v>12</v>
      </c>
      <c r="N1562" t="str">
        <f>TEXT(MTDRejection[[#This Row],[RejectionDate]],"dddd")</f>
        <v>Thursday</v>
      </c>
    </row>
    <row r="1563" spans="1:14">
      <c r="A1563" t="s">
        <v>429</v>
      </c>
      <c r="B1563" t="s">
        <v>4149</v>
      </c>
      <c r="C1563" t="s">
        <v>25</v>
      </c>
      <c r="D1563" t="s">
        <v>20</v>
      </c>
      <c r="E1563" s="7">
        <v>45638</v>
      </c>
      <c r="F1563" t="s">
        <v>2330</v>
      </c>
      <c r="G1563">
        <v>0</v>
      </c>
      <c r="H1563" t="s">
        <v>30</v>
      </c>
      <c r="I1563" t="s">
        <v>16</v>
      </c>
      <c r="J1563" t="s">
        <v>16</v>
      </c>
      <c r="K1563" t="str">
        <f>VLOOKUP(C1563,CheckName!A:B,2,0)</f>
        <v>Add</v>
      </c>
      <c r="L1563">
        <v>0</v>
      </c>
      <c r="M1563">
        <f t="shared" si="202"/>
        <v>12</v>
      </c>
      <c r="N1563" t="str">
        <f>TEXT(MTDRejection[[#This Row],[RejectionDate]],"dddd")</f>
        <v>Thursday</v>
      </c>
    </row>
    <row r="1564" spans="1:14">
      <c r="A1564" t="s">
        <v>1584</v>
      </c>
      <c r="B1564" t="s">
        <v>2525</v>
      </c>
      <c r="C1564" t="s">
        <v>54</v>
      </c>
      <c r="D1564" t="s">
        <v>26</v>
      </c>
      <c r="E1564" s="7">
        <v>45638</v>
      </c>
      <c r="F1564" t="s">
        <v>2344</v>
      </c>
      <c r="G1564">
        <v>0</v>
      </c>
      <c r="H1564" t="s">
        <v>22</v>
      </c>
      <c r="I1564" t="s">
        <v>16</v>
      </c>
      <c r="J1564" t="s">
        <v>16</v>
      </c>
      <c r="K1564" t="str">
        <f>VLOOKUP(C1564,CheckName!A:B,2,0)</f>
        <v>Edu</v>
      </c>
      <c r="L1564">
        <v>0</v>
      </c>
      <c r="M1564">
        <f t="shared" ref="M1564:M1565" si="203">DAY(E1564)</f>
        <v>12</v>
      </c>
      <c r="N1564" t="str">
        <f>TEXT(MTDRejection[[#This Row],[RejectionDate]],"dddd")</f>
        <v>Thursday</v>
      </c>
    </row>
    <row r="1565" spans="1:14">
      <c r="A1565" t="s">
        <v>1455</v>
      </c>
      <c r="B1565" t="s">
        <v>4150</v>
      </c>
      <c r="C1565" t="s">
        <v>36</v>
      </c>
      <c r="D1565" t="s">
        <v>51</v>
      </c>
      <c r="E1565" s="7">
        <v>45638</v>
      </c>
      <c r="F1565" t="s">
        <v>2331</v>
      </c>
      <c r="G1565">
        <v>0</v>
      </c>
      <c r="H1565" t="s">
        <v>53</v>
      </c>
      <c r="I1565" t="s">
        <v>16</v>
      </c>
      <c r="J1565" t="s">
        <v>16</v>
      </c>
      <c r="K1565" t="str">
        <f>VLOOKUP(C1565,CheckName!A:B,2,0)</f>
        <v>Emp</v>
      </c>
      <c r="L1565">
        <v>0</v>
      </c>
      <c r="M1565">
        <f t="shared" si="203"/>
        <v>12</v>
      </c>
      <c r="N1565" t="str">
        <f>TEXT(MTDRejection[[#This Row],[RejectionDate]],"dddd")</f>
        <v>Thursday</v>
      </c>
    </row>
    <row r="1566" spans="1:14">
      <c r="A1566" t="s">
        <v>180</v>
      </c>
      <c r="B1566" t="s">
        <v>4151</v>
      </c>
      <c r="C1566" t="s">
        <v>54</v>
      </c>
      <c r="D1566" t="s">
        <v>26</v>
      </c>
      <c r="E1566" s="7">
        <v>45638</v>
      </c>
      <c r="F1566" t="s">
        <v>504</v>
      </c>
      <c r="G1566">
        <v>0</v>
      </c>
      <c r="H1566" t="s">
        <v>27</v>
      </c>
      <c r="I1566" t="s">
        <v>16</v>
      </c>
      <c r="J1566" t="s">
        <v>16</v>
      </c>
      <c r="K1566" t="str">
        <f>VLOOKUP(C1566,CheckName!A:B,2,0)</f>
        <v>Edu</v>
      </c>
      <c r="L1566">
        <v>0</v>
      </c>
      <c r="M1566">
        <f t="shared" ref="M1566:M1567" si="204">DAY(E1566)</f>
        <v>12</v>
      </c>
      <c r="N1566" t="str">
        <f>TEXT(MTDRejection[[#This Row],[RejectionDate]],"dddd")</f>
        <v>Thursday</v>
      </c>
    </row>
    <row r="1567" spans="1:14">
      <c r="A1567" t="s">
        <v>176</v>
      </c>
      <c r="B1567" t="s">
        <v>4152</v>
      </c>
      <c r="C1567" t="s">
        <v>54</v>
      </c>
      <c r="D1567" t="s">
        <v>26</v>
      </c>
      <c r="E1567" s="7">
        <v>45638</v>
      </c>
      <c r="F1567" t="s">
        <v>1825</v>
      </c>
      <c r="G1567">
        <v>0</v>
      </c>
      <c r="H1567" t="s">
        <v>22</v>
      </c>
      <c r="I1567" t="s">
        <v>16</v>
      </c>
      <c r="J1567" t="s">
        <v>16</v>
      </c>
      <c r="K1567" t="str">
        <f>VLOOKUP(C1567,CheckName!A:B,2,0)</f>
        <v>Edu</v>
      </c>
      <c r="L1567">
        <v>0</v>
      </c>
      <c r="M1567">
        <f t="shared" si="204"/>
        <v>12</v>
      </c>
      <c r="N1567" t="str">
        <f>TEXT(MTDRejection[[#This Row],[RejectionDate]],"dddd")</f>
        <v>Thursday</v>
      </c>
    </row>
    <row r="1568" spans="1:14">
      <c r="A1568" t="s">
        <v>160</v>
      </c>
      <c r="B1568" t="s">
        <v>4064</v>
      </c>
      <c r="C1568" t="s">
        <v>36</v>
      </c>
      <c r="D1568" t="s">
        <v>26</v>
      </c>
      <c r="E1568" s="7">
        <v>45638</v>
      </c>
      <c r="F1568" t="s">
        <v>277</v>
      </c>
      <c r="G1568">
        <v>0</v>
      </c>
      <c r="H1568" t="s">
        <v>22</v>
      </c>
      <c r="I1568" t="s">
        <v>16</v>
      </c>
      <c r="J1568" t="s">
        <v>16</v>
      </c>
      <c r="K1568" t="str">
        <f>VLOOKUP(C1568,CheckName!A:B,2,0)</f>
        <v>Emp</v>
      </c>
      <c r="L1568">
        <v>0</v>
      </c>
      <c r="M1568">
        <f>DAY(E1568)</f>
        <v>12</v>
      </c>
      <c r="N1568" t="str">
        <f>TEXT(MTDRejection[[#This Row],[RejectionDate]],"dddd")</f>
        <v>Thursday</v>
      </c>
    </row>
    <row r="1569" spans="1:14">
      <c r="A1569" t="s">
        <v>100</v>
      </c>
      <c r="B1569" t="s">
        <v>4153</v>
      </c>
      <c r="C1569" t="s">
        <v>359</v>
      </c>
      <c r="D1569" t="s">
        <v>26</v>
      </c>
      <c r="E1569" s="7">
        <v>45638</v>
      </c>
      <c r="F1569" t="s">
        <v>83</v>
      </c>
      <c r="G1569">
        <v>0</v>
      </c>
      <c r="H1569" t="s">
        <v>27</v>
      </c>
      <c r="I1569" t="s">
        <v>16</v>
      </c>
      <c r="J1569" t="s">
        <v>16</v>
      </c>
      <c r="K1569" t="str">
        <f>VLOOKUP(C1569,CheckName!A:B,2,0)</f>
        <v>Emp</v>
      </c>
      <c r="L1569">
        <v>0</v>
      </c>
      <c r="M1569">
        <f>DAY(E1569)</f>
        <v>12</v>
      </c>
      <c r="N1569" t="str">
        <f>TEXT(MTDRejection[[#This Row],[RejectionDate]],"dddd")</f>
        <v>Thursday</v>
      </c>
    </row>
    <row r="1570" spans="1:14">
      <c r="A1570" t="s">
        <v>100</v>
      </c>
      <c r="B1570" t="s">
        <v>4154</v>
      </c>
      <c r="C1570" t="s">
        <v>359</v>
      </c>
      <c r="D1570" t="s">
        <v>26</v>
      </c>
      <c r="E1570" s="7">
        <v>45638</v>
      </c>
      <c r="F1570" t="s">
        <v>380</v>
      </c>
      <c r="G1570">
        <v>0</v>
      </c>
      <c r="H1570" t="s">
        <v>27</v>
      </c>
      <c r="I1570" t="s">
        <v>16</v>
      </c>
      <c r="J1570" t="s">
        <v>16</v>
      </c>
      <c r="K1570" t="str">
        <f>VLOOKUP(C1570,CheckName!A:B,2,0)</f>
        <v>Emp</v>
      </c>
      <c r="L1570">
        <v>0</v>
      </c>
      <c r="M1570">
        <f>DAY(E1570)</f>
        <v>12</v>
      </c>
      <c r="N1570" t="str">
        <f>TEXT(MTDRejection[[#This Row],[RejectionDate]],"dddd")</f>
        <v>Thursday</v>
      </c>
    </row>
    <row r="1571" spans="1:14">
      <c r="A1571" t="s">
        <v>100</v>
      </c>
      <c r="B1571" t="s">
        <v>4155</v>
      </c>
      <c r="C1571" t="s">
        <v>1184</v>
      </c>
      <c r="D1571" t="s">
        <v>13</v>
      </c>
      <c r="E1571" s="7">
        <v>45638</v>
      </c>
      <c r="F1571" t="s">
        <v>2345</v>
      </c>
      <c r="G1571">
        <v>0</v>
      </c>
      <c r="H1571" t="s">
        <v>15</v>
      </c>
      <c r="I1571" t="s">
        <v>16</v>
      </c>
      <c r="J1571" t="s">
        <v>16</v>
      </c>
      <c r="K1571" t="str">
        <f>VLOOKUP(C1571,CheckName!A:B,2,0)</f>
        <v>Investigation</v>
      </c>
      <c r="L1571">
        <v>0</v>
      </c>
      <c r="M1571">
        <f t="shared" ref="M1571:M1572" si="205">DAY(E1571)</f>
        <v>12</v>
      </c>
      <c r="N1571" t="str">
        <f>TEXT(MTDRejection[[#This Row],[RejectionDate]],"dddd")</f>
        <v>Thursday</v>
      </c>
    </row>
    <row r="1572" spans="1:14">
      <c r="A1572" t="s">
        <v>165</v>
      </c>
      <c r="B1572" t="s">
        <v>4156</v>
      </c>
      <c r="C1572" t="s">
        <v>689</v>
      </c>
      <c r="D1572" t="s">
        <v>13</v>
      </c>
      <c r="E1572" s="7">
        <v>45638</v>
      </c>
      <c r="F1572" t="s">
        <v>530</v>
      </c>
      <c r="G1572">
        <v>0</v>
      </c>
      <c r="H1572" t="s">
        <v>15</v>
      </c>
      <c r="I1572" t="s">
        <v>16</v>
      </c>
      <c r="J1572" t="s">
        <v>16</v>
      </c>
      <c r="K1572" t="str">
        <f>VLOOKUP(C1572,CheckName!A:B,2,0)</f>
        <v>Special Check</v>
      </c>
      <c r="L1572">
        <v>0</v>
      </c>
      <c r="M1572">
        <f t="shared" si="205"/>
        <v>12</v>
      </c>
      <c r="N1572" t="str">
        <f>TEXT(MTDRejection[[#This Row],[RejectionDate]],"dddd")</f>
        <v>Thursday</v>
      </c>
    </row>
    <row r="1573" spans="1:14">
      <c r="A1573" t="s">
        <v>69</v>
      </c>
      <c r="B1573" t="s">
        <v>4157</v>
      </c>
      <c r="C1573" t="s">
        <v>54</v>
      </c>
      <c r="D1573" t="s">
        <v>13</v>
      </c>
      <c r="E1573" s="7">
        <v>45638</v>
      </c>
      <c r="F1573" t="s">
        <v>530</v>
      </c>
      <c r="G1573">
        <v>0</v>
      </c>
      <c r="H1573" t="s">
        <v>15</v>
      </c>
      <c r="I1573" t="s">
        <v>16</v>
      </c>
      <c r="J1573" t="s">
        <v>16</v>
      </c>
      <c r="K1573" t="str">
        <f>VLOOKUP(C1573,CheckName!A:B,2,0)</f>
        <v>Edu</v>
      </c>
      <c r="L1573">
        <v>0</v>
      </c>
      <c r="M1573">
        <f t="shared" ref="M1573:M1575" si="206">DAY(E1573)</f>
        <v>12</v>
      </c>
      <c r="N1573" t="str">
        <f>TEXT(MTDRejection[[#This Row],[RejectionDate]],"dddd")</f>
        <v>Thursday</v>
      </c>
    </row>
    <row r="1574" spans="1:14">
      <c r="A1574" t="s">
        <v>306</v>
      </c>
      <c r="B1574" t="s">
        <v>4158</v>
      </c>
      <c r="C1574" t="s">
        <v>25</v>
      </c>
      <c r="D1574" t="s">
        <v>13</v>
      </c>
      <c r="E1574" s="7">
        <v>45638</v>
      </c>
      <c r="F1574" t="s">
        <v>844</v>
      </c>
      <c r="G1574">
        <v>0</v>
      </c>
      <c r="H1574" t="s">
        <v>15</v>
      </c>
      <c r="I1574" t="s">
        <v>16</v>
      </c>
      <c r="J1574" t="s">
        <v>16</v>
      </c>
      <c r="K1574" t="str">
        <f>VLOOKUP(C1574,CheckName!A:B,2,0)</f>
        <v>Add</v>
      </c>
      <c r="L1574">
        <v>0</v>
      </c>
      <c r="M1574">
        <f t="shared" si="206"/>
        <v>12</v>
      </c>
      <c r="N1574" t="str">
        <f>TEXT(MTDRejection[[#This Row],[RejectionDate]],"dddd")</f>
        <v>Thursday</v>
      </c>
    </row>
    <row r="1575" spans="1:14">
      <c r="A1575" t="s">
        <v>306</v>
      </c>
      <c r="B1575" t="s">
        <v>4159</v>
      </c>
      <c r="C1575" t="s">
        <v>19</v>
      </c>
      <c r="D1575" t="s">
        <v>13</v>
      </c>
      <c r="E1575" s="7">
        <v>45638</v>
      </c>
      <c r="F1575" t="s">
        <v>844</v>
      </c>
      <c r="G1575">
        <v>0</v>
      </c>
      <c r="H1575" t="s">
        <v>15</v>
      </c>
      <c r="I1575" t="s">
        <v>16</v>
      </c>
      <c r="J1575" t="s">
        <v>16</v>
      </c>
      <c r="K1575" t="str">
        <f>VLOOKUP(C1575,CheckName!A:B,2,0)</f>
        <v>Add</v>
      </c>
      <c r="L1575">
        <v>0</v>
      </c>
      <c r="M1575">
        <f t="shared" si="206"/>
        <v>12</v>
      </c>
      <c r="N1575" t="str">
        <f>TEXT(MTDRejection[[#This Row],[RejectionDate]],"dddd")</f>
        <v>Thursday</v>
      </c>
    </row>
    <row r="1576" spans="1:14">
      <c r="A1576" t="s">
        <v>69</v>
      </c>
      <c r="B1576" t="s">
        <v>2375</v>
      </c>
      <c r="C1576" t="s">
        <v>36</v>
      </c>
      <c r="D1576" t="s">
        <v>26</v>
      </c>
      <c r="E1576" s="7">
        <v>45638</v>
      </c>
      <c r="F1576" t="s">
        <v>311</v>
      </c>
      <c r="G1576">
        <v>0</v>
      </c>
      <c r="H1576" t="s">
        <v>27</v>
      </c>
      <c r="I1576" t="s">
        <v>16</v>
      </c>
      <c r="J1576" t="s">
        <v>16</v>
      </c>
      <c r="K1576" t="str">
        <f>VLOOKUP(C1576,CheckName!A:B,2,0)</f>
        <v>Emp</v>
      </c>
      <c r="L1576">
        <v>0</v>
      </c>
      <c r="M1576">
        <f>DAY(E1576)</f>
        <v>12</v>
      </c>
      <c r="N1576" t="str">
        <f>TEXT(MTDRejection[[#This Row],[RejectionDate]],"dddd")</f>
        <v>Thursday</v>
      </c>
    </row>
    <row r="1577" spans="1:14">
      <c r="A1577" t="s">
        <v>517</v>
      </c>
      <c r="B1577" t="s">
        <v>4160</v>
      </c>
      <c r="C1577" t="s">
        <v>36</v>
      </c>
      <c r="D1577" t="s">
        <v>13</v>
      </c>
      <c r="E1577" s="7">
        <v>45638</v>
      </c>
      <c r="F1577" t="s">
        <v>819</v>
      </c>
      <c r="G1577">
        <v>0</v>
      </c>
      <c r="H1577" t="s">
        <v>15</v>
      </c>
      <c r="I1577" t="s">
        <v>16</v>
      </c>
      <c r="J1577" t="s">
        <v>16</v>
      </c>
      <c r="K1577" t="str">
        <f>VLOOKUP(C1577,CheckName!A:B,2,0)</f>
        <v>Emp</v>
      </c>
      <c r="L1577">
        <v>0</v>
      </c>
      <c r="M1577">
        <f t="shared" ref="M1577:M1580" si="207">DAY(E1577)</f>
        <v>12</v>
      </c>
      <c r="N1577" t="str">
        <f>TEXT(MTDRejection[[#This Row],[RejectionDate]],"dddd")</f>
        <v>Thursday</v>
      </c>
    </row>
    <row r="1578" spans="1:14">
      <c r="A1578" t="s">
        <v>996</v>
      </c>
      <c r="B1578" t="s">
        <v>2527</v>
      </c>
      <c r="C1578" t="s">
        <v>106</v>
      </c>
      <c r="D1578" t="s">
        <v>26</v>
      </c>
      <c r="E1578" s="7">
        <v>45638</v>
      </c>
      <c r="F1578" t="s">
        <v>294</v>
      </c>
      <c r="G1578">
        <v>0</v>
      </c>
      <c r="H1578" t="s">
        <v>27</v>
      </c>
      <c r="I1578" t="s">
        <v>16</v>
      </c>
      <c r="J1578" t="s">
        <v>16</v>
      </c>
      <c r="K1578" t="str">
        <f>VLOOKUP(C1578,CheckName!A:B,2,0)</f>
        <v>Ref</v>
      </c>
      <c r="L1578">
        <v>0</v>
      </c>
      <c r="M1578">
        <f t="shared" si="207"/>
        <v>12</v>
      </c>
      <c r="N1578" t="str">
        <f>TEXT(MTDRejection[[#This Row],[RejectionDate]],"dddd")</f>
        <v>Thursday</v>
      </c>
    </row>
    <row r="1579" spans="1:14">
      <c r="A1579" t="s">
        <v>996</v>
      </c>
      <c r="B1579" t="s">
        <v>4161</v>
      </c>
      <c r="C1579" t="s">
        <v>106</v>
      </c>
      <c r="D1579" t="s">
        <v>26</v>
      </c>
      <c r="E1579" s="7">
        <v>45638</v>
      </c>
      <c r="F1579" t="s">
        <v>294</v>
      </c>
      <c r="G1579">
        <v>0</v>
      </c>
      <c r="H1579" t="s">
        <v>27</v>
      </c>
      <c r="I1579" t="s">
        <v>16</v>
      </c>
      <c r="J1579" t="s">
        <v>16</v>
      </c>
      <c r="K1579" t="str">
        <f>VLOOKUP(C1579,CheckName!A:B,2,0)</f>
        <v>Ref</v>
      </c>
      <c r="L1579">
        <v>0</v>
      </c>
      <c r="M1579">
        <f t="shared" si="207"/>
        <v>12</v>
      </c>
      <c r="N1579" t="str">
        <f>TEXT(MTDRejection[[#This Row],[RejectionDate]],"dddd")</f>
        <v>Thursday</v>
      </c>
    </row>
    <row r="1580" spans="1:14">
      <c r="A1580" t="s">
        <v>413</v>
      </c>
      <c r="B1580" t="s">
        <v>4162</v>
      </c>
      <c r="C1580" t="s">
        <v>12</v>
      </c>
      <c r="D1580" t="s">
        <v>26</v>
      </c>
      <c r="E1580" s="7">
        <v>45638</v>
      </c>
      <c r="F1580" t="s">
        <v>2335</v>
      </c>
      <c r="G1580">
        <v>0</v>
      </c>
      <c r="H1580" t="s">
        <v>27</v>
      </c>
      <c r="I1580" t="s">
        <v>16</v>
      </c>
      <c r="J1580" t="s">
        <v>16</v>
      </c>
      <c r="K1580" t="str">
        <f>VLOOKUP(C1580,CheckName!A:B,2,0)</f>
        <v>Emp</v>
      </c>
      <c r="L1580">
        <v>0</v>
      </c>
      <c r="M1580">
        <f t="shared" si="207"/>
        <v>12</v>
      </c>
      <c r="N1580" t="str">
        <f>TEXT(MTDRejection[[#This Row],[RejectionDate]],"dddd")</f>
        <v>Thursday</v>
      </c>
    </row>
    <row r="1581" spans="1:14">
      <c r="A1581" t="s">
        <v>1358</v>
      </c>
      <c r="B1581" t="s">
        <v>4163</v>
      </c>
      <c r="C1581" t="s">
        <v>54</v>
      </c>
      <c r="D1581" t="s">
        <v>13</v>
      </c>
      <c r="E1581" s="7">
        <v>45638</v>
      </c>
      <c r="F1581" t="s">
        <v>540</v>
      </c>
      <c r="G1581">
        <v>0</v>
      </c>
      <c r="H1581" t="s">
        <v>15</v>
      </c>
      <c r="I1581" t="s">
        <v>16</v>
      </c>
      <c r="J1581" t="s">
        <v>16</v>
      </c>
      <c r="K1581" t="str">
        <f>VLOOKUP(C1581,CheckName!A:B,2,0)</f>
        <v>Edu</v>
      </c>
      <c r="L1581">
        <v>0</v>
      </c>
      <c r="M1581">
        <f t="shared" ref="M1581:M1582" si="208">DAY(E1581)</f>
        <v>12</v>
      </c>
      <c r="N1581" t="str">
        <f>TEXT(MTDRejection[[#This Row],[RejectionDate]],"dddd")</f>
        <v>Thursday</v>
      </c>
    </row>
    <row r="1582" spans="1:14">
      <c r="A1582" t="s">
        <v>1879</v>
      </c>
      <c r="B1582" t="s">
        <v>4164</v>
      </c>
      <c r="C1582" t="s">
        <v>1687</v>
      </c>
      <c r="D1582" t="s">
        <v>26</v>
      </c>
      <c r="E1582" s="7">
        <v>45638</v>
      </c>
      <c r="F1582" t="s">
        <v>118</v>
      </c>
      <c r="G1582">
        <v>0</v>
      </c>
      <c r="H1582" t="s">
        <v>27</v>
      </c>
      <c r="I1582" t="s">
        <v>16</v>
      </c>
      <c r="J1582" t="s">
        <v>16</v>
      </c>
      <c r="K1582" t="str">
        <f>VLOOKUP(C1582,CheckName!A:B,2,0)</f>
        <v>CRC</v>
      </c>
      <c r="L1582">
        <v>0</v>
      </c>
      <c r="M1582">
        <f t="shared" si="208"/>
        <v>12</v>
      </c>
      <c r="N1582" t="str">
        <f>TEXT(MTDRejection[[#This Row],[RejectionDate]],"dddd")</f>
        <v>Thursday</v>
      </c>
    </row>
    <row r="1583" spans="1:14">
      <c r="A1583" t="s">
        <v>1879</v>
      </c>
      <c r="B1583" t="s">
        <v>4165</v>
      </c>
      <c r="C1583" t="s">
        <v>1686</v>
      </c>
      <c r="D1583" t="s">
        <v>26</v>
      </c>
      <c r="E1583" s="7">
        <v>45638</v>
      </c>
      <c r="F1583" t="s">
        <v>118</v>
      </c>
      <c r="G1583">
        <v>0</v>
      </c>
      <c r="H1583" t="s">
        <v>27</v>
      </c>
      <c r="I1583" t="s">
        <v>16</v>
      </c>
      <c r="J1583" t="s">
        <v>16</v>
      </c>
      <c r="K1583" t="str">
        <f>VLOOKUP(C1583,CheckName!A:B,2,0)</f>
        <v>CRC</v>
      </c>
      <c r="L1583">
        <v>0</v>
      </c>
      <c r="M1583">
        <f>DAY(E1583)</f>
        <v>12</v>
      </c>
      <c r="N1583" t="str">
        <f>TEXT(MTDRejection[[#This Row],[RejectionDate]],"dddd")</f>
        <v>Thursday</v>
      </c>
    </row>
    <row r="1584" spans="1:14">
      <c r="A1584" t="s">
        <v>671</v>
      </c>
      <c r="B1584" t="s">
        <v>4166</v>
      </c>
      <c r="C1584" t="s">
        <v>59</v>
      </c>
      <c r="D1584" t="s">
        <v>38</v>
      </c>
      <c r="E1584" s="7">
        <v>45638</v>
      </c>
      <c r="F1584" t="s">
        <v>118</v>
      </c>
      <c r="G1584">
        <v>0</v>
      </c>
      <c r="H1584" t="s">
        <v>42</v>
      </c>
      <c r="I1584" t="s">
        <v>16</v>
      </c>
      <c r="J1584" t="s">
        <v>16</v>
      </c>
      <c r="K1584" t="str">
        <f>VLOOKUP(C1584,CheckName!A:B,2,0)</f>
        <v>Special Check</v>
      </c>
      <c r="L1584">
        <v>0</v>
      </c>
      <c r="M1584">
        <f t="shared" ref="M1584:M1586" si="209">DAY(E1584)</f>
        <v>12</v>
      </c>
      <c r="N1584" t="str">
        <f>TEXT(MTDRejection[[#This Row],[RejectionDate]],"dddd")</f>
        <v>Thursday</v>
      </c>
    </row>
    <row r="1585" spans="1:14">
      <c r="A1585" t="s">
        <v>306</v>
      </c>
      <c r="B1585" t="s">
        <v>4167</v>
      </c>
      <c r="C1585" t="s">
        <v>19</v>
      </c>
      <c r="D1585" t="s">
        <v>13</v>
      </c>
      <c r="E1585" s="7">
        <v>45638</v>
      </c>
      <c r="F1585" t="s">
        <v>1013</v>
      </c>
      <c r="G1585">
        <v>0</v>
      </c>
      <c r="H1585" t="s">
        <v>30</v>
      </c>
      <c r="I1585" t="s">
        <v>16</v>
      </c>
      <c r="J1585" t="s">
        <v>16</v>
      </c>
      <c r="K1585" t="str">
        <f>VLOOKUP(C1585,CheckName!A:B,2,0)</f>
        <v>Add</v>
      </c>
      <c r="L1585">
        <v>0</v>
      </c>
      <c r="M1585">
        <f t="shared" si="209"/>
        <v>12</v>
      </c>
      <c r="N1585" t="str">
        <f>TEXT(MTDRejection[[#This Row],[RejectionDate]],"dddd")</f>
        <v>Thursday</v>
      </c>
    </row>
    <row r="1586" spans="1:14">
      <c r="A1586" t="s">
        <v>306</v>
      </c>
      <c r="B1586" t="s">
        <v>4159</v>
      </c>
      <c r="C1586" t="s">
        <v>1103</v>
      </c>
      <c r="D1586" t="s">
        <v>13</v>
      </c>
      <c r="E1586" s="7">
        <v>45638</v>
      </c>
      <c r="F1586" t="s">
        <v>1013</v>
      </c>
      <c r="G1586">
        <v>0</v>
      </c>
      <c r="H1586" t="s">
        <v>30</v>
      </c>
      <c r="I1586" t="s">
        <v>16</v>
      </c>
      <c r="J1586" t="s">
        <v>16</v>
      </c>
      <c r="K1586" t="str">
        <f>VLOOKUP(C1586,CheckName!A:B,2,0)</f>
        <v>CRC</v>
      </c>
      <c r="L1586">
        <v>0</v>
      </c>
      <c r="M1586">
        <f t="shared" si="209"/>
        <v>12</v>
      </c>
      <c r="N1586" t="str">
        <f>TEXT(MTDRejection[[#This Row],[RejectionDate]],"dddd")</f>
        <v>Thursday</v>
      </c>
    </row>
    <row r="1587" spans="1:14">
      <c r="A1587" t="s">
        <v>312</v>
      </c>
      <c r="B1587" t="s">
        <v>4168</v>
      </c>
      <c r="C1587" t="s">
        <v>12</v>
      </c>
      <c r="D1587" t="s">
        <v>38</v>
      </c>
      <c r="E1587" s="7">
        <v>45635</v>
      </c>
      <c r="F1587" t="s">
        <v>39</v>
      </c>
      <c r="G1587">
        <v>3</v>
      </c>
      <c r="H1587" t="s">
        <v>42</v>
      </c>
      <c r="I1587" t="s">
        <v>16</v>
      </c>
      <c r="J1587" t="s">
        <v>16</v>
      </c>
      <c r="K1587" t="str">
        <f>VLOOKUP(C1587,CheckName!A:B,2,0)</f>
        <v>Emp</v>
      </c>
      <c r="L1587">
        <v>0</v>
      </c>
      <c r="M1587">
        <f>DAY(E1587)</f>
        <v>9</v>
      </c>
      <c r="N1587" t="str">
        <f>TEXT(MTDRejection[[#This Row],[RejectionDate]],"dddd")</f>
        <v>Monday</v>
      </c>
    </row>
    <row r="1588" spans="1:14">
      <c r="A1588" t="s">
        <v>306</v>
      </c>
      <c r="B1588" t="s">
        <v>4169</v>
      </c>
      <c r="C1588" t="s">
        <v>25</v>
      </c>
      <c r="D1588" t="s">
        <v>51</v>
      </c>
      <c r="E1588" s="7">
        <v>45639</v>
      </c>
      <c r="F1588" t="s">
        <v>555</v>
      </c>
      <c r="G1588">
        <v>0</v>
      </c>
      <c r="H1588" t="s">
        <v>53</v>
      </c>
      <c r="I1588" t="s">
        <v>16</v>
      </c>
      <c r="J1588" t="s">
        <v>16</v>
      </c>
      <c r="K1588" t="str">
        <f>VLOOKUP(C1588,CheckName!A:B,2,0)</f>
        <v>Add</v>
      </c>
      <c r="L1588">
        <v>0</v>
      </c>
      <c r="M1588">
        <f t="shared" ref="M1588" si="210">DAY(E1588)</f>
        <v>13</v>
      </c>
      <c r="N1588" t="str">
        <f>TEXT(MTDRejection[[#This Row],[RejectionDate]],"dddd")</f>
        <v>Friday</v>
      </c>
    </row>
    <row r="1589" spans="1:14">
      <c r="A1589" t="s">
        <v>1552</v>
      </c>
      <c r="B1589" t="s">
        <v>4170</v>
      </c>
      <c r="C1589" t="s">
        <v>25</v>
      </c>
      <c r="D1589" t="s">
        <v>51</v>
      </c>
      <c r="E1589" s="7">
        <v>45639</v>
      </c>
      <c r="F1589" t="s">
        <v>52</v>
      </c>
      <c r="G1589">
        <v>0</v>
      </c>
      <c r="H1589" t="s">
        <v>53</v>
      </c>
      <c r="I1589" t="s">
        <v>16</v>
      </c>
      <c r="J1589" t="s">
        <v>16</v>
      </c>
      <c r="K1589" t="str">
        <f>VLOOKUP(C1589,CheckName!A:B,2,0)</f>
        <v>Add</v>
      </c>
      <c r="L1589">
        <v>0</v>
      </c>
      <c r="M1589">
        <f t="shared" ref="M1589:M1594" si="211">DAY(E1589)</f>
        <v>13</v>
      </c>
      <c r="N1589" t="str">
        <f>TEXT(MTDRejection[[#This Row],[RejectionDate]],"dddd")</f>
        <v>Friday</v>
      </c>
    </row>
    <row r="1590" spans="1:14">
      <c r="A1590" t="s">
        <v>362</v>
      </c>
      <c r="B1590" t="s">
        <v>2528</v>
      </c>
      <c r="C1590" t="s">
        <v>25</v>
      </c>
      <c r="D1590" t="s">
        <v>26</v>
      </c>
      <c r="E1590" s="7">
        <v>45639</v>
      </c>
      <c r="F1590" t="s">
        <v>66</v>
      </c>
      <c r="G1590">
        <v>0</v>
      </c>
      <c r="H1590" t="s">
        <v>30</v>
      </c>
      <c r="I1590" t="s">
        <v>16</v>
      </c>
      <c r="J1590" t="s">
        <v>16</v>
      </c>
      <c r="K1590" t="str">
        <f>VLOOKUP(C1590,CheckName!A:B,2,0)</f>
        <v>Add</v>
      </c>
      <c r="L1590">
        <v>0</v>
      </c>
      <c r="M1590">
        <f t="shared" si="211"/>
        <v>13</v>
      </c>
      <c r="N1590" t="str">
        <f>TEXT(MTDRejection[[#This Row],[RejectionDate]],"dddd")</f>
        <v>Friday</v>
      </c>
    </row>
    <row r="1591" spans="1:14">
      <c r="A1591" t="s">
        <v>84</v>
      </c>
      <c r="B1591" t="s">
        <v>4171</v>
      </c>
      <c r="C1591" t="s">
        <v>36</v>
      </c>
      <c r="D1591" t="s">
        <v>26</v>
      </c>
      <c r="E1591" s="7">
        <v>45639</v>
      </c>
      <c r="F1591" t="s">
        <v>83</v>
      </c>
      <c r="G1591">
        <v>0</v>
      </c>
      <c r="H1591" t="s">
        <v>22</v>
      </c>
      <c r="I1591" t="s">
        <v>16</v>
      </c>
      <c r="J1591" t="s">
        <v>16</v>
      </c>
      <c r="K1591" t="str">
        <f>VLOOKUP(C1591,CheckName!A:B,2,0)</f>
        <v>Emp</v>
      </c>
      <c r="L1591">
        <v>0</v>
      </c>
      <c r="M1591">
        <f t="shared" si="211"/>
        <v>13</v>
      </c>
      <c r="N1591" t="str">
        <f>TEXT(MTDRejection[[#This Row],[RejectionDate]],"dddd")</f>
        <v>Friday</v>
      </c>
    </row>
    <row r="1592" spans="1:14">
      <c r="A1592" t="s">
        <v>288</v>
      </c>
      <c r="B1592" t="s">
        <v>4172</v>
      </c>
      <c r="C1592" t="s">
        <v>36</v>
      </c>
      <c r="D1592" t="s">
        <v>26</v>
      </c>
      <c r="E1592" s="7">
        <v>45639</v>
      </c>
      <c r="F1592" t="s">
        <v>721</v>
      </c>
      <c r="G1592">
        <v>0</v>
      </c>
      <c r="H1592" t="s">
        <v>27</v>
      </c>
      <c r="I1592" t="s">
        <v>16</v>
      </c>
      <c r="J1592" t="s">
        <v>16</v>
      </c>
      <c r="K1592" t="str">
        <f>VLOOKUP(C1592,CheckName!A:B,2,0)</f>
        <v>Emp</v>
      </c>
      <c r="L1592">
        <v>0</v>
      </c>
      <c r="M1592">
        <f t="shared" si="211"/>
        <v>13</v>
      </c>
      <c r="N1592" t="str">
        <f>TEXT(MTDRejection[[#This Row],[RejectionDate]],"dddd")</f>
        <v>Friday</v>
      </c>
    </row>
    <row r="1593" spans="1:14">
      <c r="A1593" t="s">
        <v>84</v>
      </c>
      <c r="B1593" t="s">
        <v>4173</v>
      </c>
      <c r="C1593" t="s">
        <v>36</v>
      </c>
      <c r="D1593" t="s">
        <v>26</v>
      </c>
      <c r="E1593" s="7">
        <v>45639</v>
      </c>
      <c r="F1593" t="s">
        <v>2333</v>
      </c>
      <c r="G1593">
        <v>0</v>
      </c>
      <c r="H1593" t="s">
        <v>27</v>
      </c>
      <c r="I1593" t="s">
        <v>16</v>
      </c>
      <c r="J1593" t="s">
        <v>16</v>
      </c>
      <c r="K1593" t="str">
        <f>VLOOKUP(C1593,CheckName!A:B,2,0)</f>
        <v>Emp</v>
      </c>
      <c r="L1593">
        <v>0</v>
      </c>
      <c r="M1593">
        <f t="shared" si="211"/>
        <v>13</v>
      </c>
      <c r="N1593" t="str">
        <f>TEXT(MTDRejection[[#This Row],[RejectionDate]],"dddd")</f>
        <v>Friday</v>
      </c>
    </row>
    <row r="1594" spans="1:14">
      <c r="A1594" t="s">
        <v>84</v>
      </c>
      <c r="B1594" t="s">
        <v>4174</v>
      </c>
      <c r="C1594" t="s">
        <v>36</v>
      </c>
      <c r="D1594" t="s">
        <v>26</v>
      </c>
      <c r="E1594" s="7">
        <v>45639</v>
      </c>
      <c r="F1594" t="s">
        <v>2333</v>
      </c>
      <c r="G1594">
        <v>0</v>
      </c>
      <c r="H1594" t="s">
        <v>22</v>
      </c>
      <c r="I1594" t="s">
        <v>16</v>
      </c>
      <c r="J1594" t="s">
        <v>16</v>
      </c>
      <c r="K1594" t="str">
        <f>VLOOKUP(C1594,CheckName!A:B,2,0)</f>
        <v>Emp</v>
      </c>
      <c r="L1594">
        <v>0</v>
      </c>
      <c r="M1594">
        <f t="shared" si="211"/>
        <v>13</v>
      </c>
      <c r="N1594" t="str">
        <f>TEXT(MTDRejection[[#This Row],[RejectionDate]],"dddd")</f>
        <v>Friday</v>
      </c>
    </row>
    <row r="1595" spans="1:14">
      <c r="A1595" t="s">
        <v>180</v>
      </c>
      <c r="B1595" t="s">
        <v>2526</v>
      </c>
      <c r="C1595" t="s">
        <v>125</v>
      </c>
      <c r="D1595" t="s">
        <v>26</v>
      </c>
      <c r="E1595" s="7">
        <v>45638</v>
      </c>
      <c r="F1595" t="s">
        <v>675</v>
      </c>
      <c r="G1595">
        <v>1</v>
      </c>
      <c r="H1595" t="s">
        <v>27</v>
      </c>
      <c r="I1595" t="s">
        <v>16</v>
      </c>
      <c r="J1595" t="s">
        <v>16</v>
      </c>
      <c r="K1595" t="str">
        <f>VLOOKUP(C1595,CheckName!A:B,2,0)</f>
        <v>Emp</v>
      </c>
      <c r="L1595">
        <v>0</v>
      </c>
      <c r="M1595">
        <f>DAY(E1595)</f>
        <v>12</v>
      </c>
      <c r="N1595" t="str">
        <f>TEXT(MTDRejection[[#This Row],[RejectionDate]],"dddd")</f>
        <v>Thursday</v>
      </c>
    </row>
    <row r="1596" spans="1:14">
      <c r="A1596" t="s">
        <v>682</v>
      </c>
      <c r="B1596" t="s">
        <v>4175</v>
      </c>
      <c r="C1596" t="s">
        <v>125</v>
      </c>
      <c r="D1596" t="s">
        <v>26</v>
      </c>
      <c r="E1596" s="7">
        <v>45637</v>
      </c>
      <c r="F1596" t="s">
        <v>37</v>
      </c>
      <c r="G1596">
        <v>2</v>
      </c>
      <c r="H1596" t="s">
        <v>27</v>
      </c>
      <c r="I1596" t="s">
        <v>16</v>
      </c>
      <c r="J1596" t="s">
        <v>16</v>
      </c>
      <c r="K1596" t="str">
        <f>VLOOKUP(C1596,CheckName!A:B,2,0)</f>
        <v>Emp</v>
      </c>
      <c r="L1596">
        <v>0</v>
      </c>
      <c r="M1596">
        <f>DAY(E1596)</f>
        <v>11</v>
      </c>
      <c r="N1596" t="str">
        <f>TEXT(MTDRejection[[#This Row],[RejectionDate]],"dddd")</f>
        <v>Wednesday</v>
      </c>
    </row>
    <row r="1597" spans="1:14">
      <c r="A1597" t="s">
        <v>160</v>
      </c>
      <c r="B1597" t="s">
        <v>4176</v>
      </c>
      <c r="C1597" t="s">
        <v>19</v>
      </c>
      <c r="D1597" t="s">
        <v>20</v>
      </c>
      <c r="E1597" s="7">
        <v>45639</v>
      </c>
      <c r="F1597" t="s">
        <v>2327</v>
      </c>
      <c r="G1597">
        <v>0</v>
      </c>
      <c r="H1597" t="s">
        <v>27</v>
      </c>
      <c r="I1597" t="s">
        <v>16</v>
      </c>
      <c r="J1597" t="s">
        <v>16</v>
      </c>
      <c r="K1597" t="str">
        <f>VLOOKUP(C1597,CheckName!A:B,2,0)</f>
        <v>Add</v>
      </c>
      <c r="L1597">
        <v>0</v>
      </c>
      <c r="M1597">
        <f t="shared" ref="M1597:M1598" si="212">DAY(E1597)</f>
        <v>13</v>
      </c>
      <c r="N1597" t="str">
        <f>TEXT(MTDRejection[[#This Row],[RejectionDate]],"dddd")</f>
        <v>Friday</v>
      </c>
    </row>
    <row r="1598" spans="1:14">
      <c r="A1598" t="s">
        <v>160</v>
      </c>
      <c r="B1598" t="s">
        <v>4177</v>
      </c>
      <c r="C1598" t="s">
        <v>19</v>
      </c>
      <c r="D1598" t="s">
        <v>20</v>
      </c>
      <c r="E1598" s="7">
        <v>45639</v>
      </c>
      <c r="F1598" t="s">
        <v>2327</v>
      </c>
      <c r="G1598">
        <v>0</v>
      </c>
      <c r="H1598" t="s">
        <v>22</v>
      </c>
      <c r="I1598" t="s">
        <v>16</v>
      </c>
      <c r="J1598" t="s">
        <v>16</v>
      </c>
      <c r="K1598" t="str">
        <f>VLOOKUP(C1598,CheckName!A:B,2,0)</f>
        <v>Add</v>
      </c>
      <c r="L1598">
        <v>0</v>
      </c>
      <c r="M1598">
        <f t="shared" si="212"/>
        <v>13</v>
      </c>
      <c r="N1598" t="str">
        <f>TEXT(MTDRejection[[#This Row],[RejectionDate]],"dddd")</f>
        <v>Friday</v>
      </c>
    </row>
    <row r="1599" spans="1:14">
      <c r="A1599" t="s">
        <v>64</v>
      </c>
      <c r="B1599" t="s">
        <v>4178</v>
      </c>
      <c r="C1599" t="s">
        <v>25</v>
      </c>
      <c r="D1599" t="s">
        <v>26</v>
      </c>
      <c r="E1599" s="7">
        <v>45639</v>
      </c>
      <c r="F1599" t="s">
        <v>66</v>
      </c>
      <c r="G1599">
        <v>0</v>
      </c>
      <c r="H1599" t="s">
        <v>27</v>
      </c>
      <c r="I1599" t="s">
        <v>16</v>
      </c>
      <c r="J1599" t="s">
        <v>16</v>
      </c>
      <c r="K1599" t="str">
        <f>VLOOKUP(C1599,CheckName!A:B,2,0)</f>
        <v>Add</v>
      </c>
      <c r="L1599">
        <v>0</v>
      </c>
      <c r="M1599">
        <f>DAY(E1599)</f>
        <v>13</v>
      </c>
      <c r="N1599" t="str">
        <f>TEXT(MTDRejection[[#This Row],[RejectionDate]],"dddd")</f>
        <v>Friday</v>
      </c>
    </row>
    <row r="1600" spans="1:14">
      <c r="A1600" t="s">
        <v>64</v>
      </c>
      <c r="B1600" t="s">
        <v>4179</v>
      </c>
      <c r="C1600" t="s">
        <v>19</v>
      </c>
      <c r="D1600" t="s">
        <v>26</v>
      </c>
      <c r="E1600" s="7">
        <v>45639</v>
      </c>
      <c r="F1600" t="s">
        <v>66</v>
      </c>
      <c r="G1600">
        <v>0</v>
      </c>
      <c r="H1600" t="s">
        <v>27</v>
      </c>
      <c r="I1600" t="s">
        <v>16</v>
      </c>
      <c r="J1600" t="s">
        <v>16</v>
      </c>
      <c r="K1600" t="str">
        <f>VLOOKUP(C1600,CheckName!A:B,2,0)</f>
        <v>Add</v>
      </c>
      <c r="L1600">
        <v>0</v>
      </c>
      <c r="M1600">
        <f t="shared" ref="M1600:M1607" si="213">DAY(E1600)</f>
        <v>13</v>
      </c>
      <c r="N1600" t="str">
        <f>TEXT(MTDRejection[[#This Row],[RejectionDate]],"dddd")</f>
        <v>Friday</v>
      </c>
    </row>
    <row r="1601" spans="1:14">
      <c r="A1601" t="s">
        <v>1494</v>
      </c>
      <c r="B1601" t="s">
        <v>4180</v>
      </c>
      <c r="C1601" t="s">
        <v>54</v>
      </c>
      <c r="D1601" t="s">
        <v>13</v>
      </c>
      <c r="E1601" s="7">
        <v>45639</v>
      </c>
      <c r="F1601" t="s">
        <v>706</v>
      </c>
      <c r="G1601">
        <v>0</v>
      </c>
      <c r="H1601" t="s">
        <v>15</v>
      </c>
      <c r="I1601" t="s">
        <v>16</v>
      </c>
      <c r="J1601" t="s">
        <v>16</v>
      </c>
      <c r="K1601" t="str">
        <f>VLOOKUP(C1601,CheckName!A:B,2,0)</f>
        <v>Edu</v>
      </c>
      <c r="L1601">
        <v>0</v>
      </c>
      <c r="M1601">
        <f t="shared" si="213"/>
        <v>13</v>
      </c>
      <c r="N1601" t="str">
        <f>TEXT(MTDRejection[[#This Row],[RejectionDate]],"dddd")</f>
        <v>Friday</v>
      </c>
    </row>
    <row r="1602" spans="1:14">
      <c r="A1602" t="s">
        <v>84</v>
      </c>
      <c r="B1602" t="s">
        <v>4181</v>
      </c>
      <c r="C1602" t="s">
        <v>49</v>
      </c>
      <c r="D1602" t="s">
        <v>13</v>
      </c>
      <c r="E1602" s="7">
        <v>45639</v>
      </c>
      <c r="F1602" t="s">
        <v>1861</v>
      </c>
      <c r="G1602">
        <v>0</v>
      </c>
      <c r="H1602" t="s">
        <v>15</v>
      </c>
      <c r="I1602" t="s">
        <v>16</v>
      </c>
      <c r="J1602" t="s">
        <v>16</v>
      </c>
      <c r="K1602" t="str">
        <f>VLOOKUP(C1602,CheckName!A:B,2,0)</f>
        <v>CRC</v>
      </c>
      <c r="L1602">
        <v>0</v>
      </c>
      <c r="M1602">
        <f t="shared" si="213"/>
        <v>13</v>
      </c>
      <c r="N1602" t="str">
        <f>TEXT(MTDRejection[[#This Row],[RejectionDate]],"dddd")</f>
        <v>Friday</v>
      </c>
    </row>
    <row r="1603" spans="1:14">
      <c r="A1603" t="s">
        <v>100</v>
      </c>
      <c r="B1603" t="s">
        <v>4182</v>
      </c>
      <c r="C1603" t="s">
        <v>775</v>
      </c>
      <c r="D1603" t="s">
        <v>26</v>
      </c>
      <c r="E1603" s="7">
        <v>45639</v>
      </c>
      <c r="F1603" t="s">
        <v>380</v>
      </c>
      <c r="G1603">
        <v>0</v>
      </c>
      <c r="H1603" t="s">
        <v>27</v>
      </c>
      <c r="I1603" t="s">
        <v>16</v>
      </c>
      <c r="J1603" t="s">
        <v>16</v>
      </c>
      <c r="K1603" t="str">
        <f>VLOOKUP(C1603,CheckName!A:B,2,0)</f>
        <v>Emp</v>
      </c>
      <c r="L1603">
        <v>0</v>
      </c>
      <c r="M1603">
        <f t="shared" si="213"/>
        <v>13</v>
      </c>
      <c r="N1603" t="str">
        <f>TEXT(MTDRejection[[#This Row],[RejectionDate]],"dddd")</f>
        <v>Friday</v>
      </c>
    </row>
    <row r="1604" spans="1:14">
      <c r="A1604" t="s">
        <v>45</v>
      </c>
      <c r="B1604" t="s">
        <v>2486</v>
      </c>
      <c r="C1604" t="s">
        <v>112</v>
      </c>
      <c r="D1604" t="s">
        <v>26</v>
      </c>
      <c r="E1604" s="7">
        <v>45639</v>
      </c>
      <c r="F1604" t="s">
        <v>179</v>
      </c>
      <c r="G1604">
        <v>0</v>
      </c>
      <c r="H1604" t="s">
        <v>22</v>
      </c>
      <c r="I1604" t="s">
        <v>16</v>
      </c>
      <c r="J1604" t="s">
        <v>16</v>
      </c>
      <c r="K1604" t="str">
        <f>VLOOKUP(C1604,CheckName!A:B,2,0)</f>
        <v>Emp</v>
      </c>
      <c r="L1604">
        <v>0</v>
      </c>
      <c r="M1604">
        <f t="shared" si="213"/>
        <v>13</v>
      </c>
      <c r="N1604" t="str">
        <f>TEXT(MTDRejection[[#This Row],[RejectionDate]],"dddd")</f>
        <v>Friday</v>
      </c>
    </row>
    <row r="1605" spans="1:14">
      <c r="A1605" t="s">
        <v>45</v>
      </c>
      <c r="B1605" t="s">
        <v>4183</v>
      </c>
      <c r="C1605" t="s">
        <v>36</v>
      </c>
      <c r="D1605" t="s">
        <v>26</v>
      </c>
      <c r="E1605" s="7">
        <v>45639</v>
      </c>
      <c r="F1605" t="s">
        <v>179</v>
      </c>
      <c r="G1605">
        <v>0</v>
      </c>
      <c r="H1605" t="s">
        <v>27</v>
      </c>
      <c r="I1605" t="s">
        <v>16</v>
      </c>
      <c r="J1605" t="s">
        <v>16</v>
      </c>
      <c r="K1605" t="str">
        <f>VLOOKUP(C1605,CheckName!A:B,2,0)</f>
        <v>Emp</v>
      </c>
      <c r="L1605">
        <v>0</v>
      </c>
      <c r="M1605">
        <f t="shared" si="213"/>
        <v>13</v>
      </c>
      <c r="N1605" t="str">
        <f>TEXT(MTDRejection[[#This Row],[RejectionDate]],"dddd")</f>
        <v>Friday</v>
      </c>
    </row>
    <row r="1606" spans="1:14">
      <c r="A1606" t="s">
        <v>1437</v>
      </c>
      <c r="B1606" t="s">
        <v>2529</v>
      </c>
      <c r="C1606" t="s">
        <v>36</v>
      </c>
      <c r="D1606" t="s">
        <v>26</v>
      </c>
      <c r="E1606" s="7">
        <v>45639</v>
      </c>
      <c r="F1606" t="s">
        <v>2347</v>
      </c>
      <c r="G1606">
        <v>0</v>
      </c>
      <c r="H1606" t="s">
        <v>27</v>
      </c>
      <c r="I1606" t="s">
        <v>16</v>
      </c>
      <c r="J1606" t="s">
        <v>16</v>
      </c>
      <c r="K1606" t="str">
        <f>VLOOKUP(C1606,CheckName!A:B,2,0)</f>
        <v>Emp</v>
      </c>
      <c r="L1606">
        <v>0</v>
      </c>
      <c r="M1606">
        <f t="shared" si="213"/>
        <v>13</v>
      </c>
      <c r="N1606" t="str">
        <f>TEXT(MTDRejection[[#This Row],[RejectionDate]],"dddd")</f>
        <v>Friday</v>
      </c>
    </row>
    <row r="1607" spans="1:14">
      <c r="A1607" t="s">
        <v>45</v>
      </c>
      <c r="B1607" t="s">
        <v>4184</v>
      </c>
      <c r="C1607" t="s">
        <v>12</v>
      </c>
      <c r="D1607" t="s">
        <v>26</v>
      </c>
      <c r="E1607" s="7">
        <v>45639</v>
      </c>
      <c r="F1607" t="s">
        <v>179</v>
      </c>
      <c r="G1607">
        <v>0</v>
      </c>
      <c r="H1607" t="s">
        <v>22</v>
      </c>
      <c r="I1607" t="s">
        <v>16</v>
      </c>
      <c r="J1607" t="s">
        <v>16</v>
      </c>
      <c r="K1607" t="str">
        <f>VLOOKUP(C1607,CheckName!A:B,2,0)</f>
        <v>Emp</v>
      </c>
      <c r="L1607">
        <v>0</v>
      </c>
      <c r="M1607">
        <f t="shared" si="213"/>
        <v>13</v>
      </c>
      <c r="N1607" t="str">
        <f>TEXT(MTDRejection[[#This Row],[RejectionDate]],"dddd")</f>
        <v>Friday</v>
      </c>
    </row>
    <row r="1608" spans="1:14">
      <c r="A1608" t="s">
        <v>142</v>
      </c>
      <c r="B1608" t="s">
        <v>4185</v>
      </c>
      <c r="C1608" t="s">
        <v>36</v>
      </c>
      <c r="D1608" t="s">
        <v>26</v>
      </c>
      <c r="E1608" s="7">
        <v>45639</v>
      </c>
      <c r="F1608" t="s">
        <v>2333</v>
      </c>
      <c r="G1608">
        <v>0</v>
      </c>
      <c r="H1608" t="s">
        <v>130</v>
      </c>
      <c r="I1608" t="s">
        <v>16</v>
      </c>
      <c r="J1608" t="s">
        <v>16</v>
      </c>
      <c r="K1608" t="str">
        <f>VLOOKUP(C1608,CheckName!A:B,2,0)</f>
        <v>Emp</v>
      </c>
      <c r="L1608">
        <v>0</v>
      </c>
      <c r="M1608">
        <f t="shared" ref="M1608:M1609" si="214">DAY(E1608)</f>
        <v>13</v>
      </c>
      <c r="N1608" t="str">
        <f>TEXT(MTDRejection[[#This Row],[RejectionDate]],"dddd")</f>
        <v>Friday</v>
      </c>
    </row>
    <row r="1609" spans="1:14">
      <c r="A1609" t="s">
        <v>84</v>
      </c>
      <c r="B1609" t="s">
        <v>2564</v>
      </c>
      <c r="C1609" t="s">
        <v>36</v>
      </c>
      <c r="D1609" t="s">
        <v>26</v>
      </c>
      <c r="E1609" s="7">
        <v>45639</v>
      </c>
      <c r="F1609" t="s">
        <v>2333</v>
      </c>
      <c r="G1609">
        <v>0</v>
      </c>
      <c r="H1609" t="s">
        <v>22</v>
      </c>
      <c r="I1609" t="s">
        <v>16</v>
      </c>
      <c r="J1609" t="s">
        <v>16</v>
      </c>
      <c r="K1609" t="str">
        <f>VLOOKUP(C1609,CheckName!A:B,2,0)</f>
        <v>Emp</v>
      </c>
      <c r="L1609">
        <v>0</v>
      </c>
      <c r="M1609">
        <f t="shared" si="214"/>
        <v>13</v>
      </c>
      <c r="N1609" t="str">
        <f>TEXT(MTDRejection[[#This Row],[RejectionDate]],"dddd")</f>
        <v>Friday</v>
      </c>
    </row>
    <row r="1610" spans="1:14">
      <c r="A1610" t="s">
        <v>160</v>
      </c>
      <c r="B1610" t="s">
        <v>4186</v>
      </c>
      <c r="C1610" t="s">
        <v>125</v>
      </c>
      <c r="D1610" t="s">
        <v>26</v>
      </c>
      <c r="E1610" s="7">
        <v>45638</v>
      </c>
      <c r="F1610" t="s">
        <v>2355</v>
      </c>
      <c r="G1610">
        <v>1</v>
      </c>
      <c r="H1610" t="s">
        <v>95</v>
      </c>
      <c r="I1610" t="s">
        <v>16</v>
      </c>
      <c r="J1610" t="s">
        <v>16</v>
      </c>
      <c r="K1610" t="str">
        <f>VLOOKUP(C1610,CheckName!A:B,2,0)</f>
        <v>Emp</v>
      </c>
      <c r="L1610">
        <v>0</v>
      </c>
      <c r="M1610">
        <f>DAY(E1610)</f>
        <v>12</v>
      </c>
      <c r="N1610" t="str">
        <f>TEXT(MTDRejection[[#This Row],[RejectionDate]],"dddd")</f>
        <v>Thursday</v>
      </c>
    </row>
    <row r="1611" spans="1:14">
      <c r="A1611" t="s">
        <v>1880</v>
      </c>
      <c r="B1611" t="s">
        <v>4187</v>
      </c>
      <c r="C1611" t="s">
        <v>25</v>
      </c>
      <c r="D1611" t="s">
        <v>20</v>
      </c>
      <c r="E1611" s="7">
        <v>45638</v>
      </c>
      <c r="F1611" t="s">
        <v>2327</v>
      </c>
      <c r="G1611">
        <v>1</v>
      </c>
      <c r="H1611" t="s">
        <v>22</v>
      </c>
      <c r="I1611" t="s">
        <v>16</v>
      </c>
      <c r="J1611" t="s">
        <v>16</v>
      </c>
      <c r="K1611" t="str">
        <f>VLOOKUP(C1611,CheckName!A:B,2,0)</f>
        <v>Add</v>
      </c>
      <c r="L1611">
        <v>0</v>
      </c>
      <c r="M1611">
        <f>DAY(E1611)</f>
        <v>12</v>
      </c>
      <c r="N1611" t="str">
        <f>TEXT(MTDRejection[[#This Row],[RejectionDate]],"dddd")</f>
        <v>Thursday</v>
      </c>
    </row>
    <row r="1612" spans="1:14">
      <c r="A1612" t="s">
        <v>263</v>
      </c>
      <c r="B1612" t="s">
        <v>4188</v>
      </c>
      <c r="C1612" t="s">
        <v>19</v>
      </c>
      <c r="D1612" t="s">
        <v>20</v>
      </c>
      <c r="E1612" s="7">
        <v>45639</v>
      </c>
      <c r="F1612" t="s">
        <v>2327</v>
      </c>
      <c r="G1612">
        <v>0</v>
      </c>
      <c r="H1612" t="s">
        <v>22</v>
      </c>
      <c r="I1612" t="s">
        <v>16</v>
      </c>
      <c r="J1612" t="s">
        <v>16</v>
      </c>
      <c r="K1612" t="str">
        <f>VLOOKUP(C1612,CheckName!A:B,2,0)</f>
        <v>Add</v>
      </c>
      <c r="L1612">
        <v>0</v>
      </c>
      <c r="M1612">
        <f>DAY(E1612)</f>
        <v>13</v>
      </c>
      <c r="N1612" t="str">
        <f>TEXT(MTDRejection[[#This Row],[RejectionDate]],"dddd")</f>
        <v>Friday</v>
      </c>
    </row>
    <row r="1613" spans="1:14">
      <c r="A1613" t="s">
        <v>45</v>
      </c>
      <c r="B1613" t="s">
        <v>4189</v>
      </c>
      <c r="C1613" t="s">
        <v>36</v>
      </c>
      <c r="D1613" t="s">
        <v>38</v>
      </c>
      <c r="E1613" s="7">
        <v>45639</v>
      </c>
      <c r="F1613" t="s">
        <v>39</v>
      </c>
      <c r="G1613">
        <v>0</v>
      </c>
      <c r="H1613" t="s">
        <v>42</v>
      </c>
      <c r="I1613" t="s">
        <v>16</v>
      </c>
      <c r="J1613" t="s">
        <v>16</v>
      </c>
      <c r="K1613" t="str">
        <f>VLOOKUP(C1613,CheckName!A:B,2,0)</f>
        <v>Emp</v>
      </c>
      <c r="L1613">
        <v>1</v>
      </c>
      <c r="M1613">
        <f t="shared" ref="M1613:M1619" si="215">DAY(E1613)</f>
        <v>13</v>
      </c>
      <c r="N1613" t="str">
        <f>TEXT(MTDRejection[[#This Row],[RejectionDate]],"dddd")</f>
        <v>Friday</v>
      </c>
    </row>
    <row r="1614" spans="1:14">
      <c r="A1614" t="s">
        <v>1805</v>
      </c>
      <c r="B1614" t="s">
        <v>4190</v>
      </c>
      <c r="C1614" t="s">
        <v>36</v>
      </c>
      <c r="D1614" t="s">
        <v>38</v>
      </c>
      <c r="E1614" s="7">
        <v>45639</v>
      </c>
      <c r="F1614" t="s">
        <v>39</v>
      </c>
      <c r="G1614">
        <v>0</v>
      </c>
      <c r="H1614" t="s">
        <v>27</v>
      </c>
      <c r="I1614" t="s">
        <v>16</v>
      </c>
      <c r="J1614" t="s">
        <v>16</v>
      </c>
      <c r="K1614" t="str">
        <f>VLOOKUP(C1614,CheckName!A:B,2,0)</f>
        <v>Emp</v>
      </c>
      <c r="L1614">
        <v>0</v>
      </c>
      <c r="M1614">
        <f t="shared" si="215"/>
        <v>13</v>
      </c>
      <c r="N1614" t="str">
        <f>TEXT(MTDRejection[[#This Row],[RejectionDate]],"dddd")</f>
        <v>Friday</v>
      </c>
    </row>
    <row r="1615" spans="1:14">
      <c r="A1615" t="s">
        <v>170</v>
      </c>
      <c r="B1615" t="s">
        <v>4191</v>
      </c>
      <c r="C1615" t="s">
        <v>36</v>
      </c>
      <c r="D1615" t="s">
        <v>38</v>
      </c>
      <c r="E1615" s="7">
        <v>45639</v>
      </c>
      <c r="F1615" t="s">
        <v>39</v>
      </c>
      <c r="G1615">
        <v>0</v>
      </c>
      <c r="H1615" t="s">
        <v>42</v>
      </c>
      <c r="I1615" t="s">
        <v>16</v>
      </c>
      <c r="J1615" t="s">
        <v>16</v>
      </c>
      <c r="K1615" t="str">
        <f>VLOOKUP(C1615,CheckName!A:B,2,0)</f>
        <v>Emp</v>
      </c>
      <c r="L1615">
        <v>0</v>
      </c>
      <c r="M1615">
        <f t="shared" si="215"/>
        <v>13</v>
      </c>
      <c r="N1615" t="str">
        <f>TEXT(MTDRejection[[#This Row],[RejectionDate]],"dddd")</f>
        <v>Friday</v>
      </c>
    </row>
    <row r="1616" spans="1:14">
      <c r="A1616" t="s">
        <v>40</v>
      </c>
      <c r="B1616" t="s">
        <v>4192</v>
      </c>
      <c r="C1616" t="s">
        <v>12</v>
      </c>
      <c r="D1616" t="s">
        <v>26</v>
      </c>
      <c r="E1616" s="7">
        <v>45639</v>
      </c>
      <c r="F1616" t="s">
        <v>675</v>
      </c>
      <c r="G1616">
        <v>0</v>
      </c>
      <c r="H1616" t="s">
        <v>27</v>
      </c>
      <c r="I1616" t="s">
        <v>16</v>
      </c>
      <c r="J1616" t="s">
        <v>16</v>
      </c>
      <c r="K1616" t="str">
        <f>VLOOKUP(C1616,CheckName!A:B,2,0)</f>
        <v>Emp</v>
      </c>
      <c r="L1616">
        <v>0</v>
      </c>
      <c r="M1616">
        <f t="shared" si="215"/>
        <v>13</v>
      </c>
      <c r="N1616" t="str">
        <f>TEXT(MTDRejection[[#This Row],[RejectionDate]],"dddd")</f>
        <v>Friday</v>
      </c>
    </row>
    <row r="1617" spans="1:14">
      <c r="A1617" t="s">
        <v>432</v>
      </c>
      <c r="B1617" t="s">
        <v>4193</v>
      </c>
      <c r="C1617" t="s">
        <v>36</v>
      </c>
      <c r="D1617" t="s">
        <v>38</v>
      </c>
      <c r="E1617" s="7">
        <v>45639</v>
      </c>
      <c r="F1617" t="s">
        <v>39</v>
      </c>
      <c r="G1617">
        <v>0</v>
      </c>
      <c r="H1617" t="s">
        <v>42</v>
      </c>
      <c r="I1617" t="s">
        <v>16</v>
      </c>
      <c r="J1617" t="s">
        <v>16</v>
      </c>
      <c r="K1617" t="str">
        <f>VLOOKUP(C1617,CheckName!A:B,2,0)</f>
        <v>Emp</v>
      </c>
      <c r="L1617">
        <v>0</v>
      </c>
      <c r="M1617">
        <f t="shared" si="215"/>
        <v>13</v>
      </c>
      <c r="N1617" t="str">
        <f>TEXT(MTDRejection[[#This Row],[RejectionDate]],"dddd")</f>
        <v>Friday</v>
      </c>
    </row>
    <row r="1618" spans="1:14">
      <c r="A1618" t="s">
        <v>1881</v>
      </c>
      <c r="B1618" t="s">
        <v>4194</v>
      </c>
      <c r="C1618" t="s">
        <v>1664</v>
      </c>
      <c r="D1618" t="s">
        <v>13</v>
      </c>
      <c r="E1618" s="7">
        <v>45639</v>
      </c>
      <c r="F1618" t="s">
        <v>2334</v>
      </c>
      <c r="G1618">
        <v>0</v>
      </c>
      <c r="H1618" t="s">
        <v>15</v>
      </c>
      <c r="I1618" t="s">
        <v>16</v>
      </c>
      <c r="J1618" t="s">
        <v>16</v>
      </c>
      <c r="K1618" t="str">
        <f>VLOOKUP(C1618,CheckName!A:B,2,0)</f>
        <v>Edu</v>
      </c>
      <c r="L1618">
        <v>0</v>
      </c>
      <c r="M1618">
        <f t="shared" si="215"/>
        <v>13</v>
      </c>
      <c r="N1618" t="str">
        <f>TEXT(MTDRejection[[#This Row],[RejectionDate]],"dddd")</f>
        <v>Friday</v>
      </c>
    </row>
    <row r="1619" spans="1:14">
      <c r="A1619" t="s">
        <v>1881</v>
      </c>
      <c r="B1619" t="s">
        <v>2530</v>
      </c>
      <c r="C1619" t="s">
        <v>1666</v>
      </c>
      <c r="D1619" t="s">
        <v>13</v>
      </c>
      <c r="E1619" s="7">
        <v>45639</v>
      </c>
      <c r="F1619" t="s">
        <v>2334</v>
      </c>
      <c r="G1619">
        <v>0</v>
      </c>
      <c r="H1619" t="s">
        <v>15</v>
      </c>
      <c r="I1619" t="s">
        <v>16</v>
      </c>
      <c r="J1619" t="s">
        <v>16</v>
      </c>
      <c r="K1619" t="str">
        <f>VLOOKUP(C1619,CheckName!A:B,2,0)</f>
        <v>Edu</v>
      </c>
      <c r="L1619">
        <v>0</v>
      </c>
      <c r="M1619">
        <f t="shared" si="215"/>
        <v>13</v>
      </c>
      <c r="N1619" t="str">
        <f>TEXT(MTDRejection[[#This Row],[RejectionDate]],"dddd")</f>
        <v>Friday</v>
      </c>
    </row>
    <row r="1620" spans="1:14">
      <c r="A1620" t="s">
        <v>142</v>
      </c>
      <c r="B1620" t="s">
        <v>4195</v>
      </c>
      <c r="C1620" t="s">
        <v>54</v>
      </c>
      <c r="D1620" t="s">
        <v>26</v>
      </c>
      <c r="E1620" s="7">
        <v>45639</v>
      </c>
      <c r="F1620" t="s">
        <v>2329</v>
      </c>
      <c r="G1620">
        <v>0</v>
      </c>
      <c r="H1620" t="s">
        <v>27</v>
      </c>
      <c r="I1620" t="s">
        <v>16</v>
      </c>
      <c r="J1620" t="s">
        <v>16</v>
      </c>
      <c r="K1620" t="str">
        <f>VLOOKUP(C1620,CheckName!A:B,2,0)</f>
        <v>Edu</v>
      </c>
      <c r="L1620">
        <v>0</v>
      </c>
      <c r="M1620">
        <f t="shared" ref="M1620:M1621" si="216">DAY(E1620)</f>
        <v>13</v>
      </c>
      <c r="N1620" t="str">
        <f>TEXT(MTDRejection[[#This Row],[RejectionDate]],"dddd")</f>
        <v>Friday</v>
      </c>
    </row>
    <row r="1621" spans="1:14">
      <c r="A1621" t="s">
        <v>1882</v>
      </c>
      <c r="B1621" t="s">
        <v>4196</v>
      </c>
      <c r="C1621" t="s">
        <v>54</v>
      </c>
      <c r="D1621" t="s">
        <v>26</v>
      </c>
      <c r="E1621" s="7">
        <v>45639</v>
      </c>
      <c r="F1621" t="s">
        <v>63</v>
      </c>
      <c r="G1621">
        <v>0</v>
      </c>
      <c r="H1621" t="s">
        <v>30</v>
      </c>
      <c r="I1621" t="s">
        <v>16</v>
      </c>
      <c r="J1621" t="s">
        <v>16</v>
      </c>
      <c r="K1621" t="str">
        <f>VLOOKUP(C1621,CheckName!A:B,2,0)</f>
        <v>Edu</v>
      </c>
      <c r="L1621">
        <v>0</v>
      </c>
      <c r="M1621">
        <f t="shared" si="216"/>
        <v>13</v>
      </c>
      <c r="N1621" t="str">
        <f>TEXT(MTDRejection[[#This Row],[RejectionDate]],"dddd")</f>
        <v>Friday</v>
      </c>
    </row>
    <row r="1622" spans="1:14">
      <c r="A1622" t="s">
        <v>1584</v>
      </c>
      <c r="B1622" t="s">
        <v>4197</v>
      </c>
      <c r="C1622" t="s">
        <v>125</v>
      </c>
      <c r="D1622" t="s">
        <v>13</v>
      </c>
      <c r="E1622" s="7">
        <v>45639</v>
      </c>
      <c r="F1622" t="s">
        <v>574</v>
      </c>
      <c r="G1622">
        <v>0</v>
      </c>
      <c r="H1622" t="s">
        <v>15</v>
      </c>
      <c r="I1622" t="s">
        <v>16</v>
      </c>
      <c r="J1622" t="s">
        <v>16</v>
      </c>
      <c r="K1622" t="str">
        <f>VLOOKUP(C1622,CheckName!A:B,2,0)</f>
        <v>Emp</v>
      </c>
      <c r="L1622">
        <v>0</v>
      </c>
      <c r="M1622">
        <f t="shared" ref="M1622:M1625" si="217">DAY(E1622)</f>
        <v>13</v>
      </c>
      <c r="N1622" t="str">
        <f>TEXT(MTDRejection[[#This Row],[RejectionDate]],"dddd")</f>
        <v>Friday</v>
      </c>
    </row>
    <row r="1623" spans="1:14">
      <c r="A1623" t="s">
        <v>432</v>
      </c>
      <c r="B1623" t="s">
        <v>4198</v>
      </c>
      <c r="C1623" t="s">
        <v>36</v>
      </c>
      <c r="D1623" t="s">
        <v>26</v>
      </c>
      <c r="E1623" s="7">
        <v>45639</v>
      </c>
      <c r="F1623" t="s">
        <v>80</v>
      </c>
      <c r="G1623">
        <v>0</v>
      </c>
      <c r="H1623" t="s">
        <v>27</v>
      </c>
      <c r="I1623" t="s">
        <v>16</v>
      </c>
      <c r="J1623" t="s">
        <v>16</v>
      </c>
      <c r="K1623" t="str">
        <f>VLOOKUP(C1623,CheckName!A:B,2,0)</f>
        <v>Emp</v>
      </c>
      <c r="L1623">
        <v>0</v>
      </c>
      <c r="M1623">
        <f t="shared" si="217"/>
        <v>13</v>
      </c>
      <c r="N1623" t="str">
        <f>TEXT(MTDRejection[[#This Row],[RejectionDate]],"dddd")</f>
        <v>Friday</v>
      </c>
    </row>
    <row r="1624" spans="1:14">
      <c r="A1624" t="s">
        <v>100</v>
      </c>
      <c r="B1624" t="s">
        <v>4199</v>
      </c>
      <c r="C1624" t="s">
        <v>255</v>
      </c>
      <c r="D1624" t="s">
        <v>13</v>
      </c>
      <c r="E1624" s="7">
        <v>45639</v>
      </c>
      <c r="F1624" t="s">
        <v>1861</v>
      </c>
      <c r="G1624">
        <v>0</v>
      </c>
      <c r="H1624" t="s">
        <v>15</v>
      </c>
      <c r="I1624" t="s">
        <v>16</v>
      </c>
      <c r="J1624" t="s">
        <v>16</v>
      </c>
      <c r="K1624" t="str">
        <f>VLOOKUP(C1624,CheckName!A:B,2,0)</f>
        <v>Special Check</v>
      </c>
      <c r="L1624">
        <v>0</v>
      </c>
      <c r="M1624">
        <f t="shared" si="217"/>
        <v>13</v>
      </c>
      <c r="N1624" t="str">
        <f>TEXT(MTDRejection[[#This Row],[RejectionDate]],"dddd")</f>
        <v>Friday</v>
      </c>
    </row>
    <row r="1625" spans="1:14">
      <c r="A1625" t="s">
        <v>100</v>
      </c>
      <c r="B1625" t="s">
        <v>4200</v>
      </c>
      <c r="C1625" t="s">
        <v>235</v>
      </c>
      <c r="D1625" t="s">
        <v>13</v>
      </c>
      <c r="E1625" s="7">
        <v>45639</v>
      </c>
      <c r="F1625" t="s">
        <v>1861</v>
      </c>
      <c r="G1625">
        <v>0</v>
      </c>
      <c r="H1625" t="s">
        <v>15</v>
      </c>
      <c r="I1625" t="s">
        <v>16</v>
      </c>
      <c r="J1625" t="s">
        <v>16</v>
      </c>
      <c r="K1625" t="str">
        <f>VLOOKUP(C1625,CheckName!A:B,2,0)</f>
        <v>Special Check</v>
      </c>
      <c r="L1625">
        <v>0</v>
      </c>
      <c r="M1625">
        <f t="shared" si="217"/>
        <v>13</v>
      </c>
      <c r="N1625" t="str">
        <f>TEXT(MTDRejection[[#This Row],[RejectionDate]],"dddd")</f>
        <v>Friday</v>
      </c>
    </row>
    <row r="1626" spans="1:14">
      <c r="A1626" t="s">
        <v>176</v>
      </c>
      <c r="B1626" t="s">
        <v>4201</v>
      </c>
      <c r="C1626" t="s">
        <v>12</v>
      </c>
      <c r="D1626" t="s">
        <v>26</v>
      </c>
      <c r="E1626" s="7">
        <v>45639</v>
      </c>
      <c r="F1626" t="s">
        <v>83</v>
      </c>
      <c r="G1626">
        <v>0</v>
      </c>
      <c r="H1626" t="s">
        <v>27</v>
      </c>
      <c r="I1626" t="s">
        <v>16</v>
      </c>
      <c r="J1626" t="s">
        <v>16</v>
      </c>
      <c r="K1626" t="str">
        <f>VLOOKUP(C1626,CheckName!A:B,2,0)</f>
        <v>Emp</v>
      </c>
      <c r="L1626">
        <v>0</v>
      </c>
      <c r="M1626">
        <f t="shared" ref="M1626:M1627" si="218">DAY(E1626)</f>
        <v>13</v>
      </c>
      <c r="N1626" t="str">
        <f>TEXT(MTDRejection[[#This Row],[RejectionDate]],"dddd")</f>
        <v>Friday</v>
      </c>
    </row>
    <row r="1627" spans="1:14">
      <c r="A1627" t="s">
        <v>682</v>
      </c>
      <c r="B1627" t="s">
        <v>4202</v>
      </c>
      <c r="C1627" t="s">
        <v>12</v>
      </c>
      <c r="D1627" t="s">
        <v>26</v>
      </c>
      <c r="E1627" s="7">
        <v>45639</v>
      </c>
      <c r="F1627" t="s">
        <v>83</v>
      </c>
      <c r="G1627">
        <v>0</v>
      </c>
      <c r="H1627" t="s">
        <v>27</v>
      </c>
      <c r="I1627" t="s">
        <v>16</v>
      </c>
      <c r="J1627" t="s">
        <v>16</v>
      </c>
      <c r="K1627" t="str">
        <f>VLOOKUP(C1627,CheckName!A:B,2,0)</f>
        <v>Emp</v>
      </c>
      <c r="L1627">
        <v>0</v>
      </c>
      <c r="M1627">
        <f t="shared" si="218"/>
        <v>13</v>
      </c>
      <c r="N1627" t="str">
        <f>TEXT(MTDRejection[[#This Row],[RejectionDate]],"dddd")</f>
        <v>Friday</v>
      </c>
    </row>
    <row r="1628" spans="1:14">
      <c r="A1628" t="s">
        <v>945</v>
      </c>
      <c r="B1628" t="s">
        <v>4203</v>
      </c>
      <c r="C1628" t="s">
        <v>36</v>
      </c>
      <c r="D1628" t="s">
        <v>13</v>
      </c>
      <c r="E1628" s="7">
        <v>45639</v>
      </c>
      <c r="F1628" t="s">
        <v>2332</v>
      </c>
      <c r="G1628">
        <v>0</v>
      </c>
      <c r="H1628" t="s">
        <v>30</v>
      </c>
      <c r="I1628" t="s">
        <v>16</v>
      </c>
      <c r="J1628" t="s">
        <v>16</v>
      </c>
      <c r="K1628" t="str">
        <f>VLOOKUP(C1628,CheckName!A:B,2,0)</f>
        <v>Emp</v>
      </c>
      <c r="L1628">
        <v>0</v>
      </c>
      <c r="M1628">
        <f t="shared" ref="M1628:M1629" si="219">DAY(E1628)</f>
        <v>13</v>
      </c>
      <c r="N1628" t="str">
        <f>TEXT(MTDRejection[[#This Row],[RejectionDate]],"dddd")</f>
        <v>Friday</v>
      </c>
    </row>
    <row r="1629" spans="1:14">
      <c r="A1629" t="s">
        <v>131</v>
      </c>
      <c r="B1629" t="s">
        <v>4204</v>
      </c>
      <c r="C1629" t="s">
        <v>54</v>
      </c>
      <c r="D1629" t="s">
        <v>13</v>
      </c>
      <c r="E1629" s="7">
        <v>45639</v>
      </c>
      <c r="F1629" t="s">
        <v>819</v>
      </c>
      <c r="G1629">
        <v>0</v>
      </c>
      <c r="H1629" t="s">
        <v>15</v>
      </c>
      <c r="I1629" t="s">
        <v>16</v>
      </c>
      <c r="J1629" t="s">
        <v>16</v>
      </c>
      <c r="K1629" t="str">
        <f>VLOOKUP(C1629,CheckName!A:B,2,0)</f>
        <v>Edu</v>
      </c>
      <c r="L1629">
        <v>0</v>
      </c>
      <c r="M1629">
        <f t="shared" si="219"/>
        <v>13</v>
      </c>
      <c r="N1629" t="str">
        <f>TEXT(MTDRejection[[#This Row],[RejectionDate]],"dddd")</f>
        <v>Friday</v>
      </c>
    </row>
    <row r="1630" spans="1:14">
      <c r="A1630" t="s">
        <v>100</v>
      </c>
      <c r="B1630" t="s">
        <v>4205</v>
      </c>
      <c r="C1630" t="s">
        <v>102</v>
      </c>
      <c r="D1630" t="s">
        <v>26</v>
      </c>
      <c r="E1630" s="7">
        <v>45639</v>
      </c>
      <c r="F1630" t="s">
        <v>1304</v>
      </c>
      <c r="G1630">
        <v>0</v>
      </c>
      <c r="H1630" t="s">
        <v>30</v>
      </c>
      <c r="I1630" t="s">
        <v>16</v>
      </c>
      <c r="J1630" t="s">
        <v>16</v>
      </c>
      <c r="K1630" t="str">
        <f>VLOOKUP(C1630,CheckName!A:B,2,0)</f>
        <v>Edu</v>
      </c>
      <c r="L1630">
        <v>0</v>
      </c>
      <c r="M1630">
        <f>DAY(E1630)</f>
        <v>13</v>
      </c>
      <c r="N1630" t="str">
        <f>TEXT(MTDRejection[[#This Row],[RejectionDate]],"dddd")</f>
        <v>Friday</v>
      </c>
    </row>
    <row r="1631" spans="1:14">
      <c r="A1631" t="s">
        <v>142</v>
      </c>
      <c r="B1631" t="s">
        <v>4206</v>
      </c>
      <c r="C1631" t="s">
        <v>12</v>
      </c>
      <c r="D1631" t="s">
        <v>38</v>
      </c>
      <c r="E1631" s="7">
        <v>45631</v>
      </c>
      <c r="F1631" t="s">
        <v>39</v>
      </c>
      <c r="G1631">
        <v>8</v>
      </c>
      <c r="H1631" t="s">
        <v>42</v>
      </c>
      <c r="I1631" t="s">
        <v>16</v>
      </c>
      <c r="J1631" t="s">
        <v>16</v>
      </c>
      <c r="K1631" t="str">
        <f>VLOOKUP(C1631,CheckName!A:B,2,0)</f>
        <v>Emp</v>
      </c>
      <c r="L1631">
        <v>1</v>
      </c>
      <c r="M1631">
        <f>DAY(E1631)</f>
        <v>5</v>
      </c>
      <c r="N1631" t="str">
        <f>TEXT(MTDRejection[[#This Row],[RejectionDate]],"dddd")</f>
        <v>Thursday</v>
      </c>
    </row>
    <row r="1632" spans="1:14">
      <c r="A1632" t="s">
        <v>1246</v>
      </c>
      <c r="B1632" t="s">
        <v>4207</v>
      </c>
      <c r="C1632" t="s">
        <v>71</v>
      </c>
      <c r="D1632" t="s">
        <v>13</v>
      </c>
      <c r="E1632" s="7">
        <v>45639</v>
      </c>
      <c r="F1632" t="s">
        <v>33</v>
      </c>
      <c r="G1632">
        <v>0</v>
      </c>
      <c r="H1632" t="s">
        <v>15</v>
      </c>
      <c r="I1632" t="s">
        <v>16</v>
      </c>
      <c r="J1632" t="s">
        <v>16</v>
      </c>
      <c r="K1632" t="str">
        <f>VLOOKUP(C1632,CheckName!A:B,2,0)</f>
        <v>CRC</v>
      </c>
      <c r="L1632">
        <v>0</v>
      </c>
      <c r="M1632">
        <f t="shared" ref="M1632:M1633" si="220">DAY(E1632)</f>
        <v>13</v>
      </c>
      <c r="N1632" t="str">
        <f>TEXT(MTDRejection[[#This Row],[RejectionDate]],"dddd")</f>
        <v>Friday</v>
      </c>
    </row>
    <row r="1633" spans="1:14">
      <c r="A1633" t="s">
        <v>1246</v>
      </c>
      <c r="B1633" t="s">
        <v>2531</v>
      </c>
      <c r="C1633" t="s">
        <v>49</v>
      </c>
      <c r="D1633" t="s">
        <v>13</v>
      </c>
      <c r="E1633" s="7">
        <v>45639</v>
      </c>
      <c r="F1633" t="s">
        <v>33</v>
      </c>
      <c r="G1633">
        <v>0</v>
      </c>
      <c r="H1633" t="s">
        <v>15</v>
      </c>
      <c r="I1633" t="s">
        <v>16</v>
      </c>
      <c r="J1633" t="s">
        <v>16</v>
      </c>
      <c r="K1633" t="str">
        <f>VLOOKUP(C1633,CheckName!A:B,2,0)</f>
        <v>CRC</v>
      </c>
      <c r="L1633">
        <v>0</v>
      </c>
      <c r="M1633">
        <f t="shared" si="220"/>
        <v>13</v>
      </c>
      <c r="N1633" t="str">
        <f>TEXT(MTDRejection[[#This Row],[RejectionDate]],"dddd")</f>
        <v>Friday</v>
      </c>
    </row>
    <row r="1634" spans="1:14">
      <c r="A1634" t="s">
        <v>419</v>
      </c>
      <c r="B1634" t="s">
        <v>2532</v>
      </c>
      <c r="C1634" t="s">
        <v>54</v>
      </c>
      <c r="D1634" t="s">
        <v>26</v>
      </c>
      <c r="E1634" s="7">
        <v>45639</v>
      </c>
      <c r="F1634" t="s">
        <v>458</v>
      </c>
      <c r="G1634">
        <v>0</v>
      </c>
      <c r="H1634" t="s">
        <v>27</v>
      </c>
      <c r="I1634" t="s">
        <v>16</v>
      </c>
      <c r="J1634" t="s">
        <v>16</v>
      </c>
      <c r="K1634" t="str">
        <f>VLOOKUP(C1634,CheckName!A:B,2,0)</f>
        <v>Edu</v>
      </c>
      <c r="L1634">
        <v>0</v>
      </c>
      <c r="M1634">
        <f t="shared" ref="M1634:M1636" si="221">DAY(E1634)</f>
        <v>13</v>
      </c>
      <c r="N1634" t="str">
        <f>TEXT(MTDRejection[[#This Row],[RejectionDate]],"dddd")</f>
        <v>Friday</v>
      </c>
    </row>
    <row r="1635" spans="1:14">
      <c r="A1635" t="s">
        <v>40</v>
      </c>
      <c r="B1635" t="s">
        <v>4208</v>
      </c>
      <c r="C1635" t="s">
        <v>12</v>
      </c>
      <c r="D1635" t="s">
        <v>38</v>
      </c>
      <c r="E1635" s="7">
        <v>45639</v>
      </c>
      <c r="F1635" t="s">
        <v>39</v>
      </c>
      <c r="G1635">
        <v>0</v>
      </c>
      <c r="H1635" t="s">
        <v>42</v>
      </c>
      <c r="I1635" t="s">
        <v>16</v>
      </c>
      <c r="J1635" t="s">
        <v>16</v>
      </c>
      <c r="K1635" t="str">
        <f>VLOOKUP(C1635,CheckName!A:B,2,0)</f>
        <v>Emp</v>
      </c>
      <c r="L1635">
        <v>0</v>
      </c>
      <c r="M1635">
        <f t="shared" si="221"/>
        <v>13</v>
      </c>
      <c r="N1635" t="str">
        <f>TEXT(MTDRejection[[#This Row],[RejectionDate]],"dddd")</f>
        <v>Friday</v>
      </c>
    </row>
    <row r="1636" spans="1:14">
      <c r="A1636" t="s">
        <v>45</v>
      </c>
      <c r="B1636" t="s">
        <v>4209</v>
      </c>
      <c r="C1636" t="s">
        <v>12</v>
      </c>
      <c r="D1636" t="s">
        <v>38</v>
      </c>
      <c r="E1636" s="7">
        <v>45639</v>
      </c>
      <c r="F1636" t="s">
        <v>39</v>
      </c>
      <c r="G1636">
        <v>0</v>
      </c>
      <c r="H1636" t="s">
        <v>42</v>
      </c>
      <c r="I1636" t="s">
        <v>16</v>
      </c>
      <c r="J1636" t="s">
        <v>16</v>
      </c>
      <c r="K1636" t="str">
        <f>VLOOKUP(C1636,CheckName!A:B,2,0)</f>
        <v>Emp</v>
      </c>
      <c r="L1636">
        <v>0</v>
      </c>
      <c r="M1636">
        <f t="shared" si="221"/>
        <v>13</v>
      </c>
      <c r="N1636" t="str">
        <f>TEXT(MTDRejection[[#This Row],[RejectionDate]],"dddd")</f>
        <v>Friday</v>
      </c>
    </row>
    <row r="1637" spans="1:14">
      <c r="A1637" t="s">
        <v>45</v>
      </c>
      <c r="B1637" t="s">
        <v>4210</v>
      </c>
      <c r="C1637" t="s">
        <v>36</v>
      </c>
      <c r="D1637" t="s">
        <v>26</v>
      </c>
      <c r="E1637" s="7">
        <v>45639</v>
      </c>
      <c r="F1637" t="s">
        <v>224</v>
      </c>
      <c r="G1637">
        <v>0</v>
      </c>
      <c r="H1637" t="s">
        <v>27</v>
      </c>
      <c r="I1637" t="s">
        <v>16</v>
      </c>
      <c r="J1637" t="s">
        <v>16</v>
      </c>
      <c r="K1637" t="str">
        <f>VLOOKUP(C1637,CheckName!A:B,2,0)</f>
        <v>Emp</v>
      </c>
      <c r="L1637">
        <v>0</v>
      </c>
      <c r="M1637">
        <f t="shared" ref="M1637:M1639" si="222">DAY(E1637)</f>
        <v>13</v>
      </c>
      <c r="N1637" t="str">
        <f>TEXT(MTDRejection[[#This Row],[RejectionDate]],"dddd")</f>
        <v>Friday</v>
      </c>
    </row>
    <row r="1638" spans="1:14">
      <c r="A1638" t="s">
        <v>45</v>
      </c>
      <c r="B1638" t="s">
        <v>4211</v>
      </c>
      <c r="C1638" t="s">
        <v>12</v>
      </c>
      <c r="D1638" t="s">
        <v>26</v>
      </c>
      <c r="E1638" s="7">
        <v>45639</v>
      </c>
      <c r="F1638" t="s">
        <v>222</v>
      </c>
      <c r="G1638">
        <v>0</v>
      </c>
      <c r="H1638" t="s">
        <v>27</v>
      </c>
      <c r="I1638" t="s">
        <v>16</v>
      </c>
      <c r="J1638" t="s">
        <v>16</v>
      </c>
      <c r="K1638" t="str">
        <f>VLOOKUP(C1638,CheckName!A:B,2,0)</f>
        <v>Emp</v>
      </c>
      <c r="L1638">
        <v>0</v>
      </c>
      <c r="M1638">
        <f t="shared" si="222"/>
        <v>13</v>
      </c>
      <c r="N1638" t="str">
        <f>TEXT(MTDRejection[[#This Row],[RejectionDate]],"dddd")</f>
        <v>Friday</v>
      </c>
    </row>
    <row r="1639" spans="1:14">
      <c r="A1639" t="s">
        <v>288</v>
      </c>
      <c r="B1639" t="s">
        <v>4212</v>
      </c>
      <c r="C1639" t="s">
        <v>12</v>
      </c>
      <c r="D1639" t="s">
        <v>26</v>
      </c>
      <c r="E1639" s="7">
        <v>45639</v>
      </c>
      <c r="F1639" t="s">
        <v>222</v>
      </c>
      <c r="G1639">
        <v>0</v>
      </c>
      <c r="H1639" t="s">
        <v>425</v>
      </c>
      <c r="I1639" t="s">
        <v>16</v>
      </c>
      <c r="J1639" t="s">
        <v>16</v>
      </c>
      <c r="K1639" t="str">
        <f>VLOOKUP(C1639,CheckName!A:B,2,0)</f>
        <v>Emp</v>
      </c>
      <c r="L1639">
        <v>0</v>
      </c>
      <c r="M1639">
        <f t="shared" si="222"/>
        <v>13</v>
      </c>
      <c r="N1639" t="str">
        <f>TEXT(MTDRejection[[#This Row],[RejectionDate]],"dddd")</f>
        <v>Friday</v>
      </c>
    </row>
    <row r="1640" spans="1:14">
      <c r="A1640" t="s">
        <v>144</v>
      </c>
      <c r="B1640" t="s">
        <v>4213</v>
      </c>
      <c r="C1640" t="s">
        <v>19</v>
      </c>
      <c r="D1640" t="s">
        <v>20</v>
      </c>
      <c r="E1640" s="7">
        <v>45639</v>
      </c>
      <c r="F1640" t="s">
        <v>2330</v>
      </c>
      <c r="G1640">
        <v>0</v>
      </c>
      <c r="H1640" t="s">
        <v>22</v>
      </c>
      <c r="I1640" t="s">
        <v>16</v>
      </c>
      <c r="J1640" t="s">
        <v>16</v>
      </c>
      <c r="K1640" t="str">
        <f>VLOOKUP(C1640,CheckName!A:B,2,0)</f>
        <v>Add</v>
      </c>
      <c r="L1640">
        <v>0</v>
      </c>
      <c r="M1640">
        <f t="shared" ref="M1640:M1641" si="223">DAY(E1640)</f>
        <v>13</v>
      </c>
      <c r="N1640" t="str">
        <f>TEXT(MTDRejection[[#This Row],[RejectionDate]],"dddd")</f>
        <v>Friday</v>
      </c>
    </row>
    <row r="1641" spans="1:14">
      <c r="A1641" t="s">
        <v>96</v>
      </c>
      <c r="B1641" t="s">
        <v>4214</v>
      </c>
      <c r="C1641" t="s">
        <v>1883</v>
      </c>
      <c r="D1641" t="s">
        <v>26</v>
      </c>
      <c r="E1641" s="7">
        <v>45639</v>
      </c>
      <c r="F1641" t="s">
        <v>66</v>
      </c>
      <c r="G1641">
        <v>0</v>
      </c>
      <c r="H1641" t="s">
        <v>130</v>
      </c>
      <c r="I1641" t="s">
        <v>16</v>
      </c>
      <c r="J1641" t="s">
        <v>16</v>
      </c>
      <c r="K1641" t="str">
        <f>VLOOKUP(C1641,CheckName!A:B,2,0)</f>
        <v>Add</v>
      </c>
      <c r="L1641">
        <v>0</v>
      </c>
      <c r="M1641">
        <f t="shared" si="223"/>
        <v>13</v>
      </c>
      <c r="N1641" t="str">
        <f>TEXT(MTDRejection[[#This Row],[RejectionDate]],"dddd")</f>
        <v>Friday</v>
      </c>
    </row>
    <row r="1642" spans="1:14">
      <c r="A1642" t="s">
        <v>91</v>
      </c>
      <c r="B1642" t="s">
        <v>4215</v>
      </c>
      <c r="C1642" t="s">
        <v>12</v>
      </c>
      <c r="D1642" t="s">
        <v>13</v>
      </c>
      <c r="E1642" s="7">
        <v>45639</v>
      </c>
      <c r="F1642" t="s">
        <v>574</v>
      </c>
      <c r="G1642">
        <v>0</v>
      </c>
      <c r="H1642" t="s">
        <v>15</v>
      </c>
      <c r="I1642" t="s">
        <v>16</v>
      </c>
      <c r="J1642" t="s">
        <v>16</v>
      </c>
      <c r="K1642" t="str">
        <f>VLOOKUP(C1642,CheckName!A:B,2,0)</f>
        <v>Emp</v>
      </c>
      <c r="L1642">
        <v>0</v>
      </c>
      <c r="M1642">
        <f t="shared" ref="M1642:M1650" si="224">DAY(E1642)</f>
        <v>13</v>
      </c>
      <c r="N1642" t="str">
        <f>TEXT(MTDRejection[[#This Row],[RejectionDate]],"dddd")</f>
        <v>Friday</v>
      </c>
    </row>
    <row r="1643" spans="1:14">
      <c r="A1643" t="s">
        <v>91</v>
      </c>
      <c r="B1643" t="s">
        <v>4216</v>
      </c>
      <c r="C1643" t="s">
        <v>12</v>
      </c>
      <c r="D1643" t="s">
        <v>13</v>
      </c>
      <c r="E1643" s="7">
        <v>45639</v>
      </c>
      <c r="F1643" t="s">
        <v>574</v>
      </c>
      <c r="G1643">
        <v>0</v>
      </c>
      <c r="H1643" t="s">
        <v>15</v>
      </c>
      <c r="I1643" t="s">
        <v>16</v>
      </c>
      <c r="J1643" t="s">
        <v>16</v>
      </c>
      <c r="K1643" t="str">
        <f>VLOOKUP(C1643,CheckName!A:B,2,0)</f>
        <v>Emp</v>
      </c>
      <c r="L1643">
        <v>0</v>
      </c>
      <c r="M1643">
        <f t="shared" si="224"/>
        <v>13</v>
      </c>
      <c r="N1643" t="str">
        <f>TEXT(MTDRejection[[#This Row],[RejectionDate]],"dddd")</f>
        <v>Friday</v>
      </c>
    </row>
    <row r="1644" spans="1:14">
      <c r="A1644" t="s">
        <v>1758</v>
      </c>
      <c r="B1644" t="s">
        <v>4217</v>
      </c>
      <c r="C1644" t="s">
        <v>12</v>
      </c>
      <c r="D1644" t="s">
        <v>13</v>
      </c>
      <c r="E1644" s="7">
        <v>45639</v>
      </c>
      <c r="F1644" t="s">
        <v>706</v>
      </c>
      <c r="G1644">
        <v>0</v>
      </c>
      <c r="H1644" t="s">
        <v>15</v>
      </c>
      <c r="I1644" t="s">
        <v>16</v>
      </c>
      <c r="J1644" t="s">
        <v>16</v>
      </c>
      <c r="K1644" t="str">
        <f>VLOOKUP(C1644,CheckName!A:B,2,0)</f>
        <v>Emp</v>
      </c>
      <c r="L1644">
        <v>0</v>
      </c>
      <c r="M1644">
        <f t="shared" si="224"/>
        <v>13</v>
      </c>
      <c r="N1644" t="str">
        <f>TEXT(MTDRejection[[#This Row],[RejectionDate]],"dddd")</f>
        <v>Friday</v>
      </c>
    </row>
    <row r="1645" spans="1:14">
      <c r="A1645" t="s">
        <v>945</v>
      </c>
      <c r="B1645" t="s">
        <v>4218</v>
      </c>
      <c r="C1645" t="s">
        <v>12</v>
      </c>
      <c r="D1645" t="s">
        <v>26</v>
      </c>
      <c r="E1645" s="7">
        <v>45639</v>
      </c>
      <c r="F1645" t="s">
        <v>2354</v>
      </c>
      <c r="G1645">
        <v>0</v>
      </c>
      <c r="H1645" t="s">
        <v>27</v>
      </c>
      <c r="I1645" t="s">
        <v>16</v>
      </c>
      <c r="J1645" t="s">
        <v>16</v>
      </c>
      <c r="K1645" t="str">
        <f>VLOOKUP(C1645,CheckName!A:B,2,0)</f>
        <v>Emp</v>
      </c>
      <c r="L1645">
        <v>1</v>
      </c>
      <c r="M1645">
        <f t="shared" si="224"/>
        <v>13</v>
      </c>
      <c r="N1645" t="str">
        <f>TEXT(MTDRejection[[#This Row],[RejectionDate]],"dddd")</f>
        <v>Friday</v>
      </c>
    </row>
    <row r="1646" spans="1:14">
      <c r="A1646" t="s">
        <v>1884</v>
      </c>
      <c r="B1646" t="s">
        <v>4219</v>
      </c>
      <c r="C1646" t="s">
        <v>1664</v>
      </c>
      <c r="D1646" t="s">
        <v>26</v>
      </c>
      <c r="E1646" s="7">
        <v>45639</v>
      </c>
      <c r="F1646" t="s">
        <v>504</v>
      </c>
      <c r="G1646">
        <v>0</v>
      </c>
      <c r="H1646" t="s">
        <v>22</v>
      </c>
      <c r="I1646" t="s">
        <v>16</v>
      </c>
      <c r="J1646" t="s">
        <v>16</v>
      </c>
      <c r="K1646" t="str">
        <f>VLOOKUP(C1646,CheckName!A:B,2,0)</f>
        <v>Edu</v>
      </c>
      <c r="L1646">
        <v>0</v>
      </c>
      <c r="M1646">
        <f t="shared" si="224"/>
        <v>13</v>
      </c>
      <c r="N1646" t="str">
        <f>TEXT(MTDRejection[[#This Row],[RejectionDate]],"dddd")</f>
        <v>Friday</v>
      </c>
    </row>
    <row r="1647" spans="1:14">
      <c r="A1647" t="s">
        <v>216</v>
      </c>
      <c r="B1647" t="s">
        <v>4220</v>
      </c>
      <c r="C1647" t="s">
        <v>25</v>
      </c>
      <c r="D1647" t="s">
        <v>51</v>
      </c>
      <c r="E1647" s="7">
        <v>45639</v>
      </c>
      <c r="F1647" t="s">
        <v>2349</v>
      </c>
      <c r="G1647">
        <v>0</v>
      </c>
      <c r="H1647" t="s">
        <v>53</v>
      </c>
      <c r="I1647" t="s">
        <v>16</v>
      </c>
      <c r="J1647" t="s">
        <v>16</v>
      </c>
      <c r="K1647" t="str">
        <f>VLOOKUP(C1647,CheckName!A:B,2,0)</f>
        <v>Add</v>
      </c>
      <c r="L1647">
        <v>0</v>
      </c>
      <c r="M1647">
        <f t="shared" si="224"/>
        <v>13</v>
      </c>
      <c r="N1647" t="str">
        <f>TEXT(MTDRejection[[#This Row],[RejectionDate]],"dddd")</f>
        <v>Friday</v>
      </c>
    </row>
    <row r="1648" spans="1:14">
      <c r="A1648" t="s">
        <v>306</v>
      </c>
      <c r="B1648" t="s">
        <v>4221</v>
      </c>
      <c r="C1648" t="s">
        <v>259</v>
      </c>
      <c r="D1648" t="s">
        <v>51</v>
      </c>
      <c r="E1648" s="7">
        <v>45639</v>
      </c>
      <c r="F1648" t="s">
        <v>2349</v>
      </c>
      <c r="G1648">
        <v>0</v>
      </c>
      <c r="H1648" t="s">
        <v>53</v>
      </c>
      <c r="I1648" t="s">
        <v>16</v>
      </c>
      <c r="J1648" t="s">
        <v>16</v>
      </c>
      <c r="K1648" t="str">
        <f>VLOOKUP(C1648,CheckName!A:B,2,0)</f>
        <v>Emp</v>
      </c>
      <c r="L1648">
        <v>0</v>
      </c>
      <c r="M1648">
        <f t="shared" si="224"/>
        <v>13</v>
      </c>
      <c r="N1648" t="str">
        <f>TEXT(MTDRejection[[#This Row],[RejectionDate]],"dddd")</f>
        <v>Friday</v>
      </c>
    </row>
    <row r="1649" spans="1:14">
      <c r="A1649" t="s">
        <v>100</v>
      </c>
      <c r="B1649" t="s">
        <v>4222</v>
      </c>
      <c r="C1649" t="s">
        <v>357</v>
      </c>
      <c r="D1649" t="s">
        <v>13</v>
      </c>
      <c r="E1649" s="7">
        <v>45639</v>
      </c>
      <c r="F1649" t="s">
        <v>1861</v>
      </c>
      <c r="G1649">
        <v>0</v>
      </c>
      <c r="H1649" t="s">
        <v>15</v>
      </c>
      <c r="I1649" t="s">
        <v>16</v>
      </c>
      <c r="J1649" t="s">
        <v>16</v>
      </c>
      <c r="K1649" t="str">
        <f>VLOOKUP(C1649,CheckName!A:B,2,0)</f>
        <v>Emp</v>
      </c>
      <c r="L1649">
        <v>0</v>
      </c>
      <c r="M1649">
        <f t="shared" si="224"/>
        <v>13</v>
      </c>
      <c r="N1649" t="str">
        <f>TEXT(MTDRejection[[#This Row],[RejectionDate]],"dddd")</f>
        <v>Friday</v>
      </c>
    </row>
    <row r="1650" spans="1:14">
      <c r="A1650" t="s">
        <v>100</v>
      </c>
      <c r="B1650" t="s">
        <v>4223</v>
      </c>
      <c r="C1650" t="s">
        <v>359</v>
      </c>
      <c r="D1650" t="s">
        <v>13</v>
      </c>
      <c r="E1650" s="7">
        <v>45639</v>
      </c>
      <c r="F1650" t="s">
        <v>1861</v>
      </c>
      <c r="G1650">
        <v>0</v>
      </c>
      <c r="H1650" t="s">
        <v>15</v>
      </c>
      <c r="I1650" t="s">
        <v>16</v>
      </c>
      <c r="J1650" t="s">
        <v>16</v>
      </c>
      <c r="K1650" t="str">
        <f>VLOOKUP(C1650,CheckName!A:B,2,0)</f>
        <v>Emp</v>
      </c>
      <c r="L1650">
        <v>0</v>
      </c>
      <c r="M1650">
        <f t="shared" si="224"/>
        <v>13</v>
      </c>
      <c r="N1650" t="str">
        <f>TEXT(MTDRejection[[#This Row],[RejectionDate]],"dddd")</f>
        <v>Friday</v>
      </c>
    </row>
    <row r="1651" spans="1:14">
      <c r="A1651" t="s">
        <v>362</v>
      </c>
      <c r="B1651" t="s">
        <v>4224</v>
      </c>
      <c r="C1651" t="s">
        <v>12</v>
      </c>
      <c r="D1651" t="s">
        <v>26</v>
      </c>
      <c r="E1651" s="7">
        <v>45639</v>
      </c>
      <c r="F1651" t="s">
        <v>83</v>
      </c>
      <c r="G1651">
        <v>0</v>
      </c>
      <c r="H1651" t="s">
        <v>27</v>
      </c>
      <c r="I1651" t="s">
        <v>16</v>
      </c>
      <c r="J1651" t="s">
        <v>16</v>
      </c>
      <c r="K1651" t="str">
        <f>VLOOKUP(C1651,CheckName!A:B,2,0)</f>
        <v>Emp</v>
      </c>
      <c r="L1651">
        <v>0</v>
      </c>
      <c r="M1651">
        <f t="shared" ref="M1651:M1652" si="225">DAY(E1651)</f>
        <v>13</v>
      </c>
      <c r="N1651" t="str">
        <f>TEXT(MTDRejection[[#This Row],[RejectionDate]],"dddd")</f>
        <v>Friday</v>
      </c>
    </row>
    <row r="1652" spans="1:14">
      <c r="A1652" t="s">
        <v>667</v>
      </c>
      <c r="B1652" t="s">
        <v>4225</v>
      </c>
      <c r="C1652" t="s">
        <v>36</v>
      </c>
      <c r="D1652" t="s">
        <v>26</v>
      </c>
      <c r="E1652" s="7">
        <v>45639</v>
      </c>
      <c r="F1652" t="s">
        <v>355</v>
      </c>
      <c r="G1652">
        <v>0</v>
      </c>
      <c r="H1652" t="s">
        <v>27</v>
      </c>
      <c r="I1652" t="s">
        <v>16</v>
      </c>
      <c r="J1652" t="s">
        <v>16</v>
      </c>
      <c r="K1652" t="str">
        <f>VLOOKUP(C1652,CheckName!A:B,2,0)</f>
        <v>Emp</v>
      </c>
      <c r="L1652">
        <v>0</v>
      </c>
      <c r="M1652">
        <f t="shared" si="225"/>
        <v>13</v>
      </c>
      <c r="N1652" t="str">
        <f>TEXT(MTDRejection[[#This Row],[RejectionDate]],"dddd")</f>
        <v>Friday</v>
      </c>
    </row>
    <row r="1653" spans="1:14">
      <c r="A1653" t="s">
        <v>216</v>
      </c>
      <c r="B1653" t="s">
        <v>4226</v>
      </c>
      <c r="C1653" t="s">
        <v>54</v>
      </c>
      <c r="D1653" t="s">
        <v>13</v>
      </c>
      <c r="E1653" s="7">
        <v>45639</v>
      </c>
      <c r="F1653" t="s">
        <v>844</v>
      </c>
      <c r="G1653">
        <v>0</v>
      </c>
      <c r="H1653" t="s">
        <v>15</v>
      </c>
      <c r="I1653" t="s">
        <v>16</v>
      </c>
      <c r="J1653" t="s">
        <v>16</v>
      </c>
      <c r="K1653" t="str">
        <f>VLOOKUP(C1653,CheckName!A:B,2,0)</f>
        <v>Edu</v>
      </c>
      <c r="L1653">
        <v>0</v>
      </c>
      <c r="M1653">
        <f t="shared" ref="M1653:M1657" si="226">DAY(E1653)</f>
        <v>13</v>
      </c>
      <c r="N1653" t="str">
        <f>TEXT(MTDRejection[[#This Row],[RejectionDate]],"dddd")</f>
        <v>Friday</v>
      </c>
    </row>
    <row r="1654" spans="1:14">
      <c r="A1654" t="s">
        <v>216</v>
      </c>
      <c r="B1654" t="s">
        <v>4227</v>
      </c>
      <c r="C1654" t="s">
        <v>1730</v>
      </c>
      <c r="D1654" t="s">
        <v>13</v>
      </c>
      <c r="E1654" s="7">
        <v>45639</v>
      </c>
      <c r="F1654" t="s">
        <v>844</v>
      </c>
      <c r="G1654">
        <v>0</v>
      </c>
      <c r="H1654" t="s">
        <v>15</v>
      </c>
      <c r="I1654" t="s">
        <v>16</v>
      </c>
      <c r="J1654" t="s">
        <v>16</v>
      </c>
      <c r="K1654" t="str">
        <f>VLOOKUP(C1654,CheckName!A:B,2,0)</f>
        <v>Special Check</v>
      </c>
      <c r="L1654">
        <v>0</v>
      </c>
      <c r="M1654">
        <f t="shared" si="226"/>
        <v>13</v>
      </c>
      <c r="N1654" t="str">
        <f>TEXT(MTDRejection[[#This Row],[RejectionDate]],"dddd")</f>
        <v>Friday</v>
      </c>
    </row>
    <row r="1655" spans="1:14">
      <c r="A1655" t="s">
        <v>360</v>
      </c>
      <c r="B1655" t="s">
        <v>4228</v>
      </c>
      <c r="C1655" t="s">
        <v>36</v>
      </c>
      <c r="D1655" t="s">
        <v>13</v>
      </c>
      <c r="E1655" s="7">
        <v>45639</v>
      </c>
      <c r="F1655" t="s">
        <v>530</v>
      </c>
      <c r="G1655">
        <v>0</v>
      </c>
      <c r="H1655" t="s">
        <v>15</v>
      </c>
      <c r="I1655" t="s">
        <v>16</v>
      </c>
      <c r="J1655" t="s">
        <v>16</v>
      </c>
      <c r="K1655" t="str">
        <f>VLOOKUP(C1655,CheckName!A:B,2,0)</f>
        <v>Emp</v>
      </c>
      <c r="L1655">
        <v>0</v>
      </c>
      <c r="M1655">
        <f t="shared" si="226"/>
        <v>13</v>
      </c>
      <c r="N1655" t="str">
        <f>TEXT(MTDRejection[[#This Row],[RejectionDate]],"dddd")</f>
        <v>Friday</v>
      </c>
    </row>
    <row r="1656" spans="1:14">
      <c r="A1656" t="s">
        <v>360</v>
      </c>
      <c r="B1656" t="s">
        <v>4229</v>
      </c>
      <c r="C1656" t="s">
        <v>125</v>
      </c>
      <c r="D1656" t="s">
        <v>13</v>
      </c>
      <c r="E1656" s="7">
        <v>45639</v>
      </c>
      <c r="F1656" t="s">
        <v>530</v>
      </c>
      <c r="G1656">
        <v>0</v>
      </c>
      <c r="H1656" t="s">
        <v>15</v>
      </c>
      <c r="I1656" t="s">
        <v>16</v>
      </c>
      <c r="J1656" t="s">
        <v>16</v>
      </c>
      <c r="K1656" t="str">
        <f>VLOOKUP(C1656,CheckName!A:B,2,0)</f>
        <v>Emp</v>
      </c>
      <c r="L1656">
        <v>0</v>
      </c>
      <c r="M1656">
        <f t="shared" si="226"/>
        <v>13</v>
      </c>
      <c r="N1656" t="str">
        <f>TEXT(MTDRejection[[#This Row],[RejectionDate]],"dddd")</f>
        <v>Friday</v>
      </c>
    </row>
    <row r="1657" spans="1:14">
      <c r="A1657" t="s">
        <v>312</v>
      </c>
      <c r="B1657" t="s">
        <v>4230</v>
      </c>
      <c r="C1657" t="s">
        <v>12</v>
      </c>
      <c r="D1657" t="s">
        <v>26</v>
      </c>
      <c r="E1657" s="7">
        <v>45639</v>
      </c>
      <c r="F1657" t="s">
        <v>721</v>
      </c>
      <c r="G1657">
        <v>0</v>
      </c>
      <c r="H1657" t="s">
        <v>27</v>
      </c>
      <c r="I1657" t="s">
        <v>16</v>
      </c>
      <c r="J1657" t="s">
        <v>16</v>
      </c>
      <c r="K1657" t="str">
        <f>VLOOKUP(C1657,CheckName!A:B,2,0)</f>
        <v>Emp</v>
      </c>
      <c r="L1657">
        <v>0</v>
      </c>
      <c r="M1657">
        <f t="shared" si="226"/>
        <v>13</v>
      </c>
      <c r="N1657" t="str">
        <f>TEXT(MTDRejection[[#This Row],[RejectionDate]],"dddd")</f>
        <v>Friday</v>
      </c>
    </row>
    <row r="1658" spans="1:14">
      <c r="A1658" t="s">
        <v>519</v>
      </c>
      <c r="B1658" t="s">
        <v>4231</v>
      </c>
      <c r="C1658" t="s">
        <v>1293</v>
      </c>
      <c r="D1658" t="s">
        <v>26</v>
      </c>
      <c r="E1658" s="7">
        <v>45639</v>
      </c>
      <c r="F1658" t="s">
        <v>94</v>
      </c>
      <c r="G1658">
        <v>0</v>
      </c>
      <c r="H1658" t="s">
        <v>27</v>
      </c>
      <c r="I1658" t="s">
        <v>16</v>
      </c>
      <c r="J1658" t="s">
        <v>16</v>
      </c>
      <c r="K1658" t="str">
        <f>VLOOKUP(C1658,CheckName!A:B,2,0)</f>
        <v>Edu</v>
      </c>
      <c r="L1658">
        <v>0</v>
      </c>
      <c r="M1658">
        <f t="shared" ref="M1658:M1660" si="227">DAY(E1658)</f>
        <v>13</v>
      </c>
      <c r="N1658" t="str">
        <f>TEXT(MTDRejection[[#This Row],[RejectionDate]],"dddd")</f>
        <v>Friday</v>
      </c>
    </row>
    <row r="1659" spans="1:14">
      <c r="A1659" t="s">
        <v>45</v>
      </c>
      <c r="B1659" t="s">
        <v>4232</v>
      </c>
      <c r="C1659" t="s">
        <v>54</v>
      </c>
      <c r="D1659" t="s">
        <v>13</v>
      </c>
      <c r="E1659" s="7">
        <v>45639</v>
      </c>
      <c r="F1659" t="s">
        <v>98</v>
      </c>
      <c r="G1659">
        <v>0</v>
      </c>
      <c r="H1659" t="s">
        <v>15</v>
      </c>
      <c r="I1659" t="s">
        <v>16</v>
      </c>
      <c r="J1659" t="s">
        <v>16</v>
      </c>
      <c r="K1659" t="str">
        <f>VLOOKUP(C1659,CheckName!A:B,2,0)</f>
        <v>Edu</v>
      </c>
      <c r="L1659">
        <v>0</v>
      </c>
      <c r="M1659">
        <f t="shared" si="227"/>
        <v>13</v>
      </c>
      <c r="N1659" t="str">
        <f>TEXT(MTDRejection[[#This Row],[RejectionDate]],"dddd")</f>
        <v>Friday</v>
      </c>
    </row>
    <row r="1660" spans="1:14">
      <c r="A1660" t="s">
        <v>133</v>
      </c>
      <c r="B1660" t="s">
        <v>2420</v>
      </c>
      <c r="C1660" t="s">
        <v>12</v>
      </c>
      <c r="D1660" t="s">
        <v>26</v>
      </c>
      <c r="E1660" s="7">
        <v>45639</v>
      </c>
      <c r="F1660" t="s">
        <v>162</v>
      </c>
      <c r="G1660">
        <v>0</v>
      </c>
      <c r="H1660" t="s">
        <v>27</v>
      </c>
      <c r="I1660" t="s">
        <v>16</v>
      </c>
      <c r="J1660" t="s">
        <v>16</v>
      </c>
      <c r="K1660" t="str">
        <f>VLOOKUP(C1660,CheckName!A:B,2,0)</f>
        <v>Emp</v>
      </c>
      <c r="L1660">
        <v>0</v>
      </c>
      <c r="M1660">
        <f t="shared" si="227"/>
        <v>13</v>
      </c>
      <c r="N1660" t="str">
        <f>TEXT(MTDRejection[[#This Row],[RejectionDate]],"dddd")</f>
        <v>Friday</v>
      </c>
    </row>
    <row r="1661" spans="1:14">
      <c r="A1661" t="s">
        <v>1858</v>
      </c>
      <c r="B1661" t="s">
        <v>4233</v>
      </c>
      <c r="C1661" t="s">
        <v>1692</v>
      </c>
      <c r="D1661" t="s">
        <v>26</v>
      </c>
      <c r="E1661" s="7">
        <v>45639</v>
      </c>
      <c r="F1661" t="s">
        <v>118</v>
      </c>
      <c r="G1661">
        <v>0</v>
      </c>
      <c r="H1661" t="s">
        <v>27</v>
      </c>
      <c r="I1661" t="s">
        <v>16</v>
      </c>
      <c r="J1661" t="s">
        <v>16</v>
      </c>
      <c r="K1661" t="str">
        <f>VLOOKUP(C1661,CheckName!A:B,2,0)</f>
        <v>CRC</v>
      </c>
      <c r="L1661">
        <v>0</v>
      </c>
      <c r="M1661">
        <f t="shared" ref="M1661:M1662" si="228">DAY(E1661)</f>
        <v>13</v>
      </c>
      <c r="N1661" t="str">
        <f>TEXT(MTDRejection[[#This Row],[RejectionDate]],"dddd")</f>
        <v>Friday</v>
      </c>
    </row>
    <row r="1662" spans="1:14">
      <c r="A1662" t="s">
        <v>45</v>
      </c>
      <c r="B1662" t="s">
        <v>4234</v>
      </c>
      <c r="C1662" t="s">
        <v>36</v>
      </c>
      <c r="D1662" t="s">
        <v>26</v>
      </c>
      <c r="E1662" s="7">
        <v>45639</v>
      </c>
      <c r="F1662" t="s">
        <v>2346</v>
      </c>
      <c r="G1662">
        <v>0</v>
      </c>
      <c r="H1662" t="s">
        <v>27</v>
      </c>
      <c r="I1662" t="s">
        <v>16</v>
      </c>
      <c r="J1662" t="s">
        <v>16</v>
      </c>
      <c r="K1662" t="str">
        <f>VLOOKUP(C1662,CheckName!A:B,2,0)</f>
        <v>Emp</v>
      </c>
      <c r="L1662">
        <v>0</v>
      </c>
      <c r="M1662">
        <f t="shared" si="228"/>
        <v>13</v>
      </c>
      <c r="N1662" t="str">
        <f>TEXT(MTDRejection[[#This Row],[RejectionDate]],"dddd")</f>
        <v>Friday</v>
      </c>
    </row>
    <row r="1663" spans="1:14">
      <c r="A1663" t="s">
        <v>10</v>
      </c>
      <c r="B1663" t="s">
        <v>4235</v>
      </c>
      <c r="C1663" t="s">
        <v>54</v>
      </c>
      <c r="D1663" t="s">
        <v>26</v>
      </c>
      <c r="E1663" s="7">
        <v>45639</v>
      </c>
      <c r="F1663" t="s">
        <v>121</v>
      </c>
      <c r="G1663">
        <v>0</v>
      </c>
      <c r="H1663" t="s">
        <v>130</v>
      </c>
      <c r="I1663" t="s">
        <v>16</v>
      </c>
      <c r="J1663" t="s">
        <v>16</v>
      </c>
      <c r="K1663" t="str">
        <f>VLOOKUP(C1663,CheckName!A:B,2,0)</f>
        <v>Edu</v>
      </c>
      <c r="L1663">
        <v>0</v>
      </c>
      <c r="M1663">
        <f t="shared" ref="M1663:M1671" si="229">DAY(E1663)</f>
        <v>13</v>
      </c>
      <c r="N1663" t="str">
        <f>TEXT(MTDRejection[[#This Row],[RejectionDate]],"dddd")</f>
        <v>Friday</v>
      </c>
    </row>
    <row r="1664" spans="1:14">
      <c r="A1664" t="s">
        <v>100</v>
      </c>
      <c r="B1664" t="s">
        <v>4236</v>
      </c>
      <c r="C1664" t="s">
        <v>929</v>
      </c>
      <c r="D1664" t="s">
        <v>38</v>
      </c>
      <c r="E1664" s="7">
        <v>45639</v>
      </c>
      <c r="F1664" t="s">
        <v>118</v>
      </c>
      <c r="G1664">
        <v>0</v>
      </c>
      <c r="H1664" t="s">
        <v>22</v>
      </c>
      <c r="I1664" t="s">
        <v>16</v>
      </c>
      <c r="J1664" t="s">
        <v>16</v>
      </c>
      <c r="K1664" t="str">
        <f>VLOOKUP(C1664,CheckName!A:B,2,0)</f>
        <v>Investigation</v>
      </c>
      <c r="L1664">
        <v>0</v>
      </c>
      <c r="M1664">
        <f t="shared" si="229"/>
        <v>13</v>
      </c>
      <c r="N1664" t="str">
        <f>TEXT(MTDRejection[[#This Row],[RejectionDate]],"dddd")</f>
        <v>Friday</v>
      </c>
    </row>
    <row r="1665" spans="1:14">
      <c r="A1665" t="s">
        <v>100</v>
      </c>
      <c r="B1665" t="s">
        <v>4237</v>
      </c>
      <c r="C1665" t="s">
        <v>1184</v>
      </c>
      <c r="D1665" t="s">
        <v>38</v>
      </c>
      <c r="E1665" s="7">
        <v>45639</v>
      </c>
      <c r="F1665" t="s">
        <v>118</v>
      </c>
      <c r="G1665">
        <v>0</v>
      </c>
      <c r="H1665" t="s">
        <v>22</v>
      </c>
      <c r="I1665" t="s">
        <v>16</v>
      </c>
      <c r="J1665" t="s">
        <v>16</v>
      </c>
      <c r="K1665" t="str">
        <f>VLOOKUP(C1665,CheckName!A:B,2,0)</f>
        <v>Investigation</v>
      </c>
      <c r="L1665">
        <v>0</v>
      </c>
      <c r="M1665">
        <f t="shared" si="229"/>
        <v>13</v>
      </c>
      <c r="N1665" t="str">
        <f>TEXT(MTDRejection[[#This Row],[RejectionDate]],"dddd")</f>
        <v>Friday</v>
      </c>
    </row>
    <row r="1666" spans="1:14">
      <c r="A1666" t="s">
        <v>876</v>
      </c>
      <c r="B1666" t="s">
        <v>4238</v>
      </c>
      <c r="C1666" t="s">
        <v>122</v>
      </c>
      <c r="D1666" t="s">
        <v>38</v>
      </c>
      <c r="E1666" s="7">
        <v>45639</v>
      </c>
      <c r="F1666" t="s">
        <v>118</v>
      </c>
      <c r="G1666">
        <v>0</v>
      </c>
      <c r="H1666" t="s">
        <v>27</v>
      </c>
      <c r="I1666" t="s">
        <v>16</v>
      </c>
      <c r="J1666" t="s">
        <v>16</v>
      </c>
      <c r="K1666" t="str">
        <f>VLOOKUP(C1666,CheckName!A:B,2,0)</f>
        <v>Special Check</v>
      </c>
      <c r="L1666">
        <v>0</v>
      </c>
      <c r="M1666">
        <f t="shared" si="229"/>
        <v>13</v>
      </c>
      <c r="N1666" t="str">
        <f>TEXT(MTDRejection[[#This Row],[RejectionDate]],"dddd")</f>
        <v>Friday</v>
      </c>
    </row>
    <row r="1667" spans="1:14">
      <c r="A1667" t="s">
        <v>96</v>
      </c>
      <c r="B1667" t="s">
        <v>4239</v>
      </c>
      <c r="C1667" t="s">
        <v>533</v>
      </c>
      <c r="D1667" t="s">
        <v>38</v>
      </c>
      <c r="E1667" s="7">
        <v>45639</v>
      </c>
      <c r="F1667" t="s">
        <v>118</v>
      </c>
      <c r="G1667">
        <v>0</v>
      </c>
      <c r="H1667" t="s">
        <v>42</v>
      </c>
      <c r="I1667" t="s">
        <v>16</v>
      </c>
      <c r="J1667" t="s">
        <v>16</v>
      </c>
      <c r="K1667" t="str">
        <f>VLOOKUP(C1667,CheckName!A:B,2,0)</f>
        <v>CRC</v>
      </c>
      <c r="L1667">
        <v>0</v>
      </c>
      <c r="M1667">
        <f t="shared" si="229"/>
        <v>13</v>
      </c>
      <c r="N1667" t="str">
        <f>TEXT(MTDRejection[[#This Row],[RejectionDate]],"dddd")</f>
        <v>Friday</v>
      </c>
    </row>
    <row r="1668" spans="1:14">
      <c r="A1668" t="s">
        <v>876</v>
      </c>
      <c r="B1668" t="s">
        <v>4240</v>
      </c>
      <c r="C1668" t="s">
        <v>71</v>
      </c>
      <c r="D1668" t="s">
        <v>26</v>
      </c>
      <c r="E1668" s="7">
        <v>45639</v>
      </c>
      <c r="F1668" t="s">
        <v>118</v>
      </c>
      <c r="G1668">
        <v>0</v>
      </c>
      <c r="H1668" t="s">
        <v>27</v>
      </c>
      <c r="I1668" t="s">
        <v>16</v>
      </c>
      <c r="J1668" t="s">
        <v>16</v>
      </c>
      <c r="K1668" t="str">
        <f>VLOOKUP(C1668,CheckName!A:B,2,0)</f>
        <v>CRC</v>
      </c>
      <c r="L1668">
        <v>0</v>
      </c>
      <c r="M1668">
        <f t="shared" si="229"/>
        <v>13</v>
      </c>
      <c r="N1668" t="str">
        <f>TEXT(MTDRejection[[#This Row],[RejectionDate]],"dddd")</f>
        <v>Friday</v>
      </c>
    </row>
    <row r="1669" spans="1:14">
      <c r="A1669" t="s">
        <v>100</v>
      </c>
      <c r="B1669" t="s">
        <v>4241</v>
      </c>
      <c r="C1669" t="s">
        <v>775</v>
      </c>
      <c r="D1669" t="s">
        <v>26</v>
      </c>
      <c r="E1669" s="7">
        <v>45639</v>
      </c>
      <c r="F1669" t="s">
        <v>2355</v>
      </c>
      <c r="G1669">
        <v>0</v>
      </c>
      <c r="H1669" t="s">
        <v>27</v>
      </c>
      <c r="I1669" t="s">
        <v>16</v>
      </c>
      <c r="J1669" t="s">
        <v>16</v>
      </c>
      <c r="K1669" t="str">
        <f>VLOOKUP(C1669,CheckName!A:B,2,0)</f>
        <v>Emp</v>
      </c>
      <c r="L1669">
        <v>0</v>
      </c>
      <c r="M1669">
        <f t="shared" si="229"/>
        <v>13</v>
      </c>
      <c r="N1669" t="str">
        <f>TEXT(MTDRejection[[#This Row],[RejectionDate]],"dddd")</f>
        <v>Friday</v>
      </c>
    </row>
    <row r="1670" spans="1:14">
      <c r="A1670" t="s">
        <v>288</v>
      </c>
      <c r="B1670" t="s">
        <v>4242</v>
      </c>
      <c r="C1670" t="s">
        <v>25</v>
      </c>
      <c r="D1670" t="s">
        <v>26</v>
      </c>
      <c r="E1670" s="7">
        <v>45639</v>
      </c>
      <c r="F1670" t="s">
        <v>129</v>
      </c>
      <c r="G1670">
        <v>0</v>
      </c>
      <c r="H1670" t="s">
        <v>27</v>
      </c>
      <c r="I1670" t="s">
        <v>16</v>
      </c>
      <c r="J1670" t="s">
        <v>16</v>
      </c>
      <c r="K1670" t="str">
        <f>VLOOKUP(C1670,CheckName!A:B,2,0)</f>
        <v>Add</v>
      </c>
      <c r="L1670">
        <v>0</v>
      </c>
      <c r="M1670">
        <f t="shared" si="229"/>
        <v>13</v>
      </c>
      <c r="N1670" t="str">
        <f>TEXT(MTDRejection[[#This Row],[RejectionDate]],"dddd")</f>
        <v>Friday</v>
      </c>
    </row>
    <row r="1671" spans="1:14">
      <c r="A1671" t="s">
        <v>216</v>
      </c>
      <c r="B1671" t="s">
        <v>4243</v>
      </c>
      <c r="C1671" t="s">
        <v>54</v>
      </c>
      <c r="D1671" t="s">
        <v>26</v>
      </c>
      <c r="E1671" s="7">
        <v>45639</v>
      </c>
      <c r="F1671" t="s">
        <v>309</v>
      </c>
      <c r="G1671">
        <v>0</v>
      </c>
      <c r="H1671" t="s">
        <v>27</v>
      </c>
      <c r="I1671" t="s">
        <v>16</v>
      </c>
      <c r="J1671" t="s">
        <v>16</v>
      </c>
      <c r="K1671" t="str">
        <f>VLOOKUP(C1671,CheckName!A:B,2,0)</f>
        <v>Edu</v>
      </c>
      <c r="L1671">
        <v>0</v>
      </c>
      <c r="M1671">
        <f t="shared" si="229"/>
        <v>13</v>
      </c>
      <c r="N1671" t="str">
        <f>TEXT(MTDRejection[[#This Row],[RejectionDate]],"dddd")</f>
        <v>Friday</v>
      </c>
    </row>
    <row r="1672" spans="1:14">
      <c r="A1672" t="s">
        <v>1885</v>
      </c>
      <c r="B1672" t="s">
        <v>4244</v>
      </c>
      <c r="C1672" t="s">
        <v>36</v>
      </c>
      <c r="D1672" t="s">
        <v>26</v>
      </c>
      <c r="E1672" s="7">
        <v>45638</v>
      </c>
      <c r="F1672" t="s">
        <v>675</v>
      </c>
      <c r="G1672">
        <v>1</v>
      </c>
      <c r="H1672" t="s">
        <v>22</v>
      </c>
      <c r="I1672" t="s">
        <v>16</v>
      </c>
      <c r="J1672" t="s">
        <v>16</v>
      </c>
      <c r="K1672" t="str">
        <f>VLOOKUP(C1672,CheckName!A:B,2,0)</f>
        <v>Emp</v>
      </c>
      <c r="L1672">
        <v>0</v>
      </c>
      <c r="M1672">
        <f>DAY(E1672)</f>
        <v>12</v>
      </c>
      <c r="N1672" t="str">
        <f>TEXT(MTDRejection[[#This Row],[RejectionDate]],"dddd")</f>
        <v>Thursday</v>
      </c>
    </row>
    <row r="1673" spans="1:14">
      <c r="A1673" t="s">
        <v>360</v>
      </c>
      <c r="B1673" t="s">
        <v>4245</v>
      </c>
      <c r="C1673" t="s">
        <v>980</v>
      </c>
      <c r="D1673" t="s">
        <v>20</v>
      </c>
      <c r="E1673" s="7">
        <v>45639</v>
      </c>
      <c r="F1673" t="s">
        <v>2327</v>
      </c>
      <c r="G1673">
        <v>0</v>
      </c>
      <c r="H1673" t="s">
        <v>27</v>
      </c>
      <c r="I1673" t="s">
        <v>16</v>
      </c>
      <c r="J1673" t="s">
        <v>16</v>
      </c>
      <c r="K1673" t="str">
        <f>VLOOKUP(C1673,CheckName!A:B,2,0)</f>
        <v>Add</v>
      </c>
      <c r="L1673">
        <v>0</v>
      </c>
      <c r="M1673">
        <f t="shared" ref="M1673:M1678" si="230">DAY(E1673)</f>
        <v>13</v>
      </c>
      <c r="N1673" t="str">
        <f>TEXT(MTDRejection[[#This Row],[RejectionDate]],"dddd")</f>
        <v>Friday</v>
      </c>
    </row>
    <row r="1674" spans="1:14">
      <c r="A1674" t="s">
        <v>84</v>
      </c>
      <c r="B1674" t="s">
        <v>3846</v>
      </c>
      <c r="C1674" t="s">
        <v>467</v>
      </c>
      <c r="D1674" t="s">
        <v>26</v>
      </c>
      <c r="E1674" s="7">
        <v>45639</v>
      </c>
      <c r="F1674" t="s">
        <v>236</v>
      </c>
      <c r="G1674">
        <v>0</v>
      </c>
      <c r="H1674" t="s">
        <v>22</v>
      </c>
      <c r="I1674" t="s">
        <v>16</v>
      </c>
      <c r="J1674" t="s">
        <v>16</v>
      </c>
      <c r="K1674" t="str">
        <f>VLOOKUP(C1674,CheckName!A:B,2,0)</f>
        <v>Special Check</v>
      </c>
      <c r="L1674">
        <v>0</v>
      </c>
      <c r="M1674">
        <f t="shared" si="230"/>
        <v>13</v>
      </c>
      <c r="N1674" t="str">
        <f>TEXT(MTDRejection[[#This Row],[RejectionDate]],"dddd")</f>
        <v>Friday</v>
      </c>
    </row>
    <row r="1675" spans="1:14">
      <c r="A1675" t="s">
        <v>84</v>
      </c>
      <c r="B1675" t="s">
        <v>4246</v>
      </c>
      <c r="C1675" t="s">
        <v>467</v>
      </c>
      <c r="D1675" t="s">
        <v>26</v>
      </c>
      <c r="E1675" s="7">
        <v>45639</v>
      </c>
      <c r="F1675" t="s">
        <v>236</v>
      </c>
      <c r="G1675">
        <v>0</v>
      </c>
      <c r="H1675" t="s">
        <v>22</v>
      </c>
      <c r="I1675" t="s">
        <v>16</v>
      </c>
      <c r="J1675" t="s">
        <v>16</v>
      </c>
      <c r="K1675" t="str">
        <f>VLOOKUP(C1675,CheckName!A:B,2,0)</f>
        <v>Special Check</v>
      </c>
      <c r="L1675">
        <v>0</v>
      </c>
      <c r="M1675">
        <f t="shared" si="230"/>
        <v>13</v>
      </c>
      <c r="N1675" t="str">
        <f>TEXT(MTDRejection[[#This Row],[RejectionDate]],"dddd")</f>
        <v>Friday</v>
      </c>
    </row>
    <row r="1676" spans="1:14">
      <c r="A1676" t="s">
        <v>47</v>
      </c>
      <c r="B1676" t="s">
        <v>4247</v>
      </c>
      <c r="C1676" t="s">
        <v>25</v>
      </c>
      <c r="D1676" t="s">
        <v>20</v>
      </c>
      <c r="E1676" s="7">
        <v>45639</v>
      </c>
      <c r="F1676" t="s">
        <v>273</v>
      </c>
      <c r="G1676">
        <v>0</v>
      </c>
      <c r="H1676" t="s">
        <v>130</v>
      </c>
      <c r="I1676" t="s">
        <v>16</v>
      </c>
      <c r="J1676" t="s">
        <v>16</v>
      </c>
      <c r="K1676" t="str">
        <f>VLOOKUP(C1676,CheckName!A:B,2,0)</f>
        <v>Add</v>
      </c>
      <c r="L1676">
        <v>0</v>
      </c>
      <c r="M1676">
        <f t="shared" si="230"/>
        <v>13</v>
      </c>
      <c r="N1676" t="str">
        <f>TEXT(MTDRejection[[#This Row],[RejectionDate]],"dddd")</f>
        <v>Friday</v>
      </c>
    </row>
    <row r="1677" spans="1:14">
      <c r="A1677" t="s">
        <v>1886</v>
      </c>
      <c r="B1677" t="s">
        <v>4248</v>
      </c>
      <c r="C1677" t="s">
        <v>25</v>
      </c>
      <c r="D1677" t="s">
        <v>20</v>
      </c>
      <c r="E1677" s="7">
        <v>45639</v>
      </c>
      <c r="F1677" t="s">
        <v>2327</v>
      </c>
      <c r="G1677">
        <v>0</v>
      </c>
      <c r="H1677" t="s">
        <v>27</v>
      </c>
      <c r="I1677" t="s">
        <v>16</v>
      </c>
      <c r="J1677" t="s">
        <v>16</v>
      </c>
      <c r="K1677" t="str">
        <f>VLOOKUP(C1677,CheckName!A:B,2,0)</f>
        <v>Add</v>
      </c>
      <c r="L1677">
        <v>0</v>
      </c>
      <c r="M1677">
        <f t="shared" si="230"/>
        <v>13</v>
      </c>
      <c r="N1677" t="str">
        <f>TEXT(MTDRejection[[#This Row],[RejectionDate]],"dddd")</f>
        <v>Friday</v>
      </c>
    </row>
    <row r="1678" spans="1:14">
      <c r="A1678" t="s">
        <v>1886</v>
      </c>
      <c r="B1678" t="s">
        <v>4249</v>
      </c>
      <c r="C1678" t="s">
        <v>19</v>
      </c>
      <c r="D1678" t="s">
        <v>20</v>
      </c>
      <c r="E1678" s="7">
        <v>45639</v>
      </c>
      <c r="F1678" t="s">
        <v>2327</v>
      </c>
      <c r="G1678">
        <v>0</v>
      </c>
      <c r="H1678" t="s">
        <v>22</v>
      </c>
      <c r="I1678" t="s">
        <v>16</v>
      </c>
      <c r="J1678" t="s">
        <v>16</v>
      </c>
      <c r="K1678" t="str">
        <f>VLOOKUP(C1678,CheckName!A:B,2,0)</f>
        <v>Add</v>
      </c>
      <c r="L1678">
        <v>0</v>
      </c>
      <c r="M1678">
        <f t="shared" si="230"/>
        <v>13</v>
      </c>
      <c r="N1678" t="str">
        <f>TEXT(MTDRejection[[#This Row],[RejectionDate]],"dddd")</f>
        <v>Friday</v>
      </c>
    </row>
    <row r="1679" spans="1:14">
      <c r="A1679" t="s">
        <v>1110</v>
      </c>
      <c r="B1679" t="s">
        <v>4250</v>
      </c>
      <c r="C1679" t="s">
        <v>965</v>
      </c>
      <c r="D1679" t="s">
        <v>20</v>
      </c>
      <c r="E1679" s="7">
        <v>45639</v>
      </c>
      <c r="F1679" t="s">
        <v>2327</v>
      </c>
      <c r="G1679">
        <v>0</v>
      </c>
      <c r="H1679" t="s">
        <v>22</v>
      </c>
      <c r="I1679" t="s">
        <v>16</v>
      </c>
      <c r="J1679" t="s">
        <v>16</v>
      </c>
      <c r="K1679" t="str">
        <f>VLOOKUP(C1679,CheckName!A:B,2,0)</f>
        <v>Add</v>
      </c>
      <c r="L1679">
        <v>0</v>
      </c>
      <c r="M1679">
        <f t="shared" ref="M1679:M1680" si="231">DAY(E1679)</f>
        <v>13</v>
      </c>
      <c r="N1679" t="str">
        <f>TEXT(MTDRejection[[#This Row],[RejectionDate]],"dddd")</f>
        <v>Friday</v>
      </c>
    </row>
    <row r="1680" spans="1:14">
      <c r="A1680" t="s">
        <v>1110</v>
      </c>
      <c r="B1680" t="s">
        <v>4251</v>
      </c>
      <c r="C1680" t="s">
        <v>965</v>
      </c>
      <c r="D1680" t="s">
        <v>20</v>
      </c>
      <c r="E1680" s="7">
        <v>45639</v>
      </c>
      <c r="F1680" t="s">
        <v>2327</v>
      </c>
      <c r="G1680">
        <v>0</v>
      </c>
      <c r="H1680" t="s">
        <v>22</v>
      </c>
      <c r="I1680" t="s">
        <v>16</v>
      </c>
      <c r="J1680" t="s">
        <v>16</v>
      </c>
      <c r="K1680" t="str">
        <f>VLOOKUP(C1680,CheckName!A:B,2,0)</f>
        <v>Add</v>
      </c>
      <c r="L1680">
        <v>0</v>
      </c>
      <c r="M1680">
        <f t="shared" si="231"/>
        <v>13</v>
      </c>
      <c r="N1680" t="str">
        <f>TEXT(MTDRejection[[#This Row],[RejectionDate]],"dddd")</f>
        <v>Friday</v>
      </c>
    </row>
    <row r="1681" spans="1:14">
      <c r="A1681" t="s">
        <v>73</v>
      </c>
      <c r="B1681" t="s">
        <v>4252</v>
      </c>
      <c r="C1681" t="s">
        <v>54</v>
      </c>
      <c r="D1681" t="s">
        <v>13</v>
      </c>
      <c r="E1681" s="7">
        <v>45639</v>
      </c>
      <c r="F1681" t="s">
        <v>33</v>
      </c>
      <c r="G1681">
        <v>0</v>
      </c>
      <c r="H1681" t="s">
        <v>15</v>
      </c>
      <c r="I1681" t="s">
        <v>16</v>
      </c>
      <c r="J1681" t="s">
        <v>16</v>
      </c>
      <c r="K1681" t="str">
        <f>VLOOKUP(C1681,CheckName!A:B,2,0)</f>
        <v>Edu</v>
      </c>
      <c r="L1681">
        <v>0</v>
      </c>
      <c r="M1681">
        <f t="shared" ref="M1681:M1692" si="232">DAY(E1681)</f>
        <v>13</v>
      </c>
      <c r="N1681" t="str">
        <f>TEXT(MTDRejection[[#This Row],[RejectionDate]],"dddd")</f>
        <v>Friday</v>
      </c>
    </row>
    <row r="1682" spans="1:14">
      <c r="A1682" t="s">
        <v>100</v>
      </c>
      <c r="B1682" t="s">
        <v>4253</v>
      </c>
      <c r="C1682" t="s">
        <v>102</v>
      </c>
      <c r="D1682" t="s">
        <v>51</v>
      </c>
      <c r="E1682" s="7">
        <v>45639</v>
      </c>
      <c r="F1682" t="s">
        <v>555</v>
      </c>
      <c r="G1682">
        <v>0</v>
      </c>
      <c r="H1682" t="s">
        <v>53</v>
      </c>
      <c r="I1682" t="s">
        <v>16</v>
      </c>
      <c r="J1682" t="s">
        <v>16</v>
      </c>
      <c r="K1682" t="str">
        <f>VLOOKUP(C1682,CheckName!A:B,2,0)</f>
        <v>Edu</v>
      </c>
      <c r="L1682">
        <v>0</v>
      </c>
      <c r="M1682">
        <f t="shared" si="232"/>
        <v>13</v>
      </c>
      <c r="N1682" t="str">
        <f>TEXT(MTDRejection[[#This Row],[RejectionDate]],"dddd")</f>
        <v>Friday</v>
      </c>
    </row>
    <row r="1683" spans="1:14">
      <c r="A1683" t="s">
        <v>176</v>
      </c>
      <c r="B1683" t="s">
        <v>4254</v>
      </c>
      <c r="C1683" t="s">
        <v>36</v>
      </c>
      <c r="D1683" t="s">
        <v>26</v>
      </c>
      <c r="E1683" s="7">
        <v>45639</v>
      </c>
      <c r="F1683" t="s">
        <v>224</v>
      </c>
      <c r="G1683">
        <v>0</v>
      </c>
      <c r="H1683" t="s">
        <v>27</v>
      </c>
      <c r="I1683" t="s">
        <v>16</v>
      </c>
      <c r="J1683" t="s">
        <v>16</v>
      </c>
      <c r="K1683" t="str">
        <f>VLOOKUP(C1683,CheckName!A:B,2,0)</f>
        <v>Emp</v>
      </c>
      <c r="L1683">
        <v>0</v>
      </c>
      <c r="M1683">
        <f t="shared" si="232"/>
        <v>13</v>
      </c>
      <c r="N1683" t="str">
        <f>TEXT(MTDRejection[[#This Row],[RejectionDate]],"dddd")</f>
        <v>Friday</v>
      </c>
    </row>
    <row r="1684" spans="1:14">
      <c r="A1684" t="s">
        <v>47</v>
      </c>
      <c r="B1684" t="s">
        <v>4255</v>
      </c>
      <c r="C1684" t="s">
        <v>56</v>
      </c>
      <c r="D1684" t="s">
        <v>51</v>
      </c>
      <c r="E1684" s="7">
        <v>45639</v>
      </c>
      <c r="F1684" t="s">
        <v>2331</v>
      </c>
      <c r="G1684">
        <v>0</v>
      </c>
      <c r="H1684" t="s">
        <v>53</v>
      </c>
      <c r="I1684" t="s">
        <v>16</v>
      </c>
      <c r="J1684" t="s">
        <v>16</v>
      </c>
      <c r="K1684" t="str">
        <f>VLOOKUP(C1684,CheckName!A:B,2,0)</f>
        <v>Special Check</v>
      </c>
      <c r="L1684">
        <v>0</v>
      </c>
      <c r="M1684">
        <f t="shared" si="232"/>
        <v>13</v>
      </c>
      <c r="N1684" t="str">
        <f>TEXT(MTDRejection[[#This Row],[RejectionDate]],"dddd")</f>
        <v>Friday</v>
      </c>
    </row>
    <row r="1685" spans="1:14">
      <c r="A1685" t="s">
        <v>391</v>
      </c>
      <c r="B1685" t="s">
        <v>2534</v>
      </c>
      <c r="C1685" t="s">
        <v>54</v>
      </c>
      <c r="D1685" t="s">
        <v>13</v>
      </c>
      <c r="E1685" s="7">
        <v>45639</v>
      </c>
      <c r="F1685" t="s">
        <v>530</v>
      </c>
      <c r="G1685">
        <v>0</v>
      </c>
      <c r="H1685" t="s">
        <v>15</v>
      </c>
      <c r="I1685" t="s">
        <v>16</v>
      </c>
      <c r="J1685" t="s">
        <v>16</v>
      </c>
      <c r="K1685" t="str">
        <f>VLOOKUP(C1685,CheckName!A:B,2,0)</f>
        <v>Edu</v>
      </c>
      <c r="L1685">
        <v>0</v>
      </c>
      <c r="M1685">
        <f t="shared" si="232"/>
        <v>13</v>
      </c>
      <c r="N1685" t="str">
        <f>TEXT(MTDRejection[[#This Row],[RejectionDate]],"dddd")</f>
        <v>Friday</v>
      </c>
    </row>
    <row r="1686" spans="1:14">
      <c r="A1686" t="s">
        <v>281</v>
      </c>
      <c r="B1686" t="s">
        <v>4256</v>
      </c>
      <c r="C1686" t="s">
        <v>220</v>
      </c>
      <c r="D1686" t="s">
        <v>26</v>
      </c>
      <c r="E1686" s="7">
        <v>45639</v>
      </c>
      <c r="F1686" t="s">
        <v>294</v>
      </c>
      <c r="G1686">
        <v>0</v>
      </c>
      <c r="H1686" t="s">
        <v>27</v>
      </c>
      <c r="I1686" t="s">
        <v>16</v>
      </c>
      <c r="J1686" t="s">
        <v>16</v>
      </c>
      <c r="K1686" t="str">
        <f>VLOOKUP(C1686,CheckName!A:B,2,0)</f>
        <v>Ref</v>
      </c>
      <c r="L1686">
        <v>0</v>
      </c>
      <c r="M1686">
        <f t="shared" si="232"/>
        <v>13</v>
      </c>
      <c r="N1686" t="str">
        <f>TEXT(MTDRejection[[#This Row],[RejectionDate]],"dddd")</f>
        <v>Friday</v>
      </c>
    </row>
    <row r="1687" spans="1:14">
      <c r="A1687" t="s">
        <v>876</v>
      </c>
      <c r="B1687" t="s">
        <v>2535</v>
      </c>
      <c r="C1687" t="s">
        <v>59</v>
      </c>
      <c r="D1687" t="s">
        <v>13</v>
      </c>
      <c r="E1687" s="7">
        <v>45639</v>
      </c>
      <c r="F1687" t="s">
        <v>540</v>
      </c>
      <c r="G1687">
        <v>0</v>
      </c>
      <c r="H1687" t="s">
        <v>15</v>
      </c>
      <c r="I1687" t="s">
        <v>16</v>
      </c>
      <c r="J1687" t="s">
        <v>16</v>
      </c>
      <c r="K1687" t="str">
        <f>VLOOKUP(C1687,CheckName!A:B,2,0)</f>
        <v>Special Check</v>
      </c>
      <c r="L1687">
        <v>0</v>
      </c>
      <c r="M1687">
        <f t="shared" si="232"/>
        <v>13</v>
      </c>
      <c r="N1687" t="str">
        <f>TEXT(MTDRejection[[#This Row],[RejectionDate]],"dddd")</f>
        <v>Friday</v>
      </c>
    </row>
    <row r="1688" spans="1:14">
      <c r="A1688" t="s">
        <v>510</v>
      </c>
      <c r="B1688" t="s">
        <v>4257</v>
      </c>
      <c r="C1688" t="s">
        <v>54</v>
      </c>
      <c r="D1688" t="s">
        <v>26</v>
      </c>
      <c r="E1688" s="7">
        <v>45639</v>
      </c>
      <c r="F1688" t="s">
        <v>121</v>
      </c>
      <c r="G1688">
        <v>0</v>
      </c>
      <c r="H1688" t="s">
        <v>27</v>
      </c>
      <c r="I1688" t="s">
        <v>16</v>
      </c>
      <c r="J1688" t="s">
        <v>16</v>
      </c>
      <c r="K1688" t="str">
        <f>VLOOKUP(C1688,CheckName!A:B,2,0)</f>
        <v>Edu</v>
      </c>
      <c r="L1688">
        <v>0</v>
      </c>
      <c r="M1688">
        <f t="shared" si="232"/>
        <v>13</v>
      </c>
      <c r="N1688" t="str">
        <f>TEXT(MTDRejection[[#This Row],[RejectionDate]],"dddd")</f>
        <v>Friday</v>
      </c>
    </row>
    <row r="1689" spans="1:14">
      <c r="A1689" t="s">
        <v>996</v>
      </c>
      <c r="B1689" t="s">
        <v>2068</v>
      </c>
      <c r="C1689" t="s">
        <v>36</v>
      </c>
      <c r="D1689" t="s">
        <v>26</v>
      </c>
      <c r="E1689" s="7">
        <v>45639</v>
      </c>
      <c r="F1689" t="s">
        <v>2355</v>
      </c>
      <c r="G1689">
        <v>0</v>
      </c>
      <c r="H1689" t="s">
        <v>95</v>
      </c>
      <c r="I1689" t="s">
        <v>16</v>
      </c>
      <c r="J1689" t="s">
        <v>16</v>
      </c>
      <c r="K1689" t="str">
        <f>VLOOKUP(C1689,CheckName!A:B,2,0)</f>
        <v>Emp</v>
      </c>
      <c r="L1689">
        <v>0</v>
      </c>
      <c r="M1689">
        <f t="shared" si="232"/>
        <v>13</v>
      </c>
      <c r="N1689" t="str">
        <f>TEXT(MTDRejection[[#This Row],[RejectionDate]],"dddd")</f>
        <v>Friday</v>
      </c>
    </row>
    <row r="1690" spans="1:14">
      <c r="A1690" t="s">
        <v>73</v>
      </c>
      <c r="B1690" t="s">
        <v>4258</v>
      </c>
      <c r="C1690" t="s">
        <v>54</v>
      </c>
      <c r="D1690" t="s">
        <v>13</v>
      </c>
      <c r="E1690" s="7">
        <v>45638</v>
      </c>
      <c r="F1690" t="s">
        <v>574</v>
      </c>
      <c r="G1690">
        <v>1</v>
      </c>
      <c r="H1690" t="s">
        <v>130</v>
      </c>
      <c r="I1690" t="s">
        <v>16</v>
      </c>
      <c r="J1690" t="s">
        <v>16</v>
      </c>
      <c r="K1690" t="str">
        <f>VLOOKUP(C1690,CheckName!A:B,2,0)</f>
        <v>Edu</v>
      </c>
      <c r="L1690">
        <v>0</v>
      </c>
      <c r="M1690">
        <f t="shared" si="232"/>
        <v>12</v>
      </c>
      <c r="N1690" t="str">
        <f>TEXT(MTDRejection[[#This Row],[RejectionDate]],"dddd")</f>
        <v>Thursday</v>
      </c>
    </row>
    <row r="1691" spans="1:14">
      <c r="A1691" t="s">
        <v>81</v>
      </c>
      <c r="B1691" t="s">
        <v>4259</v>
      </c>
      <c r="C1691" t="s">
        <v>36</v>
      </c>
      <c r="D1691" t="s">
        <v>26</v>
      </c>
      <c r="E1691" s="7">
        <v>45632</v>
      </c>
      <c r="F1691" t="s">
        <v>277</v>
      </c>
      <c r="G1691">
        <v>7</v>
      </c>
      <c r="H1691" t="s">
        <v>22</v>
      </c>
      <c r="I1691" t="s">
        <v>16</v>
      </c>
      <c r="J1691" t="s">
        <v>16</v>
      </c>
      <c r="K1691" t="str">
        <f>VLOOKUP(C1691,CheckName!A:B,2,0)</f>
        <v>Emp</v>
      </c>
      <c r="L1691">
        <v>0</v>
      </c>
      <c r="M1691">
        <f t="shared" si="232"/>
        <v>6</v>
      </c>
      <c r="N1691" t="str">
        <f>TEXT(MTDRejection[[#This Row],[RejectionDate]],"dddd")</f>
        <v>Friday</v>
      </c>
    </row>
    <row r="1692" spans="1:14">
      <c r="A1692" t="s">
        <v>180</v>
      </c>
      <c r="B1692" t="s">
        <v>4260</v>
      </c>
      <c r="C1692" t="s">
        <v>54</v>
      </c>
      <c r="D1692" t="s">
        <v>13</v>
      </c>
      <c r="E1692" s="7">
        <v>45629</v>
      </c>
      <c r="F1692" t="s">
        <v>1421</v>
      </c>
      <c r="G1692">
        <v>10</v>
      </c>
      <c r="H1692" t="s">
        <v>15</v>
      </c>
      <c r="I1692" t="s">
        <v>16</v>
      </c>
      <c r="J1692" t="s">
        <v>16</v>
      </c>
      <c r="K1692" t="str">
        <f>VLOOKUP(C1692,CheckName!A:B,2,0)</f>
        <v>Edu</v>
      </c>
      <c r="L1692">
        <v>0</v>
      </c>
      <c r="M1692">
        <f t="shared" si="232"/>
        <v>3</v>
      </c>
      <c r="N1692" t="str">
        <f>TEXT(MTDRejection[[#This Row],[RejectionDate]],"dddd")</f>
        <v>Tuesday</v>
      </c>
    </row>
    <row r="1693" spans="1:14">
      <c r="A1693" t="s">
        <v>1584</v>
      </c>
      <c r="B1693" t="s">
        <v>4261</v>
      </c>
      <c r="C1693" t="s">
        <v>54</v>
      </c>
      <c r="D1693" t="s">
        <v>13</v>
      </c>
      <c r="E1693" s="7">
        <v>45639</v>
      </c>
      <c r="F1693" t="s">
        <v>2343</v>
      </c>
      <c r="G1693">
        <v>0</v>
      </c>
      <c r="H1693" t="s">
        <v>15</v>
      </c>
      <c r="I1693" t="s">
        <v>16</v>
      </c>
      <c r="J1693" t="s">
        <v>16</v>
      </c>
      <c r="K1693" t="str">
        <f>VLOOKUP(C1693,CheckName!A:B,2,0)</f>
        <v>Edu</v>
      </c>
      <c r="L1693">
        <v>0</v>
      </c>
      <c r="M1693">
        <f t="shared" ref="M1693:M1696" si="233">DAY(E1693)</f>
        <v>13</v>
      </c>
      <c r="N1693" t="str">
        <f>TEXT(MTDRejection[[#This Row],[RejectionDate]],"dddd")</f>
        <v>Friday</v>
      </c>
    </row>
    <row r="1694" spans="1:14">
      <c r="A1694" t="s">
        <v>47</v>
      </c>
      <c r="B1694" t="s">
        <v>4262</v>
      </c>
      <c r="C1694" t="s">
        <v>54</v>
      </c>
      <c r="D1694" t="s">
        <v>13</v>
      </c>
      <c r="E1694" s="7">
        <v>45639</v>
      </c>
      <c r="F1694" t="s">
        <v>2326</v>
      </c>
      <c r="G1694">
        <v>0</v>
      </c>
      <c r="H1694" t="s">
        <v>15</v>
      </c>
      <c r="I1694" t="s">
        <v>16</v>
      </c>
      <c r="J1694" t="s">
        <v>16</v>
      </c>
      <c r="K1694" t="str">
        <f>VLOOKUP(C1694,CheckName!A:B,2,0)</f>
        <v>Edu</v>
      </c>
      <c r="L1694">
        <v>0</v>
      </c>
      <c r="M1694">
        <f t="shared" si="233"/>
        <v>13</v>
      </c>
      <c r="N1694" t="str">
        <f>TEXT(MTDRejection[[#This Row],[RejectionDate]],"dddd")</f>
        <v>Friday</v>
      </c>
    </row>
    <row r="1695" spans="1:14">
      <c r="A1695" t="s">
        <v>91</v>
      </c>
      <c r="B1695" t="s">
        <v>4263</v>
      </c>
      <c r="C1695" t="s">
        <v>93</v>
      </c>
      <c r="D1695" t="s">
        <v>13</v>
      </c>
      <c r="E1695" s="7">
        <v>45639</v>
      </c>
      <c r="F1695" t="s">
        <v>2326</v>
      </c>
      <c r="G1695">
        <v>0</v>
      </c>
      <c r="H1695" t="s">
        <v>15</v>
      </c>
      <c r="I1695" t="s">
        <v>16</v>
      </c>
      <c r="J1695" t="s">
        <v>16</v>
      </c>
      <c r="K1695" t="str">
        <f>VLOOKUP(C1695,CheckName!A:B,2,0)</f>
        <v>Edu</v>
      </c>
      <c r="L1695">
        <v>0</v>
      </c>
      <c r="M1695">
        <f t="shared" si="233"/>
        <v>13</v>
      </c>
      <c r="N1695" t="str">
        <f>TEXT(MTDRejection[[#This Row],[RejectionDate]],"dddd")</f>
        <v>Friday</v>
      </c>
    </row>
    <row r="1696" spans="1:14">
      <c r="A1696" t="s">
        <v>419</v>
      </c>
      <c r="B1696" t="s">
        <v>4264</v>
      </c>
      <c r="C1696" t="s">
        <v>54</v>
      </c>
      <c r="D1696" t="s">
        <v>13</v>
      </c>
      <c r="E1696" s="7">
        <v>45639</v>
      </c>
      <c r="F1696" t="s">
        <v>2326</v>
      </c>
      <c r="G1696">
        <v>0</v>
      </c>
      <c r="H1696" t="s">
        <v>15</v>
      </c>
      <c r="I1696" t="s">
        <v>16</v>
      </c>
      <c r="J1696" t="s">
        <v>16</v>
      </c>
      <c r="K1696" t="str">
        <f>VLOOKUP(C1696,CheckName!A:B,2,0)</f>
        <v>Edu</v>
      </c>
      <c r="L1696">
        <v>0</v>
      </c>
      <c r="M1696">
        <f t="shared" si="233"/>
        <v>13</v>
      </c>
      <c r="N1696" t="str">
        <f>TEXT(MTDRejection[[#This Row],[RejectionDate]],"dddd")</f>
        <v>Friday</v>
      </c>
    </row>
    <row r="1697" spans="1:14">
      <c r="A1697" t="s">
        <v>131</v>
      </c>
      <c r="B1697" t="s">
        <v>2536</v>
      </c>
      <c r="C1697" t="s">
        <v>59</v>
      </c>
      <c r="D1697" t="s">
        <v>26</v>
      </c>
      <c r="E1697" s="7">
        <v>45639</v>
      </c>
      <c r="F1697" t="s">
        <v>236</v>
      </c>
      <c r="G1697">
        <v>0</v>
      </c>
      <c r="H1697" t="s">
        <v>27</v>
      </c>
      <c r="I1697" t="s">
        <v>16</v>
      </c>
      <c r="J1697" t="s">
        <v>16</v>
      </c>
      <c r="K1697" t="str">
        <f>VLOOKUP(C1697,CheckName!A:B,2,0)</f>
        <v>Special Check</v>
      </c>
      <c r="L1697">
        <v>0</v>
      </c>
      <c r="M1697">
        <f>DAY(E1697)</f>
        <v>13</v>
      </c>
      <c r="N1697" t="str">
        <f>TEXT(MTDRejection[[#This Row],[RejectionDate]],"dddd")</f>
        <v>Friday</v>
      </c>
    </row>
    <row r="1698" spans="1:14">
      <c r="A1698" t="s">
        <v>45</v>
      </c>
      <c r="B1698" t="s">
        <v>4265</v>
      </c>
      <c r="C1698" t="s">
        <v>25</v>
      </c>
      <c r="D1698" t="s">
        <v>20</v>
      </c>
      <c r="E1698" s="7">
        <v>45639</v>
      </c>
      <c r="F1698" t="s">
        <v>2327</v>
      </c>
      <c r="G1698">
        <v>0</v>
      </c>
      <c r="H1698" t="s">
        <v>30</v>
      </c>
      <c r="I1698" t="s">
        <v>16</v>
      </c>
      <c r="J1698" t="s">
        <v>16</v>
      </c>
      <c r="K1698" t="str">
        <f>VLOOKUP(C1698,CheckName!A:B,2,0)</f>
        <v>Add</v>
      </c>
      <c r="L1698">
        <v>0</v>
      </c>
      <c r="M1698">
        <f t="shared" ref="M1698:M1700" si="234">DAY(E1698)</f>
        <v>13</v>
      </c>
      <c r="N1698" t="str">
        <f>TEXT(MTDRejection[[#This Row],[RejectionDate]],"dddd")</f>
        <v>Friday</v>
      </c>
    </row>
    <row r="1699" spans="1:14">
      <c r="A1699" t="s">
        <v>1887</v>
      </c>
      <c r="B1699" t="s">
        <v>4266</v>
      </c>
      <c r="C1699" t="s">
        <v>25</v>
      </c>
      <c r="D1699" t="s">
        <v>20</v>
      </c>
      <c r="E1699" s="7">
        <v>45639</v>
      </c>
      <c r="F1699" t="s">
        <v>2327</v>
      </c>
      <c r="G1699">
        <v>0</v>
      </c>
      <c r="H1699" t="s">
        <v>22</v>
      </c>
      <c r="I1699" t="s">
        <v>16</v>
      </c>
      <c r="J1699" t="s">
        <v>16</v>
      </c>
      <c r="K1699" t="str">
        <f>VLOOKUP(C1699,CheckName!A:B,2,0)</f>
        <v>Add</v>
      </c>
      <c r="L1699">
        <v>0</v>
      </c>
      <c r="M1699">
        <f t="shared" si="234"/>
        <v>13</v>
      </c>
      <c r="N1699" t="str">
        <f>TEXT(MTDRejection[[#This Row],[RejectionDate]],"dddd")</f>
        <v>Friday</v>
      </c>
    </row>
    <row r="1700" spans="1:14">
      <c r="A1700" t="s">
        <v>45</v>
      </c>
      <c r="B1700" t="s">
        <v>4267</v>
      </c>
      <c r="C1700" t="s">
        <v>19</v>
      </c>
      <c r="D1700" t="s">
        <v>20</v>
      </c>
      <c r="E1700" s="7">
        <v>45639</v>
      </c>
      <c r="F1700" t="s">
        <v>2327</v>
      </c>
      <c r="G1700">
        <v>0</v>
      </c>
      <c r="H1700" t="s">
        <v>22</v>
      </c>
      <c r="I1700" t="s">
        <v>16</v>
      </c>
      <c r="J1700" t="s">
        <v>16</v>
      </c>
      <c r="K1700" t="str">
        <f>VLOOKUP(C1700,CheckName!A:B,2,0)</f>
        <v>Add</v>
      </c>
      <c r="L1700">
        <v>0</v>
      </c>
      <c r="M1700">
        <f t="shared" si="234"/>
        <v>13</v>
      </c>
      <c r="N1700" t="str">
        <f>TEXT(MTDRejection[[#This Row],[RejectionDate]],"dddd")</f>
        <v>Friday</v>
      </c>
    </row>
    <row r="1701" spans="1:14">
      <c r="A1701" t="s">
        <v>1110</v>
      </c>
      <c r="B1701" t="s">
        <v>4268</v>
      </c>
      <c r="C1701" t="s">
        <v>965</v>
      </c>
      <c r="D1701" t="s">
        <v>20</v>
      </c>
      <c r="E1701" s="7">
        <v>45639</v>
      </c>
      <c r="F1701" t="s">
        <v>273</v>
      </c>
      <c r="G1701">
        <v>0</v>
      </c>
      <c r="H1701" t="s">
        <v>22</v>
      </c>
      <c r="I1701" t="s">
        <v>16</v>
      </c>
      <c r="J1701" t="s">
        <v>16</v>
      </c>
      <c r="K1701" t="str">
        <f>VLOOKUP(C1701,CheckName!A:B,2,0)</f>
        <v>Add</v>
      </c>
      <c r="L1701">
        <v>0</v>
      </c>
      <c r="M1701">
        <f>DAY(E1701)</f>
        <v>13</v>
      </c>
      <c r="N1701" t="str">
        <f>TEXT(MTDRejection[[#This Row],[RejectionDate]],"dddd")</f>
        <v>Friday</v>
      </c>
    </row>
    <row r="1702" spans="1:14">
      <c r="A1702" t="s">
        <v>1771</v>
      </c>
      <c r="B1702" t="s">
        <v>2537</v>
      </c>
      <c r="C1702" t="s">
        <v>25</v>
      </c>
      <c r="D1702" t="s">
        <v>20</v>
      </c>
      <c r="E1702" s="7">
        <v>45639</v>
      </c>
      <c r="F1702" t="s">
        <v>2327</v>
      </c>
      <c r="G1702">
        <v>0</v>
      </c>
      <c r="H1702" t="s">
        <v>22</v>
      </c>
      <c r="I1702" t="s">
        <v>16</v>
      </c>
      <c r="J1702" t="s">
        <v>16</v>
      </c>
      <c r="K1702" t="str">
        <f>VLOOKUP(C1702,CheckName!A:B,2,0)</f>
        <v>Add</v>
      </c>
      <c r="L1702">
        <v>0</v>
      </c>
      <c r="M1702">
        <f>DAY(E1702)</f>
        <v>13</v>
      </c>
      <c r="N1702" t="str">
        <f>TEXT(MTDRejection[[#This Row],[RejectionDate]],"dddd")</f>
        <v>Friday</v>
      </c>
    </row>
    <row r="1703" spans="1:14">
      <c r="A1703" t="s">
        <v>160</v>
      </c>
      <c r="B1703" t="s">
        <v>4269</v>
      </c>
      <c r="C1703" t="s">
        <v>36</v>
      </c>
      <c r="D1703" t="s">
        <v>38</v>
      </c>
      <c r="E1703" s="7">
        <v>45639</v>
      </c>
      <c r="F1703" t="s">
        <v>39</v>
      </c>
      <c r="G1703">
        <v>0</v>
      </c>
      <c r="H1703" t="s">
        <v>42</v>
      </c>
      <c r="I1703" t="s">
        <v>16</v>
      </c>
      <c r="J1703" t="s">
        <v>16</v>
      </c>
      <c r="K1703" t="str">
        <f>VLOOKUP(C1703,CheckName!A:B,2,0)</f>
        <v>Emp</v>
      </c>
      <c r="L1703">
        <v>0</v>
      </c>
      <c r="M1703">
        <f t="shared" ref="M1703:M1706" si="235">DAY(E1703)</f>
        <v>13</v>
      </c>
      <c r="N1703" t="str">
        <f>TEXT(MTDRejection[[#This Row],[RejectionDate]],"dddd")</f>
        <v>Friday</v>
      </c>
    </row>
    <row r="1704" spans="1:14">
      <c r="A1704" t="s">
        <v>912</v>
      </c>
      <c r="B1704" t="s">
        <v>4270</v>
      </c>
      <c r="C1704" t="s">
        <v>12</v>
      </c>
      <c r="D1704" t="s">
        <v>38</v>
      </c>
      <c r="E1704" s="7">
        <v>45639</v>
      </c>
      <c r="F1704" t="s">
        <v>39</v>
      </c>
      <c r="G1704">
        <v>0</v>
      </c>
      <c r="H1704" t="s">
        <v>42</v>
      </c>
      <c r="I1704" t="s">
        <v>16</v>
      </c>
      <c r="J1704" t="s">
        <v>16</v>
      </c>
      <c r="K1704" t="str">
        <f>VLOOKUP(C1704,CheckName!A:B,2,0)</f>
        <v>Emp</v>
      </c>
      <c r="L1704">
        <v>1</v>
      </c>
      <c r="M1704">
        <f t="shared" si="235"/>
        <v>13</v>
      </c>
      <c r="N1704" t="str">
        <f>TEXT(MTDRejection[[#This Row],[RejectionDate]],"dddd")</f>
        <v>Friday</v>
      </c>
    </row>
    <row r="1705" spans="1:14">
      <c r="A1705" t="s">
        <v>142</v>
      </c>
      <c r="B1705" t="s">
        <v>4271</v>
      </c>
      <c r="C1705" t="s">
        <v>12</v>
      </c>
      <c r="D1705" t="s">
        <v>26</v>
      </c>
      <c r="E1705" s="7">
        <v>45639</v>
      </c>
      <c r="F1705" t="s">
        <v>222</v>
      </c>
      <c r="G1705">
        <v>0</v>
      </c>
      <c r="H1705" t="s">
        <v>22</v>
      </c>
      <c r="I1705" t="s">
        <v>16</v>
      </c>
      <c r="J1705" t="s">
        <v>16</v>
      </c>
      <c r="K1705" t="str">
        <f>VLOOKUP(C1705,CheckName!A:B,2,0)</f>
        <v>Emp</v>
      </c>
      <c r="L1705">
        <v>0</v>
      </c>
      <c r="M1705">
        <f t="shared" si="235"/>
        <v>13</v>
      </c>
      <c r="N1705" t="str">
        <f>TEXT(MTDRejection[[#This Row],[RejectionDate]],"dddd")</f>
        <v>Friday</v>
      </c>
    </row>
    <row r="1706" spans="1:14">
      <c r="A1706" t="s">
        <v>1538</v>
      </c>
      <c r="B1706" t="s">
        <v>4272</v>
      </c>
      <c r="C1706" t="s">
        <v>36</v>
      </c>
      <c r="D1706" t="s">
        <v>26</v>
      </c>
      <c r="E1706" s="7">
        <v>45639</v>
      </c>
      <c r="F1706" t="s">
        <v>1055</v>
      </c>
      <c r="G1706">
        <v>0</v>
      </c>
      <c r="H1706" t="s">
        <v>22</v>
      </c>
      <c r="I1706" t="s">
        <v>16</v>
      </c>
      <c r="J1706" t="s">
        <v>16</v>
      </c>
      <c r="K1706" t="str">
        <f>VLOOKUP(C1706,CheckName!A:B,2,0)</f>
        <v>Emp</v>
      </c>
      <c r="L1706">
        <v>0</v>
      </c>
      <c r="M1706">
        <f t="shared" si="235"/>
        <v>13</v>
      </c>
      <c r="N1706" t="str">
        <f>TEXT(MTDRejection[[#This Row],[RejectionDate]],"dddd")</f>
        <v>Friday</v>
      </c>
    </row>
    <row r="1707" spans="1:14">
      <c r="A1707" t="s">
        <v>45</v>
      </c>
      <c r="B1707" t="s">
        <v>4273</v>
      </c>
      <c r="C1707" t="s">
        <v>36</v>
      </c>
      <c r="D1707" t="s">
        <v>51</v>
      </c>
      <c r="E1707" s="7">
        <v>45639</v>
      </c>
      <c r="F1707" t="s">
        <v>2349</v>
      </c>
      <c r="G1707">
        <v>0</v>
      </c>
      <c r="H1707" t="s">
        <v>53</v>
      </c>
      <c r="I1707" t="s">
        <v>16</v>
      </c>
      <c r="J1707" t="s">
        <v>16</v>
      </c>
      <c r="K1707" t="str">
        <f>VLOOKUP(C1707,CheckName!A:B,2,0)</f>
        <v>Emp</v>
      </c>
      <c r="L1707">
        <v>0</v>
      </c>
      <c r="M1707">
        <f t="shared" ref="M1707:M1716" si="236">DAY(E1707)</f>
        <v>13</v>
      </c>
      <c r="N1707" t="str">
        <f>TEXT(MTDRejection[[#This Row],[RejectionDate]],"dddd")</f>
        <v>Friday</v>
      </c>
    </row>
    <row r="1708" spans="1:14">
      <c r="A1708" t="s">
        <v>306</v>
      </c>
      <c r="B1708" t="s">
        <v>2432</v>
      </c>
      <c r="C1708" t="s">
        <v>125</v>
      </c>
      <c r="D1708" t="s">
        <v>26</v>
      </c>
      <c r="E1708" s="7">
        <v>45639</v>
      </c>
      <c r="F1708" t="s">
        <v>277</v>
      </c>
      <c r="G1708">
        <v>0</v>
      </c>
      <c r="H1708" t="s">
        <v>27</v>
      </c>
      <c r="I1708" t="s">
        <v>16</v>
      </c>
      <c r="J1708" t="s">
        <v>16</v>
      </c>
      <c r="K1708" t="str">
        <f>VLOOKUP(C1708,CheckName!A:B,2,0)</f>
        <v>Emp</v>
      </c>
      <c r="L1708">
        <v>0</v>
      </c>
      <c r="M1708">
        <f t="shared" si="236"/>
        <v>13</v>
      </c>
      <c r="N1708" t="str">
        <f>TEXT(MTDRejection[[#This Row],[RejectionDate]],"dddd")</f>
        <v>Friday</v>
      </c>
    </row>
    <row r="1709" spans="1:14">
      <c r="A1709" t="s">
        <v>996</v>
      </c>
      <c r="B1709" t="s">
        <v>4274</v>
      </c>
      <c r="C1709" t="s">
        <v>125</v>
      </c>
      <c r="D1709" t="s">
        <v>26</v>
      </c>
      <c r="E1709" s="7">
        <v>45639</v>
      </c>
      <c r="F1709" t="s">
        <v>721</v>
      </c>
      <c r="G1709">
        <v>0</v>
      </c>
      <c r="H1709" t="s">
        <v>27</v>
      </c>
      <c r="I1709" t="s">
        <v>16</v>
      </c>
      <c r="J1709" t="s">
        <v>16</v>
      </c>
      <c r="K1709" t="str">
        <f>VLOOKUP(C1709,CheckName!A:B,2,0)</f>
        <v>Emp</v>
      </c>
      <c r="L1709">
        <v>0</v>
      </c>
      <c r="M1709">
        <f t="shared" si="236"/>
        <v>13</v>
      </c>
      <c r="N1709" t="str">
        <f>TEXT(MTDRejection[[#This Row],[RejectionDate]],"dddd")</f>
        <v>Friday</v>
      </c>
    </row>
    <row r="1710" spans="1:14">
      <c r="A1710" t="s">
        <v>1888</v>
      </c>
      <c r="B1710" t="s">
        <v>4275</v>
      </c>
      <c r="C1710" t="s">
        <v>36</v>
      </c>
      <c r="D1710" t="s">
        <v>13</v>
      </c>
      <c r="E1710" s="7">
        <v>45639</v>
      </c>
      <c r="F1710" t="s">
        <v>540</v>
      </c>
      <c r="G1710">
        <v>0</v>
      </c>
      <c r="H1710" t="s">
        <v>130</v>
      </c>
      <c r="I1710" t="s">
        <v>16</v>
      </c>
      <c r="J1710" t="s">
        <v>16</v>
      </c>
      <c r="K1710" t="str">
        <f>VLOOKUP(C1710,CheckName!A:B,2,0)</f>
        <v>Emp</v>
      </c>
      <c r="L1710">
        <v>0</v>
      </c>
      <c r="M1710">
        <f t="shared" si="236"/>
        <v>13</v>
      </c>
      <c r="N1710" t="str">
        <f>TEXT(MTDRejection[[#This Row],[RejectionDate]],"dddd")</f>
        <v>Friday</v>
      </c>
    </row>
    <row r="1711" spans="1:14">
      <c r="A1711" t="s">
        <v>1110</v>
      </c>
      <c r="B1711" t="s">
        <v>4276</v>
      </c>
      <c r="C1711" t="s">
        <v>1623</v>
      </c>
      <c r="D1711" t="s">
        <v>13</v>
      </c>
      <c r="E1711" s="7">
        <v>45639</v>
      </c>
      <c r="F1711" t="s">
        <v>540</v>
      </c>
      <c r="G1711">
        <v>0</v>
      </c>
      <c r="H1711" t="s">
        <v>15</v>
      </c>
      <c r="I1711" t="s">
        <v>16</v>
      </c>
      <c r="J1711" t="s">
        <v>16</v>
      </c>
      <c r="K1711" t="str">
        <f>VLOOKUP(C1711,CheckName!A:B,2,0)</f>
        <v>CRC</v>
      </c>
      <c r="L1711">
        <v>0</v>
      </c>
      <c r="M1711">
        <f t="shared" si="236"/>
        <v>13</v>
      </c>
      <c r="N1711" t="str">
        <f>TEXT(MTDRejection[[#This Row],[RejectionDate]],"dddd")</f>
        <v>Friday</v>
      </c>
    </row>
    <row r="1712" spans="1:14">
      <c r="A1712" t="s">
        <v>160</v>
      </c>
      <c r="B1712" t="s">
        <v>4277</v>
      </c>
      <c r="C1712" t="s">
        <v>19</v>
      </c>
      <c r="D1712" t="s">
        <v>20</v>
      </c>
      <c r="E1712" s="7">
        <v>45639</v>
      </c>
      <c r="F1712" t="s">
        <v>2327</v>
      </c>
      <c r="G1712">
        <v>0</v>
      </c>
      <c r="H1712" t="s">
        <v>22</v>
      </c>
      <c r="I1712" t="s">
        <v>16</v>
      </c>
      <c r="J1712" t="s">
        <v>16</v>
      </c>
      <c r="K1712" t="str">
        <f>VLOOKUP(C1712,CheckName!A:B,2,0)</f>
        <v>Add</v>
      </c>
      <c r="L1712">
        <v>0</v>
      </c>
      <c r="M1712">
        <f t="shared" si="236"/>
        <v>13</v>
      </c>
      <c r="N1712" t="str">
        <f>TEXT(MTDRejection[[#This Row],[RejectionDate]],"dddd")</f>
        <v>Friday</v>
      </c>
    </row>
    <row r="1713" spans="1:14">
      <c r="A1713" t="s">
        <v>469</v>
      </c>
      <c r="B1713" t="s">
        <v>4278</v>
      </c>
      <c r="C1713" t="s">
        <v>36</v>
      </c>
      <c r="D1713" t="s">
        <v>13</v>
      </c>
      <c r="E1713" s="7">
        <v>45639</v>
      </c>
      <c r="F1713" t="s">
        <v>2326</v>
      </c>
      <c r="G1713">
        <v>0</v>
      </c>
      <c r="H1713" t="s">
        <v>15</v>
      </c>
      <c r="I1713" t="s">
        <v>16</v>
      </c>
      <c r="J1713" t="s">
        <v>16</v>
      </c>
      <c r="K1713" t="str">
        <f>VLOOKUP(C1713,CheckName!A:B,2,0)</f>
        <v>Emp</v>
      </c>
      <c r="L1713">
        <v>0</v>
      </c>
      <c r="M1713">
        <f t="shared" si="236"/>
        <v>13</v>
      </c>
      <c r="N1713" t="str">
        <f>TEXT(MTDRejection[[#This Row],[RejectionDate]],"dddd")</f>
        <v>Friday</v>
      </c>
    </row>
    <row r="1714" spans="1:14">
      <c r="A1714" t="s">
        <v>1110</v>
      </c>
      <c r="B1714" t="s">
        <v>4279</v>
      </c>
      <c r="C1714" t="s">
        <v>965</v>
      </c>
      <c r="D1714" t="s">
        <v>20</v>
      </c>
      <c r="E1714" s="7">
        <v>45639</v>
      </c>
      <c r="F1714" t="s">
        <v>273</v>
      </c>
      <c r="G1714">
        <v>0</v>
      </c>
      <c r="H1714" t="s">
        <v>22</v>
      </c>
      <c r="I1714" t="s">
        <v>16</v>
      </c>
      <c r="J1714" t="s">
        <v>16</v>
      </c>
      <c r="K1714" t="str">
        <f>VLOOKUP(C1714,CheckName!A:B,2,0)</f>
        <v>Add</v>
      </c>
      <c r="L1714">
        <v>0</v>
      </c>
      <c r="M1714">
        <f t="shared" si="236"/>
        <v>13</v>
      </c>
      <c r="N1714" t="str">
        <f>TEXT(MTDRejection[[#This Row],[RejectionDate]],"dddd")</f>
        <v>Friday</v>
      </c>
    </row>
    <row r="1715" spans="1:14">
      <c r="A1715" t="s">
        <v>1811</v>
      </c>
      <c r="B1715" t="s">
        <v>4280</v>
      </c>
      <c r="C1715" t="s">
        <v>19</v>
      </c>
      <c r="D1715" t="s">
        <v>20</v>
      </c>
      <c r="E1715" s="7">
        <v>45639</v>
      </c>
      <c r="F1715" t="s">
        <v>2327</v>
      </c>
      <c r="G1715">
        <v>0</v>
      </c>
      <c r="H1715" t="s">
        <v>130</v>
      </c>
      <c r="I1715" t="s">
        <v>16</v>
      </c>
      <c r="J1715" t="s">
        <v>16</v>
      </c>
      <c r="K1715" t="str">
        <f>VLOOKUP(C1715,CheckName!A:B,2,0)</f>
        <v>Add</v>
      </c>
      <c r="L1715">
        <v>0</v>
      </c>
      <c r="M1715">
        <f t="shared" si="236"/>
        <v>13</v>
      </c>
      <c r="N1715" t="str">
        <f>TEXT(MTDRejection[[#This Row],[RejectionDate]],"dddd")</f>
        <v>Friday</v>
      </c>
    </row>
    <row r="1716" spans="1:14">
      <c r="A1716" t="s">
        <v>644</v>
      </c>
      <c r="B1716" t="s">
        <v>4281</v>
      </c>
      <c r="C1716" t="s">
        <v>12</v>
      </c>
      <c r="D1716" t="s">
        <v>38</v>
      </c>
      <c r="E1716" s="7">
        <v>45639</v>
      </c>
      <c r="F1716" t="s">
        <v>39</v>
      </c>
      <c r="G1716">
        <v>0</v>
      </c>
      <c r="H1716" t="s">
        <v>42</v>
      </c>
      <c r="I1716" t="s">
        <v>16</v>
      </c>
      <c r="J1716" t="s">
        <v>16</v>
      </c>
      <c r="K1716" t="str">
        <f>VLOOKUP(C1716,CheckName!A:B,2,0)</f>
        <v>Emp</v>
      </c>
      <c r="L1716">
        <v>0</v>
      </c>
      <c r="M1716">
        <f t="shared" si="236"/>
        <v>13</v>
      </c>
      <c r="N1716" t="str">
        <f>TEXT(MTDRejection[[#This Row],[RejectionDate]],"dddd")</f>
        <v>Friday</v>
      </c>
    </row>
    <row r="1717" spans="1:14">
      <c r="A1717" t="s">
        <v>996</v>
      </c>
      <c r="B1717" t="s">
        <v>4282</v>
      </c>
      <c r="C1717" t="s">
        <v>1098</v>
      </c>
      <c r="D1717" t="s">
        <v>26</v>
      </c>
      <c r="E1717" s="7">
        <v>45639</v>
      </c>
      <c r="F1717" t="s">
        <v>63</v>
      </c>
      <c r="G1717">
        <v>0</v>
      </c>
      <c r="H1717" t="s">
        <v>27</v>
      </c>
      <c r="I1717" t="s">
        <v>16</v>
      </c>
      <c r="J1717" t="s">
        <v>16</v>
      </c>
      <c r="K1717" t="str">
        <f>VLOOKUP(C1717,CheckName!A:B,2,0)</f>
        <v>Edu</v>
      </c>
      <c r="L1717">
        <v>0</v>
      </c>
      <c r="M1717">
        <f t="shared" ref="M1717:M1718" si="237">DAY(E1717)</f>
        <v>13</v>
      </c>
      <c r="N1717" t="str">
        <f>TEXT(MTDRejection[[#This Row],[RejectionDate]],"dddd")</f>
        <v>Friday</v>
      </c>
    </row>
    <row r="1718" spans="1:14">
      <c r="A1718" t="s">
        <v>1889</v>
      </c>
      <c r="B1718" t="s">
        <v>4283</v>
      </c>
      <c r="C1718" t="s">
        <v>54</v>
      </c>
      <c r="D1718" t="s">
        <v>26</v>
      </c>
      <c r="E1718" s="7">
        <v>45639</v>
      </c>
      <c r="F1718" t="s">
        <v>63</v>
      </c>
      <c r="G1718">
        <v>0</v>
      </c>
      <c r="H1718" t="s">
        <v>130</v>
      </c>
      <c r="I1718" t="s">
        <v>16</v>
      </c>
      <c r="J1718" t="s">
        <v>16</v>
      </c>
      <c r="K1718" t="str">
        <f>VLOOKUP(C1718,CheckName!A:B,2,0)</f>
        <v>Edu</v>
      </c>
      <c r="L1718">
        <v>0</v>
      </c>
      <c r="M1718">
        <f t="shared" si="237"/>
        <v>13</v>
      </c>
      <c r="N1718" t="str">
        <f>TEXT(MTDRejection[[#This Row],[RejectionDate]],"dddd")</f>
        <v>Friday</v>
      </c>
    </row>
    <row r="1719" spans="1:14">
      <c r="A1719" t="s">
        <v>45</v>
      </c>
      <c r="B1719" t="s">
        <v>4284</v>
      </c>
      <c r="C1719" t="s">
        <v>19</v>
      </c>
      <c r="D1719" t="s">
        <v>20</v>
      </c>
      <c r="E1719" s="7">
        <v>45639</v>
      </c>
      <c r="F1719" t="s">
        <v>2330</v>
      </c>
      <c r="G1719">
        <v>0</v>
      </c>
      <c r="H1719" t="s">
        <v>22</v>
      </c>
      <c r="I1719" t="s">
        <v>16</v>
      </c>
      <c r="J1719" t="s">
        <v>16</v>
      </c>
      <c r="K1719" t="str">
        <f>VLOOKUP(C1719,CheckName!A:B,2,0)</f>
        <v>Add</v>
      </c>
      <c r="L1719">
        <v>0</v>
      </c>
      <c r="M1719">
        <f t="shared" ref="M1719:M1724" si="238">DAY(E1719)</f>
        <v>13</v>
      </c>
      <c r="N1719" t="str">
        <f>TEXT(MTDRejection[[#This Row],[RejectionDate]],"dddd")</f>
        <v>Friday</v>
      </c>
    </row>
    <row r="1720" spans="1:14">
      <c r="A1720" t="s">
        <v>45</v>
      </c>
      <c r="B1720" t="s">
        <v>4285</v>
      </c>
      <c r="C1720" t="s">
        <v>19</v>
      </c>
      <c r="D1720" t="s">
        <v>20</v>
      </c>
      <c r="E1720" s="7">
        <v>45639</v>
      </c>
      <c r="F1720" t="s">
        <v>2330</v>
      </c>
      <c r="G1720">
        <v>0</v>
      </c>
      <c r="H1720" t="s">
        <v>22</v>
      </c>
      <c r="I1720" t="s">
        <v>16</v>
      </c>
      <c r="J1720" t="s">
        <v>16</v>
      </c>
      <c r="K1720" t="str">
        <f>VLOOKUP(C1720,CheckName!A:B,2,0)</f>
        <v>Add</v>
      </c>
      <c r="L1720">
        <v>0</v>
      </c>
      <c r="M1720">
        <f t="shared" si="238"/>
        <v>13</v>
      </c>
      <c r="N1720" t="str">
        <f>TEXT(MTDRejection[[#This Row],[RejectionDate]],"dddd")</f>
        <v>Friday</v>
      </c>
    </row>
    <row r="1721" spans="1:14">
      <c r="A1721" t="s">
        <v>45</v>
      </c>
      <c r="B1721" t="s">
        <v>4286</v>
      </c>
      <c r="C1721" t="s">
        <v>25</v>
      </c>
      <c r="D1721" t="s">
        <v>20</v>
      </c>
      <c r="E1721" s="7">
        <v>45639</v>
      </c>
      <c r="F1721" t="s">
        <v>2330</v>
      </c>
      <c r="G1721">
        <v>0</v>
      </c>
      <c r="H1721" t="s">
        <v>22</v>
      </c>
      <c r="I1721" t="s">
        <v>16</v>
      </c>
      <c r="J1721" t="s">
        <v>16</v>
      </c>
      <c r="K1721" t="str">
        <f>VLOOKUP(C1721,CheckName!A:B,2,0)</f>
        <v>Add</v>
      </c>
      <c r="L1721">
        <v>0</v>
      </c>
      <c r="M1721">
        <f t="shared" si="238"/>
        <v>13</v>
      </c>
      <c r="N1721" t="str">
        <f>TEXT(MTDRejection[[#This Row],[RejectionDate]],"dddd")</f>
        <v>Friday</v>
      </c>
    </row>
    <row r="1722" spans="1:14">
      <c r="A1722" t="s">
        <v>495</v>
      </c>
      <c r="B1722" t="s">
        <v>4287</v>
      </c>
      <c r="C1722" t="s">
        <v>25</v>
      </c>
      <c r="D1722" t="s">
        <v>26</v>
      </c>
      <c r="E1722" s="7">
        <v>45639</v>
      </c>
      <c r="F1722" t="s">
        <v>66</v>
      </c>
      <c r="G1722">
        <v>0</v>
      </c>
      <c r="H1722" t="s">
        <v>27</v>
      </c>
      <c r="I1722" t="s">
        <v>16</v>
      </c>
      <c r="J1722" t="s">
        <v>16</v>
      </c>
      <c r="K1722" t="str">
        <f>VLOOKUP(C1722,CheckName!A:B,2,0)</f>
        <v>Add</v>
      </c>
      <c r="L1722">
        <v>0</v>
      </c>
      <c r="M1722">
        <f t="shared" si="238"/>
        <v>13</v>
      </c>
      <c r="N1722" t="str">
        <f>TEXT(MTDRejection[[#This Row],[RejectionDate]],"dddd")</f>
        <v>Friday</v>
      </c>
    </row>
    <row r="1723" spans="1:14">
      <c r="A1723" t="s">
        <v>131</v>
      </c>
      <c r="B1723" t="s">
        <v>1890</v>
      </c>
      <c r="C1723" t="s">
        <v>54</v>
      </c>
      <c r="D1723" t="s">
        <v>26</v>
      </c>
      <c r="E1723" s="7">
        <v>45639</v>
      </c>
      <c r="F1723" t="s">
        <v>63</v>
      </c>
      <c r="G1723">
        <v>0</v>
      </c>
      <c r="H1723" t="s">
        <v>27</v>
      </c>
      <c r="I1723" t="s">
        <v>16</v>
      </c>
      <c r="J1723" t="s">
        <v>16</v>
      </c>
      <c r="K1723" t="str">
        <f>VLOOKUP(C1723,CheckName!A:B,2,0)</f>
        <v>Edu</v>
      </c>
      <c r="L1723">
        <v>0</v>
      </c>
      <c r="M1723">
        <f t="shared" si="238"/>
        <v>13</v>
      </c>
      <c r="N1723" t="str">
        <f>TEXT(MTDRejection[[#This Row],[RejectionDate]],"dddd")</f>
        <v>Friday</v>
      </c>
    </row>
    <row r="1724" spans="1:14">
      <c r="A1724" t="s">
        <v>1225</v>
      </c>
      <c r="B1724" t="s">
        <v>4288</v>
      </c>
      <c r="C1724" t="s">
        <v>54</v>
      </c>
      <c r="D1724" t="s">
        <v>26</v>
      </c>
      <c r="E1724" s="7">
        <v>45639</v>
      </c>
      <c r="F1724" t="s">
        <v>63</v>
      </c>
      <c r="G1724">
        <v>0</v>
      </c>
      <c r="H1724" t="s">
        <v>30</v>
      </c>
      <c r="I1724" t="s">
        <v>16</v>
      </c>
      <c r="J1724" t="s">
        <v>16</v>
      </c>
      <c r="K1724" t="str">
        <f>VLOOKUP(C1724,CheckName!A:B,2,0)</f>
        <v>Edu</v>
      </c>
      <c r="L1724">
        <v>0</v>
      </c>
      <c r="M1724">
        <f t="shared" si="238"/>
        <v>13</v>
      </c>
      <c r="N1724" t="str">
        <f>TEXT(MTDRejection[[#This Row],[RejectionDate]],"dddd")</f>
        <v>Friday</v>
      </c>
    </row>
    <row r="1725" spans="1:14">
      <c r="A1725" t="s">
        <v>142</v>
      </c>
      <c r="B1725" t="s">
        <v>4289</v>
      </c>
      <c r="C1725" t="s">
        <v>19</v>
      </c>
      <c r="D1725" t="s">
        <v>26</v>
      </c>
      <c r="E1725" s="7">
        <v>45639</v>
      </c>
      <c r="F1725" t="s">
        <v>66</v>
      </c>
      <c r="G1725">
        <v>0</v>
      </c>
      <c r="H1725" t="s">
        <v>27</v>
      </c>
      <c r="I1725" t="s">
        <v>16</v>
      </c>
      <c r="J1725" t="s">
        <v>16</v>
      </c>
      <c r="K1725" t="str">
        <f>VLOOKUP(C1725,CheckName!A:B,2,0)</f>
        <v>Add</v>
      </c>
      <c r="L1725">
        <v>0</v>
      </c>
      <c r="M1725">
        <f t="shared" ref="M1725:M1726" si="239">DAY(E1725)</f>
        <v>13</v>
      </c>
      <c r="N1725" t="str">
        <f>TEXT(MTDRejection[[#This Row],[RejectionDate]],"dddd")</f>
        <v>Friday</v>
      </c>
    </row>
    <row r="1726" spans="1:14">
      <c r="A1726" t="s">
        <v>186</v>
      </c>
      <c r="B1726" t="s">
        <v>4290</v>
      </c>
      <c r="C1726" t="s">
        <v>25</v>
      </c>
      <c r="D1726" t="s">
        <v>26</v>
      </c>
      <c r="E1726" s="7">
        <v>45639</v>
      </c>
      <c r="F1726" t="s">
        <v>2348</v>
      </c>
      <c r="G1726">
        <v>0</v>
      </c>
      <c r="H1726" t="s">
        <v>27</v>
      </c>
      <c r="I1726" t="s">
        <v>16</v>
      </c>
      <c r="J1726" t="s">
        <v>16</v>
      </c>
      <c r="K1726" t="str">
        <f>VLOOKUP(C1726,CheckName!A:B,2,0)</f>
        <v>Add</v>
      </c>
      <c r="L1726">
        <v>0</v>
      </c>
      <c r="M1726">
        <f t="shared" si="239"/>
        <v>13</v>
      </c>
      <c r="N1726" t="str">
        <f>TEXT(MTDRejection[[#This Row],[RejectionDate]],"dddd")</f>
        <v>Friday</v>
      </c>
    </row>
    <row r="1727" spans="1:14">
      <c r="A1727" t="s">
        <v>119</v>
      </c>
      <c r="B1727" t="s">
        <v>4291</v>
      </c>
      <c r="C1727" t="s">
        <v>36</v>
      </c>
      <c r="D1727" t="s">
        <v>26</v>
      </c>
      <c r="E1727" s="7">
        <v>45639</v>
      </c>
      <c r="F1727" t="s">
        <v>311</v>
      </c>
      <c r="G1727">
        <v>0</v>
      </c>
      <c r="H1727" t="s">
        <v>22</v>
      </c>
      <c r="I1727" t="s">
        <v>16</v>
      </c>
      <c r="J1727" t="s">
        <v>16</v>
      </c>
      <c r="K1727" t="str">
        <f>VLOOKUP(C1727,CheckName!A:B,2,0)</f>
        <v>Emp</v>
      </c>
      <c r="L1727">
        <v>0</v>
      </c>
      <c r="M1727">
        <f t="shared" ref="M1727:M1728" si="240">DAY(E1727)</f>
        <v>13</v>
      </c>
      <c r="N1727" t="str">
        <f>TEXT(MTDRejection[[#This Row],[RejectionDate]],"dddd")</f>
        <v>Friday</v>
      </c>
    </row>
    <row r="1728" spans="1:14">
      <c r="A1728" t="s">
        <v>996</v>
      </c>
      <c r="B1728" t="s">
        <v>4292</v>
      </c>
      <c r="C1728" t="s">
        <v>36</v>
      </c>
      <c r="D1728" t="s">
        <v>26</v>
      </c>
      <c r="E1728" s="7">
        <v>45639</v>
      </c>
      <c r="F1728" t="s">
        <v>1139</v>
      </c>
      <c r="G1728">
        <v>0</v>
      </c>
      <c r="H1728" t="s">
        <v>27</v>
      </c>
      <c r="I1728" t="s">
        <v>16</v>
      </c>
      <c r="J1728" t="s">
        <v>16</v>
      </c>
      <c r="K1728" t="str">
        <f>VLOOKUP(C1728,CheckName!A:B,2,0)</f>
        <v>Emp</v>
      </c>
      <c r="L1728">
        <v>0</v>
      </c>
      <c r="M1728">
        <f t="shared" si="240"/>
        <v>13</v>
      </c>
      <c r="N1728" t="str">
        <f>TEXT(MTDRejection[[#This Row],[RejectionDate]],"dddd")</f>
        <v>Friday</v>
      </c>
    </row>
    <row r="1729" spans="1:14">
      <c r="A1729" t="s">
        <v>69</v>
      </c>
      <c r="B1729" t="s">
        <v>4293</v>
      </c>
      <c r="C1729" t="s">
        <v>12</v>
      </c>
      <c r="D1729" t="s">
        <v>26</v>
      </c>
      <c r="E1729" s="7">
        <v>45639</v>
      </c>
      <c r="F1729" t="s">
        <v>311</v>
      </c>
      <c r="G1729">
        <v>0</v>
      </c>
      <c r="H1729" t="s">
        <v>27</v>
      </c>
      <c r="I1729" t="s">
        <v>16</v>
      </c>
      <c r="J1729" t="s">
        <v>16</v>
      </c>
      <c r="K1729" t="str">
        <f>VLOOKUP(C1729,CheckName!A:B,2,0)</f>
        <v>Emp</v>
      </c>
      <c r="L1729">
        <v>0</v>
      </c>
      <c r="M1729">
        <f t="shared" ref="M1729:M1734" si="241">DAY(E1729)</f>
        <v>13</v>
      </c>
      <c r="N1729" t="str">
        <f>TEXT(MTDRejection[[#This Row],[RejectionDate]],"dddd")</f>
        <v>Friday</v>
      </c>
    </row>
    <row r="1730" spans="1:14">
      <c r="A1730" t="s">
        <v>142</v>
      </c>
      <c r="B1730" t="s">
        <v>4294</v>
      </c>
      <c r="C1730" t="s">
        <v>1347</v>
      </c>
      <c r="D1730" t="s">
        <v>38</v>
      </c>
      <c r="E1730" s="7">
        <v>45639</v>
      </c>
      <c r="F1730" t="s">
        <v>108</v>
      </c>
      <c r="G1730">
        <v>0</v>
      </c>
      <c r="H1730" t="s">
        <v>42</v>
      </c>
      <c r="I1730" t="s">
        <v>16</v>
      </c>
      <c r="J1730" t="s">
        <v>16</v>
      </c>
      <c r="K1730" t="str">
        <f>VLOOKUP(C1730,CheckName!A:B,2,0)</f>
        <v>CRC</v>
      </c>
      <c r="L1730">
        <v>0</v>
      </c>
      <c r="M1730">
        <f t="shared" si="241"/>
        <v>13</v>
      </c>
      <c r="N1730" t="str">
        <f>TEXT(MTDRejection[[#This Row],[RejectionDate]],"dddd")</f>
        <v>Friday</v>
      </c>
    </row>
    <row r="1731" spans="1:14">
      <c r="A1731" t="s">
        <v>446</v>
      </c>
      <c r="B1731" t="s">
        <v>4295</v>
      </c>
      <c r="C1731" t="s">
        <v>54</v>
      </c>
      <c r="D1731" t="s">
        <v>13</v>
      </c>
      <c r="E1731" s="7">
        <v>45639</v>
      </c>
      <c r="F1731" t="s">
        <v>540</v>
      </c>
      <c r="G1731">
        <v>0</v>
      </c>
      <c r="H1731" t="s">
        <v>15</v>
      </c>
      <c r="I1731" t="s">
        <v>16</v>
      </c>
      <c r="J1731" t="s">
        <v>16</v>
      </c>
      <c r="K1731" t="str">
        <f>VLOOKUP(C1731,CheckName!A:B,2,0)</f>
        <v>Edu</v>
      </c>
      <c r="L1731">
        <v>0</v>
      </c>
      <c r="M1731">
        <f t="shared" si="241"/>
        <v>13</v>
      </c>
      <c r="N1731" t="str">
        <f>TEXT(MTDRejection[[#This Row],[RejectionDate]],"dddd")</f>
        <v>Friday</v>
      </c>
    </row>
    <row r="1732" spans="1:14">
      <c r="A1732" t="s">
        <v>432</v>
      </c>
      <c r="B1732" t="s">
        <v>4296</v>
      </c>
      <c r="C1732" t="s">
        <v>36</v>
      </c>
      <c r="D1732" t="s">
        <v>26</v>
      </c>
      <c r="E1732" s="7">
        <v>45638</v>
      </c>
      <c r="F1732" t="s">
        <v>169</v>
      </c>
      <c r="G1732">
        <v>1</v>
      </c>
      <c r="H1732" t="s">
        <v>27</v>
      </c>
      <c r="I1732" t="s">
        <v>16</v>
      </c>
      <c r="J1732" t="s">
        <v>16</v>
      </c>
      <c r="K1732" t="str">
        <f>VLOOKUP(C1732,CheckName!A:B,2,0)</f>
        <v>Emp</v>
      </c>
      <c r="L1732">
        <v>0</v>
      </c>
      <c r="M1732">
        <f t="shared" si="241"/>
        <v>12</v>
      </c>
      <c r="N1732" t="str">
        <f>TEXT(MTDRejection[[#This Row],[RejectionDate]],"dddd")</f>
        <v>Thursday</v>
      </c>
    </row>
    <row r="1733" spans="1:14">
      <c r="A1733" t="s">
        <v>100</v>
      </c>
      <c r="B1733" t="s">
        <v>4297</v>
      </c>
      <c r="C1733" t="s">
        <v>102</v>
      </c>
      <c r="D1733" t="s">
        <v>26</v>
      </c>
      <c r="E1733" s="7">
        <v>45636</v>
      </c>
      <c r="F1733" t="s">
        <v>1304</v>
      </c>
      <c r="G1733">
        <v>3</v>
      </c>
      <c r="H1733" t="s">
        <v>30</v>
      </c>
      <c r="I1733" t="s">
        <v>16</v>
      </c>
      <c r="J1733" t="s">
        <v>16</v>
      </c>
      <c r="K1733" t="str">
        <f>VLOOKUP(C1733,CheckName!A:B,2,0)</f>
        <v>Edu</v>
      </c>
      <c r="L1733">
        <v>0</v>
      </c>
      <c r="M1733">
        <f t="shared" si="241"/>
        <v>10</v>
      </c>
      <c r="N1733" t="str">
        <f>TEXT(MTDRejection[[#This Row],[RejectionDate]],"dddd")</f>
        <v>Tuesday</v>
      </c>
    </row>
    <row r="1734" spans="1:14">
      <c r="A1734" t="s">
        <v>1891</v>
      </c>
      <c r="B1734" t="s">
        <v>2538</v>
      </c>
      <c r="C1734" t="s">
        <v>12</v>
      </c>
      <c r="D1734" t="s">
        <v>26</v>
      </c>
      <c r="E1734" s="7">
        <v>45635</v>
      </c>
      <c r="F1734" t="s">
        <v>2335</v>
      </c>
      <c r="G1734">
        <v>4</v>
      </c>
      <c r="H1734" t="s">
        <v>27</v>
      </c>
      <c r="I1734" t="s">
        <v>16</v>
      </c>
      <c r="J1734" t="s">
        <v>16</v>
      </c>
      <c r="K1734" t="str">
        <f>VLOOKUP(C1734,CheckName!A:B,2,0)</f>
        <v>Emp</v>
      </c>
      <c r="L1734">
        <v>0</v>
      </c>
      <c r="M1734">
        <f t="shared" si="241"/>
        <v>9</v>
      </c>
      <c r="N1734" t="str">
        <f>TEXT(MTDRejection[[#This Row],[RejectionDate]],"dddd")</f>
        <v>Monday</v>
      </c>
    </row>
    <row r="1735" spans="1:14">
      <c r="A1735" t="s">
        <v>1892</v>
      </c>
      <c r="B1735" t="s">
        <v>2539</v>
      </c>
      <c r="C1735" t="s">
        <v>25</v>
      </c>
      <c r="D1735" t="s">
        <v>20</v>
      </c>
      <c r="E1735" s="7">
        <v>45639</v>
      </c>
      <c r="F1735" t="s">
        <v>273</v>
      </c>
      <c r="G1735">
        <v>0</v>
      </c>
      <c r="H1735" t="s">
        <v>22</v>
      </c>
      <c r="I1735" t="s">
        <v>16</v>
      </c>
      <c r="J1735" t="s">
        <v>16</v>
      </c>
      <c r="K1735" t="str">
        <f>VLOOKUP(C1735,CheckName!A:B,2,0)</f>
        <v>Add</v>
      </c>
      <c r="L1735">
        <v>0</v>
      </c>
      <c r="M1735">
        <f t="shared" ref="M1735:M1736" si="242">DAY(E1735)</f>
        <v>13</v>
      </c>
      <c r="N1735" t="str">
        <f>TEXT(MTDRejection[[#This Row],[RejectionDate]],"dddd")</f>
        <v>Friday</v>
      </c>
    </row>
    <row r="1736" spans="1:14">
      <c r="A1736" t="s">
        <v>231</v>
      </c>
      <c r="B1736" t="s">
        <v>2540</v>
      </c>
      <c r="C1736" t="s">
        <v>25</v>
      </c>
      <c r="D1736" t="s">
        <v>20</v>
      </c>
      <c r="E1736" s="7">
        <v>45639</v>
      </c>
      <c r="F1736" t="s">
        <v>273</v>
      </c>
      <c r="G1736">
        <v>0</v>
      </c>
      <c r="H1736" t="s">
        <v>425</v>
      </c>
      <c r="I1736" t="s">
        <v>16</v>
      </c>
      <c r="J1736" t="s">
        <v>16</v>
      </c>
      <c r="K1736" t="str">
        <f>VLOOKUP(C1736,CheckName!A:B,2,0)</f>
        <v>Add</v>
      </c>
      <c r="L1736">
        <v>0</v>
      </c>
      <c r="M1736">
        <f t="shared" si="242"/>
        <v>13</v>
      </c>
      <c r="N1736" t="str">
        <f>TEXT(MTDRejection[[#This Row],[RejectionDate]],"dddd")</f>
        <v>Friday</v>
      </c>
    </row>
    <row r="1737" spans="1:14">
      <c r="A1737" t="s">
        <v>419</v>
      </c>
      <c r="B1737" t="s">
        <v>4298</v>
      </c>
      <c r="C1737" t="s">
        <v>25</v>
      </c>
      <c r="D1737" t="s">
        <v>20</v>
      </c>
      <c r="E1737" s="7">
        <v>45639</v>
      </c>
      <c r="F1737" t="s">
        <v>273</v>
      </c>
      <c r="G1737">
        <v>0</v>
      </c>
      <c r="H1737" t="s">
        <v>27</v>
      </c>
      <c r="I1737" t="s">
        <v>16</v>
      </c>
      <c r="J1737" t="s">
        <v>16</v>
      </c>
      <c r="K1737" t="str">
        <f>VLOOKUP(C1737,CheckName!A:B,2,0)</f>
        <v>Add</v>
      </c>
      <c r="L1737">
        <v>0</v>
      </c>
      <c r="M1737">
        <f t="shared" ref="M1737:M1738" si="243">DAY(E1737)</f>
        <v>13</v>
      </c>
      <c r="N1737" t="str">
        <f>TEXT(MTDRejection[[#This Row],[RejectionDate]],"dddd")</f>
        <v>Friday</v>
      </c>
    </row>
    <row r="1738" spans="1:14">
      <c r="A1738" t="s">
        <v>263</v>
      </c>
      <c r="B1738" t="s">
        <v>4299</v>
      </c>
      <c r="C1738" t="s">
        <v>19</v>
      </c>
      <c r="D1738" t="s">
        <v>20</v>
      </c>
      <c r="E1738" s="7">
        <v>45639</v>
      </c>
      <c r="F1738" t="s">
        <v>2327</v>
      </c>
      <c r="G1738">
        <v>0</v>
      </c>
      <c r="H1738" t="s">
        <v>22</v>
      </c>
      <c r="I1738" t="s">
        <v>16</v>
      </c>
      <c r="J1738" t="s">
        <v>16</v>
      </c>
      <c r="K1738" t="str">
        <f>VLOOKUP(C1738,CheckName!A:B,2,0)</f>
        <v>Add</v>
      </c>
      <c r="L1738">
        <v>0</v>
      </c>
      <c r="M1738">
        <f t="shared" si="243"/>
        <v>13</v>
      </c>
      <c r="N1738" t="str">
        <f>TEXT(MTDRejection[[#This Row],[RejectionDate]],"dddd")</f>
        <v>Friday</v>
      </c>
    </row>
    <row r="1739" spans="1:14">
      <c r="A1739" t="s">
        <v>360</v>
      </c>
      <c r="B1739" t="s">
        <v>4300</v>
      </c>
      <c r="C1739" t="s">
        <v>125</v>
      </c>
      <c r="D1739" t="s">
        <v>26</v>
      </c>
      <c r="E1739" s="7">
        <v>45639</v>
      </c>
      <c r="F1739" t="s">
        <v>325</v>
      </c>
      <c r="G1739">
        <v>0</v>
      </c>
      <c r="H1739" t="s">
        <v>27</v>
      </c>
      <c r="I1739" t="s">
        <v>16</v>
      </c>
      <c r="J1739" t="s">
        <v>16</v>
      </c>
      <c r="K1739" t="str">
        <f>VLOOKUP(C1739,CheckName!A:B,2,0)</f>
        <v>Emp</v>
      </c>
      <c r="L1739">
        <v>0</v>
      </c>
      <c r="M1739">
        <f>DAY(E1739)</f>
        <v>13</v>
      </c>
      <c r="N1739" t="str">
        <f>TEXT(MTDRejection[[#This Row],[RejectionDate]],"dddd")</f>
        <v>Friday</v>
      </c>
    </row>
    <row r="1740" spans="1:14">
      <c r="A1740" t="s">
        <v>91</v>
      </c>
      <c r="B1740" t="s">
        <v>4301</v>
      </c>
      <c r="C1740" t="s">
        <v>12</v>
      </c>
      <c r="D1740" t="s">
        <v>38</v>
      </c>
      <c r="E1740" s="7">
        <v>45639</v>
      </c>
      <c r="F1740" t="s">
        <v>39</v>
      </c>
      <c r="G1740">
        <v>0</v>
      </c>
      <c r="H1740" t="s">
        <v>42</v>
      </c>
      <c r="I1740" t="s">
        <v>16</v>
      </c>
      <c r="J1740" t="s">
        <v>16</v>
      </c>
      <c r="K1740" t="str">
        <f>VLOOKUP(C1740,CheckName!A:B,2,0)</f>
        <v>Emp</v>
      </c>
      <c r="L1740">
        <v>0</v>
      </c>
      <c r="M1740">
        <f>DAY(E1740)</f>
        <v>13</v>
      </c>
      <c r="N1740" t="str">
        <f>TEXT(MTDRejection[[#This Row],[RejectionDate]],"dddd")</f>
        <v>Friday</v>
      </c>
    </row>
    <row r="1741" spans="1:14">
      <c r="A1741" t="s">
        <v>1237</v>
      </c>
      <c r="B1741" t="s">
        <v>4302</v>
      </c>
      <c r="C1741" t="s">
        <v>54</v>
      </c>
      <c r="D1741" t="s">
        <v>26</v>
      </c>
      <c r="E1741" s="7">
        <v>45639</v>
      </c>
      <c r="F1741" t="s">
        <v>63</v>
      </c>
      <c r="G1741">
        <v>0</v>
      </c>
      <c r="H1741" t="s">
        <v>27</v>
      </c>
      <c r="I1741" t="s">
        <v>16</v>
      </c>
      <c r="J1741" t="s">
        <v>16</v>
      </c>
      <c r="K1741" t="str">
        <f>VLOOKUP(C1741,CheckName!A:B,2,0)</f>
        <v>Edu</v>
      </c>
      <c r="L1741">
        <v>0</v>
      </c>
      <c r="M1741">
        <f t="shared" ref="M1741:M1742" si="244">DAY(E1741)</f>
        <v>13</v>
      </c>
      <c r="N1741" t="str">
        <f>TEXT(MTDRejection[[#This Row],[RejectionDate]],"dddd")</f>
        <v>Friday</v>
      </c>
    </row>
    <row r="1742" spans="1:14">
      <c r="A1742" t="s">
        <v>45</v>
      </c>
      <c r="B1742" t="s">
        <v>1893</v>
      </c>
      <c r="C1742" t="s">
        <v>25</v>
      </c>
      <c r="D1742" t="s">
        <v>26</v>
      </c>
      <c r="E1742" s="7">
        <v>45639</v>
      </c>
      <c r="F1742" t="s">
        <v>66</v>
      </c>
      <c r="G1742">
        <v>0</v>
      </c>
      <c r="H1742" t="s">
        <v>95</v>
      </c>
      <c r="I1742" t="s">
        <v>16</v>
      </c>
      <c r="J1742" t="s">
        <v>16</v>
      </c>
      <c r="K1742" t="str">
        <f>VLOOKUP(C1742,CheckName!A:B,2,0)</f>
        <v>Add</v>
      </c>
      <c r="L1742">
        <v>0</v>
      </c>
      <c r="M1742">
        <f t="shared" si="244"/>
        <v>13</v>
      </c>
      <c r="N1742" t="str">
        <f>TEXT(MTDRejection[[#This Row],[RejectionDate]],"dddd")</f>
        <v>Friday</v>
      </c>
    </row>
    <row r="1743" spans="1:14">
      <c r="A1743" t="s">
        <v>45</v>
      </c>
      <c r="B1743" t="s">
        <v>4303</v>
      </c>
      <c r="C1743" t="s">
        <v>25</v>
      </c>
      <c r="D1743" t="s">
        <v>26</v>
      </c>
      <c r="E1743" s="7">
        <v>45639</v>
      </c>
      <c r="F1743" t="s">
        <v>66</v>
      </c>
      <c r="G1743">
        <v>0</v>
      </c>
      <c r="H1743" t="s">
        <v>30</v>
      </c>
      <c r="I1743" t="s">
        <v>16</v>
      </c>
      <c r="J1743" t="s">
        <v>16</v>
      </c>
      <c r="K1743" t="str">
        <f>VLOOKUP(C1743,CheckName!A:B,2,0)</f>
        <v>Add</v>
      </c>
      <c r="L1743">
        <v>0</v>
      </c>
      <c r="M1743">
        <f t="shared" ref="M1743:M1749" si="245">DAY(E1743)</f>
        <v>13</v>
      </c>
      <c r="N1743" t="str">
        <f>TEXT(MTDRejection[[#This Row],[RejectionDate]],"dddd")</f>
        <v>Friday</v>
      </c>
    </row>
    <row r="1744" spans="1:14">
      <c r="A1744" t="s">
        <v>131</v>
      </c>
      <c r="B1744" t="s">
        <v>4304</v>
      </c>
      <c r="C1744" t="s">
        <v>54</v>
      </c>
      <c r="D1744" t="s">
        <v>26</v>
      </c>
      <c r="E1744" s="7">
        <v>45639</v>
      </c>
      <c r="F1744" t="s">
        <v>63</v>
      </c>
      <c r="G1744">
        <v>0</v>
      </c>
      <c r="H1744" t="s">
        <v>95</v>
      </c>
      <c r="I1744" t="s">
        <v>16</v>
      </c>
      <c r="J1744" t="s">
        <v>16</v>
      </c>
      <c r="K1744" t="str">
        <f>VLOOKUP(C1744,CheckName!A:B,2,0)</f>
        <v>Edu</v>
      </c>
      <c r="L1744">
        <v>0</v>
      </c>
      <c r="M1744">
        <f t="shared" si="245"/>
        <v>13</v>
      </c>
      <c r="N1744" t="str">
        <f>TEXT(MTDRejection[[#This Row],[RejectionDate]],"dddd")</f>
        <v>Friday</v>
      </c>
    </row>
    <row r="1745" spans="1:14">
      <c r="A1745" t="s">
        <v>96</v>
      </c>
      <c r="B1745" t="s">
        <v>2541</v>
      </c>
      <c r="C1745" t="s">
        <v>54</v>
      </c>
      <c r="D1745" t="s">
        <v>26</v>
      </c>
      <c r="E1745" s="7">
        <v>45639</v>
      </c>
      <c r="F1745" t="s">
        <v>210</v>
      </c>
      <c r="G1745">
        <v>0</v>
      </c>
      <c r="H1745" t="s">
        <v>425</v>
      </c>
      <c r="I1745" t="s">
        <v>16</v>
      </c>
      <c r="J1745" t="s">
        <v>16</v>
      </c>
      <c r="K1745" t="str">
        <f>VLOOKUP(C1745,CheckName!A:B,2,0)</f>
        <v>Edu</v>
      </c>
      <c r="L1745">
        <v>0</v>
      </c>
      <c r="M1745">
        <f t="shared" si="245"/>
        <v>13</v>
      </c>
      <c r="N1745" t="str">
        <f>TEXT(MTDRejection[[#This Row],[RejectionDate]],"dddd")</f>
        <v>Friday</v>
      </c>
    </row>
    <row r="1746" spans="1:14">
      <c r="A1746" t="s">
        <v>263</v>
      </c>
      <c r="B1746" t="s">
        <v>4305</v>
      </c>
      <c r="C1746" t="s">
        <v>36</v>
      </c>
      <c r="D1746" t="s">
        <v>26</v>
      </c>
      <c r="E1746" s="7">
        <v>45639</v>
      </c>
      <c r="F1746" t="s">
        <v>179</v>
      </c>
      <c r="G1746">
        <v>0</v>
      </c>
      <c r="H1746" t="s">
        <v>27</v>
      </c>
      <c r="I1746" t="s">
        <v>16</v>
      </c>
      <c r="J1746" t="s">
        <v>16</v>
      </c>
      <c r="K1746" t="str">
        <f>VLOOKUP(C1746,CheckName!A:B,2,0)</f>
        <v>Emp</v>
      </c>
      <c r="L1746">
        <v>0</v>
      </c>
      <c r="M1746">
        <f t="shared" si="245"/>
        <v>13</v>
      </c>
      <c r="N1746" t="str">
        <f>TEXT(MTDRejection[[#This Row],[RejectionDate]],"dddd")</f>
        <v>Friday</v>
      </c>
    </row>
    <row r="1747" spans="1:14">
      <c r="A1747" t="s">
        <v>306</v>
      </c>
      <c r="B1747" t="s">
        <v>4306</v>
      </c>
      <c r="C1747" t="s">
        <v>56</v>
      </c>
      <c r="D1747" t="s">
        <v>13</v>
      </c>
      <c r="E1747" s="7">
        <v>45639</v>
      </c>
      <c r="F1747" t="s">
        <v>2345</v>
      </c>
      <c r="G1747">
        <v>0</v>
      </c>
      <c r="H1747" t="s">
        <v>15</v>
      </c>
      <c r="I1747" t="s">
        <v>16</v>
      </c>
      <c r="J1747" t="s">
        <v>16</v>
      </c>
      <c r="K1747" t="str">
        <f>VLOOKUP(C1747,CheckName!A:B,2,0)</f>
        <v>Special Check</v>
      </c>
      <c r="L1747">
        <v>0</v>
      </c>
      <c r="M1747">
        <f t="shared" si="245"/>
        <v>13</v>
      </c>
      <c r="N1747" t="str">
        <f>TEXT(MTDRejection[[#This Row],[RejectionDate]],"dddd")</f>
        <v>Friday</v>
      </c>
    </row>
    <row r="1748" spans="1:14">
      <c r="A1748" t="s">
        <v>374</v>
      </c>
      <c r="B1748" t="s">
        <v>4307</v>
      </c>
      <c r="C1748" t="s">
        <v>36</v>
      </c>
      <c r="D1748" t="s">
        <v>26</v>
      </c>
      <c r="E1748" s="7">
        <v>45639</v>
      </c>
      <c r="F1748" t="s">
        <v>1139</v>
      </c>
      <c r="G1748">
        <v>0</v>
      </c>
      <c r="H1748" t="s">
        <v>130</v>
      </c>
      <c r="I1748" t="s">
        <v>16</v>
      </c>
      <c r="J1748" t="s">
        <v>16</v>
      </c>
      <c r="K1748" t="str">
        <f>VLOOKUP(C1748,CheckName!A:B,2,0)</f>
        <v>Emp</v>
      </c>
      <c r="L1748">
        <v>0</v>
      </c>
      <c r="M1748">
        <f t="shared" si="245"/>
        <v>13</v>
      </c>
      <c r="N1748" t="str">
        <f>TEXT(MTDRejection[[#This Row],[RejectionDate]],"dddd")</f>
        <v>Friday</v>
      </c>
    </row>
    <row r="1749" spans="1:14">
      <c r="A1749" t="s">
        <v>189</v>
      </c>
      <c r="B1749" t="s">
        <v>4308</v>
      </c>
      <c r="C1749" t="s">
        <v>36</v>
      </c>
      <c r="D1749" t="s">
        <v>26</v>
      </c>
      <c r="E1749" s="7">
        <v>45639</v>
      </c>
      <c r="F1749" t="s">
        <v>1139</v>
      </c>
      <c r="G1749">
        <v>0</v>
      </c>
      <c r="H1749" t="s">
        <v>27</v>
      </c>
      <c r="I1749" t="s">
        <v>16</v>
      </c>
      <c r="J1749" t="s">
        <v>16</v>
      </c>
      <c r="K1749" t="str">
        <f>VLOOKUP(C1749,CheckName!A:B,2,0)</f>
        <v>Emp</v>
      </c>
      <c r="L1749">
        <v>0</v>
      </c>
      <c r="M1749">
        <f t="shared" si="245"/>
        <v>13</v>
      </c>
      <c r="N1749" t="str">
        <f>TEXT(MTDRejection[[#This Row],[RejectionDate]],"dddd")</f>
        <v>Friday</v>
      </c>
    </row>
    <row r="1750" spans="1:14">
      <c r="A1750" t="s">
        <v>1886</v>
      </c>
      <c r="B1750" t="s">
        <v>4309</v>
      </c>
      <c r="C1750" t="s">
        <v>54</v>
      </c>
      <c r="D1750" t="s">
        <v>26</v>
      </c>
      <c r="E1750" s="7">
        <v>45639</v>
      </c>
      <c r="F1750" t="s">
        <v>103</v>
      </c>
      <c r="G1750">
        <v>0</v>
      </c>
      <c r="H1750" t="s">
        <v>95</v>
      </c>
      <c r="I1750" t="s">
        <v>16</v>
      </c>
      <c r="J1750" t="s">
        <v>16</v>
      </c>
      <c r="K1750" t="str">
        <f>VLOOKUP(C1750,CheckName!A:B,2,0)</f>
        <v>Edu</v>
      </c>
      <c r="L1750">
        <v>0</v>
      </c>
      <c r="M1750">
        <f t="shared" ref="M1750:M1751" si="246">DAY(E1750)</f>
        <v>13</v>
      </c>
      <c r="N1750" t="str">
        <f>TEXT(MTDRejection[[#This Row],[RejectionDate]],"dddd")</f>
        <v>Friday</v>
      </c>
    </row>
    <row r="1751" spans="1:14">
      <c r="A1751" t="s">
        <v>116</v>
      </c>
      <c r="B1751" t="s">
        <v>4310</v>
      </c>
      <c r="C1751" t="s">
        <v>56</v>
      </c>
      <c r="D1751" t="s">
        <v>13</v>
      </c>
      <c r="E1751" s="7">
        <v>45639</v>
      </c>
      <c r="F1751" t="s">
        <v>107</v>
      </c>
      <c r="G1751">
        <v>0</v>
      </c>
      <c r="H1751" t="s">
        <v>15</v>
      </c>
      <c r="I1751" t="s">
        <v>16</v>
      </c>
      <c r="J1751" t="s">
        <v>16</v>
      </c>
      <c r="K1751" t="str">
        <f>VLOOKUP(C1751,CheckName!A:B,2,0)</f>
        <v>Special Check</v>
      </c>
      <c r="L1751">
        <v>0</v>
      </c>
      <c r="M1751">
        <f t="shared" si="246"/>
        <v>13</v>
      </c>
      <c r="N1751" t="str">
        <f>TEXT(MTDRejection[[#This Row],[RejectionDate]],"dddd")</f>
        <v>Friday</v>
      </c>
    </row>
    <row r="1752" spans="1:14">
      <c r="A1752" t="s">
        <v>100</v>
      </c>
      <c r="B1752" t="s">
        <v>4311</v>
      </c>
      <c r="C1752" t="s">
        <v>1334</v>
      </c>
      <c r="D1752" t="s">
        <v>38</v>
      </c>
      <c r="E1752" s="7">
        <v>45639</v>
      </c>
      <c r="F1752" t="s">
        <v>108</v>
      </c>
      <c r="G1752">
        <v>0</v>
      </c>
      <c r="H1752" t="s">
        <v>42</v>
      </c>
      <c r="I1752" t="s">
        <v>16</v>
      </c>
      <c r="J1752" t="s">
        <v>16</v>
      </c>
      <c r="K1752" t="str">
        <f>VLOOKUP(C1752,CheckName!A:B,2,0)</f>
        <v>CRC</v>
      </c>
      <c r="L1752">
        <v>0</v>
      </c>
      <c r="M1752">
        <f>DAY(E1752)</f>
        <v>13</v>
      </c>
      <c r="N1752" t="str">
        <f>TEXT(MTDRejection[[#This Row],[RejectionDate]],"dddd")</f>
        <v>Friday</v>
      </c>
    </row>
    <row r="1753" spans="1:14">
      <c r="A1753" t="s">
        <v>263</v>
      </c>
      <c r="B1753" t="s">
        <v>4312</v>
      </c>
      <c r="C1753" t="s">
        <v>12</v>
      </c>
      <c r="D1753" t="s">
        <v>26</v>
      </c>
      <c r="E1753" s="7">
        <v>45639</v>
      </c>
      <c r="F1753" t="s">
        <v>2346</v>
      </c>
      <c r="G1753">
        <v>0</v>
      </c>
      <c r="H1753" t="s">
        <v>27</v>
      </c>
      <c r="I1753" t="s">
        <v>16</v>
      </c>
      <c r="J1753" t="s">
        <v>16</v>
      </c>
      <c r="K1753" t="str">
        <f>VLOOKUP(C1753,CheckName!A:B,2,0)</f>
        <v>Emp</v>
      </c>
      <c r="L1753">
        <v>0</v>
      </c>
      <c r="M1753">
        <f>DAY(E1753)</f>
        <v>13</v>
      </c>
      <c r="N1753" t="str">
        <f>TEXT(MTDRejection[[#This Row],[RejectionDate]],"dddd")</f>
        <v>Friday</v>
      </c>
    </row>
    <row r="1754" spans="1:14">
      <c r="A1754" t="s">
        <v>461</v>
      </c>
      <c r="B1754" t="s">
        <v>4313</v>
      </c>
      <c r="C1754" t="s">
        <v>36</v>
      </c>
      <c r="D1754" t="s">
        <v>26</v>
      </c>
      <c r="E1754" s="7">
        <v>45639</v>
      </c>
      <c r="F1754" t="s">
        <v>115</v>
      </c>
      <c r="G1754">
        <v>0</v>
      </c>
      <c r="H1754" t="s">
        <v>27</v>
      </c>
      <c r="I1754" t="s">
        <v>16</v>
      </c>
      <c r="J1754" t="s">
        <v>16</v>
      </c>
      <c r="K1754" t="str">
        <f>VLOOKUP(C1754,CheckName!A:B,2,0)</f>
        <v>Emp</v>
      </c>
      <c r="L1754">
        <v>0</v>
      </c>
      <c r="M1754">
        <f t="shared" ref="M1754:M1755" si="247">DAY(E1754)</f>
        <v>13</v>
      </c>
      <c r="N1754" t="str">
        <f>TEXT(MTDRejection[[#This Row],[RejectionDate]],"dddd")</f>
        <v>Friday</v>
      </c>
    </row>
    <row r="1755" spans="1:14">
      <c r="A1755" t="s">
        <v>945</v>
      </c>
      <c r="B1755" t="s">
        <v>4314</v>
      </c>
      <c r="C1755" t="s">
        <v>36</v>
      </c>
      <c r="D1755" t="s">
        <v>26</v>
      </c>
      <c r="E1755" s="7">
        <v>45639</v>
      </c>
      <c r="F1755" t="s">
        <v>141</v>
      </c>
      <c r="G1755">
        <v>0</v>
      </c>
      <c r="H1755" t="s">
        <v>27</v>
      </c>
      <c r="I1755" t="s">
        <v>16</v>
      </c>
      <c r="J1755" t="s">
        <v>16</v>
      </c>
      <c r="K1755" t="str">
        <f>VLOOKUP(C1755,CheckName!A:B,2,0)</f>
        <v>Emp</v>
      </c>
      <c r="L1755">
        <v>0</v>
      </c>
      <c r="M1755">
        <f t="shared" si="247"/>
        <v>13</v>
      </c>
      <c r="N1755" t="str">
        <f>TEXT(MTDRejection[[#This Row],[RejectionDate]],"dddd")</f>
        <v>Friday</v>
      </c>
    </row>
    <row r="1756" spans="1:14">
      <c r="A1756" t="s">
        <v>100</v>
      </c>
      <c r="B1756" t="s">
        <v>4315</v>
      </c>
      <c r="C1756" t="s">
        <v>357</v>
      </c>
      <c r="D1756" t="s">
        <v>26</v>
      </c>
      <c r="E1756" s="7">
        <v>45636</v>
      </c>
      <c r="F1756" t="s">
        <v>380</v>
      </c>
      <c r="G1756">
        <v>3</v>
      </c>
      <c r="H1756" t="s">
        <v>27</v>
      </c>
      <c r="I1756" t="s">
        <v>16</v>
      </c>
      <c r="J1756" t="s">
        <v>16</v>
      </c>
      <c r="K1756" t="str">
        <f>VLOOKUP(C1756,CheckName!A:B,2,0)</f>
        <v>Emp</v>
      </c>
      <c r="L1756">
        <v>0</v>
      </c>
      <c r="M1756">
        <f t="shared" ref="M1756:M1761" si="248">DAY(E1756)</f>
        <v>10</v>
      </c>
      <c r="N1756" t="str">
        <f>TEXT(MTDRejection[[#This Row],[RejectionDate]],"dddd")</f>
        <v>Tuesday</v>
      </c>
    </row>
    <row r="1757" spans="1:14">
      <c r="A1757" t="s">
        <v>1608</v>
      </c>
      <c r="B1757" t="s">
        <v>4316</v>
      </c>
      <c r="C1757" t="s">
        <v>54</v>
      </c>
      <c r="D1757" t="s">
        <v>26</v>
      </c>
      <c r="E1757" s="7">
        <v>45628</v>
      </c>
      <c r="F1757" t="s">
        <v>103</v>
      </c>
      <c r="G1757">
        <v>11</v>
      </c>
      <c r="H1757" t="s">
        <v>27</v>
      </c>
      <c r="I1757" t="s">
        <v>16</v>
      </c>
      <c r="J1757" t="s">
        <v>16</v>
      </c>
      <c r="K1757" t="str">
        <f>VLOOKUP(C1757,CheckName!A:B,2,0)</f>
        <v>Edu</v>
      </c>
      <c r="L1757">
        <v>0</v>
      </c>
      <c r="M1757">
        <f t="shared" si="248"/>
        <v>2</v>
      </c>
      <c r="N1757" t="str">
        <f>TEXT(MTDRejection[[#This Row],[RejectionDate]],"dddd")</f>
        <v>Monday</v>
      </c>
    </row>
    <row r="1758" spans="1:14">
      <c r="A1758" t="s">
        <v>47</v>
      </c>
      <c r="B1758" t="s">
        <v>4317</v>
      </c>
      <c r="C1758" t="s">
        <v>71</v>
      </c>
      <c r="D1758" t="s">
        <v>13</v>
      </c>
      <c r="E1758" s="7">
        <v>45639</v>
      </c>
      <c r="F1758" t="s">
        <v>2343</v>
      </c>
      <c r="G1758">
        <v>0</v>
      </c>
      <c r="H1758" t="s">
        <v>15</v>
      </c>
      <c r="I1758" t="s">
        <v>16</v>
      </c>
      <c r="J1758" t="s">
        <v>16</v>
      </c>
      <c r="K1758" t="str">
        <f>VLOOKUP(C1758,CheckName!A:B,2,0)</f>
        <v>CRC</v>
      </c>
      <c r="L1758">
        <v>0</v>
      </c>
      <c r="M1758">
        <f t="shared" si="248"/>
        <v>13</v>
      </c>
      <c r="N1758" t="str">
        <f>TEXT(MTDRejection[[#This Row],[RejectionDate]],"dddd")</f>
        <v>Friday</v>
      </c>
    </row>
    <row r="1759" spans="1:14">
      <c r="A1759" t="s">
        <v>47</v>
      </c>
      <c r="B1759" t="s">
        <v>4318</v>
      </c>
      <c r="C1759" t="s">
        <v>56</v>
      </c>
      <c r="D1759" t="s">
        <v>13</v>
      </c>
      <c r="E1759" s="7">
        <v>45639</v>
      </c>
      <c r="F1759" t="s">
        <v>2326</v>
      </c>
      <c r="G1759">
        <v>0</v>
      </c>
      <c r="H1759" t="s">
        <v>130</v>
      </c>
      <c r="I1759" t="s">
        <v>16</v>
      </c>
      <c r="J1759" t="s">
        <v>16</v>
      </c>
      <c r="K1759" t="str">
        <f>VLOOKUP(C1759,CheckName!A:B,2,0)</f>
        <v>Special Check</v>
      </c>
      <c r="L1759">
        <v>0</v>
      </c>
      <c r="M1759">
        <f t="shared" si="248"/>
        <v>13</v>
      </c>
      <c r="N1759" t="str">
        <f>TEXT(MTDRejection[[#This Row],[RejectionDate]],"dddd")</f>
        <v>Friday</v>
      </c>
    </row>
    <row r="1760" spans="1:14">
      <c r="A1760" t="s">
        <v>306</v>
      </c>
      <c r="B1760" t="s">
        <v>4319</v>
      </c>
      <c r="C1760" t="s">
        <v>59</v>
      </c>
      <c r="D1760" t="s">
        <v>26</v>
      </c>
      <c r="E1760" s="7">
        <v>45639</v>
      </c>
      <c r="F1760" t="s">
        <v>236</v>
      </c>
      <c r="G1760">
        <v>0</v>
      </c>
      <c r="H1760" t="s">
        <v>27</v>
      </c>
      <c r="I1760" t="s">
        <v>16</v>
      </c>
      <c r="J1760" t="s">
        <v>16</v>
      </c>
      <c r="K1760" t="str">
        <f>VLOOKUP(C1760,CheckName!A:B,2,0)</f>
        <v>Special Check</v>
      </c>
      <c r="L1760">
        <v>0</v>
      </c>
      <c r="M1760">
        <f t="shared" si="248"/>
        <v>13</v>
      </c>
      <c r="N1760" t="str">
        <f>TEXT(MTDRejection[[#This Row],[RejectionDate]],"dddd")</f>
        <v>Friday</v>
      </c>
    </row>
    <row r="1761" spans="1:14">
      <c r="A1761" t="s">
        <v>176</v>
      </c>
      <c r="B1761" t="s">
        <v>4320</v>
      </c>
      <c r="C1761" t="s">
        <v>25</v>
      </c>
      <c r="D1761" t="s">
        <v>20</v>
      </c>
      <c r="E1761" s="7">
        <v>45639</v>
      </c>
      <c r="F1761" t="s">
        <v>2327</v>
      </c>
      <c r="G1761">
        <v>0</v>
      </c>
      <c r="H1761" t="s">
        <v>27</v>
      </c>
      <c r="I1761" t="s">
        <v>16</v>
      </c>
      <c r="J1761" t="s">
        <v>16</v>
      </c>
      <c r="K1761" t="str">
        <f>VLOOKUP(C1761,CheckName!A:B,2,0)</f>
        <v>Add</v>
      </c>
      <c r="L1761">
        <v>0</v>
      </c>
      <c r="M1761">
        <f t="shared" si="248"/>
        <v>13</v>
      </c>
      <c r="N1761" t="str">
        <f>TEXT(MTDRejection[[#This Row],[RejectionDate]],"dddd")</f>
        <v>Friday</v>
      </c>
    </row>
    <row r="1762" spans="1:14">
      <c r="A1762" t="s">
        <v>432</v>
      </c>
      <c r="B1762" t="s">
        <v>4321</v>
      </c>
      <c r="C1762" t="s">
        <v>125</v>
      </c>
      <c r="D1762" t="s">
        <v>26</v>
      </c>
      <c r="E1762" s="7">
        <v>45639</v>
      </c>
      <c r="F1762" t="s">
        <v>37</v>
      </c>
      <c r="G1762">
        <v>0</v>
      </c>
      <c r="H1762" t="s">
        <v>27</v>
      </c>
      <c r="I1762" t="s">
        <v>16</v>
      </c>
      <c r="J1762" t="s">
        <v>16</v>
      </c>
      <c r="K1762" t="str">
        <f>VLOOKUP(C1762,CheckName!A:B,2,0)</f>
        <v>Emp</v>
      </c>
      <c r="L1762">
        <v>0</v>
      </c>
      <c r="M1762">
        <f t="shared" ref="M1762:M1763" si="249">DAY(E1762)</f>
        <v>13</v>
      </c>
      <c r="N1762" t="str">
        <f>TEXT(MTDRejection[[#This Row],[RejectionDate]],"dddd")</f>
        <v>Friday</v>
      </c>
    </row>
    <row r="1763" spans="1:14">
      <c r="A1763" t="s">
        <v>142</v>
      </c>
      <c r="B1763" t="s">
        <v>2542</v>
      </c>
      <c r="C1763" t="s">
        <v>54</v>
      </c>
      <c r="D1763" t="s">
        <v>38</v>
      </c>
      <c r="E1763" s="7">
        <v>45639</v>
      </c>
      <c r="F1763" t="s">
        <v>1776</v>
      </c>
      <c r="G1763">
        <v>0</v>
      </c>
      <c r="H1763" t="s">
        <v>42</v>
      </c>
      <c r="I1763" t="s">
        <v>16</v>
      </c>
      <c r="J1763" t="s">
        <v>16</v>
      </c>
      <c r="K1763" t="str">
        <f>VLOOKUP(C1763,CheckName!A:B,2,0)</f>
        <v>Edu</v>
      </c>
      <c r="L1763">
        <v>0</v>
      </c>
      <c r="M1763">
        <f t="shared" si="249"/>
        <v>13</v>
      </c>
      <c r="N1763" t="str">
        <f>TEXT(MTDRejection[[#This Row],[RejectionDate]],"dddd")</f>
        <v>Friday</v>
      </c>
    </row>
    <row r="1764" spans="1:14">
      <c r="A1764" t="s">
        <v>45</v>
      </c>
      <c r="B1764" t="s">
        <v>4322</v>
      </c>
      <c r="C1764" t="s">
        <v>125</v>
      </c>
      <c r="D1764" t="s">
        <v>26</v>
      </c>
      <c r="E1764" s="7">
        <v>45639</v>
      </c>
      <c r="F1764" t="s">
        <v>222</v>
      </c>
      <c r="G1764">
        <v>0</v>
      </c>
      <c r="H1764" t="s">
        <v>22</v>
      </c>
      <c r="I1764" t="s">
        <v>16</v>
      </c>
      <c r="J1764" t="s">
        <v>16</v>
      </c>
      <c r="K1764" t="str">
        <f>VLOOKUP(C1764,CheckName!A:B,2,0)</f>
        <v>Emp</v>
      </c>
      <c r="L1764">
        <v>1</v>
      </c>
      <c r="M1764">
        <f t="shared" ref="M1764:M1766" si="250">DAY(E1764)</f>
        <v>13</v>
      </c>
      <c r="N1764" t="str">
        <f>TEXT(MTDRejection[[#This Row],[RejectionDate]],"dddd")</f>
        <v>Friday</v>
      </c>
    </row>
    <row r="1765" spans="1:14">
      <c r="A1765" t="s">
        <v>45</v>
      </c>
      <c r="B1765" t="s">
        <v>4323</v>
      </c>
      <c r="C1765" t="s">
        <v>12</v>
      </c>
      <c r="D1765" t="s">
        <v>26</v>
      </c>
      <c r="E1765" s="7">
        <v>45639</v>
      </c>
      <c r="F1765" t="s">
        <v>224</v>
      </c>
      <c r="G1765">
        <v>0</v>
      </c>
      <c r="H1765" t="s">
        <v>130</v>
      </c>
      <c r="I1765" t="s">
        <v>16</v>
      </c>
      <c r="J1765" t="s">
        <v>16</v>
      </c>
      <c r="K1765" t="str">
        <f>VLOOKUP(C1765,CheckName!A:B,2,0)</f>
        <v>Emp</v>
      </c>
      <c r="L1765">
        <v>0</v>
      </c>
      <c r="M1765">
        <f t="shared" si="250"/>
        <v>13</v>
      </c>
      <c r="N1765" t="str">
        <f>TEXT(MTDRejection[[#This Row],[RejectionDate]],"dddd")</f>
        <v>Friday</v>
      </c>
    </row>
    <row r="1766" spans="1:14">
      <c r="A1766" t="s">
        <v>45</v>
      </c>
      <c r="B1766" t="s">
        <v>4324</v>
      </c>
      <c r="C1766" t="s">
        <v>12</v>
      </c>
      <c r="D1766" t="s">
        <v>26</v>
      </c>
      <c r="E1766" s="7">
        <v>45639</v>
      </c>
      <c r="F1766" t="s">
        <v>224</v>
      </c>
      <c r="G1766">
        <v>0</v>
      </c>
      <c r="H1766" t="s">
        <v>27</v>
      </c>
      <c r="I1766" t="s">
        <v>16</v>
      </c>
      <c r="J1766" t="s">
        <v>16</v>
      </c>
      <c r="K1766" t="str">
        <f>VLOOKUP(C1766,CheckName!A:B,2,0)</f>
        <v>Emp</v>
      </c>
      <c r="L1766">
        <v>0</v>
      </c>
      <c r="M1766">
        <f t="shared" si="250"/>
        <v>13</v>
      </c>
      <c r="N1766" t="str">
        <f>TEXT(MTDRejection[[#This Row],[RejectionDate]],"dddd")</f>
        <v>Friday</v>
      </c>
    </row>
    <row r="1767" spans="1:14">
      <c r="A1767" t="s">
        <v>446</v>
      </c>
      <c r="B1767" t="s">
        <v>4325</v>
      </c>
      <c r="C1767" t="s">
        <v>19</v>
      </c>
      <c r="D1767" t="s">
        <v>20</v>
      </c>
      <c r="E1767" s="7">
        <v>45639</v>
      </c>
      <c r="F1767" t="s">
        <v>2330</v>
      </c>
      <c r="G1767">
        <v>0</v>
      </c>
      <c r="H1767" t="s">
        <v>22</v>
      </c>
      <c r="I1767" t="s">
        <v>16</v>
      </c>
      <c r="J1767" t="s">
        <v>16</v>
      </c>
      <c r="K1767" t="str">
        <f>VLOOKUP(C1767,CheckName!A:B,2,0)</f>
        <v>Add</v>
      </c>
      <c r="L1767">
        <v>0</v>
      </c>
      <c r="M1767">
        <f t="shared" ref="M1767:M1768" si="251">DAY(E1767)</f>
        <v>13</v>
      </c>
      <c r="N1767" t="str">
        <f>TEXT(MTDRejection[[#This Row],[RejectionDate]],"dddd")</f>
        <v>Friday</v>
      </c>
    </row>
    <row r="1768" spans="1:14">
      <c r="A1768" t="s">
        <v>45</v>
      </c>
      <c r="B1768" t="s">
        <v>4326</v>
      </c>
      <c r="C1768" t="s">
        <v>19</v>
      </c>
      <c r="D1768" t="s">
        <v>20</v>
      </c>
      <c r="E1768" s="7">
        <v>45639</v>
      </c>
      <c r="F1768" t="s">
        <v>2330</v>
      </c>
      <c r="G1768">
        <v>0</v>
      </c>
      <c r="H1768" t="s">
        <v>22</v>
      </c>
      <c r="I1768" t="s">
        <v>16</v>
      </c>
      <c r="J1768" t="s">
        <v>16</v>
      </c>
      <c r="K1768" t="str">
        <f>VLOOKUP(C1768,CheckName!A:B,2,0)</f>
        <v>Add</v>
      </c>
      <c r="L1768">
        <v>0</v>
      </c>
      <c r="M1768">
        <f t="shared" si="251"/>
        <v>13</v>
      </c>
      <c r="N1768" t="str">
        <f>TEXT(MTDRejection[[#This Row],[RejectionDate]],"dddd")</f>
        <v>Friday</v>
      </c>
    </row>
    <row r="1769" spans="1:14">
      <c r="A1769" t="s">
        <v>306</v>
      </c>
      <c r="B1769" t="s">
        <v>4327</v>
      </c>
      <c r="C1769" t="s">
        <v>25</v>
      </c>
      <c r="D1769" t="s">
        <v>26</v>
      </c>
      <c r="E1769" s="7">
        <v>45639</v>
      </c>
      <c r="F1769" t="s">
        <v>2340</v>
      </c>
      <c r="G1769">
        <v>0</v>
      </c>
      <c r="H1769" t="s">
        <v>15</v>
      </c>
      <c r="I1769" t="s">
        <v>16</v>
      </c>
      <c r="J1769" t="s">
        <v>16</v>
      </c>
      <c r="K1769" t="str">
        <f>VLOOKUP(C1769,CheckName!A:B,2,0)</f>
        <v>Add</v>
      </c>
      <c r="L1769">
        <v>0</v>
      </c>
      <c r="M1769">
        <f>DAY(E1769)</f>
        <v>13</v>
      </c>
      <c r="N1769" t="str">
        <f>TEXT(MTDRejection[[#This Row],[RejectionDate]],"dddd")</f>
        <v>Friday</v>
      </c>
    </row>
    <row r="1770" spans="1:14">
      <c r="A1770" t="s">
        <v>119</v>
      </c>
      <c r="B1770" t="s">
        <v>3031</v>
      </c>
      <c r="C1770" t="s">
        <v>125</v>
      </c>
      <c r="D1770" t="s">
        <v>26</v>
      </c>
      <c r="E1770" s="7">
        <v>45639</v>
      </c>
      <c r="F1770" t="s">
        <v>2354</v>
      </c>
      <c r="G1770">
        <v>0</v>
      </c>
      <c r="H1770" t="s">
        <v>27</v>
      </c>
      <c r="I1770" t="s">
        <v>16</v>
      </c>
      <c r="J1770" t="s">
        <v>16</v>
      </c>
      <c r="K1770" t="str">
        <f>VLOOKUP(C1770,CheckName!A:B,2,0)</f>
        <v>Emp</v>
      </c>
      <c r="L1770">
        <v>0</v>
      </c>
      <c r="M1770">
        <f t="shared" ref="M1770:M1771" si="252">DAY(E1770)</f>
        <v>13</v>
      </c>
      <c r="N1770" t="str">
        <f>TEXT(MTDRejection[[#This Row],[RejectionDate]],"dddd")</f>
        <v>Friday</v>
      </c>
    </row>
    <row r="1771" spans="1:14">
      <c r="A1771" t="s">
        <v>45</v>
      </c>
      <c r="B1771" t="s">
        <v>4328</v>
      </c>
      <c r="C1771" t="s">
        <v>25</v>
      </c>
      <c r="D1771" t="s">
        <v>20</v>
      </c>
      <c r="E1771" s="7">
        <v>45639</v>
      </c>
      <c r="F1771" t="s">
        <v>2348</v>
      </c>
      <c r="G1771">
        <v>0</v>
      </c>
      <c r="H1771" t="s">
        <v>22</v>
      </c>
      <c r="I1771" t="s">
        <v>16</v>
      </c>
      <c r="J1771" t="s">
        <v>16</v>
      </c>
      <c r="K1771" t="str">
        <f>VLOOKUP(C1771,CheckName!A:B,2,0)</f>
        <v>Add</v>
      </c>
      <c r="L1771">
        <v>0</v>
      </c>
      <c r="M1771">
        <f t="shared" si="252"/>
        <v>13</v>
      </c>
      <c r="N1771" t="str">
        <f>TEXT(MTDRejection[[#This Row],[RejectionDate]],"dddd")</f>
        <v>Friday</v>
      </c>
    </row>
    <row r="1772" spans="1:14">
      <c r="A1772" t="s">
        <v>845</v>
      </c>
      <c r="B1772" t="s">
        <v>4329</v>
      </c>
      <c r="C1772" t="s">
        <v>12</v>
      </c>
      <c r="D1772" t="s">
        <v>26</v>
      </c>
      <c r="E1772" s="7">
        <v>45639</v>
      </c>
      <c r="F1772" t="s">
        <v>2347</v>
      </c>
      <c r="G1772">
        <v>0</v>
      </c>
      <c r="H1772" t="s">
        <v>27</v>
      </c>
      <c r="I1772" t="s">
        <v>16</v>
      </c>
      <c r="J1772" t="s">
        <v>16</v>
      </c>
      <c r="K1772" t="str">
        <f>VLOOKUP(C1772,CheckName!A:B,2,0)</f>
        <v>Emp</v>
      </c>
      <c r="L1772">
        <v>0</v>
      </c>
      <c r="M1772">
        <f>DAY(E1772)</f>
        <v>13</v>
      </c>
      <c r="N1772" t="str">
        <f>TEXT(MTDRejection[[#This Row],[RejectionDate]],"dddd")</f>
        <v>Friday</v>
      </c>
    </row>
    <row r="1773" spans="1:14">
      <c r="A1773" t="s">
        <v>45</v>
      </c>
      <c r="B1773" t="s">
        <v>4330</v>
      </c>
      <c r="C1773" t="s">
        <v>125</v>
      </c>
      <c r="D1773" t="s">
        <v>26</v>
      </c>
      <c r="E1773" s="7">
        <v>45639</v>
      </c>
      <c r="F1773" t="s">
        <v>179</v>
      </c>
      <c r="G1773">
        <v>0</v>
      </c>
      <c r="H1773" t="s">
        <v>27</v>
      </c>
      <c r="I1773" t="s">
        <v>16</v>
      </c>
      <c r="J1773" t="s">
        <v>16</v>
      </c>
      <c r="K1773" t="str">
        <f>VLOOKUP(C1773,CheckName!A:B,2,0)</f>
        <v>Emp</v>
      </c>
      <c r="L1773">
        <v>0</v>
      </c>
      <c r="M1773">
        <f>DAY(E1773)</f>
        <v>13</v>
      </c>
      <c r="N1773" t="str">
        <f>TEXT(MTDRejection[[#This Row],[RejectionDate]],"dddd")</f>
        <v>Friday</v>
      </c>
    </row>
    <row r="1774" spans="1:14">
      <c r="A1774" t="s">
        <v>216</v>
      </c>
      <c r="B1774" t="s">
        <v>4331</v>
      </c>
      <c r="C1774" t="s">
        <v>56</v>
      </c>
      <c r="D1774" t="s">
        <v>13</v>
      </c>
      <c r="E1774" s="7">
        <v>45639</v>
      </c>
      <c r="F1774" t="s">
        <v>844</v>
      </c>
      <c r="G1774">
        <v>0</v>
      </c>
      <c r="H1774" t="s">
        <v>15</v>
      </c>
      <c r="I1774" t="s">
        <v>16</v>
      </c>
      <c r="J1774" t="s">
        <v>16</v>
      </c>
      <c r="K1774" t="str">
        <f>VLOOKUP(C1774,CheckName!A:B,2,0)</f>
        <v>Special Check</v>
      </c>
      <c r="L1774">
        <v>0</v>
      </c>
      <c r="M1774">
        <f t="shared" ref="M1774:M1777" si="253">DAY(E1774)</f>
        <v>13</v>
      </c>
      <c r="N1774" t="str">
        <f>TEXT(MTDRejection[[#This Row],[RejectionDate]],"dddd")</f>
        <v>Friday</v>
      </c>
    </row>
    <row r="1775" spans="1:14">
      <c r="A1775" t="s">
        <v>216</v>
      </c>
      <c r="B1775" t="s">
        <v>4332</v>
      </c>
      <c r="C1775" t="s">
        <v>71</v>
      </c>
      <c r="D1775" t="s">
        <v>13</v>
      </c>
      <c r="E1775" s="7">
        <v>45639</v>
      </c>
      <c r="F1775" t="s">
        <v>844</v>
      </c>
      <c r="G1775">
        <v>0</v>
      </c>
      <c r="H1775" t="s">
        <v>15</v>
      </c>
      <c r="I1775" t="s">
        <v>16</v>
      </c>
      <c r="J1775" t="s">
        <v>16</v>
      </c>
      <c r="K1775" t="str">
        <f>VLOOKUP(C1775,CheckName!A:B,2,0)</f>
        <v>CRC</v>
      </c>
      <c r="L1775">
        <v>0</v>
      </c>
      <c r="M1775">
        <f t="shared" si="253"/>
        <v>13</v>
      </c>
      <c r="N1775" t="str">
        <f>TEXT(MTDRejection[[#This Row],[RejectionDate]],"dddd")</f>
        <v>Friday</v>
      </c>
    </row>
    <row r="1776" spans="1:14">
      <c r="A1776" t="s">
        <v>1894</v>
      </c>
      <c r="B1776" t="s">
        <v>4333</v>
      </c>
      <c r="C1776" t="s">
        <v>1687</v>
      </c>
      <c r="D1776" t="s">
        <v>13</v>
      </c>
      <c r="E1776" s="7">
        <v>45639</v>
      </c>
      <c r="F1776" t="s">
        <v>1421</v>
      </c>
      <c r="G1776">
        <v>0</v>
      </c>
      <c r="H1776" t="s">
        <v>15</v>
      </c>
      <c r="I1776" t="s">
        <v>16</v>
      </c>
      <c r="J1776" t="s">
        <v>16</v>
      </c>
      <c r="K1776" t="str">
        <f>VLOOKUP(C1776,CheckName!A:B,2,0)</f>
        <v>CRC</v>
      </c>
      <c r="L1776">
        <v>0</v>
      </c>
      <c r="M1776">
        <f t="shared" si="253"/>
        <v>13</v>
      </c>
      <c r="N1776" t="str">
        <f>TEXT(MTDRejection[[#This Row],[RejectionDate]],"dddd")</f>
        <v>Friday</v>
      </c>
    </row>
    <row r="1777" spans="1:14">
      <c r="A1777" t="s">
        <v>306</v>
      </c>
      <c r="B1777" t="s">
        <v>4334</v>
      </c>
      <c r="C1777" t="s">
        <v>71</v>
      </c>
      <c r="D1777" t="s">
        <v>13</v>
      </c>
      <c r="E1777" s="7">
        <v>45639</v>
      </c>
      <c r="F1777" t="s">
        <v>2345</v>
      </c>
      <c r="G1777">
        <v>0</v>
      </c>
      <c r="H1777" t="s">
        <v>15</v>
      </c>
      <c r="I1777" t="s">
        <v>16</v>
      </c>
      <c r="J1777" t="s">
        <v>16</v>
      </c>
      <c r="K1777" t="str">
        <f>VLOOKUP(C1777,CheckName!A:B,2,0)</f>
        <v>CRC</v>
      </c>
      <c r="L1777">
        <v>0</v>
      </c>
      <c r="M1777">
        <f t="shared" si="253"/>
        <v>13</v>
      </c>
      <c r="N1777" t="str">
        <f>TEXT(MTDRejection[[#This Row],[RejectionDate]],"dddd")</f>
        <v>Friday</v>
      </c>
    </row>
    <row r="1778" spans="1:14">
      <c r="A1778" t="s">
        <v>165</v>
      </c>
      <c r="B1778" t="s">
        <v>4335</v>
      </c>
      <c r="C1778" t="s">
        <v>54</v>
      </c>
      <c r="D1778" t="s">
        <v>26</v>
      </c>
      <c r="E1778" s="7">
        <v>45639</v>
      </c>
      <c r="F1778" t="s">
        <v>94</v>
      </c>
      <c r="G1778">
        <v>0</v>
      </c>
      <c r="H1778" t="s">
        <v>27</v>
      </c>
      <c r="I1778" t="s">
        <v>16</v>
      </c>
      <c r="J1778" t="s">
        <v>16</v>
      </c>
      <c r="K1778" t="str">
        <f>VLOOKUP(C1778,CheckName!A:B,2,0)</f>
        <v>Edu</v>
      </c>
      <c r="L1778">
        <v>0</v>
      </c>
      <c r="M1778">
        <f t="shared" ref="M1778:M1779" si="254">DAY(E1778)</f>
        <v>13</v>
      </c>
      <c r="N1778" t="str">
        <f>TEXT(MTDRejection[[#This Row],[RejectionDate]],"dddd")</f>
        <v>Friday</v>
      </c>
    </row>
    <row r="1779" spans="1:14">
      <c r="A1779" t="s">
        <v>1090</v>
      </c>
      <c r="B1779" t="s">
        <v>4336</v>
      </c>
      <c r="C1779" t="s">
        <v>12</v>
      </c>
      <c r="D1779" t="s">
        <v>26</v>
      </c>
      <c r="E1779" s="7">
        <v>45639</v>
      </c>
      <c r="F1779" t="s">
        <v>721</v>
      </c>
      <c r="G1779">
        <v>0</v>
      </c>
      <c r="H1779" t="s">
        <v>27</v>
      </c>
      <c r="I1779" t="s">
        <v>16</v>
      </c>
      <c r="J1779" t="s">
        <v>16</v>
      </c>
      <c r="K1779" t="str">
        <f>VLOOKUP(C1779,CheckName!A:B,2,0)</f>
        <v>Emp</v>
      </c>
      <c r="L1779">
        <v>0</v>
      </c>
      <c r="M1779">
        <f t="shared" si="254"/>
        <v>13</v>
      </c>
      <c r="N1779" t="str">
        <f>TEXT(MTDRejection[[#This Row],[RejectionDate]],"dddd")</f>
        <v>Friday</v>
      </c>
    </row>
    <row r="1780" spans="1:14">
      <c r="A1780" t="s">
        <v>43</v>
      </c>
      <c r="B1780" t="s">
        <v>4337</v>
      </c>
      <c r="C1780" t="s">
        <v>12</v>
      </c>
      <c r="D1780" t="s">
        <v>26</v>
      </c>
      <c r="E1780" s="7">
        <v>45639</v>
      </c>
      <c r="F1780" t="s">
        <v>1139</v>
      </c>
      <c r="G1780">
        <v>0</v>
      </c>
      <c r="H1780" t="s">
        <v>27</v>
      </c>
      <c r="I1780" t="s">
        <v>16</v>
      </c>
      <c r="J1780" t="s">
        <v>16</v>
      </c>
      <c r="K1780" t="str">
        <f>VLOOKUP(C1780,CheckName!A:B,2,0)</f>
        <v>Emp</v>
      </c>
      <c r="L1780">
        <v>0</v>
      </c>
      <c r="M1780">
        <f t="shared" ref="M1780:M1781" si="255">DAY(E1780)</f>
        <v>13</v>
      </c>
      <c r="N1780" t="str">
        <f>TEXT(MTDRejection[[#This Row],[RejectionDate]],"dddd")</f>
        <v>Friday</v>
      </c>
    </row>
    <row r="1781" spans="1:14">
      <c r="A1781" t="s">
        <v>73</v>
      </c>
      <c r="B1781" t="s">
        <v>4338</v>
      </c>
      <c r="C1781" t="s">
        <v>12</v>
      </c>
      <c r="D1781" t="s">
        <v>26</v>
      </c>
      <c r="E1781" s="7">
        <v>45639</v>
      </c>
      <c r="F1781" t="s">
        <v>1139</v>
      </c>
      <c r="G1781">
        <v>0</v>
      </c>
      <c r="H1781" t="s">
        <v>27</v>
      </c>
      <c r="I1781" t="s">
        <v>16</v>
      </c>
      <c r="J1781" t="s">
        <v>16</v>
      </c>
      <c r="K1781" t="str">
        <f>VLOOKUP(C1781,CheckName!A:B,2,0)</f>
        <v>Emp</v>
      </c>
      <c r="L1781">
        <v>0</v>
      </c>
      <c r="M1781">
        <f t="shared" si="255"/>
        <v>13</v>
      </c>
      <c r="N1781" t="str">
        <f>TEXT(MTDRejection[[#This Row],[RejectionDate]],"dddd")</f>
        <v>Friday</v>
      </c>
    </row>
    <row r="1782" spans="1:14">
      <c r="A1782" t="s">
        <v>186</v>
      </c>
      <c r="B1782" t="s">
        <v>4339</v>
      </c>
      <c r="C1782" t="s">
        <v>54</v>
      </c>
      <c r="D1782" t="s">
        <v>26</v>
      </c>
      <c r="E1782" s="7">
        <v>45639</v>
      </c>
      <c r="F1782" t="s">
        <v>604</v>
      </c>
      <c r="G1782">
        <v>0</v>
      </c>
      <c r="H1782" t="s">
        <v>27</v>
      </c>
      <c r="I1782" t="s">
        <v>16</v>
      </c>
      <c r="J1782" t="s">
        <v>16</v>
      </c>
      <c r="K1782" t="str">
        <f>VLOOKUP(C1782,CheckName!A:B,2,0)</f>
        <v>Edu</v>
      </c>
      <c r="L1782">
        <v>0</v>
      </c>
      <c r="M1782">
        <f t="shared" ref="M1782:M1783" si="256">DAY(E1782)</f>
        <v>13</v>
      </c>
      <c r="N1782" t="str">
        <f>TEXT(MTDRejection[[#This Row],[RejectionDate]],"dddd")</f>
        <v>Friday</v>
      </c>
    </row>
    <row r="1783" spans="1:14">
      <c r="A1783" t="s">
        <v>100</v>
      </c>
      <c r="B1783" t="s">
        <v>4340</v>
      </c>
      <c r="C1783" t="s">
        <v>1621</v>
      </c>
      <c r="D1783" t="s">
        <v>13</v>
      </c>
      <c r="E1783" s="7">
        <v>45639</v>
      </c>
      <c r="F1783" t="s">
        <v>98</v>
      </c>
      <c r="G1783">
        <v>0</v>
      </c>
      <c r="H1783" t="s">
        <v>15</v>
      </c>
      <c r="I1783" t="s">
        <v>16</v>
      </c>
      <c r="J1783" t="s">
        <v>16</v>
      </c>
      <c r="K1783" t="str">
        <f>VLOOKUP(C1783,CheckName!A:B,2,0)</f>
        <v>CRC</v>
      </c>
      <c r="L1783">
        <v>0</v>
      </c>
      <c r="M1783">
        <f t="shared" si="256"/>
        <v>13</v>
      </c>
      <c r="N1783" t="str">
        <f>TEXT(MTDRejection[[#This Row],[RejectionDate]],"dddd")</f>
        <v>Friday</v>
      </c>
    </row>
    <row r="1784" spans="1:14">
      <c r="A1784" t="s">
        <v>1806</v>
      </c>
      <c r="B1784" t="s">
        <v>4341</v>
      </c>
      <c r="C1784" t="s">
        <v>220</v>
      </c>
      <c r="D1784" t="s">
        <v>26</v>
      </c>
      <c r="E1784" s="7">
        <v>45639</v>
      </c>
      <c r="F1784" t="s">
        <v>330</v>
      </c>
      <c r="G1784">
        <v>0</v>
      </c>
      <c r="H1784" t="s">
        <v>27</v>
      </c>
      <c r="I1784" t="s">
        <v>16</v>
      </c>
      <c r="J1784" t="s">
        <v>16</v>
      </c>
      <c r="K1784" t="str">
        <f>VLOOKUP(C1784,CheckName!A:B,2,0)</f>
        <v>Ref</v>
      </c>
      <c r="L1784">
        <v>0</v>
      </c>
      <c r="M1784">
        <f t="shared" ref="M1784:M1786" si="257">DAY(E1784)</f>
        <v>13</v>
      </c>
      <c r="N1784" t="str">
        <f>TEXT(MTDRejection[[#This Row],[RejectionDate]],"dddd")</f>
        <v>Friday</v>
      </c>
    </row>
    <row r="1785" spans="1:14">
      <c r="A1785" t="s">
        <v>45</v>
      </c>
      <c r="B1785" t="s">
        <v>2545</v>
      </c>
      <c r="C1785" t="s">
        <v>54</v>
      </c>
      <c r="D1785" t="s">
        <v>26</v>
      </c>
      <c r="E1785" s="7">
        <v>45639</v>
      </c>
      <c r="F1785" t="s">
        <v>103</v>
      </c>
      <c r="G1785">
        <v>0</v>
      </c>
      <c r="H1785" t="s">
        <v>30</v>
      </c>
      <c r="I1785" t="s">
        <v>16</v>
      </c>
      <c r="J1785" t="s">
        <v>16</v>
      </c>
      <c r="K1785" t="str">
        <f>VLOOKUP(C1785,CheckName!A:B,2,0)</f>
        <v>Edu</v>
      </c>
      <c r="L1785">
        <v>1</v>
      </c>
      <c r="M1785">
        <f t="shared" si="257"/>
        <v>13</v>
      </c>
      <c r="N1785" t="str">
        <f>TEXT(MTDRejection[[#This Row],[RejectionDate]],"dddd")</f>
        <v>Friday</v>
      </c>
    </row>
    <row r="1786" spans="1:14">
      <c r="A1786" t="s">
        <v>572</v>
      </c>
      <c r="B1786" t="s">
        <v>2546</v>
      </c>
      <c r="C1786" t="s">
        <v>220</v>
      </c>
      <c r="D1786" t="s">
        <v>26</v>
      </c>
      <c r="E1786" s="7">
        <v>45639</v>
      </c>
      <c r="F1786" t="s">
        <v>294</v>
      </c>
      <c r="G1786">
        <v>0</v>
      </c>
      <c r="H1786" t="s">
        <v>27</v>
      </c>
      <c r="I1786" t="s">
        <v>16</v>
      </c>
      <c r="J1786" t="s">
        <v>16</v>
      </c>
      <c r="K1786" t="str">
        <f>VLOOKUP(C1786,CheckName!A:B,2,0)</f>
        <v>Ref</v>
      </c>
      <c r="L1786">
        <v>0</v>
      </c>
      <c r="M1786">
        <f t="shared" si="257"/>
        <v>13</v>
      </c>
      <c r="N1786" t="str">
        <f>TEXT(MTDRejection[[#This Row],[RejectionDate]],"dddd")</f>
        <v>Friday</v>
      </c>
    </row>
    <row r="1787" spans="1:14">
      <c r="A1787" t="s">
        <v>1770</v>
      </c>
      <c r="B1787" t="s">
        <v>4342</v>
      </c>
      <c r="C1787" t="s">
        <v>220</v>
      </c>
      <c r="D1787" t="s">
        <v>26</v>
      </c>
      <c r="E1787" s="7">
        <v>45639</v>
      </c>
      <c r="F1787" t="s">
        <v>294</v>
      </c>
      <c r="G1787">
        <v>0</v>
      </c>
      <c r="H1787" t="s">
        <v>22</v>
      </c>
      <c r="I1787" t="s">
        <v>16</v>
      </c>
      <c r="J1787" t="s">
        <v>16</v>
      </c>
      <c r="K1787" t="str">
        <f>VLOOKUP(C1787,CheckName!A:B,2,0)</f>
        <v>Ref</v>
      </c>
      <c r="L1787">
        <v>0</v>
      </c>
      <c r="M1787">
        <f t="shared" ref="M1787:M1790" si="258">DAY(E1787)</f>
        <v>13</v>
      </c>
      <c r="N1787" t="str">
        <f>TEXT(MTDRejection[[#This Row],[RejectionDate]],"dddd")</f>
        <v>Friday</v>
      </c>
    </row>
    <row r="1788" spans="1:14">
      <c r="A1788" t="s">
        <v>306</v>
      </c>
      <c r="B1788" t="s">
        <v>4343</v>
      </c>
      <c r="C1788" t="s">
        <v>1103</v>
      </c>
      <c r="D1788" t="s">
        <v>38</v>
      </c>
      <c r="E1788" s="7">
        <v>45639</v>
      </c>
      <c r="F1788" t="s">
        <v>108</v>
      </c>
      <c r="G1788">
        <v>0</v>
      </c>
      <c r="H1788" t="s">
        <v>42</v>
      </c>
      <c r="I1788" t="s">
        <v>16</v>
      </c>
      <c r="J1788" t="s">
        <v>16</v>
      </c>
      <c r="K1788" t="str">
        <f>VLOOKUP(C1788,CheckName!A:B,2,0)</f>
        <v>CRC</v>
      </c>
      <c r="L1788">
        <v>0</v>
      </c>
      <c r="M1788">
        <f t="shared" si="258"/>
        <v>13</v>
      </c>
      <c r="N1788" t="str">
        <f>TEXT(MTDRejection[[#This Row],[RejectionDate]],"dddd")</f>
        <v>Friday</v>
      </c>
    </row>
    <row r="1789" spans="1:14">
      <c r="A1789" t="s">
        <v>306</v>
      </c>
      <c r="B1789" t="s">
        <v>4344</v>
      </c>
      <c r="C1789" t="s">
        <v>56</v>
      </c>
      <c r="D1789" t="s">
        <v>38</v>
      </c>
      <c r="E1789" s="7">
        <v>45639</v>
      </c>
      <c r="F1789" t="s">
        <v>108</v>
      </c>
      <c r="G1789">
        <v>0</v>
      </c>
      <c r="H1789" t="s">
        <v>42</v>
      </c>
      <c r="I1789" t="s">
        <v>16</v>
      </c>
      <c r="J1789" t="s">
        <v>16</v>
      </c>
      <c r="K1789" t="str">
        <f>VLOOKUP(C1789,CheckName!A:B,2,0)</f>
        <v>Special Check</v>
      </c>
      <c r="L1789">
        <v>0</v>
      </c>
      <c r="M1789">
        <f t="shared" si="258"/>
        <v>13</v>
      </c>
      <c r="N1789" t="str">
        <f>TEXT(MTDRejection[[#This Row],[RejectionDate]],"dddd")</f>
        <v>Friday</v>
      </c>
    </row>
    <row r="1790" spans="1:14">
      <c r="A1790" t="s">
        <v>833</v>
      </c>
      <c r="B1790" t="s">
        <v>4345</v>
      </c>
      <c r="C1790" t="s">
        <v>125</v>
      </c>
      <c r="D1790" t="s">
        <v>26</v>
      </c>
      <c r="E1790" s="7">
        <v>45639</v>
      </c>
      <c r="F1790" t="s">
        <v>2335</v>
      </c>
      <c r="G1790">
        <v>0</v>
      </c>
      <c r="H1790" t="s">
        <v>27</v>
      </c>
      <c r="I1790" t="s">
        <v>16</v>
      </c>
      <c r="J1790" t="s">
        <v>16</v>
      </c>
      <c r="K1790" t="str">
        <f>VLOOKUP(C1790,CheckName!A:B,2,0)</f>
        <v>Emp</v>
      </c>
      <c r="L1790">
        <v>0</v>
      </c>
      <c r="M1790">
        <f t="shared" si="258"/>
        <v>13</v>
      </c>
      <c r="N1790" t="str">
        <f>TEXT(MTDRejection[[#This Row],[RejectionDate]],"dddd")</f>
        <v>Friday</v>
      </c>
    </row>
    <row r="1791" spans="1:14">
      <c r="A1791" t="s">
        <v>1852</v>
      </c>
      <c r="B1791" t="s">
        <v>4346</v>
      </c>
      <c r="C1791" t="s">
        <v>12</v>
      </c>
      <c r="D1791" t="s">
        <v>26</v>
      </c>
      <c r="E1791" s="7">
        <v>45639</v>
      </c>
      <c r="F1791" t="s">
        <v>2335</v>
      </c>
      <c r="G1791">
        <v>0</v>
      </c>
      <c r="H1791" t="s">
        <v>22</v>
      </c>
      <c r="I1791" t="s">
        <v>16</v>
      </c>
      <c r="J1791" t="s">
        <v>16</v>
      </c>
      <c r="K1791" t="str">
        <f>VLOOKUP(C1791,CheckName!A:B,2,0)</f>
        <v>Emp</v>
      </c>
      <c r="L1791">
        <v>0</v>
      </c>
      <c r="M1791">
        <f t="shared" ref="M1791:M1792" si="259">DAY(E1791)</f>
        <v>13</v>
      </c>
      <c r="N1791" t="str">
        <f>TEXT(MTDRejection[[#This Row],[RejectionDate]],"dddd")</f>
        <v>Friday</v>
      </c>
    </row>
    <row r="1792" spans="1:14">
      <c r="A1792" t="s">
        <v>84</v>
      </c>
      <c r="B1792" t="s">
        <v>4347</v>
      </c>
      <c r="C1792" t="s">
        <v>12</v>
      </c>
      <c r="D1792" t="s">
        <v>26</v>
      </c>
      <c r="E1792" s="7">
        <v>45639</v>
      </c>
      <c r="F1792" t="s">
        <v>151</v>
      </c>
      <c r="G1792">
        <v>0</v>
      </c>
      <c r="H1792" t="s">
        <v>27</v>
      </c>
      <c r="I1792" t="s">
        <v>16</v>
      </c>
      <c r="J1792" t="s">
        <v>16</v>
      </c>
      <c r="K1792" t="str">
        <f>VLOOKUP(C1792,CheckName!A:B,2,0)</f>
        <v>Emp</v>
      </c>
      <c r="L1792">
        <v>0</v>
      </c>
      <c r="M1792">
        <f t="shared" si="259"/>
        <v>13</v>
      </c>
      <c r="N1792" t="str">
        <f>TEXT(MTDRejection[[#This Row],[RejectionDate]],"dddd")</f>
        <v>Friday</v>
      </c>
    </row>
    <row r="1793" spans="1:14">
      <c r="A1793" t="s">
        <v>216</v>
      </c>
      <c r="B1793" t="s">
        <v>4348</v>
      </c>
      <c r="C1793" t="s">
        <v>12</v>
      </c>
      <c r="D1793" t="s">
        <v>26</v>
      </c>
      <c r="E1793" s="7">
        <v>45639</v>
      </c>
      <c r="F1793" t="s">
        <v>2336</v>
      </c>
      <c r="G1793">
        <v>0</v>
      </c>
      <c r="H1793" t="s">
        <v>27</v>
      </c>
      <c r="I1793" t="s">
        <v>16</v>
      </c>
      <c r="J1793" t="s">
        <v>16</v>
      </c>
      <c r="K1793" t="str">
        <f>VLOOKUP(C1793,CheckName!A:B,2,0)</f>
        <v>Emp</v>
      </c>
      <c r="L1793">
        <v>0</v>
      </c>
      <c r="M1793">
        <f t="shared" ref="M1793:M1794" si="260">DAY(E1793)</f>
        <v>13</v>
      </c>
      <c r="N1793" t="str">
        <f>TEXT(MTDRejection[[#This Row],[RejectionDate]],"dddd")</f>
        <v>Friday</v>
      </c>
    </row>
    <row r="1794" spans="1:14">
      <c r="A1794" t="s">
        <v>1852</v>
      </c>
      <c r="B1794" t="s">
        <v>2547</v>
      </c>
      <c r="C1794" t="s">
        <v>54</v>
      </c>
      <c r="D1794" t="s">
        <v>26</v>
      </c>
      <c r="E1794" s="7">
        <v>45639</v>
      </c>
      <c r="F1794" t="s">
        <v>121</v>
      </c>
      <c r="G1794">
        <v>0</v>
      </c>
      <c r="H1794" t="s">
        <v>27</v>
      </c>
      <c r="I1794" t="s">
        <v>16</v>
      </c>
      <c r="J1794" t="s">
        <v>16</v>
      </c>
      <c r="K1794" t="str">
        <f>VLOOKUP(C1794,CheckName!A:B,2,0)</f>
        <v>Edu</v>
      </c>
      <c r="L1794">
        <v>0</v>
      </c>
      <c r="M1794">
        <f t="shared" si="260"/>
        <v>13</v>
      </c>
      <c r="N1794" t="str">
        <f>TEXT(MTDRejection[[#This Row],[RejectionDate]],"dddd")</f>
        <v>Friday</v>
      </c>
    </row>
    <row r="1795" spans="1:14">
      <c r="A1795" t="s">
        <v>45</v>
      </c>
      <c r="B1795" t="s">
        <v>4349</v>
      </c>
      <c r="C1795" t="s">
        <v>125</v>
      </c>
      <c r="D1795" t="s">
        <v>26</v>
      </c>
      <c r="E1795" s="7">
        <v>45638</v>
      </c>
      <c r="F1795" t="s">
        <v>224</v>
      </c>
      <c r="G1795">
        <v>1</v>
      </c>
      <c r="H1795" t="s">
        <v>27</v>
      </c>
      <c r="I1795" t="s">
        <v>16</v>
      </c>
      <c r="J1795" t="s">
        <v>16</v>
      </c>
      <c r="K1795" t="str">
        <f>VLOOKUP(C1795,CheckName!A:B,2,0)</f>
        <v>Emp</v>
      </c>
      <c r="L1795">
        <v>0</v>
      </c>
      <c r="M1795">
        <f>DAY(E1795)</f>
        <v>12</v>
      </c>
      <c r="N1795" t="str">
        <f>TEXT(MTDRejection[[#This Row],[RejectionDate]],"dddd")</f>
        <v>Thursday</v>
      </c>
    </row>
    <row r="1796" spans="1:14">
      <c r="A1796" t="s">
        <v>45</v>
      </c>
      <c r="B1796" t="s">
        <v>4350</v>
      </c>
      <c r="C1796" t="s">
        <v>125</v>
      </c>
      <c r="D1796" t="s">
        <v>26</v>
      </c>
      <c r="E1796" s="7">
        <v>45635</v>
      </c>
      <c r="F1796" t="s">
        <v>224</v>
      </c>
      <c r="G1796">
        <v>4</v>
      </c>
      <c r="H1796" t="s">
        <v>27</v>
      </c>
      <c r="I1796" t="s">
        <v>16</v>
      </c>
      <c r="J1796" t="s">
        <v>16</v>
      </c>
      <c r="K1796" t="str">
        <f>VLOOKUP(C1796,CheckName!A:B,2,0)</f>
        <v>Emp</v>
      </c>
      <c r="L1796">
        <v>0</v>
      </c>
      <c r="M1796">
        <f>DAY(E1796)</f>
        <v>9</v>
      </c>
      <c r="N1796" t="str">
        <f>TEXT(MTDRejection[[#This Row],[RejectionDate]],"dddd")</f>
        <v>Monday</v>
      </c>
    </row>
    <row r="1797" spans="1:14">
      <c r="A1797" t="s">
        <v>84</v>
      </c>
      <c r="B1797" t="s">
        <v>1486</v>
      </c>
      <c r="C1797" t="s">
        <v>36</v>
      </c>
      <c r="D1797" t="s">
        <v>26</v>
      </c>
      <c r="E1797" s="7">
        <v>45635</v>
      </c>
      <c r="F1797" t="s">
        <v>151</v>
      </c>
      <c r="G1797">
        <v>4</v>
      </c>
      <c r="H1797" t="s">
        <v>27</v>
      </c>
      <c r="I1797" t="s">
        <v>16</v>
      </c>
      <c r="J1797" t="s">
        <v>16</v>
      </c>
      <c r="K1797" t="str">
        <f>VLOOKUP(C1797,CheckName!A:B,2,0)</f>
        <v>Emp</v>
      </c>
      <c r="L1797">
        <v>0</v>
      </c>
      <c r="M1797">
        <f>DAY(E1797)</f>
        <v>9</v>
      </c>
      <c r="N1797" t="str">
        <f>TEXT(MTDRejection[[#This Row],[RejectionDate]],"dddd")</f>
        <v>Monday</v>
      </c>
    </row>
    <row r="1798" spans="1:14">
      <c r="A1798" t="s">
        <v>661</v>
      </c>
      <c r="B1798" t="s">
        <v>4351</v>
      </c>
      <c r="C1798" t="s">
        <v>12</v>
      </c>
      <c r="D1798" t="s">
        <v>26</v>
      </c>
      <c r="E1798" s="7">
        <v>45633</v>
      </c>
      <c r="F1798" t="s">
        <v>162</v>
      </c>
      <c r="G1798">
        <v>6</v>
      </c>
      <c r="H1798" t="s">
        <v>27</v>
      </c>
      <c r="I1798" t="s">
        <v>16</v>
      </c>
      <c r="J1798" t="s">
        <v>16</v>
      </c>
      <c r="K1798" t="str">
        <f>VLOOKUP(C1798,CheckName!A:B,2,0)</f>
        <v>Emp</v>
      </c>
      <c r="L1798">
        <v>0</v>
      </c>
      <c r="M1798">
        <f>DAY(E1798)</f>
        <v>7</v>
      </c>
      <c r="N1798" t="str">
        <f>TEXT(MTDRejection[[#This Row],[RejectionDate]],"dddd")</f>
        <v>Saturday</v>
      </c>
    </row>
    <row r="1799" spans="1:14">
      <c r="A1799" t="s">
        <v>685</v>
      </c>
      <c r="B1799" t="s">
        <v>4352</v>
      </c>
      <c r="C1799" t="s">
        <v>54</v>
      </c>
      <c r="D1799" t="s">
        <v>38</v>
      </c>
      <c r="E1799" s="7">
        <v>45640</v>
      </c>
      <c r="F1799" t="s">
        <v>1776</v>
      </c>
      <c r="G1799">
        <v>0</v>
      </c>
      <c r="H1799" t="s">
        <v>42</v>
      </c>
      <c r="I1799" t="s">
        <v>16</v>
      </c>
      <c r="J1799" t="s">
        <v>16</v>
      </c>
      <c r="K1799" t="str">
        <f>VLOOKUP(C1799,CheckName!A:B,2,0)</f>
        <v>Edu</v>
      </c>
      <c r="L1799">
        <v>0</v>
      </c>
      <c r="M1799">
        <f t="shared" ref="M1799:M1804" si="261">DAY(E1799)</f>
        <v>14</v>
      </c>
      <c r="N1799" t="str">
        <f>TEXT(MTDRejection[[#This Row],[RejectionDate]],"dddd")</f>
        <v>Saturday</v>
      </c>
    </row>
    <row r="1800" spans="1:14">
      <c r="A1800" t="s">
        <v>131</v>
      </c>
      <c r="B1800" t="s">
        <v>4353</v>
      </c>
      <c r="C1800" t="s">
        <v>71</v>
      </c>
      <c r="D1800" t="s">
        <v>13</v>
      </c>
      <c r="E1800" s="7">
        <v>45640</v>
      </c>
      <c r="F1800" t="s">
        <v>2334</v>
      </c>
      <c r="G1800">
        <v>0</v>
      </c>
      <c r="H1800" t="s">
        <v>15</v>
      </c>
      <c r="I1800" t="s">
        <v>16</v>
      </c>
      <c r="J1800" t="s">
        <v>16</v>
      </c>
      <c r="K1800" t="str">
        <f>VLOOKUP(C1800,CheckName!A:B,2,0)</f>
        <v>CRC</v>
      </c>
      <c r="L1800">
        <v>0</v>
      </c>
      <c r="M1800">
        <f t="shared" si="261"/>
        <v>14</v>
      </c>
      <c r="N1800" t="str">
        <f>TEXT(MTDRejection[[#This Row],[RejectionDate]],"dddd")</f>
        <v>Saturday</v>
      </c>
    </row>
    <row r="1801" spans="1:14">
      <c r="A1801" t="s">
        <v>211</v>
      </c>
      <c r="B1801" t="s">
        <v>4354</v>
      </c>
      <c r="C1801" t="s">
        <v>12</v>
      </c>
      <c r="D1801" t="s">
        <v>26</v>
      </c>
      <c r="E1801" s="7">
        <v>45640</v>
      </c>
      <c r="F1801" t="s">
        <v>2354</v>
      </c>
      <c r="G1801">
        <v>0</v>
      </c>
      <c r="H1801" t="s">
        <v>22</v>
      </c>
      <c r="I1801" t="s">
        <v>16</v>
      </c>
      <c r="J1801" t="s">
        <v>16</v>
      </c>
      <c r="K1801" t="str">
        <f>VLOOKUP(C1801,CheckName!A:B,2,0)</f>
        <v>Emp</v>
      </c>
      <c r="L1801">
        <v>0</v>
      </c>
      <c r="M1801">
        <f t="shared" si="261"/>
        <v>14</v>
      </c>
      <c r="N1801" t="str">
        <f>TEXT(MTDRejection[[#This Row],[RejectionDate]],"dddd")</f>
        <v>Saturday</v>
      </c>
    </row>
    <row r="1802" spans="1:14">
      <c r="A1802" t="s">
        <v>91</v>
      </c>
      <c r="B1802" t="s">
        <v>4355</v>
      </c>
      <c r="C1802" t="s">
        <v>12</v>
      </c>
      <c r="D1802" t="s">
        <v>13</v>
      </c>
      <c r="E1802" s="7">
        <v>45640</v>
      </c>
      <c r="F1802" t="s">
        <v>1421</v>
      </c>
      <c r="G1802">
        <v>0</v>
      </c>
      <c r="H1802" t="s">
        <v>15</v>
      </c>
      <c r="I1802" t="s">
        <v>16</v>
      </c>
      <c r="J1802" t="s">
        <v>16</v>
      </c>
      <c r="K1802" t="str">
        <f>VLOOKUP(C1802,CheckName!A:B,2,0)</f>
        <v>Emp</v>
      </c>
      <c r="L1802">
        <v>0</v>
      </c>
      <c r="M1802">
        <f t="shared" si="261"/>
        <v>14</v>
      </c>
      <c r="N1802" t="str">
        <f>TEXT(MTDRejection[[#This Row],[RejectionDate]],"dddd")</f>
        <v>Saturday</v>
      </c>
    </row>
    <row r="1803" spans="1:14">
      <c r="A1803" t="s">
        <v>1408</v>
      </c>
      <c r="B1803" t="s">
        <v>4356</v>
      </c>
      <c r="C1803" t="s">
        <v>12</v>
      </c>
      <c r="D1803" t="s">
        <v>26</v>
      </c>
      <c r="E1803" s="7">
        <v>45640</v>
      </c>
      <c r="F1803" t="s">
        <v>721</v>
      </c>
      <c r="G1803">
        <v>0</v>
      </c>
      <c r="H1803" t="s">
        <v>22</v>
      </c>
      <c r="I1803" t="s">
        <v>16</v>
      </c>
      <c r="J1803" t="s">
        <v>16</v>
      </c>
      <c r="K1803" t="str">
        <f>VLOOKUP(C1803,CheckName!A:B,2,0)</f>
        <v>Emp</v>
      </c>
      <c r="L1803">
        <v>0</v>
      </c>
      <c r="M1803">
        <f t="shared" si="261"/>
        <v>14</v>
      </c>
      <c r="N1803" t="str">
        <f>TEXT(MTDRejection[[#This Row],[RejectionDate]],"dddd")</f>
        <v>Saturday</v>
      </c>
    </row>
    <row r="1804" spans="1:14">
      <c r="A1804" t="s">
        <v>160</v>
      </c>
      <c r="B1804" t="s">
        <v>4357</v>
      </c>
      <c r="C1804" t="s">
        <v>49</v>
      </c>
      <c r="D1804" t="s">
        <v>13</v>
      </c>
      <c r="E1804" s="7">
        <v>45640</v>
      </c>
      <c r="F1804" t="s">
        <v>2332</v>
      </c>
      <c r="G1804">
        <v>0</v>
      </c>
      <c r="H1804" t="s">
        <v>15</v>
      </c>
      <c r="I1804" t="s">
        <v>16</v>
      </c>
      <c r="J1804" t="s">
        <v>16</v>
      </c>
      <c r="K1804" t="str">
        <f>VLOOKUP(C1804,CheckName!A:B,2,0)</f>
        <v>CRC</v>
      </c>
      <c r="L1804">
        <v>0</v>
      </c>
      <c r="M1804">
        <f t="shared" si="261"/>
        <v>14</v>
      </c>
      <c r="N1804" t="str">
        <f>TEXT(MTDRejection[[#This Row],[RejectionDate]],"dddd")</f>
        <v>Saturday</v>
      </c>
    </row>
    <row r="1805" spans="1:14">
      <c r="A1805" t="s">
        <v>1483</v>
      </c>
      <c r="B1805" t="s">
        <v>4358</v>
      </c>
      <c r="C1805" t="s">
        <v>12</v>
      </c>
      <c r="D1805" t="s">
        <v>26</v>
      </c>
      <c r="E1805" s="7">
        <v>45639</v>
      </c>
      <c r="F1805" t="s">
        <v>721</v>
      </c>
      <c r="G1805">
        <v>1</v>
      </c>
      <c r="H1805" t="s">
        <v>27</v>
      </c>
      <c r="I1805" t="s">
        <v>16</v>
      </c>
      <c r="J1805" t="s">
        <v>16</v>
      </c>
      <c r="K1805" t="str">
        <f>VLOOKUP(C1805,CheckName!A:B,2,0)</f>
        <v>Emp</v>
      </c>
      <c r="L1805">
        <v>0</v>
      </c>
      <c r="M1805">
        <f>DAY(E1805)</f>
        <v>13</v>
      </c>
      <c r="N1805" t="str">
        <f>TEXT(MTDRejection[[#This Row],[RejectionDate]],"dddd")</f>
        <v>Friday</v>
      </c>
    </row>
    <row r="1806" spans="1:14">
      <c r="A1806" t="s">
        <v>45</v>
      </c>
      <c r="B1806" t="s">
        <v>2548</v>
      </c>
      <c r="C1806" t="s">
        <v>125</v>
      </c>
      <c r="D1806" t="s">
        <v>26</v>
      </c>
      <c r="E1806" s="7">
        <v>45639</v>
      </c>
      <c r="F1806" t="s">
        <v>179</v>
      </c>
      <c r="G1806">
        <v>1</v>
      </c>
      <c r="H1806" t="s">
        <v>27</v>
      </c>
      <c r="I1806" t="s">
        <v>16</v>
      </c>
      <c r="J1806" t="s">
        <v>16</v>
      </c>
      <c r="K1806" t="str">
        <f>VLOOKUP(C1806,CheckName!A:B,2,0)</f>
        <v>Emp</v>
      </c>
      <c r="L1806">
        <v>0</v>
      </c>
      <c r="M1806">
        <f>DAY(E1806)</f>
        <v>13</v>
      </c>
      <c r="N1806" t="str">
        <f>TEXT(MTDRejection[[#This Row],[RejectionDate]],"dddd")</f>
        <v>Friday</v>
      </c>
    </row>
    <row r="1807" spans="1:14">
      <c r="A1807" t="s">
        <v>81</v>
      </c>
      <c r="B1807" t="s">
        <v>4359</v>
      </c>
      <c r="C1807" t="s">
        <v>25</v>
      </c>
      <c r="D1807" t="s">
        <v>26</v>
      </c>
      <c r="E1807" s="7">
        <v>45639</v>
      </c>
      <c r="F1807" t="s">
        <v>66</v>
      </c>
      <c r="G1807">
        <v>1</v>
      </c>
      <c r="H1807" t="s">
        <v>27</v>
      </c>
      <c r="I1807" t="s">
        <v>16</v>
      </c>
      <c r="J1807" t="s">
        <v>16</v>
      </c>
      <c r="K1807" t="str">
        <f>VLOOKUP(C1807,CheckName!A:B,2,0)</f>
        <v>Add</v>
      </c>
      <c r="L1807">
        <v>0</v>
      </c>
      <c r="M1807">
        <f>DAY(E1807)</f>
        <v>13</v>
      </c>
      <c r="N1807" t="str">
        <f>TEXT(MTDRejection[[#This Row],[RejectionDate]],"dddd")</f>
        <v>Friday</v>
      </c>
    </row>
    <row r="1808" spans="1:14">
      <c r="A1808" t="s">
        <v>360</v>
      </c>
      <c r="B1808" t="s">
        <v>4360</v>
      </c>
      <c r="C1808" t="s">
        <v>36</v>
      </c>
      <c r="D1808" t="s">
        <v>26</v>
      </c>
      <c r="E1808" s="7">
        <v>45640</v>
      </c>
      <c r="F1808" t="s">
        <v>325</v>
      </c>
      <c r="G1808">
        <v>0</v>
      </c>
      <c r="H1808" t="s">
        <v>27</v>
      </c>
      <c r="I1808" t="s">
        <v>16</v>
      </c>
      <c r="J1808" t="s">
        <v>16</v>
      </c>
      <c r="K1808" t="str">
        <f>VLOOKUP(C1808,CheckName!A:B,2,0)</f>
        <v>Emp</v>
      </c>
      <c r="L1808">
        <v>0</v>
      </c>
      <c r="M1808">
        <f>DAY(E1808)</f>
        <v>14</v>
      </c>
      <c r="N1808" t="str">
        <f>TEXT(MTDRejection[[#This Row],[RejectionDate]],"dddd")</f>
        <v>Saturday</v>
      </c>
    </row>
    <row r="1809" spans="1:14">
      <c r="A1809" t="s">
        <v>73</v>
      </c>
      <c r="B1809" t="s">
        <v>4361</v>
      </c>
      <c r="C1809" t="s">
        <v>59</v>
      </c>
      <c r="D1809" t="s">
        <v>51</v>
      </c>
      <c r="E1809" s="7">
        <v>45640</v>
      </c>
      <c r="F1809" t="s">
        <v>52</v>
      </c>
      <c r="G1809">
        <v>0</v>
      </c>
      <c r="H1809" t="s">
        <v>53</v>
      </c>
      <c r="I1809" t="s">
        <v>16</v>
      </c>
      <c r="J1809" t="s">
        <v>16</v>
      </c>
      <c r="K1809" t="str">
        <f>VLOOKUP(C1809,CheckName!A:B,2,0)</f>
        <v>Special Check</v>
      </c>
      <c r="L1809">
        <v>0</v>
      </c>
      <c r="M1809">
        <f t="shared" ref="M1809:M1814" si="262">DAY(E1809)</f>
        <v>14</v>
      </c>
      <c r="N1809" t="str">
        <f>TEXT(MTDRejection[[#This Row],[RejectionDate]],"dddd")</f>
        <v>Saturday</v>
      </c>
    </row>
    <row r="1810" spans="1:14">
      <c r="A1810" t="s">
        <v>73</v>
      </c>
      <c r="B1810" t="s">
        <v>2549</v>
      </c>
      <c r="C1810" t="s">
        <v>71</v>
      </c>
      <c r="D1810" t="s">
        <v>51</v>
      </c>
      <c r="E1810" s="7">
        <v>45640</v>
      </c>
      <c r="F1810" t="s">
        <v>52</v>
      </c>
      <c r="G1810">
        <v>0</v>
      </c>
      <c r="H1810" t="s">
        <v>53</v>
      </c>
      <c r="I1810" t="s">
        <v>16</v>
      </c>
      <c r="J1810" t="s">
        <v>16</v>
      </c>
      <c r="K1810" t="str">
        <f>VLOOKUP(C1810,CheckName!A:B,2,0)</f>
        <v>CRC</v>
      </c>
      <c r="L1810">
        <v>0</v>
      </c>
      <c r="M1810">
        <f t="shared" si="262"/>
        <v>14</v>
      </c>
      <c r="N1810" t="str">
        <f>TEXT(MTDRejection[[#This Row],[RejectionDate]],"dddd")</f>
        <v>Saturday</v>
      </c>
    </row>
    <row r="1811" spans="1:14">
      <c r="A1811" t="s">
        <v>73</v>
      </c>
      <c r="B1811" t="s">
        <v>4362</v>
      </c>
      <c r="C1811" t="s">
        <v>71</v>
      </c>
      <c r="D1811" t="s">
        <v>51</v>
      </c>
      <c r="E1811" s="7">
        <v>45640</v>
      </c>
      <c r="F1811" t="s">
        <v>52</v>
      </c>
      <c r="G1811">
        <v>0</v>
      </c>
      <c r="H1811" t="s">
        <v>53</v>
      </c>
      <c r="I1811" t="s">
        <v>16</v>
      </c>
      <c r="J1811" t="s">
        <v>16</v>
      </c>
      <c r="K1811" t="str">
        <f>VLOOKUP(C1811,CheckName!A:B,2,0)</f>
        <v>CRC</v>
      </c>
      <c r="L1811">
        <v>0</v>
      </c>
      <c r="M1811">
        <f t="shared" si="262"/>
        <v>14</v>
      </c>
      <c r="N1811" t="str">
        <f>TEXT(MTDRejection[[#This Row],[RejectionDate]],"dddd")</f>
        <v>Saturday</v>
      </c>
    </row>
    <row r="1812" spans="1:14">
      <c r="A1812" t="s">
        <v>73</v>
      </c>
      <c r="B1812" t="s">
        <v>4363</v>
      </c>
      <c r="C1812" t="s">
        <v>59</v>
      </c>
      <c r="D1812" t="s">
        <v>51</v>
      </c>
      <c r="E1812" s="7">
        <v>45640</v>
      </c>
      <c r="F1812" t="s">
        <v>52</v>
      </c>
      <c r="G1812">
        <v>0</v>
      </c>
      <c r="H1812" t="s">
        <v>53</v>
      </c>
      <c r="I1812" t="s">
        <v>16</v>
      </c>
      <c r="J1812" t="s">
        <v>16</v>
      </c>
      <c r="K1812" t="str">
        <f>VLOOKUP(C1812,CheckName!A:B,2,0)</f>
        <v>Special Check</v>
      </c>
      <c r="L1812">
        <v>0</v>
      </c>
      <c r="M1812">
        <f t="shared" si="262"/>
        <v>14</v>
      </c>
      <c r="N1812" t="str">
        <f>TEXT(MTDRejection[[#This Row],[RejectionDate]],"dddd")</f>
        <v>Saturday</v>
      </c>
    </row>
    <row r="1813" spans="1:14">
      <c r="A1813" t="s">
        <v>73</v>
      </c>
      <c r="B1813" t="s">
        <v>2550</v>
      </c>
      <c r="C1813" t="s">
        <v>71</v>
      </c>
      <c r="D1813" t="s">
        <v>51</v>
      </c>
      <c r="E1813" s="7">
        <v>45640</v>
      </c>
      <c r="F1813" t="s">
        <v>52</v>
      </c>
      <c r="G1813">
        <v>0</v>
      </c>
      <c r="H1813" t="s">
        <v>53</v>
      </c>
      <c r="I1813" t="s">
        <v>16</v>
      </c>
      <c r="J1813" t="s">
        <v>16</v>
      </c>
      <c r="K1813" t="str">
        <f>VLOOKUP(C1813,CheckName!A:B,2,0)</f>
        <v>CRC</v>
      </c>
      <c r="L1813">
        <v>0</v>
      </c>
      <c r="M1813">
        <f t="shared" si="262"/>
        <v>14</v>
      </c>
      <c r="N1813" t="str">
        <f>TEXT(MTDRejection[[#This Row],[RejectionDate]],"dddd")</f>
        <v>Saturday</v>
      </c>
    </row>
    <row r="1814" spans="1:14">
      <c r="A1814" t="s">
        <v>73</v>
      </c>
      <c r="B1814" t="s">
        <v>4364</v>
      </c>
      <c r="C1814" t="s">
        <v>59</v>
      </c>
      <c r="D1814" t="s">
        <v>51</v>
      </c>
      <c r="E1814" s="7">
        <v>45640</v>
      </c>
      <c r="F1814" t="s">
        <v>52</v>
      </c>
      <c r="G1814">
        <v>0</v>
      </c>
      <c r="H1814" t="s">
        <v>53</v>
      </c>
      <c r="I1814" t="s">
        <v>16</v>
      </c>
      <c r="J1814" t="s">
        <v>16</v>
      </c>
      <c r="K1814" t="str">
        <f>VLOOKUP(C1814,CheckName!A:B,2,0)</f>
        <v>Special Check</v>
      </c>
      <c r="L1814">
        <v>0</v>
      </c>
      <c r="M1814">
        <f t="shared" si="262"/>
        <v>14</v>
      </c>
      <c r="N1814" t="str">
        <f>TEXT(MTDRejection[[#This Row],[RejectionDate]],"dddd")</f>
        <v>Saturday</v>
      </c>
    </row>
    <row r="1815" spans="1:14">
      <c r="A1815" t="s">
        <v>119</v>
      </c>
      <c r="B1815" t="s">
        <v>4365</v>
      </c>
      <c r="C1815" t="s">
        <v>36</v>
      </c>
      <c r="D1815" t="s">
        <v>26</v>
      </c>
      <c r="E1815" s="7">
        <v>45640</v>
      </c>
      <c r="F1815" t="s">
        <v>355</v>
      </c>
      <c r="G1815">
        <v>0</v>
      </c>
      <c r="H1815" t="s">
        <v>27</v>
      </c>
      <c r="I1815" t="s">
        <v>16</v>
      </c>
      <c r="J1815" t="s">
        <v>16</v>
      </c>
      <c r="K1815" t="str">
        <f>VLOOKUP(C1815,CheckName!A:B,2,0)</f>
        <v>Emp</v>
      </c>
      <c r="L1815">
        <v>0</v>
      </c>
      <c r="M1815">
        <f>DAY(E1815)</f>
        <v>14</v>
      </c>
      <c r="N1815" t="str">
        <f>TEXT(MTDRejection[[#This Row],[RejectionDate]],"dddd")</f>
        <v>Saturday</v>
      </c>
    </row>
    <row r="1816" spans="1:14">
      <c r="A1816" t="s">
        <v>1895</v>
      </c>
      <c r="B1816" t="s">
        <v>4366</v>
      </c>
      <c r="C1816" t="s">
        <v>12</v>
      </c>
      <c r="D1816" t="s">
        <v>26</v>
      </c>
      <c r="E1816" s="7">
        <v>45640</v>
      </c>
      <c r="F1816" t="s">
        <v>2333</v>
      </c>
      <c r="G1816">
        <v>0</v>
      </c>
      <c r="H1816" t="s">
        <v>130</v>
      </c>
      <c r="I1816" t="s">
        <v>16</v>
      </c>
      <c r="J1816" t="s">
        <v>16</v>
      </c>
      <c r="K1816" t="str">
        <f>VLOOKUP(C1816,CheckName!A:B,2,0)</f>
        <v>Emp</v>
      </c>
      <c r="L1816">
        <v>0</v>
      </c>
      <c r="M1816">
        <f t="shared" ref="M1816:M1817" si="263">DAY(E1816)</f>
        <v>14</v>
      </c>
      <c r="N1816" t="str">
        <f>TEXT(MTDRejection[[#This Row],[RejectionDate]],"dddd")</f>
        <v>Saturday</v>
      </c>
    </row>
    <row r="1817" spans="1:14">
      <c r="A1817" t="s">
        <v>266</v>
      </c>
      <c r="B1817" t="s">
        <v>4367</v>
      </c>
      <c r="C1817" t="s">
        <v>12</v>
      </c>
      <c r="D1817" t="s">
        <v>26</v>
      </c>
      <c r="E1817" s="7">
        <v>45640</v>
      </c>
      <c r="F1817" t="s">
        <v>2335</v>
      </c>
      <c r="G1817">
        <v>0</v>
      </c>
      <c r="H1817" t="s">
        <v>27</v>
      </c>
      <c r="I1817" t="s">
        <v>16</v>
      </c>
      <c r="J1817" t="s">
        <v>16</v>
      </c>
      <c r="K1817" t="str">
        <f>VLOOKUP(C1817,CheckName!A:B,2,0)</f>
        <v>Emp</v>
      </c>
      <c r="L1817">
        <v>0</v>
      </c>
      <c r="M1817">
        <f t="shared" si="263"/>
        <v>14</v>
      </c>
      <c r="N1817" t="str">
        <f>TEXT(MTDRejection[[#This Row],[RejectionDate]],"dddd")</f>
        <v>Saturday</v>
      </c>
    </row>
    <row r="1818" spans="1:14">
      <c r="A1818" t="s">
        <v>360</v>
      </c>
      <c r="B1818" t="s">
        <v>4368</v>
      </c>
      <c r="C1818" t="s">
        <v>125</v>
      </c>
      <c r="D1818" t="s">
        <v>26</v>
      </c>
      <c r="E1818" s="7">
        <v>45638</v>
      </c>
      <c r="F1818" t="s">
        <v>325</v>
      </c>
      <c r="G1818">
        <v>2</v>
      </c>
      <c r="H1818" t="s">
        <v>27</v>
      </c>
      <c r="I1818" t="s">
        <v>16</v>
      </c>
      <c r="J1818" t="s">
        <v>16</v>
      </c>
      <c r="K1818" t="str">
        <f>VLOOKUP(C1818,CheckName!A:B,2,0)</f>
        <v>Emp</v>
      </c>
      <c r="L1818">
        <v>0</v>
      </c>
      <c r="M1818">
        <f>DAY(E1818)</f>
        <v>12</v>
      </c>
      <c r="N1818" t="str">
        <f>TEXT(MTDRejection[[#This Row],[RejectionDate]],"dddd")</f>
        <v>Thursday</v>
      </c>
    </row>
    <row r="1819" spans="1:14">
      <c r="A1819" t="s">
        <v>10</v>
      </c>
      <c r="B1819" t="s">
        <v>4369</v>
      </c>
      <c r="C1819" t="s">
        <v>1869</v>
      </c>
      <c r="D1819" t="s">
        <v>26</v>
      </c>
      <c r="E1819" s="7">
        <v>45641</v>
      </c>
      <c r="F1819" t="s">
        <v>236</v>
      </c>
      <c r="G1819">
        <v>0</v>
      </c>
      <c r="H1819" t="s">
        <v>27</v>
      </c>
      <c r="I1819" t="s">
        <v>16</v>
      </c>
      <c r="J1819" t="s">
        <v>16</v>
      </c>
      <c r="K1819" t="str">
        <f>VLOOKUP(C1819,CheckName!A:B,2,0)</f>
        <v>Special Check</v>
      </c>
      <c r="L1819">
        <v>1</v>
      </c>
      <c r="M1819">
        <f t="shared" ref="M1819:M1829" si="264">DAY(E1819)</f>
        <v>15</v>
      </c>
      <c r="N1819" t="str">
        <f>TEXT(MTDRejection[[#This Row],[RejectionDate]],"dddd")</f>
        <v>Sunday</v>
      </c>
    </row>
    <row r="1820" spans="1:14">
      <c r="A1820" t="s">
        <v>10</v>
      </c>
      <c r="B1820" t="s">
        <v>2551</v>
      </c>
      <c r="C1820" t="s">
        <v>1869</v>
      </c>
      <c r="D1820" t="s">
        <v>26</v>
      </c>
      <c r="E1820" s="7">
        <v>45641</v>
      </c>
      <c r="F1820" t="s">
        <v>236</v>
      </c>
      <c r="G1820">
        <v>0</v>
      </c>
      <c r="H1820" t="s">
        <v>27</v>
      </c>
      <c r="I1820" t="s">
        <v>16</v>
      </c>
      <c r="J1820" t="s">
        <v>16</v>
      </c>
      <c r="K1820" t="str">
        <f>VLOOKUP(C1820,CheckName!A:B,2,0)</f>
        <v>Special Check</v>
      </c>
      <c r="L1820">
        <v>1</v>
      </c>
      <c r="M1820">
        <f t="shared" si="264"/>
        <v>15</v>
      </c>
      <c r="N1820" t="str">
        <f>TEXT(MTDRejection[[#This Row],[RejectionDate]],"dddd")</f>
        <v>Sunday</v>
      </c>
    </row>
    <row r="1821" spans="1:14">
      <c r="A1821" t="s">
        <v>10</v>
      </c>
      <c r="B1821" t="s">
        <v>4370</v>
      </c>
      <c r="C1821" t="s">
        <v>1869</v>
      </c>
      <c r="D1821" t="s">
        <v>26</v>
      </c>
      <c r="E1821" s="7">
        <v>45641</v>
      </c>
      <c r="F1821" t="s">
        <v>236</v>
      </c>
      <c r="G1821">
        <v>0</v>
      </c>
      <c r="H1821" t="s">
        <v>27</v>
      </c>
      <c r="I1821" t="s">
        <v>16</v>
      </c>
      <c r="J1821" t="s">
        <v>16</v>
      </c>
      <c r="K1821" t="str">
        <f>VLOOKUP(C1821,CheckName!A:B,2,0)</f>
        <v>Special Check</v>
      </c>
      <c r="L1821">
        <v>1</v>
      </c>
      <c r="M1821">
        <f t="shared" si="264"/>
        <v>15</v>
      </c>
      <c r="N1821" t="str">
        <f>TEXT(MTDRejection[[#This Row],[RejectionDate]],"dddd")</f>
        <v>Sunday</v>
      </c>
    </row>
    <row r="1822" spans="1:14">
      <c r="A1822" t="s">
        <v>10</v>
      </c>
      <c r="B1822" t="s">
        <v>4371</v>
      </c>
      <c r="C1822" t="s">
        <v>1869</v>
      </c>
      <c r="D1822" t="s">
        <v>26</v>
      </c>
      <c r="E1822" s="7">
        <v>45641</v>
      </c>
      <c r="F1822" t="s">
        <v>236</v>
      </c>
      <c r="G1822">
        <v>0</v>
      </c>
      <c r="H1822" t="s">
        <v>27</v>
      </c>
      <c r="I1822" t="s">
        <v>16</v>
      </c>
      <c r="J1822" t="s">
        <v>16</v>
      </c>
      <c r="K1822" t="str">
        <f>VLOOKUP(C1822,CheckName!A:B,2,0)</f>
        <v>Special Check</v>
      </c>
      <c r="L1822">
        <v>1</v>
      </c>
      <c r="M1822">
        <f t="shared" si="264"/>
        <v>15</v>
      </c>
      <c r="N1822" t="str">
        <f>TEXT(MTDRejection[[#This Row],[RejectionDate]],"dddd")</f>
        <v>Sunday</v>
      </c>
    </row>
    <row r="1823" spans="1:14">
      <c r="A1823" t="s">
        <v>10</v>
      </c>
      <c r="B1823" t="s">
        <v>2552</v>
      </c>
      <c r="C1823" t="s">
        <v>1869</v>
      </c>
      <c r="D1823" t="s">
        <v>26</v>
      </c>
      <c r="E1823" s="7">
        <v>45641</v>
      </c>
      <c r="F1823" t="s">
        <v>236</v>
      </c>
      <c r="G1823">
        <v>0</v>
      </c>
      <c r="H1823" t="s">
        <v>27</v>
      </c>
      <c r="I1823" t="s">
        <v>16</v>
      </c>
      <c r="J1823" t="s">
        <v>16</v>
      </c>
      <c r="K1823" t="str">
        <f>VLOOKUP(C1823,CheckName!A:B,2,0)</f>
        <v>Special Check</v>
      </c>
      <c r="L1823">
        <v>1</v>
      </c>
      <c r="M1823">
        <f t="shared" si="264"/>
        <v>15</v>
      </c>
      <c r="N1823" t="str">
        <f>TEXT(MTDRejection[[#This Row],[RejectionDate]],"dddd")</f>
        <v>Sunday</v>
      </c>
    </row>
    <row r="1824" spans="1:14">
      <c r="A1824" t="s">
        <v>10</v>
      </c>
      <c r="B1824" t="s">
        <v>4372</v>
      </c>
      <c r="C1824" t="s">
        <v>1869</v>
      </c>
      <c r="D1824" t="s">
        <v>26</v>
      </c>
      <c r="E1824" s="7">
        <v>45641</v>
      </c>
      <c r="F1824" t="s">
        <v>236</v>
      </c>
      <c r="G1824">
        <v>0</v>
      </c>
      <c r="H1824" t="s">
        <v>27</v>
      </c>
      <c r="I1824" t="s">
        <v>16</v>
      </c>
      <c r="J1824" t="s">
        <v>16</v>
      </c>
      <c r="K1824" t="str">
        <f>VLOOKUP(C1824,CheckName!A:B,2,0)</f>
        <v>Special Check</v>
      </c>
      <c r="L1824">
        <v>1</v>
      </c>
      <c r="M1824">
        <f t="shared" si="264"/>
        <v>15</v>
      </c>
      <c r="N1824" t="str">
        <f>TEXT(MTDRejection[[#This Row],[RejectionDate]],"dddd")</f>
        <v>Sunday</v>
      </c>
    </row>
    <row r="1825" spans="1:14">
      <c r="A1825" t="s">
        <v>10</v>
      </c>
      <c r="B1825" t="s">
        <v>4373</v>
      </c>
      <c r="C1825" t="s">
        <v>1869</v>
      </c>
      <c r="D1825" t="s">
        <v>26</v>
      </c>
      <c r="E1825" s="7">
        <v>45641</v>
      </c>
      <c r="F1825" t="s">
        <v>236</v>
      </c>
      <c r="G1825">
        <v>0</v>
      </c>
      <c r="H1825" t="s">
        <v>27</v>
      </c>
      <c r="I1825" t="s">
        <v>16</v>
      </c>
      <c r="J1825" t="s">
        <v>16</v>
      </c>
      <c r="K1825" t="str">
        <f>VLOOKUP(C1825,CheckName!A:B,2,0)</f>
        <v>Special Check</v>
      </c>
      <c r="L1825">
        <v>1</v>
      </c>
      <c r="M1825">
        <f t="shared" si="264"/>
        <v>15</v>
      </c>
      <c r="N1825" t="str">
        <f>TEXT(MTDRejection[[#This Row],[RejectionDate]],"dddd")</f>
        <v>Sunday</v>
      </c>
    </row>
    <row r="1826" spans="1:14">
      <c r="A1826" t="s">
        <v>10</v>
      </c>
      <c r="B1826" t="s">
        <v>4374</v>
      </c>
      <c r="C1826" t="s">
        <v>1869</v>
      </c>
      <c r="D1826" t="s">
        <v>26</v>
      </c>
      <c r="E1826" s="7">
        <v>45641</v>
      </c>
      <c r="F1826" t="s">
        <v>236</v>
      </c>
      <c r="G1826">
        <v>0</v>
      </c>
      <c r="H1826" t="s">
        <v>27</v>
      </c>
      <c r="I1826" t="s">
        <v>16</v>
      </c>
      <c r="J1826" t="s">
        <v>16</v>
      </c>
      <c r="K1826" t="str">
        <f>VLOOKUP(C1826,CheckName!A:B,2,0)</f>
        <v>Special Check</v>
      </c>
      <c r="L1826">
        <v>1</v>
      </c>
      <c r="M1826">
        <f t="shared" si="264"/>
        <v>15</v>
      </c>
      <c r="N1826" t="str">
        <f>TEXT(MTDRejection[[#This Row],[RejectionDate]],"dddd")</f>
        <v>Sunday</v>
      </c>
    </row>
    <row r="1827" spans="1:14">
      <c r="A1827" t="s">
        <v>10</v>
      </c>
      <c r="B1827" t="s">
        <v>4375</v>
      </c>
      <c r="C1827" t="s">
        <v>1869</v>
      </c>
      <c r="D1827" t="s">
        <v>26</v>
      </c>
      <c r="E1827" s="7">
        <v>45641</v>
      </c>
      <c r="F1827" t="s">
        <v>236</v>
      </c>
      <c r="G1827">
        <v>0</v>
      </c>
      <c r="H1827" t="s">
        <v>27</v>
      </c>
      <c r="I1827" t="s">
        <v>16</v>
      </c>
      <c r="J1827" t="s">
        <v>16</v>
      </c>
      <c r="K1827" t="str">
        <f>VLOOKUP(C1827,CheckName!A:B,2,0)</f>
        <v>Special Check</v>
      </c>
      <c r="L1827">
        <v>1</v>
      </c>
      <c r="M1827">
        <f t="shared" si="264"/>
        <v>15</v>
      </c>
      <c r="N1827" t="str">
        <f>TEXT(MTDRejection[[#This Row],[RejectionDate]],"dddd")</f>
        <v>Sunday</v>
      </c>
    </row>
    <row r="1828" spans="1:14">
      <c r="A1828" t="s">
        <v>10</v>
      </c>
      <c r="B1828" t="s">
        <v>4376</v>
      </c>
      <c r="C1828" t="s">
        <v>1869</v>
      </c>
      <c r="D1828" t="s">
        <v>26</v>
      </c>
      <c r="E1828" s="7">
        <v>45641</v>
      </c>
      <c r="F1828" t="s">
        <v>236</v>
      </c>
      <c r="G1828">
        <v>0</v>
      </c>
      <c r="H1828" t="s">
        <v>27</v>
      </c>
      <c r="I1828" t="s">
        <v>16</v>
      </c>
      <c r="J1828" t="s">
        <v>16</v>
      </c>
      <c r="K1828" t="str">
        <f>VLOOKUP(C1828,CheckName!A:B,2,0)</f>
        <v>Special Check</v>
      </c>
      <c r="L1828">
        <v>1</v>
      </c>
      <c r="M1828">
        <f t="shared" si="264"/>
        <v>15</v>
      </c>
      <c r="N1828" t="str">
        <f>TEXT(MTDRejection[[#This Row],[RejectionDate]],"dddd")</f>
        <v>Sunday</v>
      </c>
    </row>
    <row r="1829" spans="1:14">
      <c r="A1829" t="s">
        <v>10</v>
      </c>
      <c r="B1829" t="s">
        <v>4377</v>
      </c>
      <c r="C1829" t="s">
        <v>1869</v>
      </c>
      <c r="D1829" t="s">
        <v>26</v>
      </c>
      <c r="E1829" s="7">
        <v>45641</v>
      </c>
      <c r="F1829" t="s">
        <v>236</v>
      </c>
      <c r="G1829">
        <v>0</v>
      </c>
      <c r="H1829" t="s">
        <v>27</v>
      </c>
      <c r="I1829" t="s">
        <v>16</v>
      </c>
      <c r="J1829" t="s">
        <v>16</v>
      </c>
      <c r="K1829" t="str">
        <f>VLOOKUP(C1829,CheckName!A:B,2,0)</f>
        <v>Special Check</v>
      </c>
      <c r="L1829">
        <v>1</v>
      </c>
      <c r="M1829">
        <f t="shared" si="264"/>
        <v>15</v>
      </c>
      <c r="N1829" t="str">
        <f>TEXT(MTDRejection[[#This Row],[RejectionDate]],"dddd")</f>
        <v>Sunday</v>
      </c>
    </row>
    <row r="1830" spans="1:14">
      <c r="A1830" t="s">
        <v>45</v>
      </c>
      <c r="B1830" t="s">
        <v>4378</v>
      </c>
      <c r="C1830" t="s">
        <v>54</v>
      </c>
      <c r="D1830" t="s">
        <v>51</v>
      </c>
      <c r="E1830" s="7">
        <v>45640</v>
      </c>
      <c r="F1830" t="s">
        <v>555</v>
      </c>
      <c r="G1830">
        <v>1</v>
      </c>
      <c r="H1830" t="s">
        <v>53</v>
      </c>
      <c r="I1830" t="s">
        <v>16</v>
      </c>
      <c r="J1830" t="s">
        <v>16</v>
      </c>
      <c r="K1830" t="str">
        <f>VLOOKUP(C1830,CheckName!A:B,2,0)</f>
        <v>Edu</v>
      </c>
      <c r="L1830">
        <v>0</v>
      </c>
      <c r="M1830">
        <f>DAY(E1830)</f>
        <v>14</v>
      </c>
      <c r="N1830" t="str">
        <f>TEXT(MTDRejection[[#This Row],[RejectionDate]],"dddd")</f>
        <v>Saturday</v>
      </c>
    </row>
    <row r="1831" spans="1:14">
      <c r="A1831" t="s">
        <v>45</v>
      </c>
      <c r="B1831" t="s">
        <v>4379</v>
      </c>
      <c r="C1831" t="s">
        <v>36</v>
      </c>
      <c r="D1831" t="s">
        <v>38</v>
      </c>
      <c r="E1831" s="7">
        <v>45640</v>
      </c>
      <c r="F1831" t="s">
        <v>39</v>
      </c>
      <c r="G1831">
        <v>1</v>
      </c>
      <c r="H1831" t="s">
        <v>42</v>
      </c>
      <c r="I1831" t="s">
        <v>16</v>
      </c>
      <c r="J1831" t="s">
        <v>16</v>
      </c>
      <c r="K1831" t="str">
        <f>VLOOKUP(C1831,CheckName!A:B,2,0)</f>
        <v>Emp</v>
      </c>
      <c r="L1831">
        <v>0</v>
      </c>
      <c r="M1831">
        <f>DAY(E1831)</f>
        <v>14</v>
      </c>
      <c r="N1831" t="str">
        <f>TEXT(MTDRejection[[#This Row],[RejectionDate]],"dddd")</f>
        <v>Saturday</v>
      </c>
    </row>
    <row r="1832" spans="1:14">
      <c r="A1832" t="s">
        <v>100</v>
      </c>
      <c r="B1832" t="s">
        <v>4380</v>
      </c>
      <c r="C1832" t="s">
        <v>775</v>
      </c>
      <c r="D1832" t="s">
        <v>51</v>
      </c>
      <c r="E1832" s="7">
        <v>45641</v>
      </c>
      <c r="F1832" t="s">
        <v>555</v>
      </c>
      <c r="G1832">
        <v>0</v>
      </c>
      <c r="H1832" t="s">
        <v>53</v>
      </c>
      <c r="I1832" t="s">
        <v>16</v>
      </c>
      <c r="J1832" t="s">
        <v>16</v>
      </c>
      <c r="K1832" t="str">
        <f>VLOOKUP(C1832,CheckName!A:B,2,0)</f>
        <v>Emp</v>
      </c>
      <c r="L1832">
        <v>0</v>
      </c>
      <c r="M1832">
        <f t="shared" ref="M1832:M1839" si="265">DAY(E1832)</f>
        <v>15</v>
      </c>
      <c r="N1832" t="str">
        <f>TEXT(MTDRejection[[#This Row],[RejectionDate]],"dddd")</f>
        <v>Sunday</v>
      </c>
    </row>
    <row r="1833" spans="1:14">
      <c r="A1833" t="s">
        <v>100</v>
      </c>
      <c r="B1833" t="s">
        <v>4381</v>
      </c>
      <c r="C1833" t="s">
        <v>359</v>
      </c>
      <c r="D1833" t="s">
        <v>51</v>
      </c>
      <c r="E1833" s="7">
        <v>45641</v>
      </c>
      <c r="F1833" t="s">
        <v>555</v>
      </c>
      <c r="G1833">
        <v>0</v>
      </c>
      <c r="H1833" t="s">
        <v>53</v>
      </c>
      <c r="I1833" t="s">
        <v>16</v>
      </c>
      <c r="J1833" t="s">
        <v>16</v>
      </c>
      <c r="K1833" t="str">
        <f>VLOOKUP(C1833,CheckName!A:B,2,0)</f>
        <v>Emp</v>
      </c>
      <c r="L1833">
        <v>0</v>
      </c>
      <c r="M1833">
        <f t="shared" si="265"/>
        <v>15</v>
      </c>
      <c r="N1833" t="str">
        <f>TEXT(MTDRejection[[#This Row],[RejectionDate]],"dddd")</f>
        <v>Sunday</v>
      </c>
    </row>
    <row r="1834" spans="1:14">
      <c r="A1834" t="s">
        <v>96</v>
      </c>
      <c r="B1834" t="s">
        <v>4382</v>
      </c>
      <c r="C1834" t="s">
        <v>12</v>
      </c>
      <c r="D1834" t="s">
        <v>13</v>
      </c>
      <c r="E1834" s="7">
        <v>45641</v>
      </c>
      <c r="F1834" t="s">
        <v>492</v>
      </c>
      <c r="G1834">
        <v>0</v>
      </c>
      <c r="H1834" t="s">
        <v>15</v>
      </c>
      <c r="I1834" t="s">
        <v>16</v>
      </c>
      <c r="J1834" t="s">
        <v>16</v>
      </c>
      <c r="K1834" t="str">
        <f>VLOOKUP(C1834,CheckName!A:B,2,0)</f>
        <v>Emp</v>
      </c>
      <c r="L1834">
        <v>0</v>
      </c>
      <c r="M1834">
        <f t="shared" si="265"/>
        <v>15</v>
      </c>
      <c r="N1834" t="str">
        <f>TEXT(MTDRejection[[#This Row],[RejectionDate]],"dddd")</f>
        <v>Sunday</v>
      </c>
    </row>
    <row r="1835" spans="1:14">
      <c r="A1835" t="s">
        <v>45</v>
      </c>
      <c r="B1835" t="s">
        <v>4383</v>
      </c>
      <c r="C1835" t="s">
        <v>54</v>
      </c>
      <c r="D1835" t="s">
        <v>13</v>
      </c>
      <c r="E1835" s="7">
        <v>45641</v>
      </c>
      <c r="F1835" t="s">
        <v>492</v>
      </c>
      <c r="G1835">
        <v>0</v>
      </c>
      <c r="H1835" t="s">
        <v>15</v>
      </c>
      <c r="I1835" t="s">
        <v>16</v>
      </c>
      <c r="J1835" t="s">
        <v>16</v>
      </c>
      <c r="K1835" t="str">
        <f>VLOOKUP(C1835,CheckName!A:B,2,0)</f>
        <v>Edu</v>
      </c>
      <c r="L1835">
        <v>0</v>
      </c>
      <c r="M1835">
        <f t="shared" si="265"/>
        <v>15</v>
      </c>
      <c r="N1835" t="str">
        <f>TEXT(MTDRejection[[#This Row],[RejectionDate]],"dddd")</f>
        <v>Sunday</v>
      </c>
    </row>
    <row r="1836" spans="1:14">
      <c r="A1836" t="s">
        <v>100</v>
      </c>
      <c r="B1836" t="s">
        <v>4384</v>
      </c>
      <c r="C1836" t="s">
        <v>102</v>
      </c>
      <c r="D1836" t="s">
        <v>13</v>
      </c>
      <c r="E1836" s="7">
        <v>45641</v>
      </c>
      <c r="F1836" t="s">
        <v>706</v>
      </c>
      <c r="G1836">
        <v>0</v>
      </c>
      <c r="H1836" t="s">
        <v>15</v>
      </c>
      <c r="I1836" t="s">
        <v>16</v>
      </c>
      <c r="J1836" t="s">
        <v>16</v>
      </c>
      <c r="K1836" t="str">
        <f>VLOOKUP(C1836,CheckName!A:B,2,0)</f>
        <v>Edu</v>
      </c>
      <c r="L1836">
        <v>0</v>
      </c>
      <c r="M1836">
        <f t="shared" si="265"/>
        <v>15</v>
      </c>
      <c r="N1836" t="str">
        <f>TEXT(MTDRejection[[#This Row],[RejectionDate]],"dddd")</f>
        <v>Sunday</v>
      </c>
    </row>
    <row r="1837" spans="1:14">
      <c r="A1837" t="s">
        <v>84</v>
      </c>
      <c r="B1837" t="s">
        <v>4385</v>
      </c>
      <c r="C1837" t="s">
        <v>1347</v>
      </c>
      <c r="D1837" t="s">
        <v>13</v>
      </c>
      <c r="E1837" s="7">
        <v>45641</v>
      </c>
      <c r="F1837" t="s">
        <v>1861</v>
      </c>
      <c r="G1837">
        <v>0</v>
      </c>
      <c r="H1837" t="s">
        <v>15</v>
      </c>
      <c r="I1837" t="s">
        <v>16</v>
      </c>
      <c r="J1837" t="s">
        <v>16</v>
      </c>
      <c r="K1837" t="str">
        <f>VLOOKUP(C1837,CheckName!A:B,2,0)</f>
        <v>CRC</v>
      </c>
      <c r="L1837">
        <v>0</v>
      </c>
      <c r="M1837">
        <f t="shared" si="265"/>
        <v>15</v>
      </c>
      <c r="N1837" t="str">
        <f>TEXT(MTDRejection[[#This Row],[RejectionDate]],"dddd")</f>
        <v>Sunday</v>
      </c>
    </row>
    <row r="1838" spans="1:14">
      <c r="A1838" t="s">
        <v>100</v>
      </c>
      <c r="B1838" t="s">
        <v>4386</v>
      </c>
      <c r="C1838" t="s">
        <v>516</v>
      </c>
      <c r="D1838" t="s">
        <v>13</v>
      </c>
      <c r="E1838" s="7">
        <v>45641</v>
      </c>
      <c r="F1838" t="s">
        <v>1013</v>
      </c>
      <c r="G1838">
        <v>0</v>
      </c>
      <c r="H1838" t="s">
        <v>30</v>
      </c>
      <c r="I1838" t="s">
        <v>16</v>
      </c>
      <c r="J1838" t="s">
        <v>16</v>
      </c>
      <c r="K1838" t="str">
        <f>VLOOKUP(C1838,CheckName!A:B,2,0)</f>
        <v>Emp</v>
      </c>
      <c r="L1838">
        <v>0</v>
      </c>
      <c r="M1838">
        <f t="shared" si="265"/>
        <v>15</v>
      </c>
      <c r="N1838" t="str">
        <f>TEXT(MTDRejection[[#This Row],[RejectionDate]],"dddd")</f>
        <v>Sunday</v>
      </c>
    </row>
    <row r="1839" spans="1:14">
      <c r="A1839" t="s">
        <v>84</v>
      </c>
      <c r="B1839" t="s">
        <v>4387</v>
      </c>
      <c r="C1839" t="s">
        <v>54</v>
      </c>
      <c r="D1839" t="s">
        <v>13</v>
      </c>
      <c r="E1839" s="7">
        <v>45641</v>
      </c>
      <c r="F1839" t="s">
        <v>1013</v>
      </c>
      <c r="G1839">
        <v>0</v>
      </c>
      <c r="H1839" t="s">
        <v>15</v>
      </c>
      <c r="I1839" t="s">
        <v>16</v>
      </c>
      <c r="J1839" t="s">
        <v>16</v>
      </c>
      <c r="K1839" t="str">
        <f>VLOOKUP(C1839,CheckName!A:B,2,0)</f>
        <v>Edu</v>
      </c>
      <c r="L1839">
        <v>0</v>
      </c>
      <c r="M1839">
        <f t="shared" si="265"/>
        <v>15</v>
      </c>
      <c r="N1839" t="str">
        <f>TEXT(MTDRejection[[#This Row],[RejectionDate]],"dddd")</f>
        <v>Sunday</v>
      </c>
    </row>
    <row r="1840" spans="1:14">
      <c r="A1840" t="s">
        <v>45</v>
      </c>
      <c r="B1840" t="s">
        <v>4388</v>
      </c>
      <c r="C1840" t="s">
        <v>12</v>
      </c>
      <c r="D1840" t="s">
        <v>13</v>
      </c>
      <c r="E1840" s="7">
        <v>45640</v>
      </c>
      <c r="F1840" t="s">
        <v>706</v>
      </c>
      <c r="G1840">
        <v>1</v>
      </c>
      <c r="H1840" t="s">
        <v>15</v>
      </c>
      <c r="I1840" t="s">
        <v>16</v>
      </c>
      <c r="J1840" t="s">
        <v>16</v>
      </c>
      <c r="K1840" t="str">
        <f>VLOOKUP(C1840,CheckName!A:B,2,0)</f>
        <v>Emp</v>
      </c>
      <c r="L1840">
        <v>0</v>
      </c>
      <c r="M1840">
        <f>DAY(E1840)</f>
        <v>14</v>
      </c>
      <c r="N1840" t="str">
        <f>TEXT(MTDRejection[[#This Row],[RejectionDate]],"dddd")</f>
        <v>Saturday</v>
      </c>
    </row>
    <row r="1841" spans="1:14">
      <c r="A1841" t="s">
        <v>100</v>
      </c>
      <c r="B1841" t="s">
        <v>4389</v>
      </c>
      <c r="C1841" t="s">
        <v>102</v>
      </c>
      <c r="D1841" t="s">
        <v>13</v>
      </c>
      <c r="E1841" s="7">
        <v>45639</v>
      </c>
      <c r="F1841" t="s">
        <v>492</v>
      </c>
      <c r="G1841">
        <v>2</v>
      </c>
      <c r="H1841" t="s">
        <v>15</v>
      </c>
      <c r="I1841" t="s">
        <v>16</v>
      </c>
      <c r="J1841" t="s">
        <v>16</v>
      </c>
      <c r="K1841" t="str">
        <f>VLOOKUP(C1841,CheckName!A:B,2,0)</f>
        <v>Edu</v>
      </c>
      <c r="L1841">
        <v>0</v>
      </c>
      <c r="M1841">
        <f>DAY(E1841)</f>
        <v>13</v>
      </c>
      <c r="N1841" t="str">
        <f>TEXT(MTDRejection[[#This Row],[RejectionDate]],"dddd")</f>
        <v>Friday</v>
      </c>
    </row>
    <row r="1842" spans="1:14">
      <c r="A1842" t="s">
        <v>84</v>
      </c>
      <c r="B1842" t="s">
        <v>4390</v>
      </c>
      <c r="C1842" t="s">
        <v>12</v>
      </c>
      <c r="D1842" t="s">
        <v>13</v>
      </c>
      <c r="E1842" s="7">
        <v>45639</v>
      </c>
      <c r="F1842" t="s">
        <v>706</v>
      </c>
      <c r="G1842">
        <v>2</v>
      </c>
      <c r="H1842" t="s">
        <v>15</v>
      </c>
      <c r="I1842" t="s">
        <v>16</v>
      </c>
      <c r="J1842" t="s">
        <v>16</v>
      </c>
      <c r="K1842" t="str">
        <f>VLOOKUP(C1842,CheckName!A:B,2,0)</f>
        <v>Emp</v>
      </c>
      <c r="L1842">
        <v>0</v>
      </c>
      <c r="M1842">
        <f>DAY(E1842)</f>
        <v>13</v>
      </c>
      <c r="N1842" t="str">
        <f>TEXT(MTDRejection[[#This Row],[RejectionDate]],"dddd")</f>
        <v>Friday</v>
      </c>
    </row>
    <row r="1843" spans="1:14">
      <c r="A1843" t="s">
        <v>139</v>
      </c>
      <c r="B1843" t="s">
        <v>2553</v>
      </c>
      <c r="C1843" t="s">
        <v>25</v>
      </c>
      <c r="D1843" t="s">
        <v>26</v>
      </c>
      <c r="E1843" s="7">
        <v>45642</v>
      </c>
      <c r="F1843" t="s">
        <v>2330</v>
      </c>
      <c r="G1843">
        <v>0</v>
      </c>
      <c r="H1843" t="s">
        <v>27</v>
      </c>
      <c r="I1843" t="s">
        <v>16</v>
      </c>
      <c r="J1843" t="s">
        <v>16</v>
      </c>
      <c r="K1843" t="str">
        <f>VLOOKUP(C1843,CheckName!A:B,2,0)</f>
        <v>Add</v>
      </c>
      <c r="L1843">
        <v>0</v>
      </c>
      <c r="M1843">
        <f t="shared" ref="M1843:M1853" si="266">DAY(E1843)</f>
        <v>16</v>
      </c>
      <c r="N1843" t="str">
        <f>TEXT(MTDRejection[[#This Row],[RejectionDate]],"dddd")</f>
        <v>Monday</v>
      </c>
    </row>
    <row r="1844" spans="1:14">
      <c r="A1844" t="s">
        <v>100</v>
      </c>
      <c r="B1844" t="s">
        <v>4391</v>
      </c>
      <c r="C1844" t="s">
        <v>102</v>
      </c>
      <c r="D1844" t="s">
        <v>13</v>
      </c>
      <c r="E1844" s="7">
        <v>45642</v>
      </c>
      <c r="F1844" t="s">
        <v>98</v>
      </c>
      <c r="G1844">
        <v>0</v>
      </c>
      <c r="H1844" t="s">
        <v>15</v>
      </c>
      <c r="I1844" t="s">
        <v>16</v>
      </c>
      <c r="J1844" t="s">
        <v>16</v>
      </c>
      <c r="K1844" t="str">
        <f>VLOOKUP(C1844,CheckName!A:B,2,0)</f>
        <v>Edu</v>
      </c>
      <c r="L1844">
        <v>0</v>
      </c>
      <c r="M1844">
        <f t="shared" si="266"/>
        <v>16</v>
      </c>
      <c r="N1844" t="str">
        <f>TEXT(MTDRejection[[#This Row],[RejectionDate]],"dddd")</f>
        <v>Monday</v>
      </c>
    </row>
    <row r="1845" spans="1:14">
      <c r="A1845" t="s">
        <v>100</v>
      </c>
      <c r="B1845" t="s">
        <v>4392</v>
      </c>
      <c r="C1845" t="s">
        <v>357</v>
      </c>
      <c r="D1845" t="s">
        <v>13</v>
      </c>
      <c r="E1845" s="7">
        <v>45642</v>
      </c>
      <c r="F1845" t="s">
        <v>98</v>
      </c>
      <c r="G1845">
        <v>0</v>
      </c>
      <c r="H1845" t="s">
        <v>30</v>
      </c>
      <c r="I1845" t="s">
        <v>16</v>
      </c>
      <c r="J1845" t="s">
        <v>16</v>
      </c>
      <c r="K1845" t="str">
        <f>VLOOKUP(C1845,CheckName!A:B,2,0)</f>
        <v>Emp</v>
      </c>
      <c r="L1845">
        <v>0</v>
      </c>
      <c r="M1845">
        <f t="shared" si="266"/>
        <v>16</v>
      </c>
      <c r="N1845" t="str">
        <f>TEXT(MTDRejection[[#This Row],[RejectionDate]],"dddd")</f>
        <v>Monday</v>
      </c>
    </row>
    <row r="1846" spans="1:14">
      <c r="A1846" t="s">
        <v>100</v>
      </c>
      <c r="B1846" t="s">
        <v>4393</v>
      </c>
      <c r="C1846" t="s">
        <v>359</v>
      </c>
      <c r="D1846" t="s">
        <v>13</v>
      </c>
      <c r="E1846" s="7">
        <v>45642</v>
      </c>
      <c r="F1846" t="s">
        <v>98</v>
      </c>
      <c r="G1846">
        <v>0</v>
      </c>
      <c r="H1846" t="s">
        <v>15</v>
      </c>
      <c r="I1846" t="s">
        <v>16</v>
      </c>
      <c r="J1846" t="s">
        <v>16</v>
      </c>
      <c r="K1846" t="str">
        <f>VLOOKUP(C1846,CheckName!A:B,2,0)</f>
        <v>Emp</v>
      </c>
      <c r="L1846">
        <v>0</v>
      </c>
      <c r="M1846">
        <f t="shared" si="266"/>
        <v>16</v>
      </c>
      <c r="N1846" t="str">
        <f>TEXT(MTDRejection[[#This Row],[RejectionDate]],"dddd")</f>
        <v>Monday</v>
      </c>
    </row>
    <row r="1847" spans="1:14">
      <c r="A1847" t="s">
        <v>45</v>
      </c>
      <c r="B1847" t="s">
        <v>4394</v>
      </c>
      <c r="C1847" t="s">
        <v>54</v>
      </c>
      <c r="D1847" t="s">
        <v>13</v>
      </c>
      <c r="E1847" s="7">
        <v>45642</v>
      </c>
      <c r="F1847" t="s">
        <v>98</v>
      </c>
      <c r="G1847">
        <v>0</v>
      </c>
      <c r="H1847" t="s">
        <v>15</v>
      </c>
      <c r="I1847" t="s">
        <v>16</v>
      </c>
      <c r="J1847" t="s">
        <v>16</v>
      </c>
      <c r="K1847" t="str">
        <f>VLOOKUP(C1847,CheckName!A:B,2,0)</f>
        <v>Edu</v>
      </c>
      <c r="L1847">
        <v>0</v>
      </c>
      <c r="M1847">
        <f t="shared" si="266"/>
        <v>16</v>
      </c>
      <c r="N1847" t="str">
        <f>TEXT(MTDRejection[[#This Row],[RejectionDate]],"dddd")</f>
        <v>Monday</v>
      </c>
    </row>
    <row r="1848" spans="1:14">
      <c r="A1848" t="s">
        <v>391</v>
      </c>
      <c r="B1848" t="s">
        <v>4395</v>
      </c>
      <c r="C1848" t="s">
        <v>56</v>
      </c>
      <c r="D1848" t="s">
        <v>13</v>
      </c>
      <c r="E1848" s="7">
        <v>45642</v>
      </c>
      <c r="F1848" t="s">
        <v>107</v>
      </c>
      <c r="G1848">
        <v>0</v>
      </c>
      <c r="H1848" t="s">
        <v>15</v>
      </c>
      <c r="I1848" t="s">
        <v>16</v>
      </c>
      <c r="J1848" t="s">
        <v>16</v>
      </c>
      <c r="K1848" t="str">
        <f>VLOOKUP(C1848,CheckName!A:B,2,0)</f>
        <v>Special Check</v>
      </c>
      <c r="L1848">
        <v>0</v>
      </c>
      <c r="M1848">
        <f t="shared" si="266"/>
        <v>16</v>
      </c>
      <c r="N1848" t="str">
        <f>TEXT(MTDRejection[[#This Row],[RejectionDate]],"dddd")</f>
        <v>Monday</v>
      </c>
    </row>
    <row r="1849" spans="1:14">
      <c r="A1849" t="s">
        <v>203</v>
      </c>
      <c r="B1849" t="s">
        <v>4396</v>
      </c>
      <c r="C1849" t="s">
        <v>36</v>
      </c>
      <c r="D1849" t="s">
        <v>26</v>
      </c>
      <c r="E1849" s="7">
        <v>45642</v>
      </c>
      <c r="F1849" t="s">
        <v>2333</v>
      </c>
      <c r="G1849">
        <v>0</v>
      </c>
      <c r="H1849" t="s">
        <v>130</v>
      </c>
      <c r="I1849" t="s">
        <v>16</v>
      </c>
      <c r="J1849" t="s">
        <v>16</v>
      </c>
      <c r="K1849" t="str">
        <f>VLOOKUP(C1849,CheckName!A:B,2,0)</f>
        <v>Emp</v>
      </c>
      <c r="L1849">
        <v>0</v>
      </c>
      <c r="M1849">
        <f t="shared" si="266"/>
        <v>16</v>
      </c>
      <c r="N1849" t="str">
        <f>TEXT(MTDRejection[[#This Row],[RejectionDate]],"dddd")</f>
        <v>Monday</v>
      </c>
    </row>
    <row r="1850" spans="1:14">
      <c r="A1850" t="s">
        <v>708</v>
      </c>
      <c r="B1850" t="s">
        <v>4397</v>
      </c>
      <c r="C1850" t="s">
        <v>36</v>
      </c>
      <c r="D1850" t="s">
        <v>26</v>
      </c>
      <c r="E1850" s="7">
        <v>45642</v>
      </c>
      <c r="F1850" t="s">
        <v>2333</v>
      </c>
      <c r="G1850">
        <v>0</v>
      </c>
      <c r="H1850" t="s">
        <v>130</v>
      </c>
      <c r="I1850" t="s">
        <v>16</v>
      </c>
      <c r="J1850" t="s">
        <v>16</v>
      </c>
      <c r="K1850" t="str">
        <f>VLOOKUP(C1850,CheckName!A:B,2,0)</f>
        <v>Emp</v>
      </c>
      <c r="L1850">
        <v>0</v>
      </c>
      <c r="M1850">
        <f t="shared" si="266"/>
        <v>16</v>
      </c>
      <c r="N1850" t="str">
        <f>TEXT(MTDRejection[[#This Row],[RejectionDate]],"dddd")</f>
        <v>Monday</v>
      </c>
    </row>
    <row r="1851" spans="1:14">
      <c r="A1851" t="s">
        <v>84</v>
      </c>
      <c r="B1851" t="s">
        <v>2564</v>
      </c>
      <c r="C1851" t="s">
        <v>36</v>
      </c>
      <c r="D1851" t="s">
        <v>26</v>
      </c>
      <c r="E1851" s="7">
        <v>45642</v>
      </c>
      <c r="F1851" t="s">
        <v>2333</v>
      </c>
      <c r="G1851">
        <v>0</v>
      </c>
      <c r="H1851" t="s">
        <v>22</v>
      </c>
      <c r="I1851" t="s">
        <v>16</v>
      </c>
      <c r="J1851" t="s">
        <v>16</v>
      </c>
      <c r="K1851" t="str">
        <f>VLOOKUP(C1851,CheckName!A:B,2,0)</f>
        <v>Emp</v>
      </c>
      <c r="L1851">
        <v>0</v>
      </c>
      <c r="M1851">
        <f t="shared" si="266"/>
        <v>16</v>
      </c>
      <c r="N1851" t="str">
        <f>TEXT(MTDRejection[[#This Row],[RejectionDate]],"dddd")</f>
        <v>Monday</v>
      </c>
    </row>
    <row r="1852" spans="1:14">
      <c r="A1852" t="s">
        <v>84</v>
      </c>
      <c r="B1852" t="s">
        <v>2554</v>
      </c>
      <c r="C1852" t="s">
        <v>125</v>
      </c>
      <c r="D1852" t="s">
        <v>26</v>
      </c>
      <c r="E1852" s="7">
        <v>45642</v>
      </c>
      <c r="F1852" t="s">
        <v>2333</v>
      </c>
      <c r="G1852">
        <v>0</v>
      </c>
      <c r="H1852" t="s">
        <v>22</v>
      </c>
      <c r="I1852" t="s">
        <v>16</v>
      </c>
      <c r="J1852" t="s">
        <v>16</v>
      </c>
      <c r="K1852" t="str">
        <f>VLOOKUP(C1852,CheckName!A:B,2,0)</f>
        <v>Emp</v>
      </c>
      <c r="L1852">
        <v>0</v>
      </c>
      <c r="M1852">
        <f t="shared" si="266"/>
        <v>16</v>
      </c>
      <c r="N1852" t="str">
        <f>TEXT(MTDRejection[[#This Row],[RejectionDate]],"dddd")</f>
        <v>Monday</v>
      </c>
    </row>
    <row r="1853" spans="1:14">
      <c r="A1853" t="s">
        <v>81</v>
      </c>
      <c r="B1853" t="s">
        <v>4398</v>
      </c>
      <c r="C1853" t="s">
        <v>12</v>
      </c>
      <c r="D1853" t="s">
        <v>26</v>
      </c>
      <c r="E1853" s="7">
        <v>45642</v>
      </c>
      <c r="F1853" t="s">
        <v>151</v>
      </c>
      <c r="G1853">
        <v>0</v>
      </c>
      <c r="H1853" t="s">
        <v>27</v>
      </c>
      <c r="I1853" t="s">
        <v>16</v>
      </c>
      <c r="J1853" t="s">
        <v>16</v>
      </c>
      <c r="K1853" t="str">
        <f>VLOOKUP(C1853,CheckName!A:B,2,0)</f>
        <v>Emp</v>
      </c>
      <c r="L1853">
        <v>0</v>
      </c>
      <c r="M1853">
        <f t="shared" si="266"/>
        <v>16</v>
      </c>
      <c r="N1853" t="str">
        <f>TEXT(MTDRejection[[#This Row],[RejectionDate]],"dddd")</f>
        <v>Monday</v>
      </c>
    </row>
    <row r="1854" spans="1:14">
      <c r="A1854" t="s">
        <v>100</v>
      </c>
      <c r="B1854" t="s">
        <v>4399</v>
      </c>
      <c r="C1854" t="s">
        <v>102</v>
      </c>
      <c r="D1854" t="s">
        <v>13</v>
      </c>
      <c r="E1854" s="7">
        <v>45641</v>
      </c>
      <c r="F1854" t="s">
        <v>1013</v>
      </c>
      <c r="G1854">
        <v>1</v>
      </c>
      <c r="H1854" t="s">
        <v>15</v>
      </c>
      <c r="I1854" t="s">
        <v>16</v>
      </c>
      <c r="J1854" t="s">
        <v>16</v>
      </c>
      <c r="K1854" t="str">
        <f>VLOOKUP(C1854,CheckName!A:B,2,0)</f>
        <v>Edu</v>
      </c>
      <c r="L1854">
        <v>0</v>
      </c>
      <c r="M1854">
        <f>DAY(E1854)</f>
        <v>15</v>
      </c>
      <c r="N1854" t="str">
        <f>TEXT(MTDRejection[[#This Row],[RejectionDate]],"dddd")</f>
        <v>Sunday</v>
      </c>
    </row>
    <row r="1855" spans="1:14">
      <c r="A1855" t="s">
        <v>84</v>
      </c>
      <c r="B1855" t="s">
        <v>4400</v>
      </c>
      <c r="C1855" t="s">
        <v>54</v>
      </c>
      <c r="D1855" t="s">
        <v>13</v>
      </c>
      <c r="E1855" s="7">
        <v>45641</v>
      </c>
      <c r="F1855" t="s">
        <v>1013</v>
      </c>
      <c r="G1855">
        <v>1</v>
      </c>
      <c r="H1855" t="s">
        <v>15</v>
      </c>
      <c r="I1855" t="s">
        <v>16</v>
      </c>
      <c r="J1855" t="s">
        <v>16</v>
      </c>
      <c r="K1855" t="str">
        <f>VLOOKUP(C1855,CheckName!A:B,2,0)</f>
        <v>Edu</v>
      </c>
      <c r="L1855">
        <v>0</v>
      </c>
      <c r="M1855">
        <f t="shared" ref="M1855:M1858" si="267">DAY(E1855)</f>
        <v>15</v>
      </c>
      <c r="N1855" t="str">
        <f>TEXT(MTDRejection[[#This Row],[RejectionDate]],"dddd")</f>
        <v>Sunday</v>
      </c>
    </row>
    <row r="1856" spans="1:14">
      <c r="A1856" t="s">
        <v>306</v>
      </c>
      <c r="B1856" t="s">
        <v>4401</v>
      </c>
      <c r="C1856" t="s">
        <v>25</v>
      </c>
      <c r="D1856" t="s">
        <v>13</v>
      </c>
      <c r="E1856" s="7">
        <v>45641</v>
      </c>
      <c r="F1856" t="s">
        <v>844</v>
      </c>
      <c r="G1856">
        <v>1</v>
      </c>
      <c r="H1856" t="s">
        <v>15</v>
      </c>
      <c r="I1856" t="s">
        <v>16</v>
      </c>
      <c r="J1856" t="s">
        <v>16</v>
      </c>
      <c r="K1856" t="str">
        <f>VLOOKUP(C1856,CheckName!A:B,2,0)</f>
        <v>Add</v>
      </c>
      <c r="L1856">
        <v>0</v>
      </c>
      <c r="M1856">
        <f t="shared" si="267"/>
        <v>15</v>
      </c>
      <c r="N1856" t="str">
        <f>TEXT(MTDRejection[[#This Row],[RejectionDate]],"dddd")</f>
        <v>Sunday</v>
      </c>
    </row>
    <row r="1857" spans="1:14">
      <c r="A1857" t="s">
        <v>306</v>
      </c>
      <c r="B1857" t="s">
        <v>4402</v>
      </c>
      <c r="C1857" t="s">
        <v>71</v>
      </c>
      <c r="D1857" t="s">
        <v>13</v>
      </c>
      <c r="E1857" s="7">
        <v>45641</v>
      </c>
      <c r="F1857" t="s">
        <v>1861</v>
      </c>
      <c r="G1857">
        <v>1</v>
      </c>
      <c r="H1857" t="s">
        <v>15</v>
      </c>
      <c r="I1857" t="s">
        <v>16</v>
      </c>
      <c r="J1857" t="s">
        <v>16</v>
      </c>
      <c r="K1857" t="str">
        <f>VLOOKUP(C1857,CheckName!A:B,2,0)</f>
        <v>CRC</v>
      </c>
      <c r="L1857">
        <v>0</v>
      </c>
      <c r="M1857">
        <f t="shared" si="267"/>
        <v>15</v>
      </c>
      <c r="N1857" t="str">
        <f>TEXT(MTDRejection[[#This Row],[RejectionDate]],"dddd")</f>
        <v>Sunday</v>
      </c>
    </row>
    <row r="1858" spans="1:14">
      <c r="A1858" t="s">
        <v>306</v>
      </c>
      <c r="B1858" t="s">
        <v>4402</v>
      </c>
      <c r="C1858" t="s">
        <v>54</v>
      </c>
      <c r="D1858" t="s">
        <v>13</v>
      </c>
      <c r="E1858" s="7">
        <v>45641</v>
      </c>
      <c r="F1858" t="s">
        <v>1861</v>
      </c>
      <c r="G1858">
        <v>1</v>
      </c>
      <c r="H1858" t="s">
        <v>15</v>
      </c>
      <c r="I1858" t="s">
        <v>16</v>
      </c>
      <c r="J1858" t="s">
        <v>16</v>
      </c>
      <c r="K1858" t="str">
        <f>VLOOKUP(C1858,CheckName!A:B,2,0)</f>
        <v>Edu</v>
      </c>
      <c r="L1858">
        <v>0</v>
      </c>
      <c r="M1858">
        <f t="shared" si="267"/>
        <v>15</v>
      </c>
      <c r="N1858" t="str">
        <f>TEXT(MTDRejection[[#This Row],[RejectionDate]],"dddd")</f>
        <v>Sunday</v>
      </c>
    </row>
    <row r="1859" spans="1:14">
      <c r="A1859" t="s">
        <v>84</v>
      </c>
      <c r="B1859" t="s">
        <v>4403</v>
      </c>
      <c r="C1859" t="s">
        <v>54</v>
      </c>
      <c r="D1859" t="s">
        <v>13</v>
      </c>
      <c r="E1859" s="7">
        <v>45641</v>
      </c>
      <c r="F1859" t="s">
        <v>1861</v>
      </c>
      <c r="G1859">
        <v>1</v>
      </c>
      <c r="H1859" t="s">
        <v>15</v>
      </c>
      <c r="I1859" t="s">
        <v>16</v>
      </c>
      <c r="J1859" t="s">
        <v>16</v>
      </c>
      <c r="K1859" t="str">
        <f>VLOOKUP(C1859,CheckName!A:B,2,0)</f>
        <v>Edu</v>
      </c>
      <c r="L1859">
        <v>0</v>
      </c>
      <c r="M1859">
        <f t="shared" ref="M1859:M1860" si="268">DAY(E1859)</f>
        <v>15</v>
      </c>
      <c r="N1859" t="str">
        <f>TEXT(MTDRejection[[#This Row],[RejectionDate]],"dddd")</f>
        <v>Sunday</v>
      </c>
    </row>
    <row r="1860" spans="1:14">
      <c r="A1860" t="s">
        <v>142</v>
      </c>
      <c r="B1860" t="s">
        <v>4404</v>
      </c>
      <c r="C1860" t="s">
        <v>19</v>
      </c>
      <c r="D1860" t="s">
        <v>26</v>
      </c>
      <c r="E1860" s="7">
        <v>45641</v>
      </c>
      <c r="F1860" t="s">
        <v>66</v>
      </c>
      <c r="G1860">
        <v>1</v>
      </c>
      <c r="H1860" t="s">
        <v>27</v>
      </c>
      <c r="I1860" t="s">
        <v>16</v>
      </c>
      <c r="J1860" t="s">
        <v>16</v>
      </c>
      <c r="K1860" t="str">
        <f>VLOOKUP(C1860,CheckName!A:B,2,0)</f>
        <v>Add</v>
      </c>
      <c r="L1860">
        <v>0</v>
      </c>
      <c r="M1860">
        <f t="shared" si="268"/>
        <v>15</v>
      </c>
      <c r="N1860" t="str">
        <f>TEXT(MTDRejection[[#This Row],[RejectionDate]],"dddd")</f>
        <v>Sunday</v>
      </c>
    </row>
    <row r="1861" spans="1:14">
      <c r="A1861" t="s">
        <v>100</v>
      </c>
      <c r="B1861" t="s">
        <v>4405</v>
      </c>
      <c r="C1861" t="s">
        <v>359</v>
      </c>
      <c r="D1861" t="s">
        <v>51</v>
      </c>
      <c r="E1861" s="7">
        <v>45641</v>
      </c>
      <c r="F1861" t="s">
        <v>555</v>
      </c>
      <c r="G1861">
        <v>1</v>
      </c>
      <c r="H1861" t="s">
        <v>53</v>
      </c>
      <c r="I1861" t="s">
        <v>16</v>
      </c>
      <c r="J1861" t="s">
        <v>16</v>
      </c>
      <c r="K1861" t="str">
        <f>VLOOKUP(C1861,CheckName!A:B,2,0)</f>
        <v>Emp</v>
      </c>
      <c r="L1861">
        <v>0</v>
      </c>
      <c r="M1861">
        <f>DAY(E1861)</f>
        <v>15</v>
      </c>
      <c r="N1861" t="str">
        <f>TEXT(MTDRejection[[#This Row],[RejectionDate]],"dddd")</f>
        <v>Sunday</v>
      </c>
    </row>
    <row r="1862" spans="1:14">
      <c r="A1862" t="s">
        <v>84</v>
      </c>
      <c r="B1862" t="s">
        <v>4406</v>
      </c>
      <c r="C1862" t="s">
        <v>112</v>
      </c>
      <c r="D1862" t="s">
        <v>26</v>
      </c>
      <c r="E1862" s="7">
        <v>45637</v>
      </c>
      <c r="F1862" t="s">
        <v>2333</v>
      </c>
      <c r="G1862">
        <v>5</v>
      </c>
      <c r="H1862" t="s">
        <v>27</v>
      </c>
      <c r="I1862" t="s">
        <v>16</v>
      </c>
      <c r="J1862" t="s">
        <v>16</v>
      </c>
      <c r="K1862" t="str">
        <f>VLOOKUP(C1862,CheckName!A:B,2,0)</f>
        <v>Emp</v>
      </c>
      <c r="L1862">
        <v>0</v>
      </c>
      <c r="M1862">
        <f>DAY(E1862)</f>
        <v>11</v>
      </c>
      <c r="N1862" t="str">
        <f>TEXT(MTDRejection[[#This Row],[RejectionDate]],"dddd")</f>
        <v>Wednesday</v>
      </c>
    </row>
    <row r="1863" spans="1:14">
      <c r="A1863" t="s">
        <v>306</v>
      </c>
      <c r="B1863" t="s">
        <v>4407</v>
      </c>
      <c r="C1863" t="s">
        <v>54</v>
      </c>
      <c r="D1863" t="s">
        <v>26</v>
      </c>
      <c r="E1863" s="7">
        <v>45637</v>
      </c>
      <c r="F1863" t="s">
        <v>309</v>
      </c>
      <c r="G1863">
        <v>5</v>
      </c>
      <c r="H1863" t="s">
        <v>27</v>
      </c>
      <c r="I1863" t="s">
        <v>16</v>
      </c>
      <c r="J1863" t="s">
        <v>16</v>
      </c>
      <c r="K1863" t="str">
        <f>VLOOKUP(C1863,CheckName!A:B,2,0)</f>
        <v>Edu</v>
      </c>
      <c r="L1863">
        <v>0</v>
      </c>
      <c r="M1863">
        <f>DAY(E1863)</f>
        <v>11</v>
      </c>
      <c r="N1863" t="str">
        <f>TEXT(MTDRejection[[#This Row],[RejectionDate]],"dddd")</f>
        <v>Wednesday</v>
      </c>
    </row>
    <row r="1864" spans="1:14">
      <c r="A1864" t="s">
        <v>812</v>
      </c>
      <c r="B1864" t="s">
        <v>4408</v>
      </c>
      <c r="C1864" t="s">
        <v>12</v>
      </c>
      <c r="D1864" t="s">
        <v>13</v>
      </c>
      <c r="E1864" s="7">
        <v>45636</v>
      </c>
      <c r="F1864" t="s">
        <v>1310</v>
      </c>
      <c r="G1864">
        <v>6</v>
      </c>
      <c r="H1864" t="s">
        <v>15</v>
      </c>
      <c r="I1864" t="s">
        <v>16</v>
      </c>
      <c r="J1864" t="s">
        <v>16</v>
      </c>
      <c r="K1864" t="str">
        <f>VLOOKUP(C1864,CheckName!A:B,2,0)</f>
        <v>Emp</v>
      </c>
      <c r="L1864">
        <v>0</v>
      </c>
      <c r="M1864">
        <f>DAY(E1864)</f>
        <v>10</v>
      </c>
      <c r="N1864" t="str">
        <f>TEXT(MTDRejection[[#This Row],[RejectionDate]],"dddd")</f>
        <v>Tuesday</v>
      </c>
    </row>
    <row r="1865" spans="1:14">
      <c r="A1865" t="s">
        <v>84</v>
      </c>
      <c r="B1865" t="s">
        <v>2555</v>
      </c>
      <c r="C1865" t="s">
        <v>12</v>
      </c>
      <c r="D1865" t="s">
        <v>26</v>
      </c>
      <c r="E1865" s="7">
        <v>45636</v>
      </c>
      <c r="F1865" t="s">
        <v>2333</v>
      </c>
      <c r="G1865">
        <v>6</v>
      </c>
      <c r="H1865" t="s">
        <v>22</v>
      </c>
      <c r="I1865" t="s">
        <v>16</v>
      </c>
      <c r="J1865" t="s">
        <v>16</v>
      </c>
      <c r="K1865" t="str">
        <f>VLOOKUP(C1865,CheckName!A:B,2,0)</f>
        <v>Emp</v>
      </c>
      <c r="L1865">
        <v>0</v>
      </c>
      <c r="M1865">
        <f>DAY(E1865)</f>
        <v>10</v>
      </c>
      <c r="N1865" t="str">
        <f>TEXT(MTDRejection[[#This Row],[RejectionDate]],"dddd")</f>
        <v>Tuesday</v>
      </c>
    </row>
    <row r="1866" spans="1:14">
      <c r="A1866" t="s">
        <v>84</v>
      </c>
      <c r="B1866" t="s">
        <v>4409</v>
      </c>
      <c r="C1866" t="s">
        <v>467</v>
      </c>
      <c r="D1866" t="s">
        <v>26</v>
      </c>
      <c r="E1866" s="7">
        <v>45642</v>
      </c>
      <c r="F1866" t="s">
        <v>236</v>
      </c>
      <c r="G1866">
        <v>0</v>
      </c>
      <c r="H1866" t="s">
        <v>27</v>
      </c>
      <c r="I1866" t="s">
        <v>16</v>
      </c>
      <c r="J1866" t="s">
        <v>16</v>
      </c>
      <c r="K1866" t="str">
        <f>VLOOKUP(C1866,CheckName!A:B,2,0)</f>
        <v>Special Check</v>
      </c>
      <c r="L1866">
        <v>0</v>
      </c>
      <c r="M1866">
        <f t="shared" ref="M1866:M1871" si="269">DAY(E1866)</f>
        <v>16</v>
      </c>
      <c r="N1866" t="str">
        <f>TEXT(MTDRejection[[#This Row],[RejectionDate]],"dddd")</f>
        <v>Monday</v>
      </c>
    </row>
    <row r="1867" spans="1:14">
      <c r="A1867" t="s">
        <v>43</v>
      </c>
      <c r="B1867" t="s">
        <v>4410</v>
      </c>
      <c r="C1867" t="s">
        <v>12</v>
      </c>
      <c r="D1867" t="s">
        <v>38</v>
      </c>
      <c r="E1867" s="7">
        <v>45642</v>
      </c>
      <c r="F1867" t="s">
        <v>39</v>
      </c>
      <c r="G1867">
        <v>0</v>
      </c>
      <c r="H1867" t="s">
        <v>42</v>
      </c>
      <c r="I1867" t="s">
        <v>16</v>
      </c>
      <c r="J1867" t="s">
        <v>16</v>
      </c>
      <c r="K1867" t="str">
        <f>VLOOKUP(C1867,CheckName!A:B,2,0)</f>
        <v>Emp</v>
      </c>
      <c r="L1867">
        <v>0</v>
      </c>
      <c r="M1867">
        <f t="shared" si="269"/>
        <v>16</v>
      </c>
      <c r="N1867" t="str">
        <f>TEXT(MTDRejection[[#This Row],[RejectionDate]],"dddd")</f>
        <v>Monday</v>
      </c>
    </row>
    <row r="1868" spans="1:14">
      <c r="A1868" t="s">
        <v>100</v>
      </c>
      <c r="B1868" t="s">
        <v>4411</v>
      </c>
      <c r="C1868" t="s">
        <v>359</v>
      </c>
      <c r="D1868" t="s">
        <v>38</v>
      </c>
      <c r="E1868" s="7">
        <v>45642</v>
      </c>
      <c r="F1868" t="s">
        <v>39</v>
      </c>
      <c r="G1868">
        <v>0</v>
      </c>
      <c r="H1868" t="s">
        <v>42</v>
      </c>
      <c r="I1868" t="s">
        <v>16</v>
      </c>
      <c r="J1868" t="s">
        <v>16</v>
      </c>
      <c r="K1868" t="str">
        <f>VLOOKUP(C1868,CheckName!A:B,2,0)</f>
        <v>Emp</v>
      </c>
      <c r="L1868">
        <v>0</v>
      </c>
      <c r="M1868">
        <f t="shared" si="269"/>
        <v>16</v>
      </c>
      <c r="N1868" t="str">
        <f>TEXT(MTDRejection[[#This Row],[RejectionDate]],"dddd")</f>
        <v>Monday</v>
      </c>
    </row>
    <row r="1869" spans="1:14">
      <c r="A1869" t="s">
        <v>977</v>
      </c>
      <c r="B1869" t="s">
        <v>4412</v>
      </c>
      <c r="C1869" t="s">
        <v>12</v>
      </c>
      <c r="D1869" t="s">
        <v>38</v>
      </c>
      <c r="E1869" s="7">
        <v>45642</v>
      </c>
      <c r="F1869" t="s">
        <v>39</v>
      </c>
      <c r="G1869">
        <v>0</v>
      </c>
      <c r="H1869" t="s">
        <v>42</v>
      </c>
      <c r="I1869" t="s">
        <v>16</v>
      </c>
      <c r="J1869" t="s">
        <v>16</v>
      </c>
      <c r="K1869" t="str">
        <f>VLOOKUP(C1869,CheckName!A:B,2,0)</f>
        <v>Emp</v>
      </c>
      <c r="L1869">
        <v>0</v>
      </c>
      <c r="M1869">
        <f t="shared" si="269"/>
        <v>16</v>
      </c>
      <c r="N1869" t="str">
        <f>TEXT(MTDRejection[[#This Row],[RejectionDate]],"dddd")</f>
        <v>Monday</v>
      </c>
    </row>
    <row r="1870" spans="1:14">
      <c r="A1870" t="s">
        <v>432</v>
      </c>
      <c r="B1870" t="s">
        <v>4413</v>
      </c>
      <c r="C1870" t="s">
        <v>71</v>
      </c>
      <c r="D1870" t="s">
        <v>51</v>
      </c>
      <c r="E1870" s="7">
        <v>45642</v>
      </c>
      <c r="F1870" t="s">
        <v>52</v>
      </c>
      <c r="G1870">
        <v>0</v>
      </c>
      <c r="H1870" t="s">
        <v>53</v>
      </c>
      <c r="I1870" t="s">
        <v>16</v>
      </c>
      <c r="J1870" t="s">
        <v>16</v>
      </c>
      <c r="K1870" t="str">
        <f>VLOOKUP(C1870,CheckName!A:B,2,0)</f>
        <v>CRC</v>
      </c>
      <c r="L1870">
        <v>0</v>
      </c>
      <c r="M1870">
        <f t="shared" si="269"/>
        <v>16</v>
      </c>
      <c r="N1870" t="str">
        <f>TEXT(MTDRejection[[#This Row],[RejectionDate]],"dddd")</f>
        <v>Monday</v>
      </c>
    </row>
    <row r="1871" spans="1:14">
      <c r="A1871" t="s">
        <v>116</v>
      </c>
      <c r="B1871" t="s">
        <v>4414</v>
      </c>
      <c r="C1871" t="s">
        <v>12</v>
      </c>
      <c r="D1871" t="s">
        <v>26</v>
      </c>
      <c r="E1871" s="7">
        <v>45642</v>
      </c>
      <c r="F1871" t="s">
        <v>222</v>
      </c>
      <c r="G1871">
        <v>0</v>
      </c>
      <c r="H1871" t="s">
        <v>27</v>
      </c>
      <c r="I1871" t="s">
        <v>16</v>
      </c>
      <c r="J1871" t="s">
        <v>16</v>
      </c>
      <c r="K1871" t="str">
        <f>VLOOKUP(C1871,CheckName!A:B,2,0)</f>
        <v>Emp</v>
      </c>
      <c r="L1871">
        <v>0</v>
      </c>
      <c r="M1871">
        <f t="shared" si="269"/>
        <v>16</v>
      </c>
      <c r="N1871" t="str">
        <f>TEXT(MTDRejection[[#This Row],[RejectionDate]],"dddd")</f>
        <v>Monday</v>
      </c>
    </row>
    <row r="1872" spans="1:14">
      <c r="A1872" t="s">
        <v>228</v>
      </c>
      <c r="B1872" t="s">
        <v>4415</v>
      </c>
      <c r="C1872" t="s">
        <v>59</v>
      </c>
      <c r="D1872" t="s">
        <v>13</v>
      </c>
      <c r="E1872" s="7">
        <v>45642</v>
      </c>
      <c r="F1872" t="s">
        <v>72</v>
      </c>
      <c r="G1872">
        <v>0</v>
      </c>
      <c r="H1872" t="s">
        <v>15</v>
      </c>
      <c r="I1872" t="s">
        <v>16</v>
      </c>
      <c r="J1872" t="s">
        <v>16</v>
      </c>
      <c r="K1872" t="str">
        <f>VLOOKUP(C1872,CheckName!A:B,2,0)</f>
        <v>Special Check</v>
      </c>
      <c r="L1872">
        <v>0</v>
      </c>
      <c r="M1872">
        <f t="shared" ref="M1872:M1873" si="270">DAY(E1872)</f>
        <v>16</v>
      </c>
      <c r="N1872" t="str">
        <f>TEXT(MTDRejection[[#This Row],[RejectionDate]],"dddd")</f>
        <v>Monday</v>
      </c>
    </row>
    <row r="1873" spans="1:14">
      <c r="A1873" t="s">
        <v>228</v>
      </c>
      <c r="B1873" t="s">
        <v>4416</v>
      </c>
      <c r="C1873" t="s">
        <v>59</v>
      </c>
      <c r="D1873" t="s">
        <v>13</v>
      </c>
      <c r="E1873" s="7">
        <v>45642</v>
      </c>
      <c r="F1873" t="s">
        <v>72</v>
      </c>
      <c r="G1873">
        <v>0</v>
      </c>
      <c r="H1873" t="s">
        <v>15</v>
      </c>
      <c r="I1873" t="s">
        <v>16</v>
      </c>
      <c r="J1873" t="s">
        <v>16</v>
      </c>
      <c r="K1873" t="str">
        <f>VLOOKUP(C1873,CheckName!A:B,2,0)</f>
        <v>Special Check</v>
      </c>
      <c r="L1873">
        <v>0</v>
      </c>
      <c r="M1873">
        <f t="shared" si="270"/>
        <v>16</v>
      </c>
      <c r="N1873" t="str">
        <f>TEXT(MTDRejection[[#This Row],[RejectionDate]],"dddd")</f>
        <v>Monday</v>
      </c>
    </row>
    <row r="1874" spans="1:14">
      <c r="A1874" t="s">
        <v>84</v>
      </c>
      <c r="B1874" t="s">
        <v>4417</v>
      </c>
      <c r="C1874" t="s">
        <v>36</v>
      </c>
      <c r="D1874" t="s">
        <v>26</v>
      </c>
      <c r="E1874" s="7">
        <v>45642</v>
      </c>
      <c r="F1874" t="s">
        <v>83</v>
      </c>
      <c r="G1874">
        <v>0</v>
      </c>
      <c r="H1874" t="s">
        <v>27</v>
      </c>
      <c r="I1874" t="s">
        <v>16</v>
      </c>
      <c r="J1874" t="s">
        <v>16</v>
      </c>
      <c r="K1874" t="str">
        <f>VLOOKUP(C1874,CheckName!A:B,2,0)</f>
        <v>Emp</v>
      </c>
      <c r="L1874">
        <v>0</v>
      </c>
      <c r="M1874">
        <f t="shared" ref="M1874:M1876" si="271">DAY(E1874)</f>
        <v>16</v>
      </c>
      <c r="N1874" t="str">
        <f>TEXT(MTDRejection[[#This Row],[RejectionDate]],"dddd")</f>
        <v>Monday</v>
      </c>
    </row>
    <row r="1875" spans="1:14">
      <c r="A1875" t="s">
        <v>211</v>
      </c>
      <c r="B1875" t="s">
        <v>4418</v>
      </c>
      <c r="C1875" t="s">
        <v>12</v>
      </c>
      <c r="D1875" t="s">
        <v>26</v>
      </c>
      <c r="E1875" s="7">
        <v>45642</v>
      </c>
      <c r="F1875" t="s">
        <v>83</v>
      </c>
      <c r="G1875">
        <v>0</v>
      </c>
      <c r="H1875" t="s">
        <v>27</v>
      </c>
      <c r="I1875" t="s">
        <v>16</v>
      </c>
      <c r="J1875" t="s">
        <v>16</v>
      </c>
      <c r="K1875" t="str">
        <f>VLOOKUP(C1875,CheckName!A:B,2,0)</f>
        <v>Emp</v>
      </c>
      <c r="L1875">
        <v>0</v>
      </c>
      <c r="M1875">
        <f t="shared" si="271"/>
        <v>16</v>
      </c>
      <c r="N1875" t="str">
        <f>TEXT(MTDRejection[[#This Row],[RejectionDate]],"dddd")</f>
        <v>Monday</v>
      </c>
    </row>
    <row r="1876" spans="1:14">
      <c r="A1876" t="s">
        <v>43</v>
      </c>
      <c r="B1876" t="s">
        <v>4419</v>
      </c>
      <c r="C1876" t="s">
        <v>12</v>
      </c>
      <c r="D1876" t="s">
        <v>26</v>
      </c>
      <c r="E1876" s="7">
        <v>45642</v>
      </c>
      <c r="F1876" t="s">
        <v>721</v>
      </c>
      <c r="G1876">
        <v>0</v>
      </c>
      <c r="H1876" t="s">
        <v>27</v>
      </c>
      <c r="I1876" t="s">
        <v>16</v>
      </c>
      <c r="J1876" t="s">
        <v>16</v>
      </c>
      <c r="K1876" t="str">
        <f>VLOOKUP(C1876,CheckName!A:B,2,0)</f>
        <v>Emp</v>
      </c>
      <c r="L1876">
        <v>0</v>
      </c>
      <c r="M1876">
        <f t="shared" si="271"/>
        <v>16</v>
      </c>
      <c r="N1876" t="str">
        <f>TEXT(MTDRejection[[#This Row],[RejectionDate]],"dddd")</f>
        <v>Monday</v>
      </c>
    </row>
    <row r="1877" spans="1:14">
      <c r="A1877" t="s">
        <v>142</v>
      </c>
      <c r="B1877" t="s">
        <v>4420</v>
      </c>
      <c r="C1877" t="s">
        <v>54</v>
      </c>
      <c r="D1877" t="s">
        <v>13</v>
      </c>
      <c r="E1877" s="7">
        <v>45642</v>
      </c>
      <c r="F1877" t="s">
        <v>98</v>
      </c>
      <c r="G1877">
        <v>0</v>
      </c>
      <c r="H1877" t="s">
        <v>15</v>
      </c>
      <c r="I1877" t="s">
        <v>16</v>
      </c>
      <c r="J1877" t="s">
        <v>16</v>
      </c>
      <c r="K1877" t="str">
        <f>VLOOKUP(C1877,CheckName!A:B,2,0)</f>
        <v>Edu</v>
      </c>
      <c r="L1877">
        <v>0</v>
      </c>
      <c r="M1877">
        <f t="shared" ref="M1877:M1878" si="272">DAY(E1877)</f>
        <v>16</v>
      </c>
      <c r="N1877" t="str">
        <f>TEXT(MTDRejection[[#This Row],[RejectionDate]],"dddd")</f>
        <v>Monday</v>
      </c>
    </row>
    <row r="1878" spans="1:14">
      <c r="A1878" t="s">
        <v>996</v>
      </c>
      <c r="B1878" t="s">
        <v>4421</v>
      </c>
      <c r="C1878" t="s">
        <v>49</v>
      </c>
      <c r="D1878" t="s">
        <v>13</v>
      </c>
      <c r="E1878" s="7">
        <v>45642</v>
      </c>
      <c r="F1878" t="s">
        <v>107</v>
      </c>
      <c r="G1878">
        <v>0</v>
      </c>
      <c r="H1878" t="s">
        <v>15</v>
      </c>
      <c r="I1878" t="s">
        <v>16</v>
      </c>
      <c r="J1878" t="s">
        <v>16</v>
      </c>
      <c r="K1878" t="str">
        <f>VLOOKUP(C1878,CheckName!A:B,2,0)</f>
        <v>CRC</v>
      </c>
      <c r="L1878">
        <v>0</v>
      </c>
      <c r="M1878">
        <f t="shared" si="272"/>
        <v>16</v>
      </c>
      <c r="N1878" t="str">
        <f>TEXT(MTDRejection[[#This Row],[RejectionDate]],"dddd")</f>
        <v>Monday</v>
      </c>
    </row>
    <row r="1879" spans="1:14">
      <c r="A1879" t="s">
        <v>1246</v>
      </c>
      <c r="B1879" t="s">
        <v>4422</v>
      </c>
      <c r="C1879" t="s">
        <v>12</v>
      </c>
      <c r="D1879" t="s">
        <v>26</v>
      </c>
      <c r="E1879" s="7">
        <v>45642</v>
      </c>
      <c r="F1879" t="s">
        <v>2335</v>
      </c>
      <c r="G1879">
        <v>0</v>
      </c>
      <c r="H1879" t="s">
        <v>27</v>
      </c>
      <c r="I1879" t="s">
        <v>16</v>
      </c>
      <c r="J1879" t="s">
        <v>16</v>
      </c>
      <c r="K1879" t="str">
        <f>VLOOKUP(C1879,CheckName!A:B,2,0)</f>
        <v>Emp</v>
      </c>
      <c r="L1879">
        <v>0</v>
      </c>
      <c r="M1879">
        <f t="shared" ref="M1879:M1881" si="273">DAY(E1879)</f>
        <v>16</v>
      </c>
      <c r="N1879" t="str">
        <f>TEXT(MTDRejection[[#This Row],[RejectionDate]],"dddd")</f>
        <v>Monday</v>
      </c>
    </row>
    <row r="1880" spans="1:14">
      <c r="A1880" t="s">
        <v>100</v>
      </c>
      <c r="B1880" t="s">
        <v>4423</v>
      </c>
      <c r="C1880" t="s">
        <v>775</v>
      </c>
      <c r="D1880" t="s">
        <v>13</v>
      </c>
      <c r="E1880" s="7">
        <v>45642</v>
      </c>
      <c r="F1880" t="s">
        <v>1013</v>
      </c>
      <c r="G1880">
        <v>0</v>
      </c>
      <c r="H1880" t="s">
        <v>15</v>
      </c>
      <c r="I1880" t="s">
        <v>16</v>
      </c>
      <c r="J1880" t="s">
        <v>16</v>
      </c>
      <c r="K1880" t="str">
        <f>VLOOKUP(C1880,CheckName!A:B,2,0)</f>
        <v>Emp</v>
      </c>
      <c r="L1880">
        <v>0</v>
      </c>
      <c r="M1880">
        <f t="shared" si="273"/>
        <v>16</v>
      </c>
      <c r="N1880" t="str">
        <f>TEXT(MTDRejection[[#This Row],[RejectionDate]],"dddd")</f>
        <v>Monday</v>
      </c>
    </row>
    <row r="1881" spans="1:14">
      <c r="A1881" t="s">
        <v>996</v>
      </c>
      <c r="B1881" t="s">
        <v>4424</v>
      </c>
      <c r="C1881" t="s">
        <v>12</v>
      </c>
      <c r="D1881" t="s">
        <v>26</v>
      </c>
      <c r="E1881" s="7">
        <v>45642</v>
      </c>
      <c r="F1881" t="s">
        <v>2355</v>
      </c>
      <c r="G1881">
        <v>0</v>
      </c>
      <c r="H1881" t="s">
        <v>27</v>
      </c>
      <c r="I1881" t="s">
        <v>16</v>
      </c>
      <c r="J1881" t="s">
        <v>16</v>
      </c>
      <c r="K1881" t="str">
        <f>VLOOKUP(C1881,CheckName!A:B,2,0)</f>
        <v>Emp</v>
      </c>
      <c r="L1881">
        <v>0</v>
      </c>
      <c r="M1881">
        <f t="shared" si="273"/>
        <v>16</v>
      </c>
      <c r="N1881" t="str">
        <f>TEXT(MTDRejection[[#This Row],[RejectionDate]],"dddd")</f>
        <v>Monday</v>
      </c>
    </row>
    <row r="1882" spans="1:14">
      <c r="A1882" t="s">
        <v>133</v>
      </c>
      <c r="B1882" t="s">
        <v>4425</v>
      </c>
      <c r="C1882" t="s">
        <v>71</v>
      </c>
      <c r="D1882" t="s">
        <v>13</v>
      </c>
      <c r="E1882" s="7">
        <v>45642</v>
      </c>
      <c r="F1882" t="s">
        <v>1310</v>
      </c>
      <c r="G1882">
        <v>0</v>
      </c>
      <c r="H1882" t="s">
        <v>15</v>
      </c>
      <c r="I1882" t="s">
        <v>16</v>
      </c>
      <c r="J1882" t="s">
        <v>16</v>
      </c>
      <c r="K1882" t="str">
        <f>VLOOKUP(C1882,CheckName!A:B,2,0)</f>
        <v>CRC</v>
      </c>
      <c r="L1882">
        <v>0</v>
      </c>
      <c r="M1882">
        <f>DAY(E1882)</f>
        <v>16</v>
      </c>
      <c r="N1882" t="str">
        <f>TEXT(MTDRejection[[#This Row],[RejectionDate]],"dddd")</f>
        <v>Monday</v>
      </c>
    </row>
    <row r="1883" spans="1:14">
      <c r="A1883" t="s">
        <v>281</v>
      </c>
      <c r="B1883" t="s">
        <v>4426</v>
      </c>
      <c r="C1883" t="s">
        <v>93</v>
      </c>
      <c r="D1883" t="s">
        <v>51</v>
      </c>
      <c r="E1883" s="7">
        <v>45642</v>
      </c>
      <c r="F1883" t="s">
        <v>555</v>
      </c>
      <c r="G1883">
        <v>0</v>
      </c>
      <c r="H1883" t="s">
        <v>53</v>
      </c>
      <c r="I1883" t="s">
        <v>16</v>
      </c>
      <c r="J1883" t="s">
        <v>16</v>
      </c>
      <c r="K1883" t="str">
        <f>VLOOKUP(C1883,CheckName!A:B,2,0)</f>
        <v>Edu</v>
      </c>
      <c r="L1883">
        <v>0</v>
      </c>
      <c r="M1883">
        <f t="shared" ref="M1883:M1885" si="274">DAY(E1883)</f>
        <v>16</v>
      </c>
      <c r="N1883" t="str">
        <f>TEXT(MTDRejection[[#This Row],[RejectionDate]],"dddd")</f>
        <v>Monday</v>
      </c>
    </row>
    <row r="1884" spans="1:14">
      <c r="A1884" t="s">
        <v>45</v>
      </c>
      <c r="B1884" t="s">
        <v>4427</v>
      </c>
      <c r="C1884" t="s">
        <v>54</v>
      </c>
      <c r="D1884" t="s">
        <v>51</v>
      </c>
      <c r="E1884" s="7">
        <v>45642</v>
      </c>
      <c r="F1884" t="s">
        <v>555</v>
      </c>
      <c r="G1884">
        <v>0</v>
      </c>
      <c r="H1884" t="s">
        <v>53</v>
      </c>
      <c r="I1884" t="s">
        <v>16</v>
      </c>
      <c r="J1884" t="s">
        <v>16</v>
      </c>
      <c r="K1884" t="str">
        <f>VLOOKUP(C1884,CheckName!A:B,2,0)</f>
        <v>Edu</v>
      </c>
      <c r="L1884">
        <v>0</v>
      </c>
      <c r="M1884">
        <f t="shared" si="274"/>
        <v>16</v>
      </c>
      <c r="N1884" t="str">
        <f>TEXT(MTDRejection[[#This Row],[RejectionDate]],"dddd")</f>
        <v>Monday</v>
      </c>
    </row>
    <row r="1885" spans="1:14">
      <c r="A1885" t="s">
        <v>1895</v>
      </c>
      <c r="B1885" t="s">
        <v>4428</v>
      </c>
      <c r="C1885" t="s">
        <v>36</v>
      </c>
      <c r="D1885" t="s">
        <v>38</v>
      </c>
      <c r="E1885" s="7">
        <v>45642</v>
      </c>
      <c r="F1885" t="s">
        <v>39</v>
      </c>
      <c r="G1885">
        <v>0</v>
      </c>
      <c r="H1885" t="s">
        <v>130</v>
      </c>
      <c r="I1885" t="s">
        <v>16</v>
      </c>
      <c r="J1885" t="s">
        <v>16</v>
      </c>
      <c r="K1885" t="str">
        <f>VLOOKUP(C1885,CheckName!A:B,2,0)</f>
        <v>Emp</v>
      </c>
      <c r="L1885">
        <v>0</v>
      </c>
      <c r="M1885">
        <f t="shared" si="274"/>
        <v>16</v>
      </c>
      <c r="N1885" t="str">
        <f>TEXT(MTDRejection[[#This Row],[RejectionDate]],"dddd")</f>
        <v>Monday</v>
      </c>
    </row>
    <row r="1886" spans="1:14">
      <c r="A1886" t="s">
        <v>43</v>
      </c>
      <c r="B1886" t="s">
        <v>4429</v>
      </c>
      <c r="C1886" t="s">
        <v>12</v>
      </c>
      <c r="D1886" t="s">
        <v>26</v>
      </c>
      <c r="E1886" s="7">
        <v>45642</v>
      </c>
      <c r="F1886" t="s">
        <v>222</v>
      </c>
      <c r="G1886">
        <v>0</v>
      </c>
      <c r="H1886" t="s">
        <v>22</v>
      </c>
      <c r="I1886" t="s">
        <v>16</v>
      </c>
      <c r="J1886" t="s">
        <v>16</v>
      </c>
      <c r="K1886" t="str">
        <f>VLOOKUP(C1886,CheckName!A:B,2,0)</f>
        <v>Emp</v>
      </c>
      <c r="L1886">
        <v>0</v>
      </c>
      <c r="M1886">
        <f>DAY(E1886)</f>
        <v>16</v>
      </c>
      <c r="N1886" t="str">
        <f>TEXT(MTDRejection[[#This Row],[RejectionDate]],"dddd")</f>
        <v>Monday</v>
      </c>
    </row>
    <row r="1887" spans="1:14">
      <c r="A1887" t="s">
        <v>876</v>
      </c>
      <c r="B1887" t="s">
        <v>4430</v>
      </c>
      <c r="C1887" t="s">
        <v>19</v>
      </c>
      <c r="D1887" t="s">
        <v>26</v>
      </c>
      <c r="E1887" s="7">
        <v>45642</v>
      </c>
      <c r="F1887" t="s">
        <v>2330</v>
      </c>
      <c r="G1887">
        <v>0</v>
      </c>
      <c r="H1887" t="s">
        <v>27</v>
      </c>
      <c r="I1887" t="s">
        <v>16</v>
      </c>
      <c r="J1887" t="s">
        <v>16</v>
      </c>
      <c r="K1887" t="str">
        <f>VLOOKUP(C1887,CheckName!A:B,2,0)</f>
        <v>Add</v>
      </c>
      <c r="L1887">
        <v>0</v>
      </c>
      <c r="M1887">
        <f>DAY(E1887)</f>
        <v>16</v>
      </c>
      <c r="N1887" t="str">
        <f>TEXT(MTDRejection[[#This Row],[RejectionDate]],"dddd")</f>
        <v>Monday</v>
      </c>
    </row>
    <row r="1888" spans="1:14">
      <c r="A1888" t="s">
        <v>119</v>
      </c>
      <c r="B1888" t="s">
        <v>4431</v>
      </c>
      <c r="C1888" t="s">
        <v>36</v>
      </c>
      <c r="D1888" t="s">
        <v>13</v>
      </c>
      <c r="E1888" s="7">
        <v>45642</v>
      </c>
      <c r="F1888" t="s">
        <v>579</v>
      </c>
      <c r="G1888">
        <v>0</v>
      </c>
      <c r="H1888" t="s">
        <v>15</v>
      </c>
      <c r="I1888" t="s">
        <v>16</v>
      </c>
      <c r="J1888" t="s">
        <v>16</v>
      </c>
      <c r="K1888" t="str">
        <f>VLOOKUP(C1888,CheckName!A:B,2,0)</f>
        <v>Emp</v>
      </c>
      <c r="L1888">
        <v>0</v>
      </c>
      <c r="M1888">
        <f t="shared" ref="M1888:M1889" si="275">DAY(E1888)</f>
        <v>16</v>
      </c>
      <c r="N1888" t="str">
        <f>TEXT(MTDRejection[[#This Row],[RejectionDate]],"dddd")</f>
        <v>Monday</v>
      </c>
    </row>
    <row r="1889" spans="1:14">
      <c r="A1889" t="s">
        <v>1895</v>
      </c>
      <c r="B1889" t="s">
        <v>4432</v>
      </c>
      <c r="C1889" t="s">
        <v>71</v>
      </c>
      <c r="D1889" t="s">
        <v>38</v>
      </c>
      <c r="E1889" s="7">
        <v>45642</v>
      </c>
      <c r="F1889" t="s">
        <v>108</v>
      </c>
      <c r="G1889">
        <v>0</v>
      </c>
      <c r="H1889" t="s">
        <v>130</v>
      </c>
      <c r="I1889" t="s">
        <v>16</v>
      </c>
      <c r="J1889" t="s">
        <v>16</v>
      </c>
      <c r="K1889" t="str">
        <f>VLOOKUP(C1889,CheckName!A:B,2,0)</f>
        <v>CRC</v>
      </c>
      <c r="L1889">
        <v>0</v>
      </c>
      <c r="M1889">
        <f t="shared" si="275"/>
        <v>16</v>
      </c>
      <c r="N1889" t="str">
        <f>TEXT(MTDRejection[[#This Row],[RejectionDate]],"dddd")</f>
        <v>Monday</v>
      </c>
    </row>
    <row r="1890" spans="1:14">
      <c r="A1890" t="s">
        <v>1110</v>
      </c>
      <c r="B1890" t="s">
        <v>4433</v>
      </c>
      <c r="C1890" t="s">
        <v>965</v>
      </c>
      <c r="D1890" t="s">
        <v>20</v>
      </c>
      <c r="E1890" s="7">
        <v>45642</v>
      </c>
      <c r="F1890" t="s">
        <v>129</v>
      </c>
      <c r="G1890">
        <v>0</v>
      </c>
      <c r="H1890" t="s">
        <v>22</v>
      </c>
      <c r="I1890" t="s">
        <v>16</v>
      </c>
      <c r="J1890" t="s">
        <v>16</v>
      </c>
      <c r="K1890" t="str">
        <f>VLOOKUP(C1890,CheckName!A:B,2,0)</f>
        <v>Add</v>
      </c>
      <c r="L1890">
        <v>1</v>
      </c>
      <c r="M1890">
        <f>DAY(E1890)</f>
        <v>16</v>
      </c>
      <c r="N1890" t="str">
        <f>TEXT(MTDRejection[[#This Row],[RejectionDate]],"dddd")</f>
        <v>Monday</v>
      </c>
    </row>
    <row r="1891" spans="1:14">
      <c r="A1891" t="s">
        <v>556</v>
      </c>
      <c r="B1891" t="s">
        <v>4434</v>
      </c>
      <c r="C1891" t="s">
        <v>49</v>
      </c>
      <c r="D1891" t="s">
        <v>13</v>
      </c>
      <c r="E1891" s="7">
        <v>45642</v>
      </c>
      <c r="F1891" t="s">
        <v>2343</v>
      </c>
      <c r="G1891">
        <v>0</v>
      </c>
      <c r="H1891" t="s">
        <v>15</v>
      </c>
      <c r="I1891" t="s">
        <v>16</v>
      </c>
      <c r="J1891" t="s">
        <v>16</v>
      </c>
      <c r="K1891" t="str">
        <f>VLOOKUP(C1891,CheckName!A:B,2,0)</f>
        <v>CRC</v>
      </c>
      <c r="L1891">
        <v>0</v>
      </c>
      <c r="M1891">
        <f t="shared" ref="M1891:M1901" si="276">DAY(E1891)</f>
        <v>16</v>
      </c>
      <c r="N1891" t="str">
        <f>TEXT(MTDRejection[[#This Row],[RejectionDate]],"dddd")</f>
        <v>Monday</v>
      </c>
    </row>
    <row r="1892" spans="1:14">
      <c r="A1892" t="s">
        <v>211</v>
      </c>
      <c r="B1892" t="s">
        <v>4435</v>
      </c>
      <c r="C1892" t="s">
        <v>71</v>
      </c>
      <c r="D1892" t="s">
        <v>13</v>
      </c>
      <c r="E1892" s="7">
        <v>45642</v>
      </c>
      <c r="F1892" t="s">
        <v>2343</v>
      </c>
      <c r="G1892">
        <v>0</v>
      </c>
      <c r="H1892" t="s">
        <v>15</v>
      </c>
      <c r="I1892" t="s">
        <v>16</v>
      </c>
      <c r="J1892" t="s">
        <v>16</v>
      </c>
      <c r="K1892" t="str">
        <f>VLOOKUP(C1892,CheckName!A:B,2,0)</f>
        <v>CRC</v>
      </c>
      <c r="L1892">
        <v>0</v>
      </c>
      <c r="M1892">
        <f t="shared" si="276"/>
        <v>16</v>
      </c>
      <c r="N1892" t="str">
        <f>TEXT(MTDRejection[[#This Row],[RejectionDate]],"dddd")</f>
        <v>Monday</v>
      </c>
    </row>
    <row r="1893" spans="1:14">
      <c r="A1893" t="s">
        <v>664</v>
      </c>
      <c r="B1893" t="s">
        <v>4436</v>
      </c>
      <c r="C1893" t="s">
        <v>467</v>
      </c>
      <c r="D1893" t="s">
        <v>26</v>
      </c>
      <c r="E1893" s="7">
        <v>45642</v>
      </c>
      <c r="F1893" t="s">
        <v>236</v>
      </c>
      <c r="G1893">
        <v>0</v>
      </c>
      <c r="H1893" t="s">
        <v>30</v>
      </c>
      <c r="I1893" t="s">
        <v>16</v>
      </c>
      <c r="J1893" t="s">
        <v>16</v>
      </c>
      <c r="K1893" t="str">
        <f>VLOOKUP(C1893,CheckName!A:B,2,0)</f>
        <v>Special Check</v>
      </c>
      <c r="L1893">
        <v>0</v>
      </c>
      <c r="M1893">
        <f t="shared" si="276"/>
        <v>16</v>
      </c>
      <c r="N1893" t="str">
        <f>TEXT(MTDRejection[[#This Row],[RejectionDate]],"dddd")</f>
        <v>Monday</v>
      </c>
    </row>
    <row r="1894" spans="1:14">
      <c r="A1894" t="s">
        <v>664</v>
      </c>
      <c r="B1894" t="s">
        <v>4437</v>
      </c>
      <c r="C1894" t="s">
        <v>467</v>
      </c>
      <c r="D1894" t="s">
        <v>26</v>
      </c>
      <c r="E1894" s="7">
        <v>45642</v>
      </c>
      <c r="F1894" t="s">
        <v>236</v>
      </c>
      <c r="G1894">
        <v>0</v>
      </c>
      <c r="H1894" t="s">
        <v>27</v>
      </c>
      <c r="I1894" t="s">
        <v>16</v>
      </c>
      <c r="J1894" t="s">
        <v>16</v>
      </c>
      <c r="K1894" t="str">
        <f>VLOOKUP(C1894,CheckName!A:B,2,0)</f>
        <v>Special Check</v>
      </c>
      <c r="L1894">
        <v>0</v>
      </c>
      <c r="M1894">
        <f t="shared" si="276"/>
        <v>16</v>
      </c>
      <c r="N1894" t="str">
        <f>TEXT(MTDRejection[[#This Row],[RejectionDate]],"dddd")</f>
        <v>Monday</v>
      </c>
    </row>
    <row r="1895" spans="1:14">
      <c r="A1895" t="s">
        <v>664</v>
      </c>
      <c r="B1895" t="s">
        <v>4438</v>
      </c>
      <c r="C1895" t="s">
        <v>467</v>
      </c>
      <c r="D1895" t="s">
        <v>26</v>
      </c>
      <c r="E1895" s="7">
        <v>45642</v>
      </c>
      <c r="F1895" t="s">
        <v>236</v>
      </c>
      <c r="G1895">
        <v>0</v>
      </c>
      <c r="H1895" t="s">
        <v>22</v>
      </c>
      <c r="I1895" t="s">
        <v>16</v>
      </c>
      <c r="J1895" t="s">
        <v>16</v>
      </c>
      <c r="K1895" t="str">
        <f>VLOOKUP(C1895,CheckName!A:B,2,0)</f>
        <v>Special Check</v>
      </c>
      <c r="L1895">
        <v>0</v>
      </c>
      <c r="M1895">
        <f t="shared" si="276"/>
        <v>16</v>
      </c>
      <c r="N1895" t="str">
        <f>TEXT(MTDRejection[[#This Row],[RejectionDate]],"dddd")</f>
        <v>Monday</v>
      </c>
    </row>
    <row r="1896" spans="1:14">
      <c r="A1896" t="s">
        <v>1851</v>
      </c>
      <c r="B1896" t="s">
        <v>4439</v>
      </c>
      <c r="C1896" t="s">
        <v>1898</v>
      </c>
      <c r="D1896" t="s">
        <v>26</v>
      </c>
      <c r="E1896" s="7">
        <v>45642</v>
      </c>
      <c r="F1896" t="s">
        <v>236</v>
      </c>
      <c r="G1896">
        <v>0</v>
      </c>
      <c r="H1896" t="s">
        <v>27</v>
      </c>
      <c r="I1896" t="s">
        <v>16</v>
      </c>
      <c r="J1896" t="s">
        <v>16</v>
      </c>
      <c r="K1896" t="str">
        <f>VLOOKUP(C1896,CheckName!A:B,2,0)</f>
        <v>Special Check</v>
      </c>
      <c r="L1896">
        <v>0</v>
      </c>
      <c r="M1896">
        <f t="shared" si="276"/>
        <v>16</v>
      </c>
      <c r="N1896" t="str">
        <f>TEXT(MTDRejection[[#This Row],[RejectionDate]],"dddd")</f>
        <v>Monday</v>
      </c>
    </row>
    <row r="1897" spans="1:14">
      <c r="A1897" t="s">
        <v>142</v>
      </c>
      <c r="B1897" t="s">
        <v>4440</v>
      </c>
      <c r="C1897" t="s">
        <v>467</v>
      </c>
      <c r="D1897" t="s">
        <v>26</v>
      </c>
      <c r="E1897" s="7">
        <v>45642</v>
      </c>
      <c r="F1897" t="s">
        <v>236</v>
      </c>
      <c r="G1897">
        <v>0</v>
      </c>
      <c r="H1897" t="s">
        <v>27</v>
      </c>
      <c r="I1897" t="s">
        <v>16</v>
      </c>
      <c r="J1897" t="s">
        <v>16</v>
      </c>
      <c r="K1897" t="str">
        <f>VLOOKUP(C1897,CheckName!A:B,2,0)</f>
        <v>Special Check</v>
      </c>
      <c r="L1897">
        <v>0</v>
      </c>
      <c r="M1897">
        <f t="shared" si="276"/>
        <v>16</v>
      </c>
      <c r="N1897" t="str">
        <f>TEXT(MTDRejection[[#This Row],[RejectionDate]],"dddd")</f>
        <v>Monday</v>
      </c>
    </row>
    <row r="1898" spans="1:14">
      <c r="A1898" t="s">
        <v>281</v>
      </c>
      <c r="B1898" t="s">
        <v>4441</v>
      </c>
      <c r="C1898" t="s">
        <v>467</v>
      </c>
      <c r="D1898" t="s">
        <v>26</v>
      </c>
      <c r="E1898" s="7">
        <v>45642</v>
      </c>
      <c r="F1898" t="s">
        <v>236</v>
      </c>
      <c r="G1898">
        <v>0</v>
      </c>
      <c r="H1898" t="s">
        <v>27</v>
      </c>
      <c r="I1898" t="s">
        <v>16</v>
      </c>
      <c r="J1898" t="s">
        <v>16</v>
      </c>
      <c r="K1898" t="str">
        <f>VLOOKUP(C1898,CheckName!A:B,2,0)</f>
        <v>Special Check</v>
      </c>
      <c r="L1898">
        <v>0</v>
      </c>
      <c r="M1898">
        <f t="shared" si="276"/>
        <v>16</v>
      </c>
      <c r="N1898" t="str">
        <f>TEXT(MTDRejection[[#This Row],[RejectionDate]],"dddd")</f>
        <v>Monday</v>
      </c>
    </row>
    <row r="1899" spans="1:14">
      <c r="A1899" t="s">
        <v>281</v>
      </c>
      <c r="B1899" t="s">
        <v>4442</v>
      </c>
      <c r="C1899" t="s">
        <v>467</v>
      </c>
      <c r="D1899" t="s">
        <v>26</v>
      </c>
      <c r="E1899" s="7">
        <v>45642</v>
      </c>
      <c r="F1899" t="s">
        <v>236</v>
      </c>
      <c r="G1899">
        <v>0</v>
      </c>
      <c r="H1899" t="s">
        <v>27</v>
      </c>
      <c r="I1899" t="s">
        <v>16</v>
      </c>
      <c r="J1899" t="s">
        <v>16</v>
      </c>
      <c r="K1899" t="str">
        <f>VLOOKUP(C1899,CheckName!A:B,2,0)</f>
        <v>Special Check</v>
      </c>
      <c r="L1899">
        <v>0</v>
      </c>
      <c r="M1899">
        <f t="shared" si="276"/>
        <v>16</v>
      </c>
      <c r="N1899" t="str">
        <f>TEXT(MTDRejection[[#This Row],[RejectionDate]],"dddd")</f>
        <v>Monday</v>
      </c>
    </row>
    <row r="1900" spans="1:14">
      <c r="A1900" t="s">
        <v>142</v>
      </c>
      <c r="B1900" t="s">
        <v>4443</v>
      </c>
      <c r="C1900" t="s">
        <v>467</v>
      </c>
      <c r="D1900" t="s">
        <v>26</v>
      </c>
      <c r="E1900" s="7">
        <v>45642</v>
      </c>
      <c r="F1900" t="s">
        <v>236</v>
      </c>
      <c r="G1900">
        <v>0</v>
      </c>
      <c r="H1900" t="s">
        <v>22</v>
      </c>
      <c r="I1900" t="s">
        <v>16</v>
      </c>
      <c r="J1900" t="s">
        <v>16</v>
      </c>
      <c r="K1900" t="str">
        <f>VLOOKUP(C1900,CheckName!A:B,2,0)</f>
        <v>Special Check</v>
      </c>
      <c r="L1900">
        <v>0</v>
      </c>
      <c r="M1900">
        <f t="shared" si="276"/>
        <v>16</v>
      </c>
      <c r="N1900" t="str">
        <f>TEXT(MTDRejection[[#This Row],[RejectionDate]],"dddd")</f>
        <v>Monday</v>
      </c>
    </row>
    <row r="1901" spans="1:14">
      <c r="A1901" t="s">
        <v>131</v>
      </c>
      <c r="B1901" t="s">
        <v>4444</v>
      </c>
      <c r="C1901" t="s">
        <v>269</v>
      </c>
      <c r="D1901" t="s">
        <v>26</v>
      </c>
      <c r="E1901" s="7">
        <v>45642</v>
      </c>
      <c r="F1901" t="s">
        <v>236</v>
      </c>
      <c r="G1901">
        <v>0</v>
      </c>
      <c r="H1901" t="s">
        <v>95</v>
      </c>
      <c r="I1901" t="s">
        <v>16</v>
      </c>
      <c r="J1901" t="s">
        <v>16</v>
      </c>
      <c r="K1901" t="str">
        <f>VLOOKUP(C1901,CheckName!A:B,2,0)</f>
        <v>Emp</v>
      </c>
      <c r="L1901">
        <v>0</v>
      </c>
      <c r="M1901">
        <f t="shared" si="276"/>
        <v>16</v>
      </c>
      <c r="N1901" t="str">
        <f>TEXT(MTDRejection[[#This Row],[RejectionDate]],"dddd")</f>
        <v>Monday</v>
      </c>
    </row>
    <row r="1902" spans="1:14">
      <c r="A1902" t="s">
        <v>461</v>
      </c>
      <c r="B1902" t="s">
        <v>4445</v>
      </c>
      <c r="C1902" t="s">
        <v>19</v>
      </c>
      <c r="D1902" t="s">
        <v>20</v>
      </c>
      <c r="E1902" s="7">
        <v>45642</v>
      </c>
      <c r="F1902" t="s">
        <v>273</v>
      </c>
      <c r="G1902">
        <v>0</v>
      </c>
      <c r="H1902" t="s">
        <v>27</v>
      </c>
      <c r="I1902" t="s">
        <v>16</v>
      </c>
      <c r="J1902" t="s">
        <v>16</v>
      </c>
      <c r="K1902" t="str">
        <f>VLOOKUP(C1902,CheckName!A:B,2,0)</f>
        <v>Add</v>
      </c>
      <c r="L1902">
        <v>0</v>
      </c>
      <c r="M1902">
        <f>DAY(E1902)</f>
        <v>16</v>
      </c>
      <c r="N1902" t="str">
        <f>TEXT(MTDRejection[[#This Row],[RejectionDate]],"dddd")</f>
        <v>Monday</v>
      </c>
    </row>
    <row r="1903" spans="1:14">
      <c r="A1903" t="s">
        <v>186</v>
      </c>
      <c r="B1903" t="s">
        <v>2544</v>
      </c>
      <c r="C1903" t="s">
        <v>12</v>
      </c>
      <c r="D1903" t="s">
        <v>26</v>
      </c>
      <c r="E1903" s="7">
        <v>45642</v>
      </c>
      <c r="F1903" t="s">
        <v>222</v>
      </c>
      <c r="G1903">
        <v>0</v>
      </c>
      <c r="H1903" t="s">
        <v>27</v>
      </c>
      <c r="I1903" t="s">
        <v>16</v>
      </c>
      <c r="J1903" t="s">
        <v>16</v>
      </c>
      <c r="K1903" t="str">
        <f>VLOOKUP(C1903,CheckName!A:B,2,0)</f>
        <v>Emp</v>
      </c>
      <c r="L1903">
        <v>0</v>
      </c>
      <c r="M1903">
        <f>DAY(E1903)</f>
        <v>16</v>
      </c>
      <c r="N1903" t="str">
        <f>TEXT(MTDRejection[[#This Row],[RejectionDate]],"dddd")</f>
        <v>Monday</v>
      </c>
    </row>
    <row r="1904" spans="1:14">
      <c r="A1904" t="s">
        <v>45</v>
      </c>
      <c r="B1904" t="s">
        <v>4446</v>
      </c>
      <c r="C1904" t="s">
        <v>12</v>
      </c>
      <c r="D1904" t="s">
        <v>26</v>
      </c>
      <c r="E1904" s="7">
        <v>45642</v>
      </c>
      <c r="F1904" t="s">
        <v>222</v>
      </c>
      <c r="G1904">
        <v>0</v>
      </c>
      <c r="H1904" t="s">
        <v>27</v>
      </c>
      <c r="I1904" t="s">
        <v>16</v>
      </c>
      <c r="J1904" t="s">
        <v>16</v>
      </c>
      <c r="K1904" t="str">
        <f>VLOOKUP(C1904,CheckName!A:B,2,0)</f>
        <v>Emp</v>
      </c>
      <c r="L1904">
        <v>0</v>
      </c>
      <c r="M1904">
        <f t="shared" ref="M1904:M1905" si="277">DAY(E1904)</f>
        <v>16</v>
      </c>
      <c r="N1904" t="str">
        <f>TEXT(MTDRejection[[#This Row],[RejectionDate]],"dddd")</f>
        <v>Monday</v>
      </c>
    </row>
    <row r="1905" spans="1:14">
      <c r="A1905" t="s">
        <v>1016</v>
      </c>
      <c r="B1905" t="s">
        <v>2557</v>
      </c>
      <c r="C1905" t="s">
        <v>56</v>
      </c>
      <c r="D1905" t="s">
        <v>13</v>
      </c>
      <c r="E1905" s="7">
        <v>45642</v>
      </c>
      <c r="F1905" t="s">
        <v>2334</v>
      </c>
      <c r="G1905">
        <v>0</v>
      </c>
      <c r="H1905" t="s">
        <v>15</v>
      </c>
      <c r="I1905" t="s">
        <v>16</v>
      </c>
      <c r="J1905" t="s">
        <v>16</v>
      </c>
      <c r="K1905" t="str">
        <f>VLOOKUP(C1905,CheckName!A:B,2,0)</f>
        <v>Special Check</v>
      </c>
      <c r="L1905">
        <v>0</v>
      </c>
      <c r="M1905">
        <f t="shared" si="277"/>
        <v>16</v>
      </c>
      <c r="N1905" t="str">
        <f>TEXT(MTDRejection[[#This Row],[RejectionDate]],"dddd")</f>
        <v>Monday</v>
      </c>
    </row>
    <row r="1906" spans="1:14">
      <c r="A1906" t="s">
        <v>84</v>
      </c>
      <c r="B1906" t="s">
        <v>4447</v>
      </c>
      <c r="C1906" t="s">
        <v>54</v>
      </c>
      <c r="D1906" t="s">
        <v>26</v>
      </c>
      <c r="E1906" s="7">
        <v>45642</v>
      </c>
      <c r="F1906" t="s">
        <v>2329</v>
      </c>
      <c r="G1906">
        <v>0</v>
      </c>
      <c r="H1906" t="s">
        <v>27</v>
      </c>
      <c r="I1906" t="s">
        <v>16</v>
      </c>
      <c r="J1906" t="s">
        <v>16</v>
      </c>
      <c r="K1906" t="str">
        <f>VLOOKUP(C1906,CheckName!A:B,2,0)</f>
        <v>Edu</v>
      </c>
      <c r="L1906">
        <v>0</v>
      </c>
      <c r="M1906">
        <f t="shared" ref="M1906:M1907" si="278">DAY(E1906)</f>
        <v>16</v>
      </c>
      <c r="N1906" t="str">
        <f>TEXT(MTDRejection[[#This Row],[RejectionDate]],"dddd")</f>
        <v>Monday</v>
      </c>
    </row>
    <row r="1907" spans="1:14">
      <c r="A1907" t="s">
        <v>45</v>
      </c>
      <c r="B1907" t="s">
        <v>4448</v>
      </c>
      <c r="C1907" t="s">
        <v>19</v>
      </c>
      <c r="D1907" t="s">
        <v>20</v>
      </c>
      <c r="E1907" s="7">
        <v>45642</v>
      </c>
      <c r="F1907" t="s">
        <v>2330</v>
      </c>
      <c r="G1907">
        <v>0</v>
      </c>
      <c r="H1907" t="s">
        <v>22</v>
      </c>
      <c r="I1907" t="s">
        <v>16</v>
      </c>
      <c r="J1907" t="s">
        <v>16</v>
      </c>
      <c r="K1907" t="str">
        <f>VLOOKUP(C1907,CheckName!A:B,2,0)</f>
        <v>Add</v>
      </c>
      <c r="L1907">
        <v>0</v>
      </c>
      <c r="M1907">
        <f t="shared" si="278"/>
        <v>16</v>
      </c>
      <c r="N1907" t="str">
        <f>TEXT(MTDRejection[[#This Row],[RejectionDate]],"dddd")</f>
        <v>Monday</v>
      </c>
    </row>
    <row r="1908" spans="1:14">
      <c r="A1908" t="s">
        <v>343</v>
      </c>
      <c r="B1908" t="s">
        <v>4449</v>
      </c>
      <c r="C1908" t="s">
        <v>71</v>
      </c>
      <c r="D1908" t="s">
        <v>13</v>
      </c>
      <c r="E1908" s="7">
        <v>45642</v>
      </c>
      <c r="F1908" t="s">
        <v>72</v>
      </c>
      <c r="G1908">
        <v>0</v>
      </c>
      <c r="H1908" t="s">
        <v>15</v>
      </c>
      <c r="I1908" t="s">
        <v>16</v>
      </c>
      <c r="J1908" t="s">
        <v>16</v>
      </c>
      <c r="K1908" t="str">
        <f>VLOOKUP(C1908,CheckName!A:B,2,0)</f>
        <v>CRC</v>
      </c>
      <c r="L1908">
        <v>0</v>
      </c>
      <c r="M1908">
        <f t="shared" ref="M1908:M1919" si="279">DAY(E1908)</f>
        <v>16</v>
      </c>
      <c r="N1908" t="str">
        <f>TEXT(MTDRejection[[#This Row],[RejectionDate]],"dddd")</f>
        <v>Monday</v>
      </c>
    </row>
    <row r="1909" spans="1:14">
      <c r="A1909" t="s">
        <v>320</v>
      </c>
      <c r="B1909" t="s">
        <v>4450</v>
      </c>
      <c r="C1909" t="s">
        <v>55</v>
      </c>
      <c r="D1909" t="s">
        <v>26</v>
      </c>
      <c r="E1909" s="7">
        <v>45642</v>
      </c>
      <c r="F1909" t="s">
        <v>188</v>
      </c>
      <c r="G1909">
        <v>0</v>
      </c>
      <c r="H1909" t="s">
        <v>27</v>
      </c>
      <c r="I1909" t="s">
        <v>16</v>
      </c>
      <c r="J1909" t="s">
        <v>16</v>
      </c>
      <c r="K1909" t="str">
        <f>VLOOKUP(C1909,CheckName!A:B,2,0)</f>
        <v>Edu</v>
      </c>
      <c r="L1909">
        <v>0</v>
      </c>
      <c r="M1909">
        <f t="shared" si="279"/>
        <v>16</v>
      </c>
      <c r="N1909" t="str">
        <f>TEXT(MTDRejection[[#This Row],[RejectionDate]],"dddd")</f>
        <v>Monday</v>
      </c>
    </row>
    <row r="1910" spans="1:14">
      <c r="A1910" t="s">
        <v>517</v>
      </c>
      <c r="B1910" t="s">
        <v>4451</v>
      </c>
      <c r="C1910" t="s">
        <v>25</v>
      </c>
      <c r="D1910" t="s">
        <v>51</v>
      </c>
      <c r="E1910" s="7">
        <v>45642</v>
      </c>
      <c r="F1910" t="s">
        <v>2349</v>
      </c>
      <c r="G1910">
        <v>0</v>
      </c>
      <c r="H1910" t="s">
        <v>53</v>
      </c>
      <c r="I1910" t="s">
        <v>16</v>
      </c>
      <c r="J1910" t="s">
        <v>16</v>
      </c>
      <c r="K1910" t="str">
        <f>VLOOKUP(C1910,CheckName!A:B,2,0)</f>
        <v>Add</v>
      </c>
      <c r="L1910">
        <v>0</v>
      </c>
      <c r="M1910">
        <f t="shared" si="279"/>
        <v>16</v>
      </c>
      <c r="N1910" t="str">
        <f>TEXT(MTDRejection[[#This Row],[RejectionDate]],"dddd")</f>
        <v>Monday</v>
      </c>
    </row>
    <row r="1911" spans="1:14">
      <c r="A1911" t="s">
        <v>517</v>
      </c>
      <c r="B1911" t="s">
        <v>4452</v>
      </c>
      <c r="C1911" t="s">
        <v>12</v>
      </c>
      <c r="D1911" t="s">
        <v>51</v>
      </c>
      <c r="E1911" s="7">
        <v>45642</v>
      </c>
      <c r="F1911" t="s">
        <v>2349</v>
      </c>
      <c r="G1911">
        <v>0</v>
      </c>
      <c r="H1911" t="s">
        <v>53</v>
      </c>
      <c r="I1911" t="s">
        <v>16</v>
      </c>
      <c r="J1911" t="s">
        <v>16</v>
      </c>
      <c r="K1911" t="str">
        <f>VLOOKUP(C1911,CheckName!A:B,2,0)</f>
        <v>Emp</v>
      </c>
      <c r="L1911">
        <v>0</v>
      </c>
      <c r="M1911">
        <f t="shared" si="279"/>
        <v>16</v>
      </c>
      <c r="N1911" t="str">
        <f>TEXT(MTDRejection[[#This Row],[RejectionDate]],"dddd")</f>
        <v>Monday</v>
      </c>
    </row>
    <row r="1912" spans="1:14">
      <c r="A1912" t="s">
        <v>517</v>
      </c>
      <c r="B1912" t="s">
        <v>4453</v>
      </c>
      <c r="C1912" t="s">
        <v>12</v>
      </c>
      <c r="D1912" t="s">
        <v>51</v>
      </c>
      <c r="E1912" s="7">
        <v>45642</v>
      </c>
      <c r="F1912" t="s">
        <v>2349</v>
      </c>
      <c r="G1912">
        <v>0</v>
      </c>
      <c r="H1912" t="s">
        <v>53</v>
      </c>
      <c r="I1912" t="s">
        <v>16</v>
      </c>
      <c r="J1912" t="s">
        <v>16</v>
      </c>
      <c r="K1912" t="str">
        <f>VLOOKUP(C1912,CheckName!A:B,2,0)</f>
        <v>Emp</v>
      </c>
      <c r="L1912">
        <v>0</v>
      </c>
      <c r="M1912">
        <f t="shared" si="279"/>
        <v>16</v>
      </c>
      <c r="N1912" t="str">
        <f>TEXT(MTDRejection[[#This Row],[RejectionDate]],"dddd")</f>
        <v>Monday</v>
      </c>
    </row>
    <row r="1913" spans="1:14">
      <c r="A1913" t="s">
        <v>517</v>
      </c>
      <c r="B1913" t="s">
        <v>4454</v>
      </c>
      <c r="C1913" t="s">
        <v>25</v>
      </c>
      <c r="D1913" t="s">
        <v>51</v>
      </c>
      <c r="E1913" s="7">
        <v>45642</v>
      </c>
      <c r="F1913" t="s">
        <v>2349</v>
      </c>
      <c r="G1913">
        <v>0</v>
      </c>
      <c r="H1913" t="s">
        <v>53</v>
      </c>
      <c r="I1913" t="s">
        <v>16</v>
      </c>
      <c r="J1913" t="s">
        <v>16</v>
      </c>
      <c r="K1913" t="str">
        <f>VLOOKUP(C1913,CheckName!A:B,2,0)</f>
        <v>Add</v>
      </c>
      <c r="L1913">
        <v>0</v>
      </c>
      <c r="M1913">
        <f t="shared" si="279"/>
        <v>16</v>
      </c>
      <c r="N1913" t="str">
        <f>TEXT(MTDRejection[[#This Row],[RejectionDate]],"dddd")</f>
        <v>Monday</v>
      </c>
    </row>
    <row r="1914" spans="1:14">
      <c r="A1914" t="s">
        <v>100</v>
      </c>
      <c r="B1914" t="s">
        <v>4455</v>
      </c>
      <c r="C1914" t="s">
        <v>1333</v>
      </c>
      <c r="D1914" t="s">
        <v>51</v>
      </c>
      <c r="E1914" s="7">
        <v>45642</v>
      </c>
      <c r="F1914" t="s">
        <v>2349</v>
      </c>
      <c r="G1914">
        <v>0</v>
      </c>
      <c r="H1914" t="s">
        <v>53</v>
      </c>
      <c r="I1914" t="s">
        <v>16</v>
      </c>
      <c r="J1914" t="s">
        <v>16</v>
      </c>
      <c r="K1914" t="str">
        <f>VLOOKUP(C1914,CheckName!A:B,2,0)</f>
        <v>CRC</v>
      </c>
      <c r="L1914">
        <v>0</v>
      </c>
      <c r="M1914">
        <f t="shared" si="279"/>
        <v>16</v>
      </c>
      <c r="N1914" t="str">
        <f>TEXT(MTDRejection[[#This Row],[RejectionDate]],"dddd")</f>
        <v>Monday</v>
      </c>
    </row>
    <row r="1915" spans="1:14">
      <c r="A1915" t="s">
        <v>100</v>
      </c>
      <c r="B1915" t="s">
        <v>1947</v>
      </c>
      <c r="C1915" t="s">
        <v>1335</v>
      </c>
      <c r="D1915" t="s">
        <v>51</v>
      </c>
      <c r="E1915" s="7">
        <v>45642</v>
      </c>
      <c r="F1915" t="s">
        <v>2349</v>
      </c>
      <c r="G1915">
        <v>0</v>
      </c>
      <c r="H1915" t="s">
        <v>53</v>
      </c>
      <c r="I1915" t="s">
        <v>16</v>
      </c>
      <c r="J1915" t="s">
        <v>16</v>
      </c>
      <c r="K1915" t="str">
        <f>VLOOKUP(C1915,CheckName!A:B,2,0)</f>
        <v>CRC</v>
      </c>
      <c r="L1915">
        <v>0</v>
      </c>
      <c r="M1915">
        <f t="shared" si="279"/>
        <v>16</v>
      </c>
      <c r="N1915" t="str">
        <f>TEXT(MTDRejection[[#This Row],[RejectionDate]],"dddd")</f>
        <v>Monday</v>
      </c>
    </row>
    <row r="1916" spans="1:14">
      <c r="A1916" t="s">
        <v>100</v>
      </c>
      <c r="B1916" t="s">
        <v>4456</v>
      </c>
      <c r="C1916" t="s">
        <v>1334</v>
      </c>
      <c r="D1916" t="s">
        <v>51</v>
      </c>
      <c r="E1916" s="7">
        <v>45642</v>
      </c>
      <c r="F1916" t="s">
        <v>2349</v>
      </c>
      <c r="G1916">
        <v>0</v>
      </c>
      <c r="H1916" t="s">
        <v>53</v>
      </c>
      <c r="I1916" t="s">
        <v>16</v>
      </c>
      <c r="J1916" t="s">
        <v>16</v>
      </c>
      <c r="K1916" t="str">
        <f>VLOOKUP(C1916,CheckName!A:B,2,0)</f>
        <v>CRC</v>
      </c>
      <c r="L1916">
        <v>0</v>
      </c>
      <c r="M1916">
        <f t="shared" si="279"/>
        <v>16</v>
      </c>
      <c r="N1916" t="str">
        <f>TEXT(MTDRejection[[#This Row],[RejectionDate]],"dddd")</f>
        <v>Monday</v>
      </c>
    </row>
    <row r="1917" spans="1:14">
      <c r="A1917" t="s">
        <v>100</v>
      </c>
      <c r="B1917" t="s">
        <v>4457</v>
      </c>
      <c r="C1917" t="s">
        <v>1335</v>
      </c>
      <c r="D1917" t="s">
        <v>51</v>
      </c>
      <c r="E1917" s="7">
        <v>45642</v>
      </c>
      <c r="F1917" t="s">
        <v>2349</v>
      </c>
      <c r="G1917">
        <v>0</v>
      </c>
      <c r="H1917" t="s">
        <v>53</v>
      </c>
      <c r="I1917" t="s">
        <v>16</v>
      </c>
      <c r="J1917" t="s">
        <v>16</v>
      </c>
      <c r="K1917" t="str">
        <f>VLOOKUP(C1917,CheckName!A:B,2,0)</f>
        <v>CRC</v>
      </c>
      <c r="L1917">
        <v>0</v>
      </c>
      <c r="M1917">
        <f t="shared" si="279"/>
        <v>16</v>
      </c>
      <c r="N1917" t="str">
        <f>TEXT(MTDRejection[[#This Row],[RejectionDate]],"dddd")</f>
        <v>Monday</v>
      </c>
    </row>
    <row r="1918" spans="1:14">
      <c r="A1918" t="s">
        <v>100</v>
      </c>
      <c r="B1918" t="s">
        <v>4458</v>
      </c>
      <c r="C1918" t="s">
        <v>1184</v>
      </c>
      <c r="D1918" t="s">
        <v>13</v>
      </c>
      <c r="E1918" s="7">
        <v>45642</v>
      </c>
      <c r="F1918" t="s">
        <v>1861</v>
      </c>
      <c r="G1918">
        <v>0</v>
      </c>
      <c r="H1918" t="s">
        <v>505</v>
      </c>
      <c r="I1918" t="s">
        <v>16</v>
      </c>
      <c r="J1918" t="s">
        <v>16</v>
      </c>
      <c r="K1918" t="str">
        <f>VLOOKUP(C1918,CheckName!A:B,2,0)</f>
        <v>Investigation</v>
      </c>
      <c r="L1918">
        <v>0</v>
      </c>
      <c r="M1918">
        <f t="shared" si="279"/>
        <v>16</v>
      </c>
      <c r="N1918" t="str">
        <f>TEXT(MTDRejection[[#This Row],[RejectionDate]],"dddd")</f>
        <v>Monday</v>
      </c>
    </row>
    <row r="1919" spans="1:14">
      <c r="A1919" t="s">
        <v>100</v>
      </c>
      <c r="B1919" t="s">
        <v>4380</v>
      </c>
      <c r="C1919" t="s">
        <v>775</v>
      </c>
      <c r="D1919" t="s">
        <v>13</v>
      </c>
      <c r="E1919" s="7">
        <v>45642</v>
      </c>
      <c r="F1919" t="s">
        <v>1861</v>
      </c>
      <c r="G1919">
        <v>0</v>
      </c>
      <c r="H1919" t="s">
        <v>30</v>
      </c>
      <c r="I1919" t="s">
        <v>16</v>
      </c>
      <c r="J1919" t="s">
        <v>16</v>
      </c>
      <c r="K1919" t="str">
        <f>VLOOKUP(C1919,CheckName!A:B,2,0)</f>
        <v>Emp</v>
      </c>
      <c r="L1919">
        <v>0</v>
      </c>
      <c r="M1919">
        <f t="shared" si="279"/>
        <v>16</v>
      </c>
      <c r="N1919" t="str">
        <f>TEXT(MTDRejection[[#This Row],[RejectionDate]],"dddd")</f>
        <v>Monday</v>
      </c>
    </row>
    <row r="1920" spans="1:14">
      <c r="A1920" t="s">
        <v>306</v>
      </c>
      <c r="B1920" t="s">
        <v>4459</v>
      </c>
      <c r="C1920" t="s">
        <v>25</v>
      </c>
      <c r="D1920" t="s">
        <v>13</v>
      </c>
      <c r="E1920" s="7">
        <v>45642</v>
      </c>
      <c r="F1920" t="s">
        <v>844</v>
      </c>
      <c r="G1920">
        <v>0</v>
      </c>
      <c r="H1920" t="s">
        <v>30</v>
      </c>
      <c r="I1920" t="s">
        <v>16</v>
      </c>
      <c r="J1920" t="s">
        <v>16</v>
      </c>
      <c r="K1920" t="str">
        <f>VLOOKUP(C1920,CheckName!A:B,2,0)</f>
        <v>Add</v>
      </c>
      <c r="L1920">
        <v>0</v>
      </c>
      <c r="M1920">
        <f t="shared" ref="M1920:M1925" si="280">DAY(E1920)</f>
        <v>16</v>
      </c>
      <c r="N1920" t="str">
        <f>TEXT(MTDRejection[[#This Row],[RejectionDate]],"dddd")</f>
        <v>Monday</v>
      </c>
    </row>
    <row r="1921" spans="1:14">
      <c r="A1921" t="s">
        <v>306</v>
      </c>
      <c r="B1921" t="s">
        <v>2558</v>
      </c>
      <c r="C1921" t="s">
        <v>71</v>
      </c>
      <c r="D1921" t="s">
        <v>13</v>
      </c>
      <c r="E1921" s="7">
        <v>45642</v>
      </c>
      <c r="F1921" t="s">
        <v>844</v>
      </c>
      <c r="G1921">
        <v>0</v>
      </c>
      <c r="H1921" t="s">
        <v>30</v>
      </c>
      <c r="I1921" t="s">
        <v>16</v>
      </c>
      <c r="J1921" t="s">
        <v>16</v>
      </c>
      <c r="K1921" t="str">
        <f>VLOOKUP(C1921,CheckName!A:B,2,0)</f>
        <v>CRC</v>
      </c>
      <c r="L1921">
        <v>0</v>
      </c>
      <c r="M1921">
        <f t="shared" si="280"/>
        <v>16</v>
      </c>
      <c r="N1921" t="str">
        <f>TEXT(MTDRejection[[#This Row],[RejectionDate]],"dddd")</f>
        <v>Monday</v>
      </c>
    </row>
    <row r="1922" spans="1:14">
      <c r="A1922" t="s">
        <v>452</v>
      </c>
      <c r="B1922" t="s">
        <v>4460</v>
      </c>
      <c r="C1922" t="s">
        <v>71</v>
      </c>
      <c r="D1922" t="s">
        <v>13</v>
      </c>
      <c r="E1922" s="7">
        <v>45642</v>
      </c>
      <c r="F1922" t="s">
        <v>2345</v>
      </c>
      <c r="G1922">
        <v>0</v>
      </c>
      <c r="H1922" t="s">
        <v>15</v>
      </c>
      <c r="I1922" t="s">
        <v>16</v>
      </c>
      <c r="J1922" t="s">
        <v>16</v>
      </c>
      <c r="K1922" t="str">
        <f>VLOOKUP(C1922,CheckName!A:B,2,0)</f>
        <v>CRC</v>
      </c>
      <c r="L1922">
        <v>0</v>
      </c>
      <c r="M1922">
        <f t="shared" si="280"/>
        <v>16</v>
      </c>
      <c r="N1922" t="str">
        <f>TEXT(MTDRejection[[#This Row],[RejectionDate]],"dddd")</f>
        <v>Monday</v>
      </c>
    </row>
    <row r="1923" spans="1:14">
      <c r="A1923" t="s">
        <v>452</v>
      </c>
      <c r="B1923" t="s">
        <v>4461</v>
      </c>
      <c r="C1923" t="s">
        <v>25</v>
      </c>
      <c r="D1923" t="s">
        <v>13</v>
      </c>
      <c r="E1923" s="7">
        <v>45642</v>
      </c>
      <c r="F1923" t="s">
        <v>844</v>
      </c>
      <c r="G1923">
        <v>0</v>
      </c>
      <c r="H1923" t="s">
        <v>15</v>
      </c>
      <c r="I1923" t="s">
        <v>16</v>
      </c>
      <c r="J1923" t="s">
        <v>16</v>
      </c>
      <c r="K1923" t="str">
        <f>VLOOKUP(C1923,CheckName!A:B,2,0)</f>
        <v>Add</v>
      </c>
      <c r="L1923">
        <v>0</v>
      </c>
      <c r="M1923">
        <f t="shared" si="280"/>
        <v>16</v>
      </c>
      <c r="N1923" t="str">
        <f>TEXT(MTDRejection[[#This Row],[RejectionDate]],"dddd")</f>
        <v>Monday</v>
      </c>
    </row>
    <row r="1924" spans="1:14">
      <c r="A1924" t="s">
        <v>996</v>
      </c>
      <c r="B1924" t="s">
        <v>2559</v>
      </c>
      <c r="C1924" t="s">
        <v>12</v>
      </c>
      <c r="D1924" t="s">
        <v>26</v>
      </c>
      <c r="E1924" s="7">
        <v>45642</v>
      </c>
      <c r="F1924" t="s">
        <v>721</v>
      </c>
      <c r="G1924">
        <v>0</v>
      </c>
      <c r="H1924" t="s">
        <v>27</v>
      </c>
      <c r="I1924" t="s">
        <v>16</v>
      </c>
      <c r="J1924" t="s">
        <v>16</v>
      </c>
      <c r="K1924" t="str">
        <f>VLOOKUP(C1924,CheckName!A:B,2,0)</f>
        <v>Emp</v>
      </c>
      <c r="L1924">
        <v>0</v>
      </c>
      <c r="M1924">
        <f t="shared" si="280"/>
        <v>16</v>
      </c>
      <c r="N1924" t="str">
        <f>TEXT(MTDRejection[[#This Row],[RejectionDate]],"dddd")</f>
        <v>Monday</v>
      </c>
    </row>
    <row r="1925" spans="1:14">
      <c r="A1925" t="s">
        <v>996</v>
      </c>
      <c r="B1925" t="s">
        <v>4462</v>
      </c>
      <c r="C1925" t="s">
        <v>12</v>
      </c>
      <c r="D1925" t="s">
        <v>26</v>
      </c>
      <c r="E1925" s="7">
        <v>45642</v>
      </c>
      <c r="F1925" t="s">
        <v>721</v>
      </c>
      <c r="G1925">
        <v>0</v>
      </c>
      <c r="H1925" t="s">
        <v>27</v>
      </c>
      <c r="I1925" t="s">
        <v>16</v>
      </c>
      <c r="J1925" t="s">
        <v>16</v>
      </c>
      <c r="K1925" t="str">
        <f>VLOOKUP(C1925,CheckName!A:B,2,0)</f>
        <v>Emp</v>
      </c>
      <c r="L1925">
        <v>0</v>
      </c>
      <c r="M1925">
        <f t="shared" si="280"/>
        <v>16</v>
      </c>
      <c r="N1925" t="str">
        <f>TEXT(MTDRejection[[#This Row],[RejectionDate]],"dddd")</f>
        <v>Monday</v>
      </c>
    </row>
    <row r="1926" spans="1:14">
      <c r="A1926" t="s">
        <v>119</v>
      </c>
      <c r="B1926" t="s">
        <v>4463</v>
      </c>
      <c r="C1926" t="s">
        <v>93</v>
      </c>
      <c r="D1926" t="s">
        <v>26</v>
      </c>
      <c r="E1926" s="7">
        <v>45642</v>
      </c>
      <c r="F1926" t="s">
        <v>103</v>
      </c>
      <c r="G1926">
        <v>0</v>
      </c>
      <c r="H1926" t="s">
        <v>27</v>
      </c>
      <c r="I1926" t="s">
        <v>16</v>
      </c>
      <c r="J1926" t="s">
        <v>16</v>
      </c>
      <c r="K1926" t="str">
        <f>VLOOKUP(C1926,CheckName!A:B,2,0)</f>
        <v>Edu</v>
      </c>
      <c r="L1926">
        <v>0</v>
      </c>
      <c r="M1926">
        <f t="shared" ref="M1926:M1956" si="281">DAY(E1926)</f>
        <v>16</v>
      </c>
      <c r="N1926" t="str">
        <f>TEXT(MTDRejection[[#This Row],[RejectionDate]],"dddd")</f>
        <v>Monday</v>
      </c>
    </row>
    <row r="1927" spans="1:14">
      <c r="A1927" t="s">
        <v>320</v>
      </c>
      <c r="B1927" t="s">
        <v>4464</v>
      </c>
      <c r="C1927" t="s">
        <v>55</v>
      </c>
      <c r="D1927" t="s">
        <v>26</v>
      </c>
      <c r="E1927" s="7">
        <v>45642</v>
      </c>
      <c r="F1927" t="s">
        <v>297</v>
      </c>
      <c r="G1927">
        <v>0</v>
      </c>
      <c r="H1927" t="s">
        <v>27</v>
      </c>
      <c r="I1927" t="s">
        <v>16</v>
      </c>
      <c r="J1927" t="s">
        <v>16</v>
      </c>
      <c r="K1927" t="str">
        <f>VLOOKUP(C1927,CheckName!A:B,2,0)</f>
        <v>Edu</v>
      </c>
      <c r="L1927">
        <v>0</v>
      </c>
      <c r="M1927">
        <f t="shared" si="281"/>
        <v>16</v>
      </c>
      <c r="N1927" t="str">
        <f>TEXT(MTDRejection[[#This Row],[RejectionDate]],"dddd")</f>
        <v>Monday</v>
      </c>
    </row>
    <row r="1928" spans="1:14">
      <c r="A1928" t="s">
        <v>320</v>
      </c>
      <c r="B1928" t="s">
        <v>4465</v>
      </c>
      <c r="C1928" t="s">
        <v>55</v>
      </c>
      <c r="D1928" t="s">
        <v>26</v>
      </c>
      <c r="E1928" s="7">
        <v>45642</v>
      </c>
      <c r="F1928" t="s">
        <v>297</v>
      </c>
      <c r="G1928">
        <v>0</v>
      </c>
      <c r="H1928" t="s">
        <v>27</v>
      </c>
      <c r="I1928" t="s">
        <v>16</v>
      </c>
      <c r="J1928" t="s">
        <v>16</v>
      </c>
      <c r="K1928" t="str">
        <f>VLOOKUP(C1928,CheckName!A:B,2,0)</f>
        <v>Edu</v>
      </c>
      <c r="L1928">
        <v>0</v>
      </c>
      <c r="M1928">
        <f t="shared" si="281"/>
        <v>16</v>
      </c>
      <c r="N1928" t="str">
        <f>TEXT(MTDRejection[[#This Row],[RejectionDate]],"dddd")</f>
        <v>Monday</v>
      </c>
    </row>
    <row r="1929" spans="1:14">
      <c r="A1929" t="s">
        <v>320</v>
      </c>
      <c r="B1929" t="s">
        <v>4466</v>
      </c>
      <c r="C1929" t="s">
        <v>55</v>
      </c>
      <c r="D1929" t="s">
        <v>26</v>
      </c>
      <c r="E1929" s="7">
        <v>45642</v>
      </c>
      <c r="F1929" t="s">
        <v>297</v>
      </c>
      <c r="G1929">
        <v>0</v>
      </c>
      <c r="H1929" t="s">
        <v>27</v>
      </c>
      <c r="I1929" t="s">
        <v>16</v>
      </c>
      <c r="J1929" t="s">
        <v>16</v>
      </c>
      <c r="K1929" t="str">
        <f>VLOOKUP(C1929,CheckName!A:B,2,0)</f>
        <v>Edu</v>
      </c>
      <c r="L1929">
        <v>0</v>
      </c>
      <c r="M1929">
        <f t="shared" si="281"/>
        <v>16</v>
      </c>
      <c r="N1929" t="str">
        <f>TEXT(MTDRejection[[#This Row],[RejectionDate]],"dddd")</f>
        <v>Monday</v>
      </c>
    </row>
    <row r="1930" spans="1:14">
      <c r="A1930" t="s">
        <v>320</v>
      </c>
      <c r="B1930" t="s">
        <v>4467</v>
      </c>
      <c r="C1930" t="s">
        <v>55</v>
      </c>
      <c r="D1930" t="s">
        <v>26</v>
      </c>
      <c r="E1930" s="7">
        <v>45642</v>
      </c>
      <c r="F1930" t="s">
        <v>297</v>
      </c>
      <c r="G1930">
        <v>0</v>
      </c>
      <c r="H1930" t="s">
        <v>27</v>
      </c>
      <c r="I1930" t="s">
        <v>16</v>
      </c>
      <c r="J1930" t="s">
        <v>16</v>
      </c>
      <c r="K1930" t="str">
        <f>VLOOKUP(C1930,CheckName!A:B,2,0)</f>
        <v>Edu</v>
      </c>
      <c r="L1930">
        <v>0</v>
      </c>
      <c r="M1930">
        <f t="shared" si="281"/>
        <v>16</v>
      </c>
      <c r="N1930" t="str">
        <f>TEXT(MTDRejection[[#This Row],[RejectionDate]],"dddd")</f>
        <v>Monday</v>
      </c>
    </row>
    <row r="1931" spans="1:14">
      <c r="A1931" t="s">
        <v>320</v>
      </c>
      <c r="B1931" t="s">
        <v>4468</v>
      </c>
      <c r="C1931" t="s">
        <v>55</v>
      </c>
      <c r="D1931" t="s">
        <v>26</v>
      </c>
      <c r="E1931" s="7">
        <v>45642</v>
      </c>
      <c r="F1931" t="s">
        <v>297</v>
      </c>
      <c r="G1931">
        <v>0</v>
      </c>
      <c r="H1931" t="s">
        <v>27</v>
      </c>
      <c r="I1931" t="s">
        <v>16</v>
      </c>
      <c r="J1931" t="s">
        <v>16</v>
      </c>
      <c r="K1931" t="str">
        <f>VLOOKUP(C1931,CheckName!A:B,2,0)</f>
        <v>Edu</v>
      </c>
      <c r="L1931">
        <v>0</v>
      </c>
      <c r="M1931">
        <f t="shared" si="281"/>
        <v>16</v>
      </c>
      <c r="N1931" t="str">
        <f>TEXT(MTDRejection[[#This Row],[RejectionDate]],"dddd")</f>
        <v>Monday</v>
      </c>
    </row>
    <row r="1932" spans="1:14">
      <c r="A1932" t="s">
        <v>320</v>
      </c>
      <c r="B1932" t="s">
        <v>4469</v>
      </c>
      <c r="C1932" t="s">
        <v>55</v>
      </c>
      <c r="D1932" t="s">
        <v>26</v>
      </c>
      <c r="E1932" s="7">
        <v>45642</v>
      </c>
      <c r="F1932" t="s">
        <v>297</v>
      </c>
      <c r="G1932">
        <v>0</v>
      </c>
      <c r="H1932" t="s">
        <v>27</v>
      </c>
      <c r="I1932" t="s">
        <v>16</v>
      </c>
      <c r="J1932" t="s">
        <v>16</v>
      </c>
      <c r="K1932" t="str">
        <f>VLOOKUP(C1932,CheckName!A:B,2,0)</f>
        <v>Edu</v>
      </c>
      <c r="L1932">
        <v>0</v>
      </c>
      <c r="M1932">
        <f t="shared" si="281"/>
        <v>16</v>
      </c>
      <c r="N1932" t="str">
        <f>TEXT(MTDRejection[[#This Row],[RejectionDate]],"dddd")</f>
        <v>Monday</v>
      </c>
    </row>
    <row r="1933" spans="1:14">
      <c r="A1933" t="s">
        <v>320</v>
      </c>
      <c r="B1933" t="s">
        <v>4470</v>
      </c>
      <c r="C1933" t="s">
        <v>55</v>
      </c>
      <c r="D1933" t="s">
        <v>26</v>
      </c>
      <c r="E1933" s="7">
        <v>45642</v>
      </c>
      <c r="F1933" t="s">
        <v>297</v>
      </c>
      <c r="G1933">
        <v>0</v>
      </c>
      <c r="H1933" t="s">
        <v>27</v>
      </c>
      <c r="I1933" t="s">
        <v>16</v>
      </c>
      <c r="J1933" t="s">
        <v>16</v>
      </c>
      <c r="K1933" t="str">
        <f>VLOOKUP(C1933,CheckName!A:B,2,0)</f>
        <v>Edu</v>
      </c>
      <c r="L1933">
        <v>0</v>
      </c>
      <c r="M1933">
        <f t="shared" si="281"/>
        <v>16</v>
      </c>
      <c r="N1933" t="str">
        <f>TEXT(MTDRejection[[#This Row],[RejectionDate]],"dddd")</f>
        <v>Monday</v>
      </c>
    </row>
    <row r="1934" spans="1:14">
      <c r="A1934" t="s">
        <v>320</v>
      </c>
      <c r="B1934" t="s">
        <v>4471</v>
      </c>
      <c r="C1934" t="s">
        <v>55</v>
      </c>
      <c r="D1934" t="s">
        <v>26</v>
      </c>
      <c r="E1934" s="7">
        <v>45642</v>
      </c>
      <c r="F1934" t="s">
        <v>297</v>
      </c>
      <c r="G1934">
        <v>0</v>
      </c>
      <c r="H1934" t="s">
        <v>27</v>
      </c>
      <c r="I1934" t="s">
        <v>16</v>
      </c>
      <c r="J1934" t="s">
        <v>16</v>
      </c>
      <c r="K1934" t="str">
        <f>VLOOKUP(C1934,CheckName!A:B,2,0)</f>
        <v>Edu</v>
      </c>
      <c r="L1934">
        <v>0</v>
      </c>
      <c r="M1934">
        <f t="shared" si="281"/>
        <v>16</v>
      </c>
      <c r="N1934" t="str">
        <f>TEXT(MTDRejection[[#This Row],[RejectionDate]],"dddd")</f>
        <v>Monday</v>
      </c>
    </row>
    <row r="1935" spans="1:14">
      <c r="A1935" t="s">
        <v>320</v>
      </c>
      <c r="B1935" t="s">
        <v>4472</v>
      </c>
      <c r="C1935" t="s">
        <v>55</v>
      </c>
      <c r="D1935" t="s">
        <v>26</v>
      </c>
      <c r="E1935" s="7">
        <v>45642</v>
      </c>
      <c r="F1935" t="s">
        <v>297</v>
      </c>
      <c r="G1935">
        <v>0</v>
      </c>
      <c r="H1935" t="s">
        <v>27</v>
      </c>
      <c r="I1935" t="s">
        <v>16</v>
      </c>
      <c r="J1935" t="s">
        <v>16</v>
      </c>
      <c r="K1935" t="str">
        <f>VLOOKUP(C1935,CheckName!A:B,2,0)</f>
        <v>Edu</v>
      </c>
      <c r="L1935">
        <v>0</v>
      </c>
      <c r="M1935">
        <f t="shared" si="281"/>
        <v>16</v>
      </c>
      <c r="N1935" t="str">
        <f>TEXT(MTDRejection[[#This Row],[RejectionDate]],"dddd")</f>
        <v>Monday</v>
      </c>
    </row>
    <row r="1936" spans="1:14">
      <c r="A1936" t="s">
        <v>320</v>
      </c>
      <c r="B1936" t="s">
        <v>1904</v>
      </c>
      <c r="C1936" t="s">
        <v>55</v>
      </c>
      <c r="D1936" t="s">
        <v>26</v>
      </c>
      <c r="E1936" s="7">
        <v>45642</v>
      </c>
      <c r="F1936" t="s">
        <v>297</v>
      </c>
      <c r="G1936">
        <v>0</v>
      </c>
      <c r="H1936" t="s">
        <v>27</v>
      </c>
      <c r="I1936" t="s">
        <v>16</v>
      </c>
      <c r="J1936" t="s">
        <v>16</v>
      </c>
      <c r="K1936" t="str">
        <f>VLOOKUP(C1936,CheckName!A:B,2,0)</f>
        <v>Edu</v>
      </c>
      <c r="L1936">
        <v>0</v>
      </c>
      <c r="M1936">
        <f t="shared" si="281"/>
        <v>16</v>
      </c>
      <c r="N1936" t="str">
        <f>TEXT(MTDRejection[[#This Row],[RejectionDate]],"dddd")</f>
        <v>Monday</v>
      </c>
    </row>
    <row r="1937" spans="1:14">
      <c r="A1937" t="s">
        <v>320</v>
      </c>
      <c r="B1937" t="s">
        <v>4473</v>
      </c>
      <c r="C1937" t="s">
        <v>55</v>
      </c>
      <c r="D1937" t="s">
        <v>26</v>
      </c>
      <c r="E1937" s="7">
        <v>45642</v>
      </c>
      <c r="F1937" t="s">
        <v>297</v>
      </c>
      <c r="G1937">
        <v>0</v>
      </c>
      <c r="H1937" t="s">
        <v>27</v>
      </c>
      <c r="I1937" t="s">
        <v>16</v>
      </c>
      <c r="J1937" t="s">
        <v>16</v>
      </c>
      <c r="K1937" t="str">
        <f>VLOOKUP(C1937,CheckName!A:B,2,0)</f>
        <v>Edu</v>
      </c>
      <c r="L1937">
        <v>0</v>
      </c>
      <c r="M1937">
        <f t="shared" si="281"/>
        <v>16</v>
      </c>
      <c r="N1937" t="str">
        <f>TEXT(MTDRejection[[#This Row],[RejectionDate]],"dddd")</f>
        <v>Monday</v>
      </c>
    </row>
    <row r="1938" spans="1:14">
      <c r="A1938" t="s">
        <v>320</v>
      </c>
      <c r="B1938" t="s">
        <v>4474</v>
      </c>
      <c r="C1938" t="s">
        <v>55</v>
      </c>
      <c r="D1938" t="s">
        <v>26</v>
      </c>
      <c r="E1938" s="7">
        <v>45642</v>
      </c>
      <c r="F1938" t="s">
        <v>297</v>
      </c>
      <c r="G1938">
        <v>0</v>
      </c>
      <c r="H1938" t="s">
        <v>27</v>
      </c>
      <c r="I1938" t="s">
        <v>16</v>
      </c>
      <c r="J1938" t="s">
        <v>16</v>
      </c>
      <c r="K1938" t="str">
        <f>VLOOKUP(C1938,CheckName!A:B,2,0)</f>
        <v>Edu</v>
      </c>
      <c r="L1938">
        <v>0</v>
      </c>
      <c r="M1938">
        <f t="shared" si="281"/>
        <v>16</v>
      </c>
      <c r="N1938" t="str">
        <f>TEXT(MTDRejection[[#This Row],[RejectionDate]],"dddd")</f>
        <v>Monday</v>
      </c>
    </row>
    <row r="1939" spans="1:14">
      <c r="A1939" t="s">
        <v>320</v>
      </c>
      <c r="B1939" t="s">
        <v>1905</v>
      </c>
      <c r="C1939" t="s">
        <v>55</v>
      </c>
      <c r="D1939" t="s">
        <v>26</v>
      </c>
      <c r="E1939" s="7">
        <v>45642</v>
      </c>
      <c r="F1939" t="s">
        <v>297</v>
      </c>
      <c r="G1939">
        <v>0</v>
      </c>
      <c r="H1939" t="s">
        <v>27</v>
      </c>
      <c r="I1939" t="s">
        <v>16</v>
      </c>
      <c r="J1939" t="s">
        <v>16</v>
      </c>
      <c r="K1939" t="str">
        <f>VLOOKUP(C1939,CheckName!A:B,2,0)</f>
        <v>Edu</v>
      </c>
      <c r="L1939">
        <v>0</v>
      </c>
      <c r="M1939">
        <f t="shared" si="281"/>
        <v>16</v>
      </c>
      <c r="N1939" t="str">
        <f>TEXT(MTDRejection[[#This Row],[RejectionDate]],"dddd")</f>
        <v>Monday</v>
      </c>
    </row>
    <row r="1940" spans="1:14">
      <c r="A1940" t="s">
        <v>320</v>
      </c>
      <c r="B1940" t="s">
        <v>4475</v>
      </c>
      <c r="C1940" t="s">
        <v>55</v>
      </c>
      <c r="D1940" t="s">
        <v>26</v>
      </c>
      <c r="E1940" s="7">
        <v>45642</v>
      </c>
      <c r="F1940" t="s">
        <v>297</v>
      </c>
      <c r="G1940">
        <v>0</v>
      </c>
      <c r="H1940" t="s">
        <v>27</v>
      </c>
      <c r="I1940" t="s">
        <v>16</v>
      </c>
      <c r="J1940" t="s">
        <v>16</v>
      </c>
      <c r="K1940" t="str">
        <f>VLOOKUP(C1940,CheckName!A:B,2,0)</f>
        <v>Edu</v>
      </c>
      <c r="L1940">
        <v>0</v>
      </c>
      <c r="M1940">
        <f t="shared" si="281"/>
        <v>16</v>
      </c>
      <c r="N1940" t="str">
        <f>TEXT(MTDRejection[[#This Row],[RejectionDate]],"dddd")</f>
        <v>Monday</v>
      </c>
    </row>
    <row r="1941" spans="1:14">
      <c r="A1941" t="s">
        <v>320</v>
      </c>
      <c r="B1941" t="s">
        <v>4476</v>
      </c>
      <c r="C1941" t="s">
        <v>55</v>
      </c>
      <c r="D1941" t="s">
        <v>26</v>
      </c>
      <c r="E1941" s="7">
        <v>45642</v>
      </c>
      <c r="F1941" t="s">
        <v>297</v>
      </c>
      <c r="G1941">
        <v>0</v>
      </c>
      <c r="H1941" t="s">
        <v>27</v>
      </c>
      <c r="I1941" t="s">
        <v>16</v>
      </c>
      <c r="J1941" t="s">
        <v>16</v>
      </c>
      <c r="K1941" t="str">
        <f>VLOOKUP(C1941,CheckName!A:B,2,0)</f>
        <v>Edu</v>
      </c>
      <c r="L1941">
        <v>0</v>
      </c>
      <c r="M1941">
        <f t="shared" si="281"/>
        <v>16</v>
      </c>
      <c r="N1941" t="str">
        <f>TEXT(MTDRejection[[#This Row],[RejectionDate]],"dddd")</f>
        <v>Monday</v>
      </c>
    </row>
    <row r="1942" spans="1:14">
      <c r="A1942" t="s">
        <v>320</v>
      </c>
      <c r="B1942" t="s">
        <v>4477</v>
      </c>
      <c r="C1942" t="s">
        <v>55</v>
      </c>
      <c r="D1942" t="s">
        <v>26</v>
      </c>
      <c r="E1942" s="7">
        <v>45642</v>
      </c>
      <c r="F1942" t="s">
        <v>297</v>
      </c>
      <c r="G1942">
        <v>0</v>
      </c>
      <c r="H1942" t="s">
        <v>27</v>
      </c>
      <c r="I1942" t="s">
        <v>16</v>
      </c>
      <c r="J1942" t="s">
        <v>16</v>
      </c>
      <c r="K1942" t="str">
        <f>VLOOKUP(C1942,CheckName!A:B,2,0)</f>
        <v>Edu</v>
      </c>
      <c r="L1942">
        <v>0</v>
      </c>
      <c r="M1942">
        <f t="shared" si="281"/>
        <v>16</v>
      </c>
      <c r="N1942" t="str">
        <f>TEXT(MTDRejection[[#This Row],[RejectionDate]],"dddd")</f>
        <v>Monday</v>
      </c>
    </row>
    <row r="1943" spans="1:14">
      <c r="A1943" t="s">
        <v>320</v>
      </c>
      <c r="B1943" t="s">
        <v>4478</v>
      </c>
      <c r="C1943" t="s">
        <v>55</v>
      </c>
      <c r="D1943" t="s">
        <v>26</v>
      </c>
      <c r="E1943" s="7">
        <v>45642</v>
      </c>
      <c r="F1943" t="s">
        <v>297</v>
      </c>
      <c r="G1943">
        <v>0</v>
      </c>
      <c r="H1943" t="s">
        <v>27</v>
      </c>
      <c r="I1943" t="s">
        <v>16</v>
      </c>
      <c r="J1943" t="s">
        <v>16</v>
      </c>
      <c r="K1943" t="str">
        <f>VLOOKUP(C1943,CheckName!A:B,2,0)</f>
        <v>Edu</v>
      </c>
      <c r="L1943">
        <v>0</v>
      </c>
      <c r="M1943">
        <f t="shared" si="281"/>
        <v>16</v>
      </c>
      <c r="N1943" t="str">
        <f>TEXT(MTDRejection[[#This Row],[RejectionDate]],"dddd")</f>
        <v>Monday</v>
      </c>
    </row>
    <row r="1944" spans="1:14">
      <c r="A1944" t="s">
        <v>320</v>
      </c>
      <c r="B1944" t="s">
        <v>1901</v>
      </c>
      <c r="C1944" t="s">
        <v>55</v>
      </c>
      <c r="D1944" t="s">
        <v>26</v>
      </c>
      <c r="E1944" s="7">
        <v>45642</v>
      </c>
      <c r="F1944" t="s">
        <v>297</v>
      </c>
      <c r="G1944">
        <v>0</v>
      </c>
      <c r="H1944" t="s">
        <v>27</v>
      </c>
      <c r="I1944" t="s">
        <v>16</v>
      </c>
      <c r="J1944" t="s">
        <v>16</v>
      </c>
      <c r="K1944" t="str">
        <f>VLOOKUP(C1944,CheckName!A:B,2,0)</f>
        <v>Edu</v>
      </c>
      <c r="L1944">
        <v>0</v>
      </c>
      <c r="M1944">
        <f t="shared" si="281"/>
        <v>16</v>
      </c>
      <c r="N1944" t="str">
        <f>TEXT(MTDRejection[[#This Row],[RejectionDate]],"dddd")</f>
        <v>Monday</v>
      </c>
    </row>
    <row r="1945" spans="1:14">
      <c r="A1945" t="s">
        <v>320</v>
      </c>
      <c r="B1945" t="s">
        <v>4479</v>
      </c>
      <c r="C1945" t="s">
        <v>55</v>
      </c>
      <c r="D1945" t="s">
        <v>26</v>
      </c>
      <c r="E1945" s="7">
        <v>45642</v>
      </c>
      <c r="F1945" t="s">
        <v>297</v>
      </c>
      <c r="G1945">
        <v>0</v>
      </c>
      <c r="H1945" t="s">
        <v>27</v>
      </c>
      <c r="I1945" t="s">
        <v>16</v>
      </c>
      <c r="J1945" t="s">
        <v>16</v>
      </c>
      <c r="K1945" t="str">
        <f>VLOOKUP(C1945,CheckName!A:B,2,0)</f>
        <v>Edu</v>
      </c>
      <c r="L1945">
        <v>0</v>
      </c>
      <c r="M1945">
        <f t="shared" si="281"/>
        <v>16</v>
      </c>
      <c r="N1945" t="str">
        <f>TEXT(MTDRejection[[#This Row],[RejectionDate]],"dddd")</f>
        <v>Monday</v>
      </c>
    </row>
    <row r="1946" spans="1:14">
      <c r="A1946" t="s">
        <v>320</v>
      </c>
      <c r="B1946" t="s">
        <v>4480</v>
      </c>
      <c r="C1946" t="s">
        <v>55</v>
      </c>
      <c r="D1946" t="s">
        <v>26</v>
      </c>
      <c r="E1946" s="7">
        <v>45642</v>
      </c>
      <c r="F1946" t="s">
        <v>297</v>
      </c>
      <c r="G1946">
        <v>0</v>
      </c>
      <c r="H1946" t="s">
        <v>27</v>
      </c>
      <c r="I1946" t="s">
        <v>16</v>
      </c>
      <c r="J1946" t="s">
        <v>16</v>
      </c>
      <c r="K1946" t="str">
        <f>VLOOKUP(C1946,CheckName!A:B,2,0)</f>
        <v>Edu</v>
      </c>
      <c r="L1946">
        <v>0</v>
      </c>
      <c r="M1946">
        <f t="shared" si="281"/>
        <v>16</v>
      </c>
      <c r="N1946" t="str">
        <f>TEXT(MTDRejection[[#This Row],[RejectionDate]],"dddd")</f>
        <v>Monday</v>
      </c>
    </row>
    <row r="1947" spans="1:14">
      <c r="A1947" t="s">
        <v>320</v>
      </c>
      <c r="B1947" t="s">
        <v>4481</v>
      </c>
      <c r="C1947" t="s">
        <v>55</v>
      </c>
      <c r="D1947" t="s">
        <v>26</v>
      </c>
      <c r="E1947" s="7">
        <v>45642</v>
      </c>
      <c r="F1947" t="s">
        <v>297</v>
      </c>
      <c r="G1947">
        <v>0</v>
      </c>
      <c r="H1947" t="s">
        <v>27</v>
      </c>
      <c r="I1947" t="s">
        <v>16</v>
      </c>
      <c r="J1947" t="s">
        <v>16</v>
      </c>
      <c r="K1947" t="str">
        <f>VLOOKUP(C1947,CheckName!A:B,2,0)</f>
        <v>Edu</v>
      </c>
      <c r="L1947">
        <v>0</v>
      </c>
      <c r="M1947">
        <f t="shared" si="281"/>
        <v>16</v>
      </c>
      <c r="N1947" t="str">
        <f>TEXT(MTDRejection[[#This Row],[RejectionDate]],"dddd")</f>
        <v>Monday</v>
      </c>
    </row>
    <row r="1948" spans="1:14">
      <c r="A1948" t="s">
        <v>320</v>
      </c>
      <c r="B1948" t="s">
        <v>4482</v>
      </c>
      <c r="C1948" t="s">
        <v>55</v>
      </c>
      <c r="D1948" t="s">
        <v>26</v>
      </c>
      <c r="E1948" s="7">
        <v>45642</v>
      </c>
      <c r="F1948" t="s">
        <v>297</v>
      </c>
      <c r="G1948">
        <v>0</v>
      </c>
      <c r="H1948" t="s">
        <v>27</v>
      </c>
      <c r="I1948" t="s">
        <v>16</v>
      </c>
      <c r="J1948" t="s">
        <v>16</v>
      </c>
      <c r="K1948" t="str">
        <f>VLOOKUP(C1948,CheckName!A:B,2,0)</f>
        <v>Edu</v>
      </c>
      <c r="L1948">
        <v>0</v>
      </c>
      <c r="M1948">
        <f t="shared" si="281"/>
        <v>16</v>
      </c>
      <c r="N1948" t="str">
        <f>TEXT(MTDRejection[[#This Row],[RejectionDate]],"dddd")</f>
        <v>Monday</v>
      </c>
    </row>
    <row r="1949" spans="1:14">
      <c r="A1949" t="s">
        <v>320</v>
      </c>
      <c r="B1949" t="s">
        <v>2561</v>
      </c>
      <c r="C1949" t="s">
        <v>55</v>
      </c>
      <c r="D1949" t="s">
        <v>26</v>
      </c>
      <c r="E1949" s="7">
        <v>45642</v>
      </c>
      <c r="F1949" t="s">
        <v>297</v>
      </c>
      <c r="G1949">
        <v>0</v>
      </c>
      <c r="H1949" t="s">
        <v>27</v>
      </c>
      <c r="I1949" t="s">
        <v>16</v>
      </c>
      <c r="J1949" t="s">
        <v>16</v>
      </c>
      <c r="K1949" t="str">
        <f>VLOOKUP(C1949,CheckName!A:B,2,0)</f>
        <v>Edu</v>
      </c>
      <c r="L1949">
        <v>0</v>
      </c>
      <c r="M1949">
        <f t="shared" si="281"/>
        <v>16</v>
      </c>
      <c r="N1949" t="str">
        <f>TEXT(MTDRejection[[#This Row],[RejectionDate]],"dddd")</f>
        <v>Monday</v>
      </c>
    </row>
    <row r="1950" spans="1:14">
      <c r="A1950" t="s">
        <v>320</v>
      </c>
      <c r="B1950" t="s">
        <v>4483</v>
      </c>
      <c r="C1950" t="s">
        <v>55</v>
      </c>
      <c r="D1950" t="s">
        <v>26</v>
      </c>
      <c r="E1950" s="7">
        <v>45642</v>
      </c>
      <c r="F1950" t="s">
        <v>297</v>
      </c>
      <c r="G1950">
        <v>0</v>
      </c>
      <c r="H1950" t="s">
        <v>27</v>
      </c>
      <c r="I1950" t="s">
        <v>16</v>
      </c>
      <c r="J1950" t="s">
        <v>16</v>
      </c>
      <c r="K1950" t="str">
        <f>VLOOKUP(C1950,CheckName!A:B,2,0)</f>
        <v>Edu</v>
      </c>
      <c r="L1950">
        <v>0</v>
      </c>
      <c r="M1950">
        <f t="shared" si="281"/>
        <v>16</v>
      </c>
      <c r="N1950" t="str">
        <f>TEXT(MTDRejection[[#This Row],[RejectionDate]],"dddd")</f>
        <v>Monday</v>
      </c>
    </row>
    <row r="1951" spans="1:14">
      <c r="A1951" t="s">
        <v>320</v>
      </c>
      <c r="B1951" t="s">
        <v>1902</v>
      </c>
      <c r="C1951" t="s">
        <v>55</v>
      </c>
      <c r="D1951" t="s">
        <v>26</v>
      </c>
      <c r="E1951" s="7">
        <v>45642</v>
      </c>
      <c r="F1951" t="s">
        <v>297</v>
      </c>
      <c r="G1951">
        <v>0</v>
      </c>
      <c r="H1951" t="s">
        <v>27</v>
      </c>
      <c r="I1951" t="s">
        <v>16</v>
      </c>
      <c r="J1951" t="s">
        <v>16</v>
      </c>
      <c r="K1951" t="str">
        <f>VLOOKUP(C1951,CheckName!A:B,2,0)</f>
        <v>Edu</v>
      </c>
      <c r="L1951">
        <v>0</v>
      </c>
      <c r="M1951">
        <f t="shared" si="281"/>
        <v>16</v>
      </c>
      <c r="N1951" t="str">
        <f>TEXT(MTDRejection[[#This Row],[RejectionDate]],"dddd")</f>
        <v>Monday</v>
      </c>
    </row>
    <row r="1952" spans="1:14">
      <c r="A1952" t="s">
        <v>320</v>
      </c>
      <c r="B1952" t="s">
        <v>4484</v>
      </c>
      <c r="C1952" t="s">
        <v>55</v>
      </c>
      <c r="D1952" t="s">
        <v>26</v>
      </c>
      <c r="E1952" s="7">
        <v>45642</v>
      </c>
      <c r="F1952" t="s">
        <v>297</v>
      </c>
      <c r="G1952">
        <v>0</v>
      </c>
      <c r="H1952" t="s">
        <v>27</v>
      </c>
      <c r="I1952" t="s">
        <v>16</v>
      </c>
      <c r="J1952" t="s">
        <v>16</v>
      </c>
      <c r="K1952" t="str">
        <f>VLOOKUP(C1952,CheckName!A:B,2,0)</f>
        <v>Edu</v>
      </c>
      <c r="L1952">
        <v>0</v>
      </c>
      <c r="M1952">
        <f t="shared" si="281"/>
        <v>16</v>
      </c>
      <c r="N1952" t="str">
        <f>TEXT(MTDRejection[[#This Row],[RejectionDate]],"dddd")</f>
        <v>Monday</v>
      </c>
    </row>
    <row r="1953" spans="1:14">
      <c r="A1953" t="s">
        <v>320</v>
      </c>
      <c r="B1953" t="s">
        <v>1899</v>
      </c>
      <c r="C1953" t="s">
        <v>55</v>
      </c>
      <c r="D1953" t="s">
        <v>26</v>
      </c>
      <c r="E1953" s="7">
        <v>45642</v>
      </c>
      <c r="F1953" t="s">
        <v>297</v>
      </c>
      <c r="G1953">
        <v>0</v>
      </c>
      <c r="H1953" t="s">
        <v>27</v>
      </c>
      <c r="I1953" t="s">
        <v>16</v>
      </c>
      <c r="J1953" t="s">
        <v>16</v>
      </c>
      <c r="K1953" t="str">
        <f>VLOOKUP(C1953,CheckName!A:B,2,0)</f>
        <v>Edu</v>
      </c>
      <c r="L1953">
        <v>0</v>
      </c>
      <c r="M1953">
        <f t="shared" si="281"/>
        <v>16</v>
      </c>
      <c r="N1953" t="str">
        <f>TEXT(MTDRejection[[#This Row],[RejectionDate]],"dddd")</f>
        <v>Monday</v>
      </c>
    </row>
    <row r="1954" spans="1:14">
      <c r="A1954" t="s">
        <v>320</v>
      </c>
      <c r="B1954" t="s">
        <v>4485</v>
      </c>
      <c r="C1954" t="s">
        <v>55</v>
      </c>
      <c r="D1954" t="s">
        <v>26</v>
      </c>
      <c r="E1954" s="7">
        <v>45642</v>
      </c>
      <c r="F1954" t="s">
        <v>297</v>
      </c>
      <c r="G1954">
        <v>0</v>
      </c>
      <c r="H1954" t="s">
        <v>27</v>
      </c>
      <c r="I1954" t="s">
        <v>16</v>
      </c>
      <c r="J1954" t="s">
        <v>16</v>
      </c>
      <c r="K1954" t="str">
        <f>VLOOKUP(C1954,CheckName!A:B,2,0)</f>
        <v>Edu</v>
      </c>
      <c r="L1954">
        <v>0</v>
      </c>
      <c r="M1954">
        <f t="shared" si="281"/>
        <v>16</v>
      </c>
      <c r="N1954" t="str">
        <f>TEXT(MTDRejection[[#This Row],[RejectionDate]],"dddd")</f>
        <v>Monday</v>
      </c>
    </row>
    <row r="1955" spans="1:14">
      <c r="A1955" t="s">
        <v>510</v>
      </c>
      <c r="B1955" t="s">
        <v>2562</v>
      </c>
      <c r="C1955" t="s">
        <v>71</v>
      </c>
      <c r="D1955" t="s">
        <v>13</v>
      </c>
      <c r="E1955" s="7">
        <v>45642</v>
      </c>
      <c r="F1955" t="s">
        <v>107</v>
      </c>
      <c r="G1955">
        <v>0</v>
      </c>
      <c r="H1955" t="s">
        <v>15</v>
      </c>
      <c r="I1955" t="s">
        <v>16</v>
      </c>
      <c r="J1955" t="s">
        <v>16</v>
      </c>
      <c r="K1955" t="str">
        <f>VLOOKUP(C1955,CheckName!A:B,2,0)</f>
        <v>CRC</v>
      </c>
      <c r="L1955">
        <v>0</v>
      </c>
      <c r="M1955">
        <f t="shared" si="281"/>
        <v>16</v>
      </c>
      <c r="N1955" t="str">
        <f>TEXT(MTDRejection[[#This Row],[RejectionDate]],"dddd")</f>
        <v>Monday</v>
      </c>
    </row>
    <row r="1956" spans="1:14">
      <c r="A1956" t="s">
        <v>1016</v>
      </c>
      <c r="B1956" t="s">
        <v>2563</v>
      </c>
      <c r="C1956" t="s">
        <v>56</v>
      </c>
      <c r="D1956" t="s">
        <v>13</v>
      </c>
      <c r="E1956" s="7">
        <v>45642</v>
      </c>
      <c r="F1956" t="s">
        <v>579</v>
      </c>
      <c r="G1956">
        <v>0</v>
      </c>
      <c r="H1956" t="s">
        <v>15</v>
      </c>
      <c r="I1956" t="s">
        <v>16</v>
      </c>
      <c r="J1956" t="s">
        <v>16</v>
      </c>
      <c r="K1956" t="str">
        <f>VLOOKUP(C1956,CheckName!A:B,2,0)</f>
        <v>Special Check</v>
      </c>
      <c r="L1956">
        <v>0</v>
      </c>
      <c r="M1956">
        <f t="shared" si="281"/>
        <v>16</v>
      </c>
      <c r="N1956" t="str">
        <f>TEXT(MTDRejection[[#This Row],[RejectionDate]],"dddd")</f>
        <v>Monday</v>
      </c>
    </row>
    <row r="1957" spans="1:14">
      <c r="A1957" t="s">
        <v>116</v>
      </c>
      <c r="B1957" t="s">
        <v>4486</v>
      </c>
      <c r="C1957" t="s">
        <v>1721</v>
      </c>
      <c r="D1957" t="s">
        <v>13</v>
      </c>
      <c r="E1957" s="7">
        <v>45642</v>
      </c>
      <c r="F1957" t="s">
        <v>540</v>
      </c>
      <c r="G1957">
        <v>0</v>
      </c>
      <c r="H1957" t="s">
        <v>130</v>
      </c>
      <c r="I1957" t="s">
        <v>16</v>
      </c>
      <c r="J1957" t="s">
        <v>16</v>
      </c>
      <c r="K1957" t="str">
        <f>VLOOKUP(C1957,CheckName!A:B,2,0)</f>
        <v>Special Check</v>
      </c>
      <c r="L1957">
        <v>0</v>
      </c>
      <c r="M1957">
        <f t="shared" ref="M1957:M1958" si="282">DAY(E1957)</f>
        <v>16</v>
      </c>
      <c r="N1957" t="str">
        <f>TEXT(MTDRejection[[#This Row],[RejectionDate]],"dddd")</f>
        <v>Monday</v>
      </c>
    </row>
    <row r="1958" spans="1:14">
      <c r="A1958" t="s">
        <v>1016</v>
      </c>
      <c r="B1958" t="s">
        <v>4487</v>
      </c>
      <c r="C1958" t="s">
        <v>56</v>
      </c>
      <c r="D1958" t="s">
        <v>13</v>
      </c>
      <c r="E1958" s="7">
        <v>45642</v>
      </c>
      <c r="F1958" t="s">
        <v>540</v>
      </c>
      <c r="G1958">
        <v>0</v>
      </c>
      <c r="H1958" t="s">
        <v>15</v>
      </c>
      <c r="I1958" t="s">
        <v>16</v>
      </c>
      <c r="J1958" t="s">
        <v>16</v>
      </c>
      <c r="K1958" t="str">
        <f>VLOOKUP(C1958,CheckName!A:B,2,0)</f>
        <v>Special Check</v>
      </c>
      <c r="L1958">
        <v>0</v>
      </c>
      <c r="M1958">
        <f t="shared" si="282"/>
        <v>16</v>
      </c>
      <c r="N1958" t="str">
        <f>TEXT(MTDRejection[[#This Row],[RejectionDate]],"dddd")</f>
        <v>Monday</v>
      </c>
    </row>
    <row r="1959" spans="1:14">
      <c r="A1959" t="s">
        <v>84</v>
      </c>
      <c r="B1959" t="s">
        <v>4488</v>
      </c>
      <c r="C1959" t="s">
        <v>49</v>
      </c>
      <c r="D1959" t="s">
        <v>26</v>
      </c>
      <c r="E1959" s="7">
        <v>45642</v>
      </c>
      <c r="F1959" t="s">
        <v>118</v>
      </c>
      <c r="G1959">
        <v>0</v>
      </c>
      <c r="H1959" t="s">
        <v>27</v>
      </c>
      <c r="I1959" t="s">
        <v>16</v>
      </c>
      <c r="J1959" t="s">
        <v>16</v>
      </c>
      <c r="K1959" t="str">
        <f>VLOOKUP(C1959,CheckName!A:B,2,0)</f>
        <v>CRC</v>
      </c>
      <c r="L1959">
        <v>0</v>
      </c>
      <c r="M1959">
        <f t="shared" ref="M1959:M1961" si="283">DAY(E1959)</f>
        <v>16</v>
      </c>
      <c r="N1959" t="str">
        <f>TEXT(MTDRejection[[#This Row],[RejectionDate]],"dddd")</f>
        <v>Monday</v>
      </c>
    </row>
    <row r="1960" spans="1:14">
      <c r="A1960" t="s">
        <v>84</v>
      </c>
      <c r="B1960" t="s">
        <v>4489</v>
      </c>
      <c r="C1960" t="s">
        <v>49</v>
      </c>
      <c r="D1960" t="s">
        <v>26</v>
      </c>
      <c r="E1960" s="7">
        <v>45642</v>
      </c>
      <c r="F1960" t="s">
        <v>118</v>
      </c>
      <c r="G1960">
        <v>0</v>
      </c>
      <c r="H1960" t="s">
        <v>27</v>
      </c>
      <c r="I1960" t="s">
        <v>16</v>
      </c>
      <c r="J1960" t="s">
        <v>16</v>
      </c>
      <c r="K1960" t="str">
        <f>VLOOKUP(C1960,CheckName!A:B,2,0)</f>
        <v>CRC</v>
      </c>
      <c r="L1960">
        <v>0</v>
      </c>
      <c r="M1960">
        <f t="shared" si="283"/>
        <v>16</v>
      </c>
      <c r="N1960" t="str">
        <f>TEXT(MTDRejection[[#This Row],[RejectionDate]],"dddd")</f>
        <v>Monday</v>
      </c>
    </row>
    <row r="1961" spans="1:14">
      <c r="A1961" t="s">
        <v>986</v>
      </c>
      <c r="B1961" t="s">
        <v>4490</v>
      </c>
      <c r="C1961" t="s">
        <v>59</v>
      </c>
      <c r="D1961" t="s">
        <v>38</v>
      </c>
      <c r="E1961" s="7">
        <v>45642</v>
      </c>
      <c r="F1961" t="s">
        <v>118</v>
      </c>
      <c r="G1961">
        <v>0</v>
      </c>
      <c r="H1961" t="s">
        <v>42</v>
      </c>
      <c r="I1961" t="s">
        <v>16</v>
      </c>
      <c r="J1961" t="s">
        <v>16</v>
      </c>
      <c r="K1961" t="str">
        <f>VLOOKUP(C1961,CheckName!A:B,2,0)</f>
        <v>Special Check</v>
      </c>
      <c r="L1961">
        <v>0</v>
      </c>
      <c r="M1961">
        <f t="shared" si="283"/>
        <v>16</v>
      </c>
      <c r="N1961" t="str">
        <f>TEXT(MTDRejection[[#This Row],[RejectionDate]],"dddd")</f>
        <v>Monday</v>
      </c>
    </row>
    <row r="1962" spans="1:14">
      <c r="A1962" t="s">
        <v>1110</v>
      </c>
      <c r="B1962" t="s">
        <v>4491</v>
      </c>
      <c r="C1962" t="s">
        <v>965</v>
      </c>
      <c r="D1962" t="s">
        <v>20</v>
      </c>
      <c r="E1962" s="7">
        <v>45642</v>
      </c>
      <c r="F1962" t="s">
        <v>129</v>
      </c>
      <c r="G1962">
        <v>0</v>
      </c>
      <c r="H1962" t="s">
        <v>22</v>
      </c>
      <c r="I1962" t="s">
        <v>16</v>
      </c>
      <c r="J1962" t="s">
        <v>16</v>
      </c>
      <c r="K1962" t="str">
        <f>VLOOKUP(C1962,CheckName!A:B,2,0)</f>
        <v>Add</v>
      </c>
      <c r="L1962">
        <v>0</v>
      </c>
      <c r="M1962">
        <f t="shared" ref="M1962:M1964" si="284">DAY(E1962)</f>
        <v>16</v>
      </c>
      <c r="N1962" t="str">
        <f>TEXT(MTDRejection[[#This Row],[RejectionDate]],"dddd")</f>
        <v>Monday</v>
      </c>
    </row>
    <row r="1963" spans="1:14">
      <c r="A1963" t="s">
        <v>84</v>
      </c>
      <c r="B1963" t="s">
        <v>4492</v>
      </c>
      <c r="C1963" t="s">
        <v>36</v>
      </c>
      <c r="D1963" t="s">
        <v>26</v>
      </c>
      <c r="E1963" s="7">
        <v>45642</v>
      </c>
      <c r="F1963" t="s">
        <v>2355</v>
      </c>
      <c r="G1963">
        <v>0</v>
      </c>
      <c r="H1963" t="s">
        <v>22</v>
      </c>
      <c r="I1963" t="s">
        <v>16</v>
      </c>
      <c r="J1963" t="s">
        <v>16</v>
      </c>
      <c r="K1963" t="str">
        <f>VLOOKUP(C1963,CheckName!A:B,2,0)</f>
        <v>Emp</v>
      </c>
      <c r="L1963">
        <v>0</v>
      </c>
      <c r="M1963">
        <f t="shared" si="284"/>
        <v>16</v>
      </c>
      <c r="N1963" t="str">
        <f>TEXT(MTDRejection[[#This Row],[RejectionDate]],"dddd")</f>
        <v>Monday</v>
      </c>
    </row>
    <row r="1964" spans="1:14">
      <c r="A1964" t="s">
        <v>1110</v>
      </c>
      <c r="B1964" t="s">
        <v>2565</v>
      </c>
      <c r="C1964" t="s">
        <v>965</v>
      </c>
      <c r="D1964" t="s">
        <v>20</v>
      </c>
      <c r="E1964" s="7">
        <v>45642</v>
      </c>
      <c r="F1964" t="s">
        <v>129</v>
      </c>
      <c r="G1964">
        <v>0</v>
      </c>
      <c r="H1964" t="s">
        <v>22</v>
      </c>
      <c r="I1964" t="s">
        <v>16</v>
      </c>
      <c r="J1964" t="s">
        <v>16</v>
      </c>
      <c r="K1964" t="str">
        <f>VLOOKUP(C1964,CheckName!A:B,2,0)</f>
        <v>Add</v>
      </c>
      <c r="L1964">
        <v>0</v>
      </c>
      <c r="M1964">
        <f t="shared" si="284"/>
        <v>16</v>
      </c>
      <c r="N1964" t="str">
        <f>TEXT(MTDRejection[[#This Row],[RejectionDate]],"dddd")</f>
        <v>Monday</v>
      </c>
    </row>
    <row r="1965" spans="1:14">
      <c r="A1965" t="s">
        <v>45</v>
      </c>
      <c r="B1965" t="s">
        <v>4493</v>
      </c>
      <c r="C1965" t="s">
        <v>54</v>
      </c>
      <c r="D1965" t="s">
        <v>26</v>
      </c>
      <c r="E1965" s="7">
        <v>45629</v>
      </c>
      <c r="F1965" t="s">
        <v>535</v>
      </c>
      <c r="G1965">
        <v>13</v>
      </c>
      <c r="H1965" t="s">
        <v>27</v>
      </c>
      <c r="I1965" t="s">
        <v>16</v>
      </c>
      <c r="J1965" t="s">
        <v>16</v>
      </c>
      <c r="K1965" t="str">
        <f>VLOOKUP(C1965,CheckName!A:B,2,0)</f>
        <v>Edu</v>
      </c>
      <c r="L1965">
        <v>0</v>
      </c>
      <c r="M1965">
        <f t="shared" ref="M1965:M1966" si="285">DAY(E1965)</f>
        <v>3</v>
      </c>
      <c r="N1965" t="str">
        <f>TEXT(MTDRejection[[#This Row],[RejectionDate]],"dddd")</f>
        <v>Tuesday</v>
      </c>
    </row>
    <row r="1966" spans="1:14">
      <c r="A1966" t="s">
        <v>986</v>
      </c>
      <c r="B1966" t="s">
        <v>4494</v>
      </c>
      <c r="C1966" t="s">
        <v>49</v>
      </c>
      <c r="D1966" t="s">
        <v>38</v>
      </c>
      <c r="E1966" s="7">
        <v>45628</v>
      </c>
      <c r="F1966" t="s">
        <v>108</v>
      </c>
      <c r="G1966">
        <v>14</v>
      </c>
      <c r="H1966" t="s">
        <v>42</v>
      </c>
      <c r="I1966" t="s">
        <v>16</v>
      </c>
      <c r="J1966" t="s">
        <v>16</v>
      </c>
      <c r="K1966" t="str">
        <f>VLOOKUP(C1966,CheckName!A:B,2,0)</f>
        <v>CRC</v>
      </c>
      <c r="L1966">
        <v>0</v>
      </c>
      <c r="M1966">
        <f t="shared" si="285"/>
        <v>2</v>
      </c>
      <c r="N1966" t="str">
        <f>TEXT(MTDRejection[[#This Row],[RejectionDate]],"dddd")</f>
        <v>Monday</v>
      </c>
    </row>
    <row r="1967" spans="1:14">
      <c r="A1967" t="s">
        <v>100</v>
      </c>
      <c r="B1967" t="s">
        <v>4495</v>
      </c>
      <c r="C1967" t="s">
        <v>235</v>
      </c>
      <c r="D1967" t="s">
        <v>26</v>
      </c>
      <c r="E1967" s="7">
        <v>45642</v>
      </c>
      <c r="F1967" t="s">
        <v>236</v>
      </c>
      <c r="G1967">
        <v>0</v>
      </c>
      <c r="H1967" t="s">
        <v>27</v>
      </c>
      <c r="I1967" t="s">
        <v>16</v>
      </c>
      <c r="J1967" t="s">
        <v>16</v>
      </c>
      <c r="K1967" t="str">
        <f>VLOOKUP(C1967,CheckName!A:B,2,0)</f>
        <v>Special Check</v>
      </c>
      <c r="L1967">
        <v>0</v>
      </c>
      <c r="M1967">
        <f t="shared" ref="M1967:M1975" si="286">DAY(E1967)</f>
        <v>16</v>
      </c>
      <c r="N1967" t="str">
        <f>TEXT(MTDRejection[[#This Row],[RejectionDate]],"dddd")</f>
        <v>Monday</v>
      </c>
    </row>
    <row r="1968" spans="1:14">
      <c r="A1968" t="s">
        <v>100</v>
      </c>
      <c r="B1968" t="s">
        <v>4496</v>
      </c>
      <c r="C1968" t="s">
        <v>235</v>
      </c>
      <c r="D1968" t="s">
        <v>26</v>
      </c>
      <c r="E1968" s="7">
        <v>45642</v>
      </c>
      <c r="F1968" t="s">
        <v>236</v>
      </c>
      <c r="G1968">
        <v>0</v>
      </c>
      <c r="H1968" t="s">
        <v>27</v>
      </c>
      <c r="I1968" t="s">
        <v>16</v>
      </c>
      <c r="J1968" t="s">
        <v>16</v>
      </c>
      <c r="K1968" t="str">
        <f>VLOOKUP(C1968,CheckName!A:B,2,0)</f>
        <v>Special Check</v>
      </c>
      <c r="L1968">
        <v>0</v>
      </c>
      <c r="M1968">
        <f t="shared" si="286"/>
        <v>16</v>
      </c>
      <c r="N1968" t="str">
        <f>TEXT(MTDRejection[[#This Row],[RejectionDate]],"dddd")</f>
        <v>Monday</v>
      </c>
    </row>
    <row r="1969" spans="1:14">
      <c r="A1969" t="s">
        <v>100</v>
      </c>
      <c r="B1969" t="s">
        <v>2567</v>
      </c>
      <c r="C1969" t="s">
        <v>235</v>
      </c>
      <c r="D1969" t="s">
        <v>26</v>
      </c>
      <c r="E1969" s="7">
        <v>45642</v>
      </c>
      <c r="F1969" t="s">
        <v>236</v>
      </c>
      <c r="G1969">
        <v>0</v>
      </c>
      <c r="H1969" t="s">
        <v>27</v>
      </c>
      <c r="I1969" t="s">
        <v>16</v>
      </c>
      <c r="J1969" t="s">
        <v>16</v>
      </c>
      <c r="K1969" t="str">
        <f>VLOOKUP(C1969,CheckName!A:B,2,0)</f>
        <v>Special Check</v>
      </c>
      <c r="L1969">
        <v>0</v>
      </c>
      <c r="M1969">
        <f t="shared" si="286"/>
        <v>16</v>
      </c>
      <c r="N1969" t="str">
        <f>TEXT(MTDRejection[[#This Row],[RejectionDate]],"dddd")</f>
        <v>Monday</v>
      </c>
    </row>
    <row r="1970" spans="1:14">
      <c r="A1970" t="s">
        <v>360</v>
      </c>
      <c r="B1970" t="s">
        <v>4497</v>
      </c>
      <c r="C1970" t="s">
        <v>36</v>
      </c>
      <c r="D1970" t="s">
        <v>26</v>
      </c>
      <c r="E1970" s="7">
        <v>45642</v>
      </c>
      <c r="F1970" t="s">
        <v>325</v>
      </c>
      <c r="G1970">
        <v>0</v>
      </c>
      <c r="H1970" t="s">
        <v>27</v>
      </c>
      <c r="I1970" t="s">
        <v>16</v>
      </c>
      <c r="J1970" t="s">
        <v>16</v>
      </c>
      <c r="K1970" t="str">
        <f>VLOOKUP(C1970,CheckName!A:B,2,0)</f>
        <v>Emp</v>
      </c>
      <c r="L1970">
        <v>0</v>
      </c>
      <c r="M1970">
        <f t="shared" si="286"/>
        <v>16</v>
      </c>
      <c r="N1970" t="str">
        <f>TEXT(MTDRejection[[#This Row],[RejectionDate]],"dddd")</f>
        <v>Monday</v>
      </c>
    </row>
    <row r="1971" spans="1:14">
      <c r="A1971" t="s">
        <v>1907</v>
      </c>
      <c r="B1971" t="s">
        <v>2568</v>
      </c>
      <c r="C1971" t="s">
        <v>25</v>
      </c>
      <c r="D1971" t="s">
        <v>20</v>
      </c>
      <c r="E1971" s="7">
        <v>45642</v>
      </c>
      <c r="F1971" t="s">
        <v>273</v>
      </c>
      <c r="G1971">
        <v>0</v>
      </c>
      <c r="H1971" t="s">
        <v>27</v>
      </c>
      <c r="I1971" t="s">
        <v>16</v>
      </c>
      <c r="J1971" t="s">
        <v>16</v>
      </c>
      <c r="K1971" t="str">
        <f>VLOOKUP(C1971,CheckName!A:B,2,0)</f>
        <v>Add</v>
      </c>
      <c r="L1971">
        <v>0</v>
      </c>
      <c r="M1971">
        <f t="shared" si="286"/>
        <v>16</v>
      </c>
      <c r="N1971" t="str">
        <f>TEXT(MTDRejection[[#This Row],[RejectionDate]],"dddd")</f>
        <v>Monday</v>
      </c>
    </row>
    <row r="1972" spans="1:14">
      <c r="A1972" t="s">
        <v>100</v>
      </c>
      <c r="B1972" t="s">
        <v>2793</v>
      </c>
      <c r="C1972" t="s">
        <v>255</v>
      </c>
      <c r="D1972" t="s">
        <v>26</v>
      </c>
      <c r="E1972" s="7">
        <v>45642</v>
      </c>
      <c r="F1972" t="s">
        <v>236</v>
      </c>
      <c r="G1972">
        <v>0</v>
      </c>
      <c r="H1972" t="s">
        <v>27</v>
      </c>
      <c r="I1972" t="s">
        <v>16</v>
      </c>
      <c r="J1972" t="s">
        <v>16</v>
      </c>
      <c r="K1972" t="str">
        <f>VLOOKUP(C1972,CheckName!A:B,2,0)</f>
        <v>Special Check</v>
      </c>
      <c r="L1972">
        <v>0</v>
      </c>
      <c r="M1972">
        <f t="shared" si="286"/>
        <v>16</v>
      </c>
      <c r="N1972" t="str">
        <f>TEXT(MTDRejection[[#This Row],[RejectionDate]],"dddd")</f>
        <v>Monday</v>
      </c>
    </row>
    <row r="1973" spans="1:14">
      <c r="A1973" t="s">
        <v>100</v>
      </c>
      <c r="B1973" t="s">
        <v>4498</v>
      </c>
      <c r="C1973" t="s">
        <v>255</v>
      </c>
      <c r="D1973" t="s">
        <v>26</v>
      </c>
      <c r="E1973" s="7">
        <v>45642</v>
      </c>
      <c r="F1973" t="s">
        <v>236</v>
      </c>
      <c r="G1973">
        <v>0</v>
      </c>
      <c r="H1973" t="s">
        <v>27</v>
      </c>
      <c r="I1973" t="s">
        <v>16</v>
      </c>
      <c r="J1973" t="s">
        <v>16</v>
      </c>
      <c r="K1973" t="str">
        <f>VLOOKUP(C1973,CheckName!A:B,2,0)</f>
        <v>Special Check</v>
      </c>
      <c r="L1973">
        <v>0</v>
      </c>
      <c r="M1973">
        <f t="shared" si="286"/>
        <v>16</v>
      </c>
      <c r="N1973" t="str">
        <f>TEXT(MTDRejection[[#This Row],[RejectionDate]],"dddd")</f>
        <v>Monday</v>
      </c>
    </row>
    <row r="1974" spans="1:14">
      <c r="A1974" t="s">
        <v>100</v>
      </c>
      <c r="B1974" t="s">
        <v>4499</v>
      </c>
      <c r="C1974" t="s">
        <v>255</v>
      </c>
      <c r="D1974" t="s">
        <v>26</v>
      </c>
      <c r="E1974" s="7">
        <v>45642</v>
      </c>
      <c r="F1974" t="s">
        <v>236</v>
      </c>
      <c r="G1974">
        <v>0</v>
      </c>
      <c r="H1974" t="s">
        <v>27</v>
      </c>
      <c r="I1974" t="s">
        <v>16</v>
      </c>
      <c r="J1974" t="s">
        <v>16</v>
      </c>
      <c r="K1974" t="str">
        <f>VLOOKUP(C1974,CheckName!A:B,2,0)</f>
        <v>Special Check</v>
      </c>
      <c r="L1974">
        <v>0</v>
      </c>
      <c r="M1974">
        <f t="shared" si="286"/>
        <v>16</v>
      </c>
      <c r="N1974" t="str">
        <f>TEXT(MTDRejection[[#This Row],[RejectionDate]],"dddd")</f>
        <v>Monday</v>
      </c>
    </row>
    <row r="1975" spans="1:14">
      <c r="A1975" t="s">
        <v>281</v>
      </c>
      <c r="B1975" t="s">
        <v>4500</v>
      </c>
      <c r="C1975" t="s">
        <v>467</v>
      </c>
      <c r="D1975" t="s">
        <v>26</v>
      </c>
      <c r="E1975" s="7">
        <v>45642</v>
      </c>
      <c r="F1975" t="s">
        <v>236</v>
      </c>
      <c r="G1975">
        <v>0</v>
      </c>
      <c r="H1975" t="s">
        <v>27</v>
      </c>
      <c r="I1975" t="s">
        <v>16</v>
      </c>
      <c r="J1975" t="s">
        <v>16</v>
      </c>
      <c r="K1975" t="str">
        <f>VLOOKUP(C1975,CheckName!A:B,2,0)</f>
        <v>Special Check</v>
      </c>
      <c r="L1975">
        <v>0</v>
      </c>
      <c r="M1975">
        <f t="shared" si="286"/>
        <v>16</v>
      </c>
      <c r="N1975" t="str">
        <f>TEXT(MTDRejection[[#This Row],[RejectionDate]],"dddd")</f>
        <v>Monday</v>
      </c>
    </row>
    <row r="1976" spans="1:14">
      <c r="A1976" t="s">
        <v>281</v>
      </c>
      <c r="B1976" t="s">
        <v>4501</v>
      </c>
      <c r="C1976" t="s">
        <v>467</v>
      </c>
      <c r="D1976" t="s">
        <v>26</v>
      </c>
      <c r="E1976" s="7">
        <v>45642</v>
      </c>
      <c r="F1976" t="s">
        <v>236</v>
      </c>
      <c r="G1976">
        <v>0</v>
      </c>
      <c r="H1976" t="s">
        <v>27</v>
      </c>
      <c r="I1976" t="s">
        <v>16</v>
      </c>
      <c r="J1976" t="s">
        <v>16</v>
      </c>
      <c r="K1976" t="str">
        <f>VLOOKUP(C1976,CheckName!A:B,2,0)</f>
        <v>Special Check</v>
      </c>
      <c r="L1976">
        <v>0</v>
      </c>
      <c r="M1976">
        <f>DAY(E1976)</f>
        <v>16</v>
      </c>
      <c r="N1976" t="str">
        <f>TEXT(MTDRejection[[#This Row],[RejectionDate]],"dddd")</f>
        <v>Monday</v>
      </c>
    </row>
    <row r="1977" spans="1:14">
      <c r="A1977" t="s">
        <v>306</v>
      </c>
      <c r="B1977" t="s">
        <v>4502</v>
      </c>
      <c r="C1977" t="s">
        <v>25</v>
      </c>
      <c r="D1977" t="s">
        <v>51</v>
      </c>
      <c r="E1977" s="7">
        <v>45642</v>
      </c>
      <c r="F1977" t="s">
        <v>555</v>
      </c>
      <c r="G1977">
        <v>0</v>
      </c>
      <c r="H1977" t="s">
        <v>53</v>
      </c>
      <c r="I1977" t="s">
        <v>16</v>
      </c>
      <c r="J1977" t="s">
        <v>16</v>
      </c>
      <c r="K1977" t="str">
        <f>VLOOKUP(C1977,CheckName!A:B,2,0)</f>
        <v>Add</v>
      </c>
      <c r="L1977">
        <v>0</v>
      </c>
      <c r="M1977">
        <f>DAY(E1977)</f>
        <v>16</v>
      </c>
      <c r="N1977" t="str">
        <f>TEXT(MTDRejection[[#This Row],[RejectionDate]],"dddd")</f>
        <v>Monday</v>
      </c>
    </row>
    <row r="1978" spans="1:14">
      <c r="A1978" t="s">
        <v>495</v>
      </c>
      <c r="B1978" t="s">
        <v>4503</v>
      </c>
      <c r="C1978" t="s">
        <v>12</v>
      </c>
      <c r="D1978" t="s">
        <v>26</v>
      </c>
      <c r="E1978" s="7">
        <v>45642</v>
      </c>
      <c r="F1978" t="s">
        <v>1055</v>
      </c>
      <c r="G1978">
        <v>0</v>
      </c>
      <c r="H1978" t="s">
        <v>425</v>
      </c>
      <c r="I1978" t="s">
        <v>16</v>
      </c>
      <c r="J1978" t="s">
        <v>16</v>
      </c>
      <c r="K1978" t="str">
        <f>VLOOKUP(C1978,CheckName!A:B,2,0)</f>
        <v>Emp</v>
      </c>
      <c r="L1978">
        <v>0</v>
      </c>
      <c r="M1978">
        <f t="shared" ref="M1978:M1980" si="287">DAY(E1978)</f>
        <v>16</v>
      </c>
      <c r="N1978" t="str">
        <f>TEXT(MTDRejection[[#This Row],[RejectionDate]],"dddd")</f>
        <v>Monday</v>
      </c>
    </row>
    <row r="1979" spans="1:14">
      <c r="A1979" t="s">
        <v>1908</v>
      </c>
      <c r="B1979" t="s">
        <v>4504</v>
      </c>
      <c r="C1979" t="s">
        <v>12</v>
      </c>
      <c r="D1979" t="s">
        <v>26</v>
      </c>
      <c r="E1979" s="7">
        <v>45642</v>
      </c>
      <c r="F1979" t="s">
        <v>1055</v>
      </c>
      <c r="G1979">
        <v>0</v>
      </c>
      <c r="H1979" t="s">
        <v>22</v>
      </c>
      <c r="I1979" t="s">
        <v>16</v>
      </c>
      <c r="J1979" t="s">
        <v>16</v>
      </c>
      <c r="K1979" t="str">
        <f>VLOOKUP(C1979,CheckName!A:B,2,0)</f>
        <v>Emp</v>
      </c>
      <c r="L1979">
        <v>0</v>
      </c>
      <c r="M1979">
        <f t="shared" si="287"/>
        <v>16</v>
      </c>
      <c r="N1979" t="str">
        <f>TEXT(MTDRejection[[#This Row],[RejectionDate]],"dddd")</f>
        <v>Monday</v>
      </c>
    </row>
    <row r="1980" spans="1:14">
      <c r="A1980" t="s">
        <v>306</v>
      </c>
      <c r="B1980" t="s">
        <v>4505</v>
      </c>
      <c r="C1980" t="s">
        <v>19</v>
      </c>
      <c r="D1980" t="s">
        <v>13</v>
      </c>
      <c r="E1980" s="7">
        <v>45642</v>
      </c>
      <c r="F1980" t="s">
        <v>1219</v>
      </c>
      <c r="G1980">
        <v>0</v>
      </c>
      <c r="H1980" t="s">
        <v>15</v>
      </c>
      <c r="I1980" t="s">
        <v>16</v>
      </c>
      <c r="J1980" t="s">
        <v>16</v>
      </c>
      <c r="K1980" t="str">
        <f>VLOOKUP(C1980,CheckName!A:B,2,0)</f>
        <v>Add</v>
      </c>
      <c r="L1980">
        <v>0</v>
      </c>
      <c r="M1980">
        <f t="shared" si="287"/>
        <v>16</v>
      </c>
      <c r="N1980" t="str">
        <f>TEXT(MTDRejection[[#This Row],[RejectionDate]],"dddd")</f>
        <v>Monday</v>
      </c>
    </row>
    <row r="1981" spans="1:14">
      <c r="A1981" t="s">
        <v>100</v>
      </c>
      <c r="B1981" t="s">
        <v>4506</v>
      </c>
      <c r="C1981" t="s">
        <v>102</v>
      </c>
      <c r="D1981" t="s">
        <v>26</v>
      </c>
      <c r="E1981" s="7">
        <v>45642</v>
      </c>
      <c r="F1981" t="s">
        <v>63</v>
      </c>
      <c r="G1981">
        <v>0</v>
      </c>
      <c r="H1981" t="s">
        <v>27</v>
      </c>
      <c r="I1981" t="s">
        <v>16</v>
      </c>
      <c r="J1981" t="s">
        <v>16</v>
      </c>
      <c r="K1981" t="str">
        <f>VLOOKUP(C1981,CheckName!A:B,2,0)</f>
        <v>Edu</v>
      </c>
      <c r="L1981">
        <v>0</v>
      </c>
      <c r="M1981">
        <f t="shared" ref="M1981:M1982" si="288">DAY(E1981)</f>
        <v>16</v>
      </c>
      <c r="N1981" t="str">
        <f>TEXT(MTDRejection[[#This Row],[RejectionDate]],"dddd")</f>
        <v>Monday</v>
      </c>
    </row>
    <row r="1982" spans="1:14">
      <c r="A1982" t="s">
        <v>934</v>
      </c>
      <c r="B1982" t="s">
        <v>4507</v>
      </c>
      <c r="C1982" t="s">
        <v>19</v>
      </c>
      <c r="D1982" t="s">
        <v>20</v>
      </c>
      <c r="E1982" s="7">
        <v>45642</v>
      </c>
      <c r="F1982" t="s">
        <v>2330</v>
      </c>
      <c r="G1982">
        <v>0</v>
      </c>
      <c r="H1982" t="s">
        <v>22</v>
      </c>
      <c r="I1982" t="s">
        <v>16</v>
      </c>
      <c r="J1982" t="s">
        <v>16</v>
      </c>
      <c r="K1982" t="str">
        <f>VLOOKUP(C1982,CheckName!A:B,2,0)</f>
        <v>Add</v>
      </c>
      <c r="L1982">
        <v>0</v>
      </c>
      <c r="M1982">
        <f t="shared" si="288"/>
        <v>16</v>
      </c>
      <c r="N1982" t="str">
        <f>TEXT(MTDRejection[[#This Row],[RejectionDate]],"dddd")</f>
        <v>Monday</v>
      </c>
    </row>
    <row r="1983" spans="1:14">
      <c r="A1983" t="s">
        <v>165</v>
      </c>
      <c r="B1983" t="s">
        <v>4508</v>
      </c>
      <c r="C1983" t="s">
        <v>25</v>
      </c>
      <c r="D1983" t="s">
        <v>20</v>
      </c>
      <c r="E1983" s="7">
        <v>45642</v>
      </c>
      <c r="F1983" t="s">
        <v>2330</v>
      </c>
      <c r="G1983">
        <v>0</v>
      </c>
      <c r="H1983" t="s">
        <v>22</v>
      </c>
      <c r="I1983" t="s">
        <v>16</v>
      </c>
      <c r="J1983" t="s">
        <v>16</v>
      </c>
      <c r="K1983" t="str">
        <f>VLOOKUP(C1983,CheckName!A:B,2,0)</f>
        <v>Add</v>
      </c>
      <c r="L1983">
        <v>0</v>
      </c>
      <c r="M1983">
        <f>DAY(E1983)</f>
        <v>16</v>
      </c>
      <c r="N1983" t="str">
        <f>TEXT(MTDRejection[[#This Row],[RejectionDate]],"dddd")</f>
        <v>Monday</v>
      </c>
    </row>
    <row r="1984" spans="1:14">
      <c r="A1984" t="s">
        <v>137</v>
      </c>
      <c r="B1984" t="s">
        <v>4509</v>
      </c>
      <c r="C1984" t="s">
        <v>54</v>
      </c>
      <c r="D1984" t="s">
        <v>51</v>
      </c>
      <c r="E1984" s="7">
        <v>45642</v>
      </c>
      <c r="F1984" t="s">
        <v>2331</v>
      </c>
      <c r="G1984">
        <v>0</v>
      </c>
      <c r="H1984" t="s">
        <v>53</v>
      </c>
      <c r="I1984" t="s">
        <v>16</v>
      </c>
      <c r="J1984" t="s">
        <v>16</v>
      </c>
      <c r="K1984" t="str">
        <f>VLOOKUP(C1984,CheckName!A:B,2,0)</f>
        <v>Edu</v>
      </c>
      <c r="L1984">
        <v>0</v>
      </c>
      <c r="M1984">
        <f t="shared" ref="M1984:M1987" si="289">DAY(E1984)</f>
        <v>16</v>
      </c>
      <c r="N1984" t="str">
        <f>TEXT(MTDRejection[[#This Row],[RejectionDate]],"dddd")</f>
        <v>Monday</v>
      </c>
    </row>
    <row r="1985" spans="1:14">
      <c r="A1985" t="s">
        <v>137</v>
      </c>
      <c r="B1985" t="s">
        <v>1909</v>
      </c>
      <c r="C1985" t="s">
        <v>25</v>
      </c>
      <c r="D1985" t="s">
        <v>51</v>
      </c>
      <c r="E1985" s="7">
        <v>45642</v>
      </c>
      <c r="F1985" t="s">
        <v>2331</v>
      </c>
      <c r="G1985">
        <v>0</v>
      </c>
      <c r="H1985" t="s">
        <v>53</v>
      </c>
      <c r="I1985" t="s">
        <v>16</v>
      </c>
      <c r="J1985" t="s">
        <v>16</v>
      </c>
      <c r="K1985" t="str">
        <f>VLOOKUP(C1985,CheckName!A:B,2,0)</f>
        <v>Add</v>
      </c>
      <c r="L1985">
        <v>0</v>
      </c>
      <c r="M1985">
        <f t="shared" si="289"/>
        <v>16</v>
      </c>
      <c r="N1985" t="str">
        <f>TEXT(MTDRejection[[#This Row],[RejectionDate]],"dddd")</f>
        <v>Monday</v>
      </c>
    </row>
    <row r="1986" spans="1:14">
      <c r="A1986" t="s">
        <v>137</v>
      </c>
      <c r="B1986" t="s">
        <v>2778</v>
      </c>
      <c r="C1986" t="s">
        <v>12</v>
      </c>
      <c r="D1986" t="s">
        <v>51</v>
      </c>
      <c r="E1986" s="7">
        <v>45642</v>
      </c>
      <c r="F1986" t="s">
        <v>2331</v>
      </c>
      <c r="G1986">
        <v>0</v>
      </c>
      <c r="H1986" t="s">
        <v>53</v>
      </c>
      <c r="I1986" t="s">
        <v>16</v>
      </c>
      <c r="J1986" t="s">
        <v>16</v>
      </c>
      <c r="K1986" t="str">
        <f>VLOOKUP(C1986,CheckName!A:B,2,0)</f>
        <v>Emp</v>
      </c>
      <c r="L1986">
        <v>0</v>
      </c>
      <c r="M1986">
        <f t="shared" si="289"/>
        <v>16</v>
      </c>
      <c r="N1986" t="str">
        <f>TEXT(MTDRejection[[#This Row],[RejectionDate]],"dddd")</f>
        <v>Monday</v>
      </c>
    </row>
    <row r="1987" spans="1:14">
      <c r="A1987" t="s">
        <v>137</v>
      </c>
      <c r="B1987" t="s">
        <v>4510</v>
      </c>
      <c r="C1987" t="s">
        <v>25</v>
      </c>
      <c r="D1987" t="s">
        <v>51</v>
      </c>
      <c r="E1987" s="7">
        <v>45642</v>
      </c>
      <c r="F1987" t="s">
        <v>2331</v>
      </c>
      <c r="G1987">
        <v>0</v>
      </c>
      <c r="H1987" t="s">
        <v>53</v>
      </c>
      <c r="I1987" t="s">
        <v>16</v>
      </c>
      <c r="J1987" t="s">
        <v>16</v>
      </c>
      <c r="K1987" t="str">
        <f>VLOOKUP(C1987,CheckName!A:B,2,0)</f>
        <v>Add</v>
      </c>
      <c r="L1987">
        <v>0</v>
      </c>
      <c r="M1987">
        <f t="shared" si="289"/>
        <v>16</v>
      </c>
      <c r="N1987" t="str">
        <f>TEXT(MTDRejection[[#This Row],[RejectionDate]],"dddd")</f>
        <v>Monday</v>
      </c>
    </row>
    <row r="1988" spans="1:14">
      <c r="A1988" t="s">
        <v>45</v>
      </c>
      <c r="B1988" t="s">
        <v>4511</v>
      </c>
      <c r="C1988" t="s">
        <v>19</v>
      </c>
      <c r="D1988" t="s">
        <v>20</v>
      </c>
      <c r="E1988" s="7">
        <v>45642</v>
      </c>
      <c r="F1988" t="s">
        <v>2348</v>
      </c>
      <c r="G1988">
        <v>0</v>
      </c>
      <c r="H1988" t="s">
        <v>22</v>
      </c>
      <c r="I1988" t="s">
        <v>16</v>
      </c>
      <c r="J1988" t="s">
        <v>16</v>
      </c>
      <c r="K1988" t="str">
        <f>VLOOKUP(C1988,CheckName!A:B,2,0)</f>
        <v>Add</v>
      </c>
      <c r="L1988">
        <v>0</v>
      </c>
      <c r="M1988">
        <f>DAY(E1988)</f>
        <v>16</v>
      </c>
      <c r="N1988" t="str">
        <f>TEXT(MTDRejection[[#This Row],[RejectionDate]],"dddd")</f>
        <v>Monday</v>
      </c>
    </row>
    <row r="1989" spans="1:14">
      <c r="A1989" t="s">
        <v>682</v>
      </c>
      <c r="B1989" t="s">
        <v>4512</v>
      </c>
      <c r="C1989" t="s">
        <v>12</v>
      </c>
      <c r="D1989" t="s">
        <v>26</v>
      </c>
      <c r="E1989" s="7">
        <v>45642</v>
      </c>
      <c r="F1989" t="s">
        <v>83</v>
      </c>
      <c r="G1989">
        <v>0</v>
      </c>
      <c r="H1989" t="s">
        <v>27</v>
      </c>
      <c r="I1989" t="s">
        <v>16</v>
      </c>
      <c r="J1989" t="s">
        <v>16</v>
      </c>
      <c r="K1989" t="str">
        <f>VLOOKUP(C1989,CheckName!A:B,2,0)</f>
        <v>Emp</v>
      </c>
      <c r="L1989">
        <v>0</v>
      </c>
      <c r="M1989">
        <f t="shared" ref="M1989:M1994" si="290">DAY(E1989)</f>
        <v>16</v>
      </c>
      <c r="N1989" t="str">
        <f>TEXT(MTDRejection[[#This Row],[RejectionDate]],"dddd")</f>
        <v>Monday</v>
      </c>
    </row>
    <row r="1990" spans="1:14">
      <c r="A1990" t="s">
        <v>81</v>
      </c>
      <c r="B1990" t="s">
        <v>2569</v>
      </c>
      <c r="C1990" t="s">
        <v>12</v>
      </c>
      <c r="D1990" t="s">
        <v>26</v>
      </c>
      <c r="E1990" s="7">
        <v>45642</v>
      </c>
      <c r="F1990" t="s">
        <v>83</v>
      </c>
      <c r="G1990">
        <v>0</v>
      </c>
      <c r="H1990" t="s">
        <v>27</v>
      </c>
      <c r="I1990" t="s">
        <v>16</v>
      </c>
      <c r="J1990" t="s">
        <v>16</v>
      </c>
      <c r="K1990" t="str">
        <f>VLOOKUP(C1990,CheckName!A:B,2,0)</f>
        <v>Emp</v>
      </c>
      <c r="L1990">
        <v>0</v>
      </c>
      <c r="M1990">
        <f t="shared" si="290"/>
        <v>16</v>
      </c>
      <c r="N1990" t="str">
        <f>TEXT(MTDRejection[[#This Row],[RejectionDate]],"dddd")</f>
        <v>Monday</v>
      </c>
    </row>
    <row r="1991" spans="1:14">
      <c r="A1991" t="s">
        <v>81</v>
      </c>
      <c r="B1991" t="s">
        <v>4513</v>
      </c>
      <c r="C1991" t="s">
        <v>36</v>
      </c>
      <c r="D1991" t="s">
        <v>26</v>
      </c>
      <c r="E1991" s="7">
        <v>45642</v>
      </c>
      <c r="F1991" t="s">
        <v>83</v>
      </c>
      <c r="G1991">
        <v>0</v>
      </c>
      <c r="H1991" t="s">
        <v>27</v>
      </c>
      <c r="I1991" t="s">
        <v>16</v>
      </c>
      <c r="J1991" t="s">
        <v>16</v>
      </c>
      <c r="K1991" t="str">
        <f>VLOOKUP(C1991,CheckName!A:B,2,0)</f>
        <v>Emp</v>
      </c>
      <c r="L1991">
        <v>0</v>
      </c>
      <c r="M1991">
        <f t="shared" si="290"/>
        <v>16</v>
      </c>
      <c r="N1991" t="str">
        <f>TEXT(MTDRejection[[#This Row],[RejectionDate]],"dddd")</f>
        <v>Monday</v>
      </c>
    </row>
    <row r="1992" spans="1:14">
      <c r="A1992" t="s">
        <v>353</v>
      </c>
      <c r="B1992" t="s">
        <v>4514</v>
      </c>
      <c r="C1992" t="s">
        <v>36</v>
      </c>
      <c r="D1992" t="s">
        <v>26</v>
      </c>
      <c r="E1992" s="7">
        <v>45642</v>
      </c>
      <c r="F1992" t="s">
        <v>277</v>
      </c>
      <c r="G1992">
        <v>0</v>
      </c>
      <c r="H1992" t="s">
        <v>27</v>
      </c>
      <c r="I1992" t="s">
        <v>16</v>
      </c>
      <c r="J1992" t="s">
        <v>16</v>
      </c>
      <c r="K1992" t="str">
        <f>VLOOKUP(C1992,CheckName!A:B,2,0)</f>
        <v>Emp</v>
      </c>
      <c r="L1992">
        <v>0</v>
      </c>
      <c r="M1992">
        <f t="shared" si="290"/>
        <v>16</v>
      </c>
      <c r="N1992" t="str">
        <f>TEXT(MTDRejection[[#This Row],[RejectionDate]],"dddd")</f>
        <v>Monday</v>
      </c>
    </row>
    <row r="1993" spans="1:14">
      <c r="A1993" t="s">
        <v>100</v>
      </c>
      <c r="B1993" t="s">
        <v>4515</v>
      </c>
      <c r="C1993" t="s">
        <v>775</v>
      </c>
      <c r="D1993" t="s">
        <v>26</v>
      </c>
      <c r="E1993" s="7">
        <v>45642</v>
      </c>
      <c r="F1993" t="s">
        <v>184</v>
      </c>
      <c r="G1993">
        <v>0</v>
      </c>
      <c r="H1993" t="s">
        <v>27</v>
      </c>
      <c r="I1993" t="s">
        <v>16</v>
      </c>
      <c r="J1993" t="s">
        <v>16</v>
      </c>
      <c r="K1993" t="str">
        <f>VLOOKUP(C1993,CheckName!A:B,2,0)</f>
        <v>Emp</v>
      </c>
      <c r="L1993">
        <v>0</v>
      </c>
      <c r="M1993">
        <f t="shared" si="290"/>
        <v>16</v>
      </c>
      <c r="N1993" t="str">
        <f>TEXT(MTDRejection[[#This Row],[RejectionDate]],"dddd")</f>
        <v>Monday</v>
      </c>
    </row>
    <row r="1994" spans="1:14">
      <c r="A1994" t="s">
        <v>211</v>
      </c>
      <c r="B1994" t="s">
        <v>4516</v>
      </c>
      <c r="C1994" t="s">
        <v>12</v>
      </c>
      <c r="D1994" t="s">
        <v>26</v>
      </c>
      <c r="E1994" s="7">
        <v>45642</v>
      </c>
      <c r="F1994" t="s">
        <v>179</v>
      </c>
      <c r="G1994">
        <v>0</v>
      </c>
      <c r="H1994" t="s">
        <v>22</v>
      </c>
      <c r="I1994" t="s">
        <v>16</v>
      </c>
      <c r="J1994" t="s">
        <v>16</v>
      </c>
      <c r="K1994" t="str">
        <f>VLOOKUP(C1994,CheckName!A:B,2,0)</f>
        <v>Emp</v>
      </c>
      <c r="L1994">
        <v>0</v>
      </c>
      <c r="M1994">
        <f t="shared" si="290"/>
        <v>16</v>
      </c>
      <c r="N1994" t="str">
        <f>TEXT(MTDRejection[[#This Row],[RejectionDate]],"dddd")</f>
        <v>Monday</v>
      </c>
    </row>
    <row r="1995" spans="1:14">
      <c r="A1995" t="s">
        <v>45</v>
      </c>
      <c r="B1995" t="s">
        <v>4517</v>
      </c>
      <c r="C1995" t="s">
        <v>36</v>
      </c>
      <c r="D1995" t="s">
        <v>26</v>
      </c>
      <c r="E1995" s="7">
        <v>45642</v>
      </c>
      <c r="F1995" t="s">
        <v>179</v>
      </c>
      <c r="G1995">
        <v>0</v>
      </c>
      <c r="H1995" t="s">
        <v>22</v>
      </c>
      <c r="I1995" t="s">
        <v>16</v>
      </c>
      <c r="J1995" t="s">
        <v>16</v>
      </c>
      <c r="K1995" t="str">
        <f>VLOOKUP(C1995,CheckName!A:B,2,0)</f>
        <v>Emp</v>
      </c>
      <c r="L1995">
        <v>0</v>
      </c>
      <c r="M1995">
        <f>DAY(E1995)</f>
        <v>16</v>
      </c>
      <c r="N1995" t="str">
        <f>TEXT(MTDRejection[[#This Row],[RejectionDate]],"dddd")</f>
        <v>Monday</v>
      </c>
    </row>
    <row r="1996" spans="1:14">
      <c r="A1996" t="s">
        <v>67</v>
      </c>
      <c r="B1996" t="s">
        <v>2570</v>
      </c>
      <c r="C1996" t="s">
        <v>54</v>
      </c>
      <c r="D1996" t="s">
        <v>13</v>
      </c>
      <c r="E1996" s="7">
        <v>45642</v>
      </c>
      <c r="F1996" t="s">
        <v>107</v>
      </c>
      <c r="G1996">
        <v>0</v>
      </c>
      <c r="H1996" t="s">
        <v>15</v>
      </c>
      <c r="I1996" t="s">
        <v>16</v>
      </c>
      <c r="J1996" t="s">
        <v>16</v>
      </c>
      <c r="K1996" t="str">
        <f>VLOOKUP(C1996,CheckName!A:B,2,0)</f>
        <v>Edu</v>
      </c>
      <c r="L1996">
        <v>0</v>
      </c>
      <c r="M1996">
        <f>DAY(E1996)</f>
        <v>16</v>
      </c>
      <c r="N1996" t="str">
        <f>TEXT(MTDRejection[[#This Row],[RejectionDate]],"dddd")</f>
        <v>Monday</v>
      </c>
    </row>
    <row r="1997" spans="1:14">
      <c r="A1997" t="s">
        <v>306</v>
      </c>
      <c r="B1997" t="s">
        <v>4518</v>
      </c>
      <c r="C1997" t="s">
        <v>56</v>
      </c>
      <c r="D1997" t="s">
        <v>26</v>
      </c>
      <c r="E1997" s="7">
        <v>45642</v>
      </c>
      <c r="F1997" t="s">
        <v>118</v>
      </c>
      <c r="G1997">
        <v>0</v>
      </c>
      <c r="H1997" t="s">
        <v>27</v>
      </c>
      <c r="I1997" t="s">
        <v>16</v>
      </c>
      <c r="J1997" t="s">
        <v>16</v>
      </c>
      <c r="K1997" t="str">
        <f>VLOOKUP(C1997,CheckName!A:B,2,0)</f>
        <v>Special Check</v>
      </c>
      <c r="L1997">
        <v>0</v>
      </c>
      <c r="M1997">
        <f>DAY(E1997)</f>
        <v>16</v>
      </c>
      <c r="N1997" t="str">
        <f>TEXT(MTDRejection[[#This Row],[RejectionDate]],"dddd")</f>
        <v>Monday</v>
      </c>
    </row>
    <row r="1998" spans="1:14">
      <c r="A1998" t="s">
        <v>1811</v>
      </c>
      <c r="B1998" t="s">
        <v>4519</v>
      </c>
      <c r="C1998" t="s">
        <v>54</v>
      </c>
      <c r="D1998" t="s">
        <v>26</v>
      </c>
      <c r="E1998" s="7">
        <v>45642</v>
      </c>
      <c r="F1998" t="s">
        <v>121</v>
      </c>
      <c r="G1998">
        <v>0</v>
      </c>
      <c r="H1998" t="s">
        <v>27</v>
      </c>
      <c r="I1998" t="s">
        <v>16</v>
      </c>
      <c r="J1998" t="s">
        <v>16</v>
      </c>
      <c r="K1998" t="str">
        <f>VLOOKUP(C1998,CheckName!A:B,2,0)</f>
        <v>Edu</v>
      </c>
      <c r="L1998">
        <v>0</v>
      </c>
      <c r="M1998">
        <f t="shared" ref="M1998:M2012" si="291">DAY(E1998)</f>
        <v>16</v>
      </c>
      <c r="N1998" t="str">
        <f>TEXT(MTDRejection[[#This Row],[RejectionDate]],"dddd")</f>
        <v>Monday</v>
      </c>
    </row>
    <row r="1999" spans="1:14">
      <c r="A1999" t="s">
        <v>84</v>
      </c>
      <c r="B1999" t="s">
        <v>1918</v>
      </c>
      <c r="C1999" t="s">
        <v>49</v>
      </c>
      <c r="D1999" t="s">
        <v>26</v>
      </c>
      <c r="E1999" s="7">
        <v>45642</v>
      </c>
      <c r="F1999" t="s">
        <v>118</v>
      </c>
      <c r="G1999">
        <v>0</v>
      </c>
      <c r="H1999" t="s">
        <v>22</v>
      </c>
      <c r="I1999" t="s">
        <v>16</v>
      </c>
      <c r="J1999" t="s">
        <v>16</v>
      </c>
      <c r="K1999" t="str">
        <f>VLOOKUP(C1999,CheckName!A:B,2,0)</f>
        <v>CRC</v>
      </c>
      <c r="L1999">
        <v>0</v>
      </c>
      <c r="M1999">
        <f t="shared" si="291"/>
        <v>16</v>
      </c>
      <c r="N1999" t="str">
        <f>TEXT(MTDRejection[[#This Row],[RejectionDate]],"dddd")</f>
        <v>Monday</v>
      </c>
    </row>
    <row r="2000" spans="1:14">
      <c r="A2000" t="s">
        <v>84</v>
      </c>
      <c r="B2000" t="s">
        <v>2800</v>
      </c>
      <c r="C2000" t="s">
        <v>49</v>
      </c>
      <c r="D2000" t="s">
        <v>26</v>
      </c>
      <c r="E2000" s="7">
        <v>45642</v>
      </c>
      <c r="F2000" t="s">
        <v>118</v>
      </c>
      <c r="G2000">
        <v>0</v>
      </c>
      <c r="H2000" t="s">
        <v>22</v>
      </c>
      <c r="I2000" t="s">
        <v>16</v>
      </c>
      <c r="J2000" t="s">
        <v>16</v>
      </c>
      <c r="K2000" t="str">
        <f>VLOOKUP(C2000,CheckName!A:B,2,0)</f>
        <v>CRC</v>
      </c>
      <c r="L2000">
        <v>0</v>
      </c>
      <c r="M2000">
        <f t="shared" si="291"/>
        <v>16</v>
      </c>
      <c r="N2000" t="str">
        <f>TEXT(MTDRejection[[#This Row],[RejectionDate]],"dddd")</f>
        <v>Monday</v>
      </c>
    </row>
    <row r="2001" spans="1:14">
      <c r="A2001" t="s">
        <v>84</v>
      </c>
      <c r="B2001" t="s">
        <v>1921</v>
      </c>
      <c r="C2001" t="s">
        <v>49</v>
      </c>
      <c r="D2001" t="s">
        <v>26</v>
      </c>
      <c r="E2001" s="7">
        <v>45642</v>
      </c>
      <c r="F2001" t="s">
        <v>118</v>
      </c>
      <c r="G2001">
        <v>0</v>
      </c>
      <c r="H2001" t="s">
        <v>22</v>
      </c>
      <c r="I2001" t="s">
        <v>16</v>
      </c>
      <c r="J2001" t="s">
        <v>16</v>
      </c>
      <c r="K2001" t="str">
        <f>VLOOKUP(C2001,CheckName!A:B,2,0)</f>
        <v>CRC</v>
      </c>
      <c r="L2001">
        <v>0</v>
      </c>
      <c r="M2001">
        <f t="shared" si="291"/>
        <v>16</v>
      </c>
      <c r="N2001" t="str">
        <f>TEXT(MTDRejection[[#This Row],[RejectionDate]],"dddd")</f>
        <v>Monday</v>
      </c>
    </row>
    <row r="2002" spans="1:14">
      <c r="A2002" t="s">
        <v>84</v>
      </c>
      <c r="B2002" t="s">
        <v>4520</v>
      </c>
      <c r="C2002" t="s">
        <v>49</v>
      </c>
      <c r="D2002" t="s">
        <v>26</v>
      </c>
      <c r="E2002" s="7">
        <v>45642</v>
      </c>
      <c r="F2002" t="s">
        <v>118</v>
      </c>
      <c r="G2002">
        <v>0</v>
      </c>
      <c r="H2002" t="s">
        <v>22</v>
      </c>
      <c r="I2002" t="s">
        <v>16</v>
      </c>
      <c r="J2002" t="s">
        <v>16</v>
      </c>
      <c r="K2002" t="str">
        <f>VLOOKUP(C2002,CheckName!A:B,2,0)</f>
        <v>CRC</v>
      </c>
      <c r="L2002">
        <v>0</v>
      </c>
      <c r="M2002">
        <f t="shared" si="291"/>
        <v>16</v>
      </c>
      <c r="N2002" t="str">
        <f>TEXT(MTDRejection[[#This Row],[RejectionDate]],"dddd")</f>
        <v>Monday</v>
      </c>
    </row>
    <row r="2003" spans="1:14">
      <c r="A2003" t="s">
        <v>84</v>
      </c>
      <c r="B2003" t="s">
        <v>4521</v>
      </c>
      <c r="C2003" t="s">
        <v>49</v>
      </c>
      <c r="D2003" t="s">
        <v>26</v>
      </c>
      <c r="E2003" s="7">
        <v>45642</v>
      </c>
      <c r="F2003" t="s">
        <v>118</v>
      </c>
      <c r="G2003">
        <v>0</v>
      </c>
      <c r="H2003" t="s">
        <v>95</v>
      </c>
      <c r="I2003" t="s">
        <v>16</v>
      </c>
      <c r="J2003" t="s">
        <v>16</v>
      </c>
      <c r="K2003" t="str">
        <f>VLOOKUP(C2003,CheckName!A:B,2,0)</f>
        <v>CRC</v>
      </c>
      <c r="L2003">
        <v>0</v>
      </c>
      <c r="M2003">
        <f t="shared" si="291"/>
        <v>16</v>
      </c>
      <c r="N2003" t="str">
        <f>TEXT(MTDRejection[[#This Row],[RejectionDate]],"dddd")</f>
        <v>Monday</v>
      </c>
    </row>
    <row r="2004" spans="1:14">
      <c r="A2004" t="s">
        <v>84</v>
      </c>
      <c r="B2004" t="s">
        <v>4522</v>
      </c>
      <c r="C2004" t="s">
        <v>49</v>
      </c>
      <c r="D2004" t="s">
        <v>26</v>
      </c>
      <c r="E2004" s="7">
        <v>45642</v>
      </c>
      <c r="F2004" t="s">
        <v>118</v>
      </c>
      <c r="G2004">
        <v>0</v>
      </c>
      <c r="H2004" t="s">
        <v>27</v>
      </c>
      <c r="I2004" t="s">
        <v>16</v>
      </c>
      <c r="J2004" t="s">
        <v>16</v>
      </c>
      <c r="K2004" t="str">
        <f>VLOOKUP(C2004,CheckName!A:B,2,0)</f>
        <v>CRC</v>
      </c>
      <c r="L2004">
        <v>0</v>
      </c>
      <c r="M2004">
        <f t="shared" si="291"/>
        <v>16</v>
      </c>
      <c r="N2004" t="str">
        <f>TEXT(MTDRejection[[#This Row],[RejectionDate]],"dddd")</f>
        <v>Monday</v>
      </c>
    </row>
    <row r="2005" spans="1:14">
      <c r="A2005" t="s">
        <v>84</v>
      </c>
      <c r="B2005" t="s">
        <v>2799</v>
      </c>
      <c r="C2005" t="s">
        <v>49</v>
      </c>
      <c r="D2005" t="s">
        <v>26</v>
      </c>
      <c r="E2005" s="7">
        <v>45642</v>
      </c>
      <c r="F2005" t="s">
        <v>118</v>
      </c>
      <c r="G2005">
        <v>0</v>
      </c>
      <c r="H2005" t="s">
        <v>95</v>
      </c>
      <c r="I2005" t="s">
        <v>16</v>
      </c>
      <c r="J2005" t="s">
        <v>16</v>
      </c>
      <c r="K2005" t="str">
        <f>VLOOKUP(C2005,CheckName!A:B,2,0)</f>
        <v>CRC</v>
      </c>
      <c r="L2005">
        <v>0</v>
      </c>
      <c r="M2005">
        <f t="shared" si="291"/>
        <v>16</v>
      </c>
      <c r="N2005" t="str">
        <f>TEXT(MTDRejection[[#This Row],[RejectionDate]],"dddd")</f>
        <v>Monday</v>
      </c>
    </row>
    <row r="2006" spans="1:14">
      <c r="A2006" t="s">
        <v>84</v>
      </c>
      <c r="B2006" t="s">
        <v>2801</v>
      </c>
      <c r="C2006" t="s">
        <v>49</v>
      </c>
      <c r="D2006" t="s">
        <v>26</v>
      </c>
      <c r="E2006" s="7">
        <v>45642</v>
      </c>
      <c r="F2006" t="s">
        <v>118</v>
      </c>
      <c r="G2006">
        <v>0</v>
      </c>
      <c r="H2006" t="s">
        <v>27</v>
      </c>
      <c r="I2006" t="s">
        <v>16</v>
      </c>
      <c r="J2006" t="s">
        <v>16</v>
      </c>
      <c r="K2006" t="str">
        <f>VLOOKUP(C2006,CheckName!A:B,2,0)</f>
        <v>CRC</v>
      </c>
      <c r="L2006">
        <v>0</v>
      </c>
      <c r="M2006">
        <f t="shared" si="291"/>
        <v>16</v>
      </c>
      <c r="N2006" t="str">
        <f>TEXT(MTDRejection[[#This Row],[RejectionDate]],"dddd")</f>
        <v>Monday</v>
      </c>
    </row>
    <row r="2007" spans="1:14">
      <c r="A2007" t="s">
        <v>84</v>
      </c>
      <c r="B2007" t="s">
        <v>1935</v>
      </c>
      <c r="C2007" t="s">
        <v>49</v>
      </c>
      <c r="D2007" t="s">
        <v>26</v>
      </c>
      <c r="E2007" s="7">
        <v>45642</v>
      </c>
      <c r="F2007" t="s">
        <v>118</v>
      </c>
      <c r="G2007">
        <v>0</v>
      </c>
      <c r="H2007" t="s">
        <v>30</v>
      </c>
      <c r="I2007" t="s">
        <v>16</v>
      </c>
      <c r="J2007" t="s">
        <v>16</v>
      </c>
      <c r="K2007" t="str">
        <f>VLOOKUP(C2007,CheckName!A:B,2,0)</f>
        <v>CRC</v>
      </c>
      <c r="L2007">
        <v>0</v>
      </c>
      <c r="M2007">
        <f t="shared" si="291"/>
        <v>16</v>
      </c>
      <c r="N2007" t="str">
        <f>TEXT(MTDRejection[[#This Row],[RejectionDate]],"dddd")</f>
        <v>Monday</v>
      </c>
    </row>
    <row r="2008" spans="1:14">
      <c r="A2008" t="s">
        <v>84</v>
      </c>
      <c r="B2008" t="s">
        <v>4523</v>
      </c>
      <c r="C2008" t="s">
        <v>49</v>
      </c>
      <c r="D2008" t="s">
        <v>26</v>
      </c>
      <c r="E2008" s="7">
        <v>45642</v>
      </c>
      <c r="F2008" t="s">
        <v>118</v>
      </c>
      <c r="G2008">
        <v>0</v>
      </c>
      <c r="H2008" t="s">
        <v>505</v>
      </c>
      <c r="I2008" t="s">
        <v>16</v>
      </c>
      <c r="J2008" t="s">
        <v>16</v>
      </c>
      <c r="K2008" t="str">
        <f>VLOOKUP(C2008,CheckName!A:B,2,0)</f>
        <v>CRC</v>
      </c>
      <c r="L2008">
        <v>0</v>
      </c>
      <c r="M2008">
        <f t="shared" si="291"/>
        <v>16</v>
      </c>
      <c r="N2008" t="str">
        <f>TEXT(MTDRejection[[#This Row],[RejectionDate]],"dddd")</f>
        <v>Monday</v>
      </c>
    </row>
    <row r="2009" spans="1:14">
      <c r="A2009" t="s">
        <v>84</v>
      </c>
      <c r="B2009" t="s">
        <v>1913</v>
      </c>
      <c r="C2009" t="s">
        <v>49</v>
      </c>
      <c r="D2009" t="s">
        <v>26</v>
      </c>
      <c r="E2009" s="7">
        <v>45642</v>
      </c>
      <c r="F2009" t="s">
        <v>118</v>
      </c>
      <c r="G2009">
        <v>0</v>
      </c>
      <c r="H2009" t="s">
        <v>22</v>
      </c>
      <c r="I2009" t="s">
        <v>16</v>
      </c>
      <c r="J2009" t="s">
        <v>16</v>
      </c>
      <c r="K2009" t="str">
        <f>VLOOKUP(C2009,CheckName!A:B,2,0)</f>
        <v>CRC</v>
      </c>
      <c r="L2009">
        <v>0</v>
      </c>
      <c r="M2009">
        <f t="shared" si="291"/>
        <v>16</v>
      </c>
      <c r="N2009" t="str">
        <f>TEXT(MTDRejection[[#This Row],[RejectionDate]],"dddd")</f>
        <v>Monday</v>
      </c>
    </row>
    <row r="2010" spans="1:14">
      <c r="A2010" t="s">
        <v>84</v>
      </c>
      <c r="B2010" t="s">
        <v>1918</v>
      </c>
      <c r="C2010" t="s">
        <v>49</v>
      </c>
      <c r="D2010" t="s">
        <v>26</v>
      </c>
      <c r="E2010" s="7">
        <v>45642</v>
      </c>
      <c r="F2010" t="s">
        <v>118</v>
      </c>
      <c r="G2010">
        <v>0</v>
      </c>
      <c r="H2010" t="s">
        <v>95</v>
      </c>
      <c r="I2010" t="s">
        <v>16</v>
      </c>
      <c r="J2010" t="s">
        <v>16</v>
      </c>
      <c r="K2010" t="str">
        <f>VLOOKUP(C2010,CheckName!A:B,2,0)</f>
        <v>CRC</v>
      </c>
      <c r="L2010">
        <v>0</v>
      </c>
      <c r="M2010">
        <f t="shared" si="291"/>
        <v>16</v>
      </c>
      <c r="N2010" t="str">
        <f>TEXT(MTDRejection[[#This Row],[RejectionDate]],"dddd")</f>
        <v>Monday</v>
      </c>
    </row>
    <row r="2011" spans="1:14">
      <c r="A2011" t="s">
        <v>84</v>
      </c>
      <c r="B2011" t="s">
        <v>4524</v>
      </c>
      <c r="C2011" t="s">
        <v>49</v>
      </c>
      <c r="D2011" t="s">
        <v>26</v>
      </c>
      <c r="E2011" s="7">
        <v>45642</v>
      </c>
      <c r="F2011" t="s">
        <v>118</v>
      </c>
      <c r="G2011">
        <v>0</v>
      </c>
      <c r="H2011" t="s">
        <v>22</v>
      </c>
      <c r="I2011" t="s">
        <v>16</v>
      </c>
      <c r="J2011" t="s">
        <v>16</v>
      </c>
      <c r="K2011" t="str">
        <f>VLOOKUP(C2011,CheckName!A:B,2,0)</f>
        <v>CRC</v>
      </c>
      <c r="L2011">
        <v>0</v>
      </c>
      <c r="M2011">
        <f t="shared" si="291"/>
        <v>16</v>
      </c>
      <c r="N2011" t="str">
        <f>TEXT(MTDRejection[[#This Row],[RejectionDate]],"dddd")</f>
        <v>Monday</v>
      </c>
    </row>
    <row r="2012" spans="1:14">
      <c r="A2012" t="s">
        <v>84</v>
      </c>
      <c r="B2012" t="s">
        <v>4181</v>
      </c>
      <c r="C2012" t="s">
        <v>49</v>
      </c>
      <c r="D2012" t="s">
        <v>26</v>
      </c>
      <c r="E2012" s="7">
        <v>45642</v>
      </c>
      <c r="F2012" t="s">
        <v>118</v>
      </c>
      <c r="G2012">
        <v>0</v>
      </c>
      <c r="H2012" t="s">
        <v>27</v>
      </c>
      <c r="I2012" t="s">
        <v>16</v>
      </c>
      <c r="J2012" t="s">
        <v>16</v>
      </c>
      <c r="K2012" t="str">
        <f>VLOOKUP(C2012,CheckName!A:B,2,0)</f>
        <v>CRC</v>
      </c>
      <c r="L2012">
        <v>0</v>
      </c>
      <c r="M2012">
        <f t="shared" si="291"/>
        <v>16</v>
      </c>
      <c r="N2012" t="str">
        <f>TEXT(MTDRejection[[#This Row],[RejectionDate]],"dddd")</f>
        <v>Monday</v>
      </c>
    </row>
    <row r="2013" spans="1:14">
      <c r="A2013" t="s">
        <v>84</v>
      </c>
      <c r="B2013" t="s">
        <v>4525</v>
      </c>
      <c r="C2013" t="s">
        <v>49</v>
      </c>
      <c r="D2013" t="s">
        <v>26</v>
      </c>
      <c r="E2013" s="7">
        <v>45642</v>
      </c>
      <c r="F2013" t="s">
        <v>118</v>
      </c>
      <c r="G2013">
        <v>0</v>
      </c>
      <c r="H2013" t="s">
        <v>27</v>
      </c>
      <c r="I2013" t="s">
        <v>16</v>
      </c>
      <c r="J2013" t="s">
        <v>16</v>
      </c>
      <c r="K2013" t="str">
        <f>VLOOKUP(C2013,CheckName!A:B,2,0)</f>
        <v>CRC</v>
      </c>
      <c r="L2013">
        <v>0</v>
      </c>
      <c r="M2013">
        <f t="shared" ref="M2013:M2022" si="292">DAY(E2013)</f>
        <v>16</v>
      </c>
      <c r="N2013" t="str">
        <f>TEXT(MTDRejection[[#This Row],[RejectionDate]],"dddd")</f>
        <v>Monday</v>
      </c>
    </row>
    <row r="2014" spans="1:14">
      <c r="A2014" t="s">
        <v>84</v>
      </c>
      <c r="B2014" t="s">
        <v>1923</v>
      </c>
      <c r="C2014" t="s">
        <v>49</v>
      </c>
      <c r="D2014" t="s">
        <v>26</v>
      </c>
      <c r="E2014" s="7">
        <v>45642</v>
      </c>
      <c r="F2014" t="s">
        <v>118</v>
      </c>
      <c r="G2014">
        <v>0</v>
      </c>
      <c r="H2014" t="s">
        <v>27</v>
      </c>
      <c r="I2014" t="s">
        <v>16</v>
      </c>
      <c r="J2014" t="s">
        <v>16</v>
      </c>
      <c r="K2014" t="str">
        <f>VLOOKUP(C2014,CheckName!A:B,2,0)</f>
        <v>CRC</v>
      </c>
      <c r="L2014">
        <v>0</v>
      </c>
      <c r="M2014">
        <f t="shared" si="292"/>
        <v>16</v>
      </c>
      <c r="N2014" t="str">
        <f>TEXT(MTDRejection[[#This Row],[RejectionDate]],"dddd")</f>
        <v>Monday</v>
      </c>
    </row>
    <row r="2015" spans="1:14">
      <c r="A2015" t="s">
        <v>84</v>
      </c>
      <c r="B2015" t="s">
        <v>1955</v>
      </c>
      <c r="C2015" t="s">
        <v>49</v>
      </c>
      <c r="D2015" t="s">
        <v>26</v>
      </c>
      <c r="E2015" s="7">
        <v>45642</v>
      </c>
      <c r="F2015" t="s">
        <v>118</v>
      </c>
      <c r="G2015">
        <v>0</v>
      </c>
      <c r="H2015" t="s">
        <v>22</v>
      </c>
      <c r="I2015" t="s">
        <v>16</v>
      </c>
      <c r="J2015" t="s">
        <v>16</v>
      </c>
      <c r="K2015" t="str">
        <f>VLOOKUP(C2015,CheckName!A:B,2,0)</f>
        <v>CRC</v>
      </c>
      <c r="L2015">
        <v>0</v>
      </c>
      <c r="M2015">
        <f t="shared" si="292"/>
        <v>16</v>
      </c>
      <c r="N2015" t="str">
        <f>TEXT(MTDRejection[[#This Row],[RejectionDate]],"dddd")</f>
        <v>Monday</v>
      </c>
    </row>
    <row r="2016" spans="1:14">
      <c r="A2016" t="s">
        <v>84</v>
      </c>
      <c r="B2016" t="s">
        <v>4526</v>
      </c>
      <c r="C2016" t="s">
        <v>49</v>
      </c>
      <c r="D2016" t="s">
        <v>26</v>
      </c>
      <c r="E2016" s="7">
        <v>45642</v>
      </c>
      <c r="F2016" t="s">
        <v>118</v>
      </c>
      <c r="G2016">
        <v>0</v>
      </c>
      <c r="H2016" t="s">
        <v>22</v>
      </c>
      <c r="I2016" t="s">
        <v>16</v>
      </c>
      <c r="J2016" t="s">
        <v>16</v>
      </c>
      <c r="K2016" t="str">
        <f>VLOOKUP(C2016,CheckName!A:B,2,0)</f>
        <v>CRC</v>
      </c>
      <c r="L2016">
        <v>0</v>
      </c>
      <c r="M2016">
        <f t="shared" si="292"/>
        <v>16</v>
      </c>
      <c r="N2016" t="str">
        <f>TEXT(MTDRejection[[#This Row],[RejectionDate]],"dddd")</f>
        <v>Monday</v>
      </c>
    </row>
    <row r="2017" spans="1:14">
      <c r="A2017" t="s">
        <v>84</v>
      </c>
      <c r="B2017" t="s">
        <v>1911</v>
      </c>
      <c r="C2017" t="s">
        <v>49</v>
      </c>
      <c r="D2017" t="s">
        <v>26</v>
      </c>
      <c r="E2017" s="7">
        <v>45642</v>
      </c>
      <c r="F2017" t="s">
        <v>118</v>
      </c>
      <c r="G2017">
        <v>0</v>
      </c>
      <c r="H2017" t="s">
        <v>22</v>
      </c>
      <c r="I2017" t="s">
        <v>16</v>
      </c>
      <c r="J2017" t="s">
        <v>16</v>
      </c>
      <c r="K2017" t="str">
        <f>VLOOKUP(C2017,CheckName!A:B,2,0)</f>
        <v>CRC</v>
      </c>
      <c r="L2017">
        <v>0</v>
      </c>
      <c r="M2017">
        <f t="shared" si="292"/>
        <v>16</v>
      </c>
      <c r="N2017" t="str">
        <f>TEXT(MTDRejection[[#This Row],[RejectionDate]],"dddd")</f>
        <v>Monday</v>
      </c>
    </row>
    <row r="2018" spans="1:14">
      <c r="A2018" t="s">
        <v>1548</v>
      </c>
      <c r="B2018" t="s">
        <v>4527</v>
      </c>
      <c r="C2018" t="s">
        <v>125</v>
      </c>
      <c r="D2018" t="s">
        <v>26</v>
      </c>
      <c r="E2018" s="7">
        <v>45642</v>
      </c>
      <c r="F2018" t="s">
        <v>2336</v>
      </c>
      <c r="G2018">
        <v>0</v>
      </c>
      <c r="H2018" t="s">
        <v>22</v>
      </c>
      <c r="I2018" t="s">
        <v>16</v>
      </c>
      <c r="J2018" t="s">
        <v>16</v>
      </c>
      <c r="K2018" t="str">
        <f>VLOOKUP(C2018,CheckName!A:B,2,0)</f>
        <v>Emp</v>
      </c>
      <c r="L2018">
        <v>0</v>
      </c>
      <c r="M2018">
        <f t="shared" si="292"/>
        <v>16</v>
      </c>
      <c r="N2018" t="str">
        <f>TEXT(MTDRejection[[#This Row],[RejectionDate]],"dddd")</f>
        <v>Monday</v>
      </c>
    </row>
    <row r="2019" spans="1:14">
      <c r="A2019" t="s">
        <v>465</v>
      </c>
      <c r="B2019" t="s">
        <v>4528</v>
      </c>
      <c r="C2019" t="s">
        <v>36</v>
      </c>
      <c r="D2019" t="s">
        <v>26</v>
      </c>
      <c r="E2019" s="7">
        <v>45642</v>
      </c>
      <c r="F2019" t="s">
        <v>2336</v>
      </c>
      <c r="G2019">
        <v>0</v>
      </c>
      <c r="H2019" t="s">
        <v>27</v>
      </c>
      <c r="I2019" t="s">
        <v>16</v>
      </c>
      <c r="J2019" t="s">
        <v>16</v>
      </c>
      <c r="K2019" t="str">
        <f>VLOOKUP(C2019,CheckName!A:B,2,0)</f>
        <v>Emp</v>
      </c>
      <c r="L2019">
        <v>0</v>
      </c>
      <c r="M2019">
        <f t="shared" si="292"/>
        <v>16</v>
      </c>
      <c r="N2019" t="str">
        <f>TEXT(MTDRejection[[#This Row],[RejectionDate]],"dddd")</f>
        <v>Monday</v>
      </c>
    </row>
    <row r="2020" spans="1:14">
      <c r="A2020" t="s">
        <v>986</v>
      </c>
      <c r="B2020" t="s">
        <v>4529</v>
      </c>
      <c r="C2020" t="s">
        <v>123</v>
      </c>
      <c r="D2020" t="s">
        <v>38</v>
      </c>
      <c r="E2020" s="7">
        <v>45642</v>
      </c>
      <c r="F2020" t="s">
        <v>118</v>
      </c>
      <c r="G2020">
        <v>0</v>
      </c>
      <c r="H2020" t="s">
        <v>425</v>
      </c>
      <c r="I2020" t="s">
        <v>16</v>
      </c>
      <c r="J2020" t="s">
        <v>16</v>
      </c>
      <c r="K2020" t="str">
        <f>VLOOKUP(C2020,CheckName!A:B,2,0)</f>
        <v>Special Check</v>
      </c>
      <c r="L2020">
        <v>0</v>
      </c>
      <c r="M2020">
        <f t="shared" si="292"/>
        <v>16</v>
      </c>
      <c r="N2020" t="str">
        <f>TEXT(MTDRejection[[#This Row],[RejectionDate]],"dddd")</f>
        <v>Monday</v>
      </c>
    </row>
    <row r="2021" spans="1:14">
      <c r="A2021" t="s">
        <v>10</v>
      </c>
      <c r="B2021" t="s">
        <v>4530</v>
      </c>
      <c r="C2021" t="s">
        <v>1869</v>
      </c>
      <c r="D2021" t="s">
        <v>38</v>
      </c>
      <c r="E2021" s="7">
        <v>45642</v>
      </c>
      <c r="F2021" t="s">
        <v>118</v>
      </c>
      <c r="G2021">
        <v>0</v>
      </c>
      <c r="H2021" t="s">
        <v>42</v>
      </c>
      <c r="I2021" t="s">
        <v>16</v>
      </c>
      <c r="J2021" t="s">
        <v>16</v>
      </c>
      <c r="K2021" t="str">
        <f>VLOOKUP(C2021,CheckName!A:B,2,0)</f>
        <v>Special Check</v>
      </c>
      <c r="L2021">
        <v>1</v>
      </c>
      <c r="M2021">
        <f t="shared" si="292"/>
        <v>16</v>
      </c>
      <c r="N2021" t="str">
        <f>TEXT(MTDRejection[[#This Row],[RejectionDate]],"dddd")</f>
        <v>Monday</v>
      </c>
    </row>
    <row r="2022" spans="1:14">
      <c r="A2022" t="s">
        <v>45</v>
      </c>
      <c r="B2022" t="s">
        <v>4531</v>
      </c>
      <c r="C2022" t="s">
        <v>59</v>
      </c>
      <c r="D2022" t="s">
        <v>38</v>
      </c>
      <c r="E2022" s="7">
        <v>45642</v>
      </c>
      <c r="F2022" t="s">
        <v>118</v>
      </c>
      <c r="G2022">
        <v>0</v>
      </c>
      <c r="H2022" t="s">
        <v>27</v>
      </c>
      <c r="I2022" t="s">
        <v>16</v>
      </c>
      <c r="J2022" t="s">
        <v>16</v>
      </c>
      <c r="K2022" t="str">
        <f>VLOOKUP(C2022,CheckName!A:B,2,0)</f>
        <v>Special Check</v>
      </c>
      <c r="L2022">
        <v>0</v>
      </c>
      <c r="M2022">
        <f t="shared" si="292"/>
        <v>16</v>
      </c>
      <c r="N2022" t="str">
        <f>TEXT(MTDRejection[[#This Row],[RejectionDate]],"dddd")</f>
        <v>Monday</v>
      </c>
    </row>
    <row r="2023" spans="1:14">
      <c r="A2023" t="s">
        <v>456</v>
      </c>
      <c r="B2023" t="s">
        <v>4532</v>
      </c>
      <c r="C2023" t="s">
        <v>25</v>
      </c>
      <c r="D2023" t="s">
        <v>20</v>
      </c>
      <c r="E2023" s="7">
        <v>45642</v>
      </c>
      <c r="F2023" t="s">
        <v>129</v>
      </c>
      <c r="G2023">
        <v>0</v>
      </c>
      <c r="H2023" t="s">
        <v>22</v>
      </c>
      <c r="I2023" t="s">
        <v>16</v>
      </c>
      <c r="J2023" t="s">
        <v>16</v>
      </c>
      <c r="K2023" t="str">
        <f>VLOOKUP(C2023,CheckName!A:B,2,0)</f>
        <v>Add</v>
      </c>
      <c r="L2023">
        <v>0</v>
      </c>
      <c r="M2023">
        <f t="shared" ref="M2023:M2028" si="293">DAY(E2023)</f>
        <v>16</v>
      </c>
      <c r="N2023" t="str">
        <f>TEXT(MTDRejection[[#This Row],[RejectionDate]],"dddd")</f>
        <v>Monday</v>
      </c>
    </row>
    <row r="2024" spans="1:14">
      <c r="A2024" t="s">
        <v>1919</v>
      </c>
      <c r="B2024" t="s">
        <v>4533</v>
      </c>
      <c r="C2024" t="s">
        <v>36</v>
      </c>
      <c r="D2024" t="s">
        <v>26</v>
      </c>
      <c r="E2024" s="7">
        <v>45641</v>
      </c>
      <c r="F2024" t="s">
        <v>2335</v>
      </c>
      <c r="G2024">
        <v>1</v>
      </c>
      <c r="H2024" t="s">
        <v>95</v>
      </c>
      <c r="I2024" t="s">
        <v>16</v>
      </c>
      <c r="J2024" t="s">
        <v>16</v>
      </c>
      <c r="K2024" t="str">
        <f>VLOOKUP(C2024,CheckName!A:B,2,0)</f>
        <v>Emp</v>
      </c>
      <c r="L2024">
        <v>0</v>
      </c>
      <c r="M2024">
        <f t="shared" si="293"/>
        <v>15</v>
      </c>
      <c r="N2024" t="str">
        <f>TEXT(MTDRejection[[#This Row],[RejectionDate]],"dddd")</f>
        <v>Sunday</v>
      </c>
    </row>
    <row r="2025" spans="1:14">
      <c r="A2025" t="s">
        <v>211</v>
      </c>
      <c r="B2025" t="s">
        <v>4534</v>
      </c>
      <c r="C2025" t="s">
        <v>12</v>
      </c>
      <c r="D2025" t="s">
        <v>26</v>
      </c>
      <c r="E2025" s="7">
        <v>45641</v>
      </c>
      <c r="F2025" t="s">
        <v>224</v>
      </c>
      <c r="G2025">
        <v>1</v>
      </c>
      <c r="H2025" t="s">
        <v>22</v>
      </c>
      <c r="I2025" t="s">
        <v>16</v>
      </c>
      <c r="J2025" t="s">
        <v>16</v>
      </c>
      <c r="K2025" t="str">
        <f>VLOOKUP(C2025,CheckName!A:B,2,0)</f>
        <v>Emp</v>
      </c>
      <c r="L2025">
        <v>0</v>
      </c>
      <c r="M2025">
        <f t="shared" si="293"/>
        <v>15</v>
      </c>
      <c r="N2025" t="str">
        <f>TEXT(MTDRejection[[#This Row],[RejectionDate]],"dddd")</f>
        <v>Sunday</v>
      </c>
    </row>
    <row r="2026" spans="1:14">
      <c r="A2026" t="s">
        <v>73</v>
      </c>
      <c r="B2026" t="s">
        <v>4535</v>
      </c>
      <c r="C2026" t="s">
        <v>54</v>
      </c>
      <c r="D2026" t="s">
        <v>26</v>
      </c>
      <c r="E2026" s="7">
        <v>45638</v>
      </c>
      <c r="F2026" t="s">
        <v>535</v>
      </c>
      <c r="G2026">
        <v>4</v>
      </c>
      <c r="H2026" t="s">
        <v>27</v>
      </c>
      <c r="I2026" t="s">
        <v>16</v>
      </c>
      <c r="J2026" t="s">
        <v>16</v>
      </c>
      <c r="K2026" t="str">
        <f>VLOOKUP(C2026,CheckName!A:B,2,0)</f>
        <v>Edu</v>
      </c>
      <c r="L2026">
        <v>0</v>
      </c>
      <c r="M2026">
        <f t="shared" si="293"/>
        <v>12</v>
      </c>
      <c r="N2026" t="str">
        <f>TEXT(MTDRejection[[#This Row],[RejectionDate]],"dddd")</f>
        <v>Thursday</v>
      </c>
    </row>
    <row r="2027" spans="1:14">
      <c r="A2027" t="s">
        <v>461</v>
      </c>
      <c r="B2027" t="s">
        <v>4536</v>
      </c>
      <c r="C2027" t="s">
        <v>36</v>
      </c>
      <c r="D2027" t="s">
        <v>26</v>
      </c>
      <c r="E2027" s="7">
        <v>45642</v>
      </c>
      <c r="F2027" t="s">
        <v>325</v>
      </c>
      <c r="G2027">
        <v>0</v>
      </c>
      <c r="H2027" t="s">
        <v>27</v>
      </c>
      <c r="I2027" t="s">
        <v>16</v>
      </c>
      <c r="J2027" t="s">
        <v>16</v>
      </c>
      <c r="K2027" t="str">
        <f>VLOOKUP(C2027,CheckName!A:B,2,0)</f>
        <v>Emp</v>
      </c>
      <c r="L2027">
        <v>0</v>
      </c>
      <c r="M2027">
        <f t="shared" si="293"/>
        <v>16</v>
      </c>
      <c r="N2027" t="str">
        <f>TEXT(MTDRejection[[#This Row],[RejectionDate]],"dddd")</f>
        <v>Monday</v>
      </c>
    </row>
    <row r="2028" spans="1:14">
      <c r="A2028" t="s">
        <v>461</v>
      </c>
      <c r="B2028" t="s">
        <v>4537</v>
      </c>
      <c r="C2028" t="s">
        <v>125</v>
      </c>
      <c r="D2028" t="s">
        <v>26</v>
      </c>
      <c r="E2028" s="7">
        <v>45642</v>
      </c>
      <c r="F2028" t="s">
        <v>325</v>
      </c>
      <c r="G2028">
        <v>0</v>
      </c>
      <c r="H2028" t="s">
        <v>27</v>
      </c>
      <c r="I2028" t="s">
        <v>16</v>
      </c>
      <c r="J2028" t="s">
        <v>16</v>
      </c>
      <c r="K2028" t="str">
        <f>VLOOKUP(C2028,CheckName!A:B,2,0)</f>
        <v>Emp</v>
      </c>
      <c r="L2028">
        <v>0</v>
      </c>
      <c r="M2028">
        <f t="shared" si="293"/>
        <v>16</v>
      </c>
      <c r="N2028" t="str">
        <f>TEXT(MTDRejection[[#This Row],[RejectionDate]],"dddd")</f>
        <v>Monday</v>
      </c>
    </row>
    <row r="2029" spans="1:14">
      <c r="A2029" t="s">
        <v>200</v>
      </c>
      <c r="B2029" t="s">
        <v>4538</v>
      </c>
      <c r="C2029" t="s">
        <v>25</v>
      </c>
      <c r="D2029" t="s">
        <v>20</v>
      </c>
      <c r="E2029" s="7">
        <v>45642</v>
      </c>
      <c r="F2029" t="s">
        <v>273</v>
      </c>
      <c r="G2029">
        <v>0</v>
      </c>
      <c r="H2029" t="s">
        <v>22</v>
      </c>
      <c r="I2029" t="s">
        <v>16</v>
      </c>
      <c r="J2029" t="s">
        <v>16</v>
      </c>
      <c r="K2029" t="str">
        <f>VLOOKUP(C2029,CheckName!A:B,2,0)</f>
        <v>Add</v>
      </c>
      <c r="L2029">
        <v>0</v>
      </c>
      <c r="M2029">
        <f t="shared" ref="M2029:M2031" si="294">DAY(E2029)</f>
        <v>16</v>
      </c>
      <c r="N2029" t="str">
        <f>TEXT(MTDRejection[[#This Row],[RejectionDate]],"dddd")</f>
        <v>Monday</v>
      </c>
    </row>
    <row r="2030" spans="1:14">
      <c r="A2030" t="s">
        <v>84</v>
      </c>
      <c r="B2030" t="s">
        <v>4539</v>
      </c>
      <c r="C2030" t="s">
        <v>12</v>
      </c>
      <c r="D2030" t="s">
        <v>38</v>
      </c>
      <c r="E2030" s="7">
        <v>45642</v>
      </c>
      <c r="F2030" t="s">
        <v>39</v>
      </c>
      <c r="G2030">
        <v>0</v>
      </c>
      <c r="H2030" t="s">
        <v>22</v>
      </c>
      <c r="I2030" t="s">
        <v>16</v>
      </c>
      <c r="J2030" t="s">
        <v>16</v>
      </c>
      <c r="K2030" t="str">
        <f>VLOOKUP(C2030,CheckName!A:B,2,0)</f>
        <v>Emp</v>
      </c>
      <c r="L2030">
        <v>0</v>
      </c>
      <c r="M2030">
        <f t="shared" si="294"/>
        <v>16</v>
      </c>
      <c r="N2030" t="str">
        <f>TEXT(MTDRejection[[#This Row],[RejectionDate]],"dddd")</f>
        <v>Monday</v>
      </c>
    </row>
    <row r="2031" spans="1:14">
      <c r="A2031" t="s">
        <v>1056</v>
      </c>
      <c r="B2031" t="s">
        <v>4540</v>
      </c>
      <c r="C2031" t="s">
        <v>1723</v>
      </c>
      <c r="D2031" t="s">
        <v>13</v>
      </c>
      <c r="E2031" s="7">
        <v>45642</v>
      </c>
      <c r="F2031" t="s">
        <v>2334</v>
      </c>
      <c r="G2031">
        <v>0</v>
      </c>
      <c r="H2031" t="s">
        <v>15</v>
      </c>
      <c r="I2031" t="s">
        <v>16</v>
      </c>
      <c r="J2031" t="s">
        <v>16</v>
      </c>
      <c r="K2031" t="str">
        <f>VLOOKUP(C2031,CheckName!A:B,2,0)</f>
        <v>Special Check</v>
      </c>
      <c r="L2031">
        <v>0</v>
      </c>
      <c r="M2031">
        <f t="shared" si="294"/>
        <v>16</v>
      </c>
      <c r="N2031" t="str">
        <f>TEXT(MTDRejection[[#This Row],[RejectionDate]],"dddd")</f>
        <v>Monday</v>
      </c>
    </row>
    <row r="2032" spans="1:14">
      <c r="A2032" t="s">
        <v>84</v>
      </c>
      <c r="B2032" t="s">
        <v>4541</v>
      </c>
      <c r="C2032" t="s">
        <v>12</v>
      </c>
      <c r="D2032" t="s">
        <v>26</v>
      </c>
      <c r="E2032" s="7">
        <v>45642</v>
      </c>
      <c r="F2032" t="s">
        <v>222</v>
      </c>
      <c r="G2032">
        <v>0</v>
      </c>
      <c r="H2032" t="s">
        <v>27</v>
      </c>
      <c r="I2032" t="s">
        <v>16</v>
      </c>
      <c r="J2032" t="s">
        <v>16</v>
      </c>
      <c r="K2032" t="str">
        <f>VLOOKUP(C2032,CheckName!A:B,2,0)</f>
        <v>Emp</v>
      </c>
      <c r="L2032">
        <v>0</v>
      </c>
      <c r="M2032">
        <f>DAY(E2032)</f>
        <v>16</v>
      </c>
      <c r="N2032" t="str">
        <f>TEXT(MTDRejection[[#This Row],[RejectionDate]],"dddd")</f>
        <v>Monday</v>
      </c>
    </row>
    <row r="2033" spans="1:14">
      <c r="A2033" t="s">
        <v>45</v>
      </c>
      <c r="B2033" t="s">
        <v>4542</v>
      </c>
      <c r="C2033" t="s">
        <v>19</v>
      </c>
      <c r="D2033" t="s">
        <v>20</v>
      </c>
      <c r="E2033" s="7">
        <v>45642</v>
      </c>
      <c r="F2033" t="s">
        <v>2348</v>
      </c>
      <c r="G2033">
        <v>0</v>
      </c>
      <c r="H2033" t="s">
        <v>22</v>
      </c>
      <c r="I2033" t="s">
        <v>16</v>
      </c>
      <c r="J2033" t="s">
        <v>16</v>
      </c>
      <c r="K2033" t="str">
        <f>VLOOKUP(C2033,CheckName!A:B,2,0)</f>
        <v>Add</v>
      </c>
      <c r="L2033">
        <v>0</v>
      </c>
      <c r="M2033">
        <f t="shared" ref="M2033:M2034" si="295">DAY(E2033)</f>
        <v>16</v>
      </c>
      <c r="N2033" t="str">
        <f>TEXT(MTDRejection[[#This Row],[RejectionDate]],"dddd")</f>
        <v>Monday</v>
      </c>
    </row>
    <row r="2034" spans="1:14">
      <c r="A2034" t="s">
        <v>45</v>
      </c>
      <c r="B2034" t="s">
        <v>4543</v>
      </c>
      <c r="C2034" t="s">
        <v>19</v>
      </c>
      <c r="D2034" t="s">
        <v>20</v>
      </c>
      <c r="E2034" s="7">
        <v>45642</v>
      </c>
      <c r="F2034" t="s">
        <v>2348</v>
      </c>
      <c r="G2034">
        <v>0</v>
      </c>
      <c r="H2034" t="s">
        <v>22</v>
      </c>
      <c r="I2034" t="s">
        <v>16</v>
      </c>
      <c r="J2034" t="s">
        <v>16</v>
      </c>
      <c r="K2034" t="str">
        <f>VLOOKUP(C2034,CheckName!A:B,2,0)</f>
        <v>Add</v>
      </c>
      <c r="L2034">
        <v>0</v>
      </c>
      <c r="M2034">
        <f t="shared" si="295"/>
        <v>16</v>
      </c>
      <c r="N2034" t="str">
        <f>TEXT(MTDRejection[[#This Row],[RejectionDate]],"dddd")</f>
        <v>Monday</v>
      </c>
    </row>
    <row r="2035" spans="1:14">
      <c r="A2035" t="s">
        <v>306</v>
      </c>
      <c r="B2035" t="s">
        <v>4544</v>
      </c>
      <c r="C2035" t="s">
        <v>71</v>
      </c>
      <c r="D2035" t="s">
        <v>13</v>
      </c>
      <c r="E2035" s="7">
        <v>45642</v>
      </c>
      <c r="F2035" t="s">
        <v>1861</v>
      </c>
      <c r="G2035">
        <v>0</v>
      </c>
      <c r="H2035" t="s">
        <v>15</v>
      </c>
      <c r="I2035" t="s">
        <v>16</v>
      </c>
      <c r="J2035" t="s">
        <v>16</v>
      </c>
      <c r="K2035" t="str">
        <f>VLOOKUP(C2035,CheckName!A:B,2,0)</f>
        <v>CRC</v>
      </c>
      <c r="L2035">
        <v>0</v>
      </c>
      <c r="M2035">
        <f>DAY(E2035)</f>
        <v>16</v>
      </c>
      <c r="N2035" t="str">
        <f>TEXT(MTDRejection[[#This Row],[RejectionDate]],"dddd")</f>
        <v>Monday</v>
      </c>
    </row>
    <row r="2036" spans="1:14">
      <c r="A2036" t="s">
        <v>84</v>
      </c>
      <c r="B2036" t="s">
        <v>1934</v>
      </c>
      <c r="C2036" t="s">
        <v>49</v>
      </c>
      <c r="D2036" t="s">
        <v>26</v>
      </c>
      <c r="E2036" s="7">
        <v>45642</v>
      </c>
      <c r="F2036" t="s">
        <v>118</v>
      </c>
      <c r="G2036">
        <v>0</v>
      </c>
      <c r="H2036" t="s">
        <v>22</v>
      </c>
      <c r="I2036" t="s">
        <v>16</v>
      </c>
      <c r="J2036" t="s">
        <v>16</v>
      </c>
      <c r="K2036" t="str">
        <f>VLOOKUP(C2036,CheckName!A:B,2,0)</f>
        <v>CRC</v>
      </c>
      <c r="L2036">
        <v>0</v>
      </c>
      <c r="M2036">
        <f>DAY(E2036)</f>
        <v>16</v>
      </c>
      <c r="N2036" t="str">
        <f>TEXT(MTDRejection[[#This Row],[RejectionDate]],"dddd")</f>
        <v>Monday</v>
      </c>
    </row>
    <row r="2037" spans="1:14">
      <c r="A2037" t="s">
        <v>84</v>
      </c>
      <c r="B2037" t="s">
        <v>4545</v>
      </c>
      <c r="C2037" t="s">
        <v>49</v>
      </c>
      <c r="D2037" t="s">
        <v>26</v>
      </c>
      <c r="E2037" s="7">
        <v>45642</v>
      </c>
      <c r="F2037" t="s">
        <v>118</v>
      </c>
      <c r="G2037">
        <v>0</v>
      </c>
      <c r="H2037" t="s">
        <v>22</v>
      </c>
      <c r="I2037" t="s">
        <v>16</v>
      </c>
      <c r="J2037" t="s">
        <v>16</v>
      </c>
      <c r="K2037" t="str">
        <f>VLOOKUP(C2037,CheckName!A:B,2,0)</f>
        <v>CRC</v>
      </c>
      <c r="L2037">
        <v>0</v>
      </c>
      <c r="M2037">
        <f>DAY(E2037)</f>
        <v>16</v>
      </c>
      <c r="N2037" t="str">
        <f>TEXT(MTDRejection[[#This Row],[RejectionDate]],"dddd")</f>
        <v>Monday</v>
      </c>
    </row>
    <row r="2038" spans="1:14">
      <c r="A2038" t="s">
        <v>84</v>
      </c>
      <c r="B2038" t="s">
        <v>4546</v>
      </c>
      <c r="C2038" t="s">
        <v>49</v>
      </c>
      <c r="D2038" t="s">
        <v>26</v>
      </c>
      <c r="E2038" s="7">
        <v>45642</v>
      </c>
      <c r="F2038" t="s">
        <v>118</v>
      </c>
      <c r="G2038">
        <v>0</v>
      </c>
      <c r="H2038" t="s">
        <v>27</v>
      </c>
      <c r="I2038" t="s">
        <v>16</v>
      </c>
      <c r="J2038" t="s">
        <v>16</v>
      </c>
      <c r="K2038" t="str">
        <f>VLOOKUP(C2038,CheckName!A:B,2,0)</f>
        <v>CRC</v>
      </c>
      <c r="L2038">
        <v>0</v>
      </c>
      <c r="M2038">
        <f t="shared" ref="M2038:M2039" si="296">DAY(E2038)</f>
        <v>16</v>
      </c>
      <c r="N2038" t="str">
        <f>TEXT(MTDRejection[[#This Row],[RejectionDate]],"dddd")</f>
        <v>Monday</v>
      </c>
    </row>
    <row r="2039" spans="1:14">
      <c r="A2039" t="s">
        <v>84</v>
      </c>
      <c r="B2039" t="s">
        <v>1866</v>
      </c>
      <c r="C2039" t="s">
        <v>49</v>
      </c>
      <c r="D2039" t="s">
        <v>26</v>
      </c>
      <c r="E2039" s="7">
        <v>45642</v>
      </c>
      <c r="F2039" t="s">
        <v>118</v>
      </c>
      <c r="G2039">
        <v>0</v>
      </c>
      <c r="H2039" t="s">
        <v>22</v>
      </c>
      <c r="I2039" t="s">
        <v>16</v>
      </c>
      <c r="J2039" t="s">
        <v>16</v>
      </c>
      <c r="K2039" t="str">
        <f>VLOOKUP(C2039,CheckName!A:B,2,0)</f>
        <v>CRC</v>
      </c>
      <c r="L2039">
        <v>0</v>
      </c>
      <c r="M2039">
        <f t="shared" si="296"/>
        <v>16</v>
      </c>
      <c r="N2039" t="str">
        <f>TEXT(MTDRejection[[#This Row],[RejectionDate]],"dddd")</f>
        <v>Monday</v>
      </c>
    </row>
    <row r="2040" spans="1:14">
      <c r="A2040" t="s">
        <v>84</v>
      </c>
      <c r="B2040" t="s">
        <v>4547</v>
      </c>
      <c r="C2040" t="s">
        <v>49</v>
      </c>
      <c r="D2040" t="s">
        <v>26</v>
      </c>
      <c r="E2040" s="7">
        <v>45642</v>
      </c>
      <c r="F2040" t="s">
        <v>118</v>
      </c>
      <c r="G2040">
        <v>0</v>
      </c>
      <c r="H2040" t="s">
        <v>22</v>
      </c>
      <c r="I2040" t="s">
        <v>16</v>
      </c>
      <c r="J2040" t="s">
        <v>16</v>
      </c>
      <c r="K2040" t="str">
        <f>VLOOKUP(C2040,CheckName!A:B,2,0)</f>
        <v>CRC</v>
      </c>
      <c r="L2040">
        <v>0</v>
      </c>
      <c r="M2040">
        <f>DAY(E2040)</f>
        <v>16</v>
      </c>
      <c r="N2040" t="str">
        <f>TEXT(MTDRejection[[#This Row],[RejectionDate]],"dddd")</f>
        <v>Monday</v>
      </c>
    </row>
    <row r="2041" spans="1:14">
      <c r="A2041" t="s">
        <v>84</v>
      </c>
      <c r="B2041" t="s">
        <v>2575</v>
      </c>
      <c r="C2041" t="s">
        <v>49</v>
      </c>
      <c r="D2041" t="s">
        <v>26</v>
      </c>
      <c r="E2041" s="7">
        <v>45642</v>
      </c>
      <c r="F2041" t="s">
        <v>118</v>
      </c>
      <c r="G2041">
        <v>0</v>
      </c>
      <c r="H2041" t="s">
        <v>22</v>
      </c>
      <c r="I2041" t="s">
        <v>16</v>
      </c>
      <c r="J2041" t="s">
        <v>16</v>
      </c>
      <c r="K2041" t="str">
        <f>VLOOKUP(C2041,CheckName!A:B,2,0)</f>
        <v>CRC</v>
      </c>
      <c r="L2041">
        <v>0</v>
      </c>
      <c r="M2041">
        <f>DAY(E2041)</f>
        <v>16</v>
      </c>
      <c r="N2041" t="str">
        <f>TEXT(MTDRejection[[#This Row],[RejectionDate]],"dddd")</f>
        <v>Monday</v>
      </c>
    </row>
    <row r="2042" spans="1:14">
      <c r="A2042" t="s">
        <v>84</v>
      </c>
      <c r="B2042" t="s">
        <v>1913</v>
      </c>
      <c r="C2042" t="s">
        <v>49</v>
      </c>
      <c r="D2042" t="s">
        <v>26</v>
      </c>
      <c r="E2042" s="7">
        <v>45642</v>
      </c>
      <c r="F2042" t="s">
        <v>118</v>
      </c>
      <c r="G2042">
        <v>0</v>
      </c>
      <c r="H2042" t="s">
        <v>30</v>
      </c>
      <c r="I2042" t="s">
        <v>16</v>
      </c>
      <c r="J2042" t="s">
        <v>16</v>
      </c>
      <c r="K2042" t="str">
        <f>VLOOKUP(C2042,CheckName!A:B,2,0)</f>
        <v>CRC</v>
      </c>
      <c r="L2042">
        <v>0</v>
      </c>
      <c r="M2042">
        <f>DAY(E2042)</f>
        <v>16</v>
      </c>
      <c r="N2042" t="str">
        <f>TEXT(MTDRejection[[#This Row],[RejectionDate]],"dddd")</f>
        <v>Monday</v>
      </c>
    </row>
    <row r="2043" spans="1:14">
      <c r="A2043" t="s">
        <v>84</v>
      </c>
      <c r="B2043" t="s">
        <v>4548</v>
      </c>
      <c r="C2043" t="s">
        <v>1347</v>
      </c>
      <c r="D2043" t="s">
        <v>26</v>
      </c>
      <c r="E2043" s="7">
        <v>45642</v>
      </c>
      <c r="F2043" t="s">
        <v>118</v>
      </c>
      <c r="G2043">
        <v>0</v>
      </c>
      <c r="H2043" t="s">
        <v>22</v>
      </c>
      <c r="I2043" t="s">
        <v>16</v>
      </c>
      <c r="J2043" t="s">
        <v>16</v>
      </c>
      <c r="K2043" t="str">
        <f>VLOOKUP(C2043,CheckName!A:B,2,0)</f>
        <v>CRC</v>
      </c>
      <c r="L2043">
        <v>0</v>
      </c>
      <c r="M2043">
        <f t="shared" ref="M2043:M2046" si="297">DAY(E2043)</f>
        <v>16</v>
      </c>
      <c r="N2043" t="str">
        <f>TEXT(MTDRejection[[#This Row],[RejectionDate]],"dddd")</f>
        <v>Monday</v>
      </c>
    </row>
    <row r="2044" spans="1:14">
      <c r="A2044" t="s">
        <v>84</v>
      </c>
      <c r="B2044" t="s">
        <v>2572</v>
      </c>
      <c r="C2044" t="s">
        <v>1347</v>
      </c>
      <c r="D2044" t="s">
        <v>26</v>
      </c>
      <c r="E2044" s="7">
        <v>45642</v>
      </c>
      <c r="F2044" t="s">
        <v>118</v>
      </c>
      <c r="G2044">
        <v>0</v>
      </c>
      <c r="H2044" t="s">
        <v>27</v>
      </c>
      <c r="I2044" t="s">
        <v>16</v>
      </c>
      <c r="J2044" t="s">
        <v>16</v>
      </c>
      <c r="K2044" t="str">
        <f>VLOOKUP(C2044,CheckName!A:B,2,0)</f>
        <v>CRC</v>
      </c>
      <c r="L2044">
        <v>0</v>
      </c>
      <c r="M2044">
        <f t="shared" si="297"/>
        <v>16</v>
      </c>
      <c r="N2044" t="str">
        <f>TEXT(MTDRejection[[#This Row],[RejectionDate]],"dddd")</f>
        <v>Monday</v>
      </c>
    </row>
    <row r="2045" spans="1:14">
      <c r="A2045" t="s">
        <v>84</v>
      </c>
      <c r="B2045" t="s">
        <v>4549</v>
      </c>
      <c r="C2045" t="s">
        <v>1347</v>
      </c>
      <c r="D2045" t="s">
        <v>26</v>
      </c>
      <c r="E2045" s="7">
        <v>45642</v>
      </c>
      <c r="F2045" t="s">
        <v>118</v>
      </c>
      <c r="G2045">
        <v>0</v>
      </c>
      <c r="H2045" t="s">
        <v>22</v>
      </c>
      <c r="I2045" t="s">
        <v>16</v>
      </c>
      <c r="J2045" t="s">
        <v>16</v>
      </c>
      <c r="K2045" t="str">
        <f>VLOOKUP(C2045,CheckName!A:B,2,0)</f>
        <v>CRC</v>
      </c>
      <c r="L2045">
        <v>0</v>
      </c>
      <c r="M2045">
        <f t="shared" si="297"/>
        <v>16</v>
      </c>
      <c r="N2045" t="str">
        <f>TEXT(MTDRejection[[#This Row],[RejectionDate]],"dddd")</f>
        <v>Monday</v>
      </c>
    </row>
    <row r="2046" spans="1:14">
      <c r="A2046" t="s">
        <v>84</v>
      </c>
      <c r="B2046" t="s">
        <v>1957</v>
      </c>
      <c r="C2046" t="s">
        <v>1347</v>
      </c>
      <c r="D2046" t="s">
        <v>26</v>
      </c>
      <c r="E2046" s="7">
        <v>45642</v>
      </c>
      <c r="F2046" t="s">
        <v>118</v>
      </c>
      <c r="G2046">
        <v>0</v>
      </c>
      <c r="H2046" t="s">
        <v>22</v>
      </c>
      <c r="I2046" t="s">
        <v>16</v>
      </c>
      <c r="J2046" t="s">
        <v>16</v>
      </c>
      <c r="K2046" t="str">
        <f>VLOOKUP(C2046,CheckName!A:B,2,0)</f>
        <v>CRC</v>
      </c>
      <c r="L2046">
        <v>0</v>
      </c>
      <c r="M2046">
        <f t="shared" si="297"/>
        <v>16</v>
      </c>
      <c r="N2046" t="str">
        <f>TEXT(MTDRejection[[#This Row],[RejectionDate]],"dddd")</f>
        <v>Monday</v>
      </c>
    </row>
    <row r="2047" spans="1:14">
      <c r="A2047" t="s">
        <v>86</v>
      </c>
      <c r="B2047" t="s">
        <v>4550</v>
      </c>
      <c r="C2047" t="s">
        <v>12</v>
      </c>
      <c r="D2047" t="s">
        <v>26</v>
      </c>
      <c r="E2047" s="7">
        <v>45642</v>
      </c>
      <c r="F2047" t="s">
        <v>2336</v>
      </c>
      <c r="G2047">
        <v>0</v>
      </c>
      <c r="H2047" t="s">
        <v>27</v>
      </c>
      <c r="I2047" t="s">
        <v>16</v>
      </c>
      <c r="J2047" t="s">
        <v>16</v>
      </c>
      <c r="K2047" t="str">
        <f>VLOOKUP(C2047,CheckName!A:B,2,0)</f>
        <v>Emp</v>
      </c>
      <c r="L2047">
        <v>0</v>
      </c>
      <c r="M2047">
        <f>DAY(E2047)</f>
        <v>16</v>
      </c>
      <c r="N2047" t="str">
        <f>TEXT(MTDRejection[[#This Row],[RejectionDate]],"dddd")</f>
        <v>Monday</v>
      </c>
    </row>
    <row r="2048" spans="1:14">
      <c r="A2048" t="s">
        <v>84</v>
      </c>
      <c r="B2048" t="s">
        <v>4551</v>
      </c>
      <c r="C2048" t="s">
        <v>49</v>
      </c>
      <c r="D2048" t="s">
        <v>26</v>
      </c>
      <c r="E2048" s="7">
        <v>45642</v>
      </c>
      <c r="F2048" t="s">
        <v>118</v>
      </c>
      <c r="G2048">
        <v>0</v>
      </c>
      <c r="H2048" t="s">
        <v>22</v>
      </c>
      <c r="I2048" t="s">
        <v>16</v>
      </c>
      <c r="J2048" t="s">
        <v>16</v>
      </c>
      <c r="K2048" t="str">
        <f>VLOOKUP(C2048,CheckName!A:B,2,0)</f>
        <v>CRC</v>
      </c>
      <c r="L2048">
        <v>0</v>
      </c>
      <c r="M2048">
        <f>DAY(E2048)</f>
        <v>16</v>
      </c>
      <c r="N2048" t="str">
        <f>TEXT(MTDRejection[[#This Row],[RejectionDate]],"dddd")</f>
        <v>Monday</v>
      </c>
    </row>
    <row r="2049" spans="1:14">
      <c r="A2049" t="s">
        <v>84</v>
      </c>
      <c r="B2049" t="s">
        <v>4552</v>
      </c>
      <c r="C2049" t="s">
        <v>49</v>
      </c>
      <c r="D2049" t="s">
        <v>26</v>
      </c>
      <c r="E2049" s="7">
        <v>45642</v>
      </c>
      <c r="F2049" t="s">
        <v>118</v>
      </c>
      <c r="G2049">
        <v>0</v>
      </c>
      <c r="H2049" t="s">
        <v>30</v>
      </c>
      <c r="I2049" t="s">
        <v>16</v>
      </c>
      <c r="J2049" t="s">
        <v>16</v>
      </c>
      <c r="K2049" t="str">
        <f>VLOOKUP(C2049,CheckName!A:B,2,0)</f>
        <v>CRC</v>
      </c>
      <c r="L2049">
        <v>0</v>
      </c>
      <c r="M2049">
        <f t="shared" ref="M2049:M2051" si="298">DAY(E2049)</f>
        <v>16</v>
      </c>
      <c r="N2049" t="str">
        <f>TEXT(MTDRejection[[#This Row],[RejectionDate]],"dddd")</f>
        <v>Monday</v>
      </c>
    </row>
    <row r="2050" spans="1:14">
      <c r="A2050" t="s">
        <v>84</v>
      </c>
      <c r="B2050" t="s">
        <v>4548</v>
      </c>
      <c r="C2050" t="s">
        <v>49</v>
      </c>
      <c r="D2050" t="s">
        <v>26</v>
      </c>
      <c r="E2050" s="7">
        <v>45642</v>
      </c>
      <c r="F2050" t="s">
        <v>118</v>
      </c>
      <c r="G2050">
        <v>0</v>
      </c>
      <c r="H2050" t="s">
        <v>22</v>
      </c>
      <c r="I2050" t="s">
        <v>16</v>
      </c>
      <c r="J2050" t="s">
        <v>16</v>
      </c>
      <c r="K2050" t="str">
        <f>VLOOKUP(C2050,CheckName!A:B,2,0)</f>
        <v>CRC</v>
      </c>
      <c r="L2050">
        <v>0</v>
      </c>
      <c r="M2050">
        <f t="shared" si="298"/>
        <v>16</v>
      </c>
      <c r="N2050" t="str">
        <f>TEXT(MTDRejection[[#This Row],[RejectionDate]],"dddd")</f>
        <v>Monday</v>
      </c>
    </row>
    <row r="2051" spans="1:14">
      <c r="A2051" t="s">
        <v>84</v>
      </c>
      <c r="B2051" t="s">
        <v>1912</v>
      </c>
      <c r="C2051" t="s">
        <v>49</v>
      </c>
      <c r="D2051" t="s">
        <v>26</v>
      </c>
      <c r="E2051" s="7">
        <v>45642</v>
      </c>
      <c r="F2051" t="s">
        <v>118</v>
      </c>
      <c r="G2051">
        <v>0</v>
      </c>
      <c r="H2051" t="s">
        <v>22</v>
      </c>
      <c r="I2051" t="s">
        <v>16</v>
      </c>
      <c r="J2051" t="s">
        <v>16</v>
      </c>
      <c r="K2051" t="str">
        <f>VLOOKUP(C2051,CheckName!A:B,2,0)</f>
        <v>CRC</v>
      </c>
      <c r="L2051">
        <v>0</v>
      </c>
      <c r="M2051">
        <f t="shared" si="298"/>
        <v>16</v>
      </c>
      <c r="N2051" t="str">
        <f>TEXT(MTDRejection[[#This Row],[RejectionDate]],"dddd")</f>
        <v>Monday</v>
      </c>
    </row>
    <row r="2052" spans="1:14">
      <c r="A2052" t="s">
        <v>84</v>
      </c>
      <c r="B2052" t="s">
        <v>2442</v>
      </c>
      <c r="C2052" t="s">
        <v>54</v>
      </c>
      <c r="D2052" t="s">
        <v>26</v>
      </c>
      <c r="E2052" s="7">
        <v>45642</v>
      </c>
      <c r="F2052" t="s">
        <v>1304</v>
      </c>
      <c r="G2052">
        <v>0</v>
      </c>
      <c r="H2052" t="s">
        <v>27</v>
      </c>
      <c r="I2052" t="s">
        <v>16</v>
      </c>
      <c r="J2052" t="s">
        <v>16</v>
      </c>
      <c r="K2052" t="str">
        <f>VLOOKUP(C2052,CheckName!A:B,2,0)</f>
        <v>Edu</v>
      </c>
      <c r="L2052">
        <v>0</v>
      </c>
      <c r="M2052">
        <f t="shared" ref="M2052:M2053" si="299">DAY(E2052)</f>
        <v>16</v>
      </c>
      <c r="N2052" t="str">
        <f>TEXT(MTDRejection[[#This Row],[RejectionDate]],"dddd")</f>
        <v>Monday</v>
      </c>
    </row>
    <row r="2053" spans="1:14">
      <c r="A2053" t="s">
        <v>84</v>
      </c>
      <c r="B2053" t="s">
        <v>4553</v>
      </c>
      <c r="C2053" t="s">
        <v>12</v>
      </c>
      <c r="D2053" t="s">
        <v>26</v>
      </c>
      <c r="E2053" s="7">
        <v>45642</v>
      </c>
      <c r="F2053" t="s">
        <v>2355</v>
      </c>
      <c r="G2053">
        <v>0</v>
      </c>
      <c r="H2053" t="s">
        <v>27</v>
      </c>
      <c r="I2053" t="s">
        <v>16</v>
      </c>
      <c r="J2053" t="s">
        <v>16</v>
      </c>
      <c r="K2053" t="str">
        <f>VLOOKUP(C2053,CheckName!A:B,2,0)</f>
        <v>Emp</v>
      </c>
      <c r="L2053">
        <v>0</v>
      </c>
      <c r="M2053">
        <f t="shared" si="299"/>
        <v>16</v>
      </c>
      <c r="N2053" t="str">
        <f>TEXT(MTDRejection[[#This Row],[RejectionDate]],"dddd")</f>
        <v>Monday</v>
      </c>
    </row>
    <row r="2054" spans="1:14">
      <c r="A2054" t="s">
        <v>200</v>
      </c>
      <c r="B2054" t="s">
        <v>4554</v>
      </c>
      <c r="C2054" t="s">
        <v>19</v>
      </c>
      <c r="D2054" t="s">
        <v>20</v>
      </c>
      <c r="E2054" s="7">
        <v>45637</v>
      </c>
      <c r="F2054" t="s">
        <v>273</v>
      </c>
      <c r="G2054">
        <v>5</v>
      </c>
      <c r="H2054" t="s">
        <v>22</v>
      </c>
      <c r="I2054" t="s">
        <v>16</v>
      </c>
      <c r="J2054" t="s">
        <v>16</v>
      </c>
      <c r="K2054" t="str">
        <f>VLOOKUP(C2054,CheckName!A:B,2,0)</f>
        <v>Add</v>
      </c>
      <c r="L2054">
        <v>0</v>
      </c>
      <c r="M2054">
        <f>DAY(E2054)</f>
        <v>11</v>
      </c>
      <c r="N2054" t="str">
        <f>TEXT(MTDRejection[[#This Row],[RejectionDate]],"dddd")</f>
        <v>Wednesday</v>
      </c>
    </row>
    <row r="2055" spans="1:14">
      <c r="A2055" t="s">
        <v>172</v>
      </c>
      <c r="B2055" t="s">
        <v>4555</v>
      </c>
      <c r="C2055" t="s">
        <v>25</v>
      </c>
      <c r="D2055" t="s">
        <v>20</v>
      </c>
      <c r="E2055" s="7">
        <v>45642</v>
      </c>
      <c r="F2055" t="s">
        <v>273</v>
      </c>
      <c r="G2055">
        <v>0</v>
      </c>
      <c r="H2055" t="s">
        <v>130</v>
      </c>
      <c r="I2055" t="s">
        <v>16</v>
      </c>
      <c r="J2055" t="s">
        <v>16</v>
      </c>
      <c r="K2055" t="str">
        <f>VLOOKUP(C2055,CheckName!A:B,2,0)</f>
        <v>Add</v>
      </c>
      <c r="L2055">
        <v>1</v>
      </c>
      <c r="M2055">
        <f t="shared" ref="M2055:M2056" si="300">DAY(E2055)</f>
        <v>16</v>
      </c>
      <c r="N2055" t="str">
        <f>TEXT(MTDRejection[[#This Row],[RejectionDate]],"dddd")</f>
        <v>Monday</v>
      </c>
    </row>
    <row r="2056" spans="1:14">
      <c r="A2056" t="s">
        <v>200</v>
      </c>
      <c r="B2056" t="s">
        <v>1865</v>
      </c>
      <c r="C2056" t="s">
        <v>25</v>
      </c>
      <c r="D2056" t="s">
        <v>26</v>
      </c>
      <c r="E2056" s="7">
        <v>45642</v>
      </c>
      <c r="F2056" t="s">
        <v>273</v>
      </c>
      <c r="G2056">
        <v>0</v>
      </c>
      <c r="H2056" t="s">
        <v>27</v>
      </c>
      <c r="I2056" t="s">
        <v>16</v>
      </c>
      <c r="J2056" t="s">
        <v>16</v>
      </c>
      <c r="K2056" t="str">
        <f>VLOOKUP(C2056,CheckName!A:B,2,0)</f>
        <v>Add</v>
      </c>
      <c r="L2056">
        <v>0</v>
      </c>
      <c r="M2056">
        <f t="shared" si="300"/>
        <v>16</v>
      </c>
      <c r="N2056" t="str">
        <f>TEXT(MTDRejection[[#This Row],[RejectionDate]],"dddd")</f>
        <v>Monday</v>
      </c>
    </row>
    <row r="2057" spans="1:14">
      <c r="A2057" t="s">
        <v>137</v>
      </c>
      <c r="B2057" t="s">
        <v>4556</v>
      </c>
      <c r="C2057" t="s">
        <v>25</v>
      </c>
      <c r="D2057" t="s">
        <v>51</v>
      </c>
      <c r="E2057" s="7">
        <v>45642</v>
      </c>
      <c r="F2057" t="s">
        <v>2331</v>
      </c>
      <c r="G2057">
        <v>0</v>
      </c>
      <c r="H2057" t="s">
        <v>53</v>
      </c>
      <c r="I2057" t="s">
        <v>16</v>
      </c>
      <c r="J2057" t="s">
        <v>16</v>
      </c>
      <c r="K2057" t="str">
        <f>VLOOKUP(C2057,CheckName!A:B,2,0)</f>
        <v>Add</v>
      </c>
      <c r="L2057">
        <v>0</v>
      </c>
      <c r="M2057">
        <f t="shared" ref="M2057:M2061" si="301">DAY(E2057)</f>
        <v>16</v>
      </c>
      <c r="N2057" t="str">
        <f>TEXT(MTDRejection[[#This Row],[RejectionDate]],"dddd")</f>
        <v>Monday</v>
      </c>
    </row>
    <row r="2058" spans="1:14">
      <c r="A2058" t="s">
        <v>137</v>
      </c>
      <c r="B2058" t="s">
        <v>4557</v>
      </c>
      <c r="C2058" t="s">
        <v>12</v>
      </c>
      <c r="D2058" t="s">
        <v>51</v>
      </c>
      <c r="E2058" s="7">
        <v>45642</v>
      </c>
      <c r="F2058" t="s">
        <v>2331</v>
      </c>
      <c r="G2058">
        <v>0</v>
      </c>
      <c r="H2058" t="s">
        <v>53</v>
      </c>
      <c r="I2058" t="s">
        <v>16</v>
      </c>
      <c r="J2058" t="s">
        <v>16</v>
      </c>
      <c r="K2058" t="str">
        <f>VLOOKUP(C2058,CheckName!A:B,2,0)</f>
        <v>Emp</v>
      </c>
      <c r="L2058">
        <v>0</v>
      </c>
      <c r="M2058">
        <f t="shared" si="301"/>
        <v>16</v>
      </c>
      <c r="N2058" t="str">
        <f>TEXT(MTDRejection[[#This Row],[RejectionDate]],"dddd")</f>
        <v>Monday</v>
      </c>
    </row>
    <row r="2059" spans="1:14">
      <c r="A2059" t="s">
        <v>137</v>
      </c>
      <c r="B2059" t="s">
        <v>4558</v>
      </c>
      <c r="C2059" t="s">
        <v>54</v>
      </c>
      <c r="D2059" t="s">
        <v>51</v>
      </c>
      <c r="E2059" s="7">
        <v>45642</v>
      </c>
      <c r="F2059" t="s">
        <v>2331</v>
      </c>
      <c r="G2059">
        <v>0</v>
      </c>
      <c r="H2059" t="s">
        <v>53</v>
      </c>
      <c r="I2059" t="s">
        <v>16</v>
      </c>
      <c r="J2059" t="s">
        <v>16</v>
      </c>
      <c r="K2059" t="str">
        <f>VLOOKUP(C2059,CheckName!A:B,2,0)</f>
        <v>Edu</v>
      </c>
      <c r="L2059">
        <v>0</v>
      </c>
      <c r="M2059">
        <f t="shared" si="301"/>
        <v>16</v>
      </c>
      <c r="N2059" t="str">
        <f>TEXT(MTDRejection[[#This Row],[RejectionDate]],"dddd")</f>
        <v>Monday</v>
      </c>
    </row>
    <row r="2060" spans="1:14">
      <c r="A2060" t="s">
        <v>283</v>
      </c>
      <c r="B2060" t="s">
        <v>4559</v>
      </c>
      <c r="C2060" t="s">
        <v>54</v>
      </c>
      <c r="D2060" t="s">
        <v>13</v>
      </c>
      <c r="E2060" s="7">
        <v>45642</v>
      </c>
      <c r="F2060" t="s">
        <v>574</v>
      </c>
      <c r="G2060">
        <v>0</v>
      </c>
      <c r="H2060" t="s">
        <v>15</v>
      </c>
      <c r="I2060" t="s">
        <v>16</v>
      </c>
      <c r="J2060" t="s">
        <v>16</v>
      </c>
      <c r="K2060" t="str">
        <f>VLOOKUP(C2060,CheckName!A:B,2,0)</f>
        <v>Edu</v>
      </c>
      <c r="L2060">
        <v>0</v>
      </c>
      <c r="M2060">
        <f t="shared" si="301"/>
        <v>16</v>
      </c>
      <c r="N2060" t="str">
        <f>TEXT(MTDRejection[[#This Row],[RejectionDate]],"dddd")</f>
        <v>Monday</v>
      </c>
    </row>
    <row r="2061" spans="1:14">
      <c r="A2061" t="s">
        <v>211</v>
      </c>
      <c r="B2061" t="s">
        <v>4560</v>
      </c>
      <c r="C2061" t="s">
        <v>12</v>
      </c>
      <c r="D2061" t="s">
        <v>26</v>
      </c>
      <c r="E2061" s="7">
        <v>45642</v>
      </c>
      <c r="F2061" t="s">
        <v>2354</v>
      </c>
      <c r="G2061">
        <v>0</v>
      </c>
      <c r="H2061" t="s">
        <v>22</v>
      </c>
      <c r="I2061" t="s">
        <v>16</v>
      </c>
      <c r="J2061" t="s">
        <v>16</v>
      </c>
      <c r="K2061" t="str">
        <f>VLOOKUP(C2061,CheckName!A:B,2,0)</f>
        <v>Emp</v>
      </c>
      <c r="L2061">
        <v>0</v>
      </c>
      <c r="M2061">
        <f t="shared" si="301"/>
        <v>16</v>
      </c>
      <c r="N2061" t="str">
        <f>TEXT(MTDRejection[[#This Row],[RejectionDate]],"dddd")</f>
        <v>Monday</v>
      </c>
    </row>
    <row r="2062" spans="1:14">
      <c r="A2062" t="s">
        <v>45</v>
      </c>
      <c r="B2062" t="s">
        <v>2443</v>
      </c>
      <c r="C2062" t="s">
        <v>125</v>
      </c>
      <c r="D2062" t="s">
        <v>26</v>
      </c>
      <c r="E2062" s="7">
        <v>45642</v>
      </c>
      <c r="F2062" t="s">
        <v>179</v>
      </c>
      <c r="G2062">
        <v>0</v>
      </c>
      <c r="H2062" t="s">
        <v>30</v>
      </c>
      <c r="I2062" t="s">
        <v>16</v>
      </c>
      <c r="J2062" t="s">
        <v>16</v>
      </c>
      <c r="K2062" t="str">
        <f>VLOOKUP(C2062,CheckName!A:B,2,0)</f>
        <v>Emp</v>
      </c>
      <c r="L2062">
        <v>0</v>
      </c>
      <c r="M2062">
        <f t="shared" ref="M2062:M2063" si="302">DAY(E2062)</f>
        <v>16</v>
      </c>
      <c r="N2062" t="str">
        <f>TEXT(MTDRejection[[#This Row],[RejectionDate]],"dddd")</f>
        <v>Monday</v>
      </c>
    </row>
    <row r="2063" spans="1:14">
      <c r="A2063" t="s">
        <v>45</v>
      </c>
      <c r="B2063" t="s">
        <v>4561</v>
      </c>
      <c r="C2063" t="s">
        <v>36</v>
      </c>
      <c r="D2063" t="s">
        <v>26</v>
      </c>
      <c r="E2063" s="7">
        <v>45642</v>
      </c>
      <c r="F2063" t="s">
        <v>179</v>
      </c>
      <c r="G2063">
        <v>0</v>
      </c>
      <c r="H2063" t="s">
        <v>27</v>
      </c>
      <c r="I2063" t="s">
        <v>16</v>
      </c>
      <c r="J2063" t="s">
        <v>16</v>
      </c>
      <c r="K2063" t="str">
        <f>VLOOKUP(C2063,CheckName!A:B,2,0)</f>
        <v>Emp</v>
      </c>
      <c r="L2063">
        <v>0</v>
      </c>
      <c r="M2063">
        <f t="shared" si="302"/>
        <v>16</v>
      </c>
      <c r="N2063" t="str">
        <f>TEXT(MTDRejection[[#This Row],[RejectionDate]],"dddd")</f>
        <v>Monday</v>
      </c>
    </row>
    <row r="2064" spans="1:14">
      <c r="A2064" t="s">
        <v>263</v>
      </c>
      <c r="B2064" t="s">
        <v>2573</v>
      </c>
      <c r="C2064" t="s">
        <v>36</v>
      </c>
      <c r="D2064" t="s">
        <v>26</v>
      </c>
      <c r="E2064" s="7">
        <v>45642</v>
      </c>
      <c r="F2064" t="s">
        <v>311</v>
      </c>
      <c r="G2064">
        <v>0</v>
      </c>
      <c r="H2064" t="s">
        <v>22</v>
      </c>
      <c r="I2064" t="s">
        <v>16</v>
      </c>
      <c r="J2064" t="s">
        <v>16</v>
      </c>
      <c r="K2064" t="str">
        <f>VLOOKUP(C2064,CheckName!A:B,2,0)</f>
        <v>Emp</v>
      </c>
      <c r="L2064">
        <v>0</v>
      </c>
      <c r="M2064">
        <f>DAY(E2064)</f>
        <v>16</v>
      </c>
      <c r="N2064" t="str">
        <f>TEXT(MTDRejection[[#This Row],[RejectionDate]],"dddd")</f>
        <v>Monday</v>
      </c>
    </row>
    <row r="2065" spans="1:14">
      <c r="A2065" t="s">
        <v>1596</v>
      </c>
      <c r="B2065" t="s">
        <v>4562</v>
      </c>
      <c r="C2065" t="s">
        <v>71</v>
      </c>
      <c r="D2065" t="s">
        <v>38</v>
      </c>
      <c r="E2065" s="7">
        <v>45642</v>
      </c>
      <c r="F2065" t="s">
        <v>108</v>
      </c>
      <c r="G2065">
        <v>0</v>
      </c>
      <c r="H2065" t="s">
        <v>42</v>
      </c>
      <c r="I2065" t="s">
        <v>16</v>
      </c>
      <c r="J2065" t="s">
        <v>16</v>
      </c>
      <c r="K2065" t="str">
        <f>VLOOKUP(C2065,CheckName!A:B,2,0)</f>
        <v>CRC</v>
      </c>
      <c r="L2065">
        <v>0</v>
      </c>
      <c r="M2065">
        <f>DAY(E2065)</f>
        <v>16</v>
      </c>
      <c r="N2065" t="str">
        <f>TEXT(MTDRejection[[#This Row],[RejectionDate]],"dddd")</f>
        <v>Monday</v>
      </c>
    </row>
    <row r="2066" spans="1:14">
      <c r="A2066" t="s">
        <v>84</v>
      </c>
      <c r="B2066" t="s">
        <v>4563</v>
      </c>
      <c r="C2066" t="s">
        <v>49</v>
      </c>
      <c r="D2066" t="s">
        <v>26</v>
      </c>
      <c r="E2066" s="7">
        <v>45642</v>
      </c>
      <c r="F2066" t="s">
        <v>118</v>
      </c>
      <c r="G2066">
        <v>0</v>
      </c>
      <c r="H2066" t="s">
        <v>22</v>
      </c>
      <c r="I2066" t="s">
        <v>16</v>
      </c>
      <c r="J2066" t="s">
        <v>16</v>
      </c>
      <c r="K2066" t="str">
        <f>VLOOKUP(C2066,CheckName!A:B,2,0)</f>
        <v>CRC</v>
      </c>
      <c r="L2066">
        <v>0</v>
      </c>
      <c r="M2066">
        <f>DAY(E2066)</f>
        <v>16</v>
      </c>
      <c r="N2066" t="str">
        <f>TEXT(MTDRejection[[#This Row],[RejectionDate]],"dddd")</f>
        <v>Monday</v>
      </c>
    </row>
    <row r="2067" spans="1:14">
      <c r="A2067" t="s">
        <v>84</v>
      </c>
      <c r="B2067" t="s">
        <v>4564</v>
      </c>
      <c r="C2067" t="s">
        <v>49</v>
      </c>
      <c r="D2067" t="s">
        <v>26</v>
      </c>
      <c r="E2067" s="7">
        <v>45642</v>
      </c>
      <c r="F2067" t="s">
        <v>118</v>
      </c>
      <c r="G2067">
        <v>0</v>
      </c>
      <c r="H2067" t="s">
        <v>130</v>
      </c>
      <c r="I2067" t="s">
        <v>16</v>
      </c>
      <c r="J2067" t="s">
        <v>16</v>
      </c>
      <c r="K2067" t="str">
        <f>VLOOKUP(C2067,CheckName!A:B,2,0)</f>
        <v>CRC</v>
      </c>
      <c r="L2067">
        <v>0</v>
      </c>
      <c r="M2067">
        <f t="shared" ref="M2067:M2068" si="303">DAY(E2067)</f>
        <v>16</v>
      </c>
      <c r="N2067" t="str">
        <f>TEXT(MTDRejection[[#This Row],[RejectionDate]],"dddd")</f>
        <v>Monday</v>
      </c>
    </row>
    <row r="2068" spans="1:14">
      <c r="A2068" t="s">
        <v>84</v>
      </c>
      <c r="B2068" t="s">
        <v>1896</v>
      </c>
      <c r="C2068" t="s">
        <v>49</v>
      </c>
      <c r="D2068" t="s">
        <v>26</v>
      </c>
      <c r="E2068" s="7">
        <v>45642</v>
      </c>
      <c r="F2068" t="s">
        <v>118</v>
      </c>
      <c r="G2068">
        <v>0</v>
      </c>
      <c r="H2068" t="s">
        <v>22</v>
      </c>
      <c r="I2068" t="s">
        <v>16</v>
      </c>
      <c r="J2068" t="s">
        <v>16</v>
      </c>
      <c r="K2068" t="str">
        <f>VLOOKUP(C2068,CheckName!A:B,2,0)</f>
        <v>CRC</v>
      </c>
      <c r="L2068">
        <v>0</v>
      </c>
      <c r="M2068">
        <f t="shared" si="303"/>
        <v>16</v>
      </c>
      <c r="N2068" t="str">
        <f>TEXT(MTDRejection[[#This Row],[RejectionDate]],"dddd")</f>
        <v>Monday</v>
      </c>
    </row>
    <row r="2069" spans="1:14">
      <c r="A2069" t="s">
        <v>84</v>
      </c>
      <c r="B2069" t="s">
        <v>4565</v>
      </c>
      <c r="C2069" t="s">
        <v>49</v>
      </c>
      <c r="D2069" t="s">
        <v>26</v>
      </c>
      <c r="E2069" s="7">
        <v>45642</v>
      </c>
      <c r="F2069" t="s">
        <v>118</v>
      </c>
      <c r="G2069">
        <v>0</v>
      </c>
      <c r="H2069" t="s">
        <v>22</v>
      </c>
      <c r="I2069" t="s">
        <v>16</v>
      </c>
      <c r="J2069" t="s">
        <v>16</v>
      </c>
      <c r="K2069" t="str">
        <f>VLOOKUP(C2069,CheckName!A:B,2,0)</f>
        <v>CRC</v>
      </c>
      <c r="L2069">
        <v>0</v>
      </c>
      <c r="M2069">
        <f t="shared" ref="M2069:M2070" si="304">DAY(E2069)</f>
        <v>16</v>
      </c>
      <c r="N2069" t="str">
        <f>TEXT(MTDRejection[[#This Row],[RejectionDate]],"dddd")</f>
        <v>Monday</v>
      </c>
    </row>
    <row r="2070" spans="1:14">
      <c r="A2070" t="s">
        <v>84</v>
      </c>
      <c r="B2070" t="s">
        <v>4566</v>
      </c>
      <c r="C2070" t="s">
        <v>49</v>
      </c>
      <c r="D2070" t="s">
        <v>26</v>
      </c>
      <c r="E2070" s="7">
        <v>45642</v>
      </c>
      <c r="F2070" t="s">
        <v>118</v>
      </c>
      <c r="G2070">
        <v>0</v>
      </c>
      <c r="H2070" t="s">
        <v>130</v>
      </c>
      <c r="I2070" t="s">
        <v>16</v>
      </c>
      <c r="J2070" t="s">
        <v>16</v>
      </c>
      <c r="K2070" t="str">
        <f>VLOOKUP(C2070,CheckName!A:B,2,0)</f>
        <v>CRC</v>
      </c>
      <c r="L2070">
        <v>0</v>
      </c>
      <c r="M2070">
        <f t="shared" si="304"/>
        <v>16</v>
      </c>
      <c r="N2070" t="str">
        <f>TEXT(MTDRejection[[#This Row],[RejectionDate]],"dddd")</f>
        <v>Monday</v>
      </c>
    </row>
    <row r="2071" spans="1:14">
      <c r="A2071" t="s">
        <v>84</v>
      </c>
      <c r="B2071" t="s">
        <v>1932</v>
      </c>
      <c r="C2071" t="s">
        <v>49</v>
      </c>
      <c r="D2071" t="s">
        <v>26</v>
      </c>
      <c r="E2071" s="7">
        <v>45642</v>
      </c>
      <c r="F2071" t="s">
        <v>118</v>
      </c>
      <c r="G2071">
        <v>0</v>
      </c>
      <c r="H2071" t="s">
        <v>22</v>
      </c>
      <c r="I2071" t="s">
        <v>16</v>
      </c>
      <c r="J2071" t="s">
        <v>16</v>
      </c>
      <c r="K2071" t="str">
        <f>VLOOKUP(C2071,CheckName!A:B,2,0)</f>
        <v>CRC</v>
      </c>
      <c r="L2071">
        <v>0</v>
      </c>
      <c r="M2071">
        <f t="shared" ref="M2071:M2072" si="305">DAY(E2071)</f>
        <v>16</v>
      </c>
      <c r="N2071" t="str">
        <f>TEXT(MTDRejection[[#This Row],[RejectionDate]],"dddd")</f>
        <v>Monday</v>
      </c>
    </row>
    <row r="2072" spans="1:14">
      <c r="A2072" t="s">
        <v>84</v>
      </c>
      <c r="B2072" t="s">
        <v>4567</v>
      </c>
      <c r="C2072" t="s">
        <v>49</v>
      </c>
      <c r="D2072" t="s">
        <v>26</v>
      </c>
      <c r="E2072" s="7">
        <v>45642</v>
      </c>
      <c r="F2072" t="s">
        <v>118</v>
      </c>
      <c r="G2072">
        <v>0</v>
      </c>
      <c r="H2072" t="s">
        <v>22</v>
      </c>
      <c r="I2072" t="s">
        <v>16</v>
      </c>
      <c r="J2072" t="s">
        <v>16</v>
      </c>
      <c r="K2072" t="str">
        <f>VLOOKUP(C2072,CheckName!A:B,2,0)</f>
        <v>CRC</v>
      </c>
      <c r="L2072">
        <v>0</v>
      </c>
      <c r="M2072">
        <f t="shared" si="305"/>
        <v>16</v>
      </c>
      <c r="N2072" t="str">
        <f>TEXT(MTDRejection[[#This Row],[RejectionDate]],"dddd")</f>
        <v>Monday</v>
      </c>
    </row>
    <row r="2073" spans="1:14">
      <c r="A2073" t="s">
        <v>84</v>
      </c>
      <c r="B2073" t="s">
        <v>2574</v>
      </c>
      <c r="C2073" t="s">
        <v>49</v>
      </c>
      <c r="D2073" t="s">
        <v>26</v>
      </c>
      <c r="E2073" s="7">
        <v>45642</v>
      </c>
      <c r="F2073" t="s">
        <v>118</v>
      </c>
      <c r="G2073">
        <v>0</v>
      </c>
      <c r="H2073" t="s">
        <v>22</v>
      </c>
      <c r="I2073" t="s">
        <v>16</v>
      </c>
      <c r="J2073" t="s">
        <v>16</v>
      </c>
      <c r="K2073" t="str">
        <f>VLOOKUP(C2073,CheckName!A:B,2,0)</f>
        <v>CRC</v>
      </c>
      <c r="L2073">
        <v>0</v>
      </c>
      <c r="M2073">
        <f>DAY(E2073)</f>
        <v>16</v>
      </c>
      <c r="N2073" t="str">
        <f>TEXT(MTDRejection[[#This Row],[RejectionDate]],"dddd")</f>
        <v>Monday</v>
      </c>
    </row>
    <row r="2074" spans="1:14">
      <c r="A2074" t="s">
        <v>84</v>
      </c>
      <c r="B2074" t="s">
        <v>4568</v>
      </c>
      <c r="C2074" t="s">
        <v>49</v>
      </c>
      <c r="D2074" t="s">
        <v>26</v>
      </c>
      <c r="E2074" s="7">
        <v>45642</v>
      </c>
      <c r="F2074" t="s">
        <v>118</v>
      </c>
      <c r="G2074">
        <v>0</v>
      </c>
      <c r="H2074" t="s">
        <v>130</v>
      </c>
      <c r="I2074" t="s">
        <v>16</v>
      </c>
      <c r="J2074" t="s">
        <v>16</v>
      </c>
      <c r="K2074" t="str">
        <f>VLOOKUP(C2074,CheckName!A:B,2,0)</f>
        <v>CRC</v>
      </c>
      <c r="L2074">
        <v>0</v>
      </c>
      <c r="M2074">
        <f t="shared" ref="M2074:M2076" si="306">DAY(E2074)</f>
        <v>16</v>
      </c>
      <c r="N2074" t="str">
        <f>TEXT(MTDRejection[[#This Row],[RejectionDate]],"dddd")</f>
        <v>Monday</v>
      </c>
    </row>
    <row r="2075" spans="1:14">
      <c r="A2075" t="s">
        <v>84</v>
      </c>
      <c r="B2075" t="s">
        <v>4569</v>
      </c>
      <c r="C2075" t="s">
        <v>49</v>
      </c>
      <c r="D2075" t="s">
        <v>26</v>
      </c>
      <c r="E2075" s="7">
        <v>45642</v>
      </c>
      <c r="F2075" t="s">
        <v>118</v>
      </c>
      <c r="G2075">
        <v>0</v>
      </c>
      <c r="H2075" t="s">
        <v>95</v>
      </c>
      <c r="I2075" t="s">
        <v>16</v>
      </c>
      <c r="J2075" t="s">
        <v>16</v>
      </c>
      <c r="K2075" t="str">
        <f>VLOOKUP(C2075,CheckName!A:B,2,0)</f>
        <v>CRC</v>
      </c>
      <c r="L2075">
        <v>0</v>
      </c>
      <c r="M2075">
        <f t="shared" si="306"/>
        <v>16</v>
      </c>
      <c r="N2075" t="str">
        <f>TEXT(MTDRejection[[#This Row],[RejectionDate]],"dddd")</f>
        <v>Monday</v>
      </c>
    </row>
    <row r="2076" spans="1:14">
      <c r="A2076" t="s">
        <v>84</v>
      </c>
      <c r="B2076" t="s">
        <v>4570</v>
      </c>
      <c r="C2076" t="s">
        <v>1347</v>
      </c>
      <c r="D2076" t="s">
        <v>26</v>
      </c>
      <c r="E2076" s="7">
        <v>45642</v>
      </c>
      <c r="F2076" t="s">
        <v>118</v>
      </c>
      <c r="G2076">
        <v>0</v>
      </c>
      <c r="H2076" t="s">
        <v>22</v>
      </c>
      <c r="I2076" t="s">
        <v>16</v>
      </c>
      <c r="J2076" t="s">
        <v>16</v>
      </c>
      <c r="K2076" t="str">
        <f>VLOOKUP(C2076,CheckName!A:B,2,0)</f>
        <v>CRC</v>
      </c>
      <c r="L2076">
        <v>0</v>
      </c>
      <c r="M2076">
        <f t="shared" si="306"/>
        <v>16</v>
      </c>
      <c r="N2076" t="str">
        <f>TEXT(MTDRejection[[#This Row],[RejectionDate]],"dddd")</f>
        <v>Monday</v>
      </c>
    </row>
    <row r="2077" spans="1:14">
      <c r="A2077" t="s">
        <v>84</v>
      </c>
      <c r="B2077" t="s">
        <v>1933</v>
      </c>
      <c r="C2077" t="s">
        <v>1347</v>
      </c>
      <c r="D2077" t="s">
        <v>26</v>
      </c>
      <c r="E2077" s="7">
        <v>45642</v>
      </c>
      <c r="F2077" t="s">
        <v>118</v>
      </c>
      <c r="G2077">
        <v>0</v>
      </c>
      <c r="H2077" t="s">
        <v>22</v>
      </c>
      <c r="I2077" t="s">
        <v>16</v>
      </c>
      <c r="J2077" t="s">
        <v>16</v>
      </c>
      <c r="K2077" t="str">
        <f>VLOOKUP(C2077,CheckName!A:B,2,0)</f>
        <v>CRC</v>
      </c>
      <c r="L2077">
        <v>0</v>
      </c>
      <c r="M2077">
        <f t="shared" ref="M2077:M2081" si="307">DAY(E2077)</f>
        <v>16</v>
      </c>
      <c r="N2077" t="str">
        <f>TEXT(MTDRejection[[#This Row],[RejectionDate]],"dddd")</f>
        <v>Monday</v>
      </c>
    </row>
    <row r="2078" spans="1:14">
      <c r="A2078" t="s">
        <v>84</v>
      </c>
      <c r="B2078" t="s">
        <v>4571</v>
      </c>
      <c r="C2078" t="s">
        <v>1347</v>
      </c>
      <c r="D2078" t="s">
        <v>26</v>
      </c>
      <c r="E2078" s="7">
        <v>45642</v>
      </c>
      <c r="F2078" t="s">
        <v>118</v>
      </c>
      <c r="G2078">
        <v>0</v>
      </c>
      <c r="H2078" t="s">
        <v>130</v>
      </c>
      <c r="I2078" t="s">
        <v>16</v>
      </c>
      <c r="J2078" t="s">
        <v>16</v>
      </c>
      <c r="K2078" t="str">
        <f>VLOOKUP(C2078,CheckName!A:B,2,0)</f>
        <v>CRC</v>
      </c>
      <c r="L2078">
        <v>0</v>
      </c>
      <c r="M2078">
        <f t="shared" si="307"/>
        <v>16</v>
      </c>
      <c r="N2078" t="str">
        <f>TEXT(MTDRejection[[#This Row],[RejectionDate]],"dddd")</f>
        <v>Monday</v>
      </c>
    </row>
    <row r="2079" spans="1:14">
      <c r="A2079" t="s">
        <v>84</v>
      </c>
      <c r="B2079" t="s">
        <v>4572</v>
      </c>
      <c r="C2079" t="s">
        <v>1347</v>
      </c>
      <c r="D2079" t="s">
        <v>26</v>
      </c>
      <c r="E2079" s="7">
        <v>45642</v>
      </c>
      <c r="F2079" t="s">
        <v>118</v>
      </c>
      <c r="G2079">
        <v>0</v>
      </c>
      <c r="H2079" t="s">
        <v>22</v>
      </c>
      <c r="I2079" t="s">
        <v>16</v>
      </c>
      <c r="J2079" t="s">
        <v>16</v>
      </c>
      <c r="K2079" t="str">
        <f>VLOOKUP(C2079,CheckName!A:B,2,0)</f>
        <v>CRC</v>
      </c>
      <c r="L2079">
        <v>0</v>
      </c>
      <c r="M2079">
        <f t="shared" si="307"/>
        <v>16</v>
      </c>
      <c r="N2079" t="str">
        <f>TEXT(MTDRejection[[#This Row],[RejectionDate]],"dddd")</f>
        <v>Monday</v>
      </c>
    </row>
    <row r="2080" spans="1:14">
      <c r="A2080" t="s">
        <v>84</v>
      </c>
      <c r="B2080" t="s">
        <v>4573</v>
      </c>
      <c r="C2080" t="s">
        <v>1347</v>
      </c>
      <c r="D2080" t="s">
        <v>26</v>
      </c>
      <c r="E2080" s="7">
        <v>45642</v>
      </c>
      <c r="F2080" t="s">
        <v>118</v>
      </c>
      <c r="G2080">
        <v>0</v>
      </c>
      <c r="H2080" t="s">
        <v>95</v>
      </c>
      <c r="I2080" t="s">
        <v>16</v>
      </c>
      <c r="J2080" t="s">
        <v>16</v>
      </c>
      <c r="K2080" t="str">
        <f>VLOOKUP(C2080,CheckName!A:B,2,0)</f>
        <v>CRC</v>
      </c>
      <c r="L2080">
        <v>0</v>
      </c>
      <c r="M2080">
        <f t="shared" si="307"/>
        <v>16</v>
      </c>
      <c r="N2080" t="str">
        <f>TEXT(MTDRejection[[#This Row],[RejectionDate]],"dddd")</f>
        <v>Monday</v>
      </c>
    </row>
    <row r="2081" spans="1:14">
      <c r="A2081" t="s">
        <v>84</v>
      </c>
      <c r="B2081" t="s">
        <v>1929</v>
      </c>
      <c r="C2081" t="s">
        <v>1347</v>
      </c>
      <c r="D2081" t="s">
        <v>26</v>
      </c>
      <c r="E2081" s="7">
        <v>45642</v>
      </c>
      <c r="F2081" t="s">
        <v>118</v>
      </c>
      <c r="G2081">
        <v>0</v>
      </c>
      <c r="H2081" t="s">
        <v>22</v>
      </c>
      <c r="I2081" t="s">
        <v>16</v>
      </c>
      <c r="J2081" t="s">
        <v>16</v>
      </c>
      <c r="K2081" t="str">
        <f>VLOOKUP(C2081,CheckName!A:B,2,0)</f>
        <v>CRC</v>
      </c>
      <c r="L2081">
        <v>0</v>
      </c>
      <c r="M2081">
        <f t="shared" si="307"/>
        <v>16</v>
      </c>
      <c r="N2081" t="str">
        <f>TEXT(MTDRejection[[#This Row],[RejectionDate]],"dddd")</f>
        <v>Monday</v>
      </c>
    </row>
    <row r="2082" spans="1:14">
      <c r="A2082" t="s">
        <v>84</v>
      </c>
      <c r="B2082" t="s">
        <v>4574</v>
      </c>
      <c r="C2082" t="s">
        <v>1347</v>
      </c>
      <c r="D2082" t="s">
        <v>26</v>
      </c>
      <c r="E2082" s="7">
        <v>45642</v>
      </c>
      <c r="F2082" t="s">
        <v>118</v>
      </c>
      <c r="G2082">
        <v>0</v>
      </c>
      <c r="H2082" t="s">
        <v>22</v>
      </c>
      <c r="I2082" t="s">
        <v>16</v>
      </c>
      <c r="J2082" t="s">
        <v>16</v>
      </c>
      <c r="K2082" t="str">
        <f>VLOOKUP(C2082,CheckName!A:B,2,0)</f>
        <v>CRC</v>
      </c>
      <c r="L2082">
        <v>0</v>
      </c>
      <c r="M2082">
        <f t="shared" ref="M2082:M2084" si="308">DAY(E2082)</f>
        <v>16</v>
      </c>
      <c r="N2082" t="str">
        <f>TEXT(MTDRejection[[#This Row],[RejectionDate]],"dddd")</f>
        <v>Monday</v>
      </c>
    </row>
    <row r="2083" spans="1:14">
      <c r="A2083" t="s">
        <v>84</v>
      </c>
      <c r="B2083" t="s">
        <v>1916</v>
      </c>
      <c r="C2083" t="s">
        <v>1347</v>
      </c>
      <c r="D2083" t="s">
        <v>26</v>
      </c>
      <c r="E2083" s="7">
        <v>45642</v>
      </c>
      <c r="F2083" t="s">
        <v>118</v>
      </c>
      <c r="G2083">
        <v>0</v>
      </c>
      <c r="H2083" t="s">
        <v>27</v>
      </c>
      <c r="I2083" t="s">
        <v>16</v>
      </c>
      <c r="J2083" t="s">
        <v>16</v>
      </c>
      <c r="K2083" t="str">
        <f>VLOOKUP(C2083,CheckName!A:B,2,0)</f>
        <v>CRC</v>
      </c>
      <c r="L2083">
        <v>0</v>
      </c>
      <c r="M2083">
        <f t="shared" si="308"/>
        <v>16</v>
      </c>
      <c r="N2083" t="str">
        <f>TEXT(MTDRejection[[#This Row],[RejectionDate]],"dddd")</f>
        <v>Monday</v>
      </c>
    </row>
    <row r="2084" spans="1:14">
      <c r="A2084" t="s">
        <v>84</v>
      </c>
      <c r="B2084" t="s">
        <v>4566</v>
      </c>
      <c r="C2084" t="s">
        <v>49</v>
      </c>
      <c r="D2084" t="s">
        <v>26</v>
      </c>
      <c r="E2084" s="7">
        <v>45642</v>
      </c>
      <c r="F2084" t="s">
        <v>118</v>
      </c>
      <c r="G2084">
        <v>0</v>
      </c>
      <c r="H2084" t="s">
        <v>22</v>
      </c>
      <c r="I2084" t="s">
        <v>16</v>
      </c>
      <c r="J2084" t="s">
        <v>16</v>
      </c>
      <c r="K2084" t="str">
        <f>VLOOKUP(C2084,CheckName!A:B,2,0)</f>
        <v>CRC</v>
      </c>
      <c r="L2084">
        <v>0</v>
      </c>
      <c r="M2084">
        <f t="shared" si="308"/>
        <v>16</v>
      </c>
      <c r="N2084" t="str">
        <f>TEXT(MTDRejection[[#This Row],[RejectionDate]],"dddd")</f>
        <v>Monday</v>
      </c>
    </row>
    <row r="2085" spans="1:14">
      <c r="A2085" t="s">
        <v>84</v>
      </c>
      <c r="B2085" t="s">
        <v>4575</v>
      </c>
      <c r="C2085" t="s">
        <v>49</v>
      </c>
      <c r="D2085" t="s">
        <v>26</v>
      </c>
      <c r="E2085" s="7">
        <v>45642</v>
      </c>
      <c r="F2085" t="s">
        <v>118</v>
      </c>
      <c r="G2085">
        <v>0</v>
      </c>
      <c r="H2085" t="s">
        <v>22</v>
      </c>
      <c r="I2085" t="s">
        <v>16</v>
      </c>
      <c r="J2085" t="s">
        <v>16</v>
      </c>
      <c r="K2085" t="str">
        <f>VLOOKUP(C2085,CheckName!A:B,2,0)</f>
        <v>CRC</v>
      </c>
      <c r="L2085">
        <v>0</v>
      </c>
      <c r="M2085">
        <f>DAY(E2085)</f>
        <v>16</v>
      </c>
      <c r="N2085" t="str">
        <f>TEXT(MTDRejection[[#This Row],[RejectionDate]],"dddd")</f>
        <v>Monday</v>
      </c>
    </row>
    <row r="2086" spans="1:14">
      <c r="A2086" t="s">
        <v>84</v>
      </c>
      <c r="B2086" t="s">
        <v>4576</v>
      </c>
      <c r="C2086" t="s">
        <v>49</v>
      </c>
      <c r="D2086" t="s">
        <v>26</v>
      </c>
      <c r="E2086" s="7">
        <v>45642</v>
      </c>
      <c r="F2086" t="s">
        <v>118</v>
      </c>
      <c r="G2086">
        <v>0</v>
      </c>
      <c r="H2086" t="s">
        <v>130</v>
      </c>
      <c r="I2086" t="s">
        <v>16</v>
      </c>
      <c r="J2086" t="s">
        <v>16</v>
      </c>
      <c r="K2086" t="str">
        <f>VLOOKUP(C2086,CheckName!A:B,2,0)</f>
        <v>CRC</v>
      </c>
      <c r="L2086">
        <v>0</v>
      </c>
      <c r="M2086">
        <f t="shared" ref="M2086:M2089" si="309">DAY(E2086)</f>
        <v>16</v>
      </c>
      <c r="N2086" t="str">
        <f>TEXT(MTDRejection[[#This Row],[RejectionDate]],"dddd")</f>
        <v>Monday</v>
      </c>
    </row>
    <row r="2087" spans="1:14">
      <c r="A2087" t="s">
        <v>84</v>
      </c>
      <c r="B2087" t="s">
        <v>4577</v>
      </c>
      <c r="C2087" t="s">
        <v>49</v>
      </c>
      <c r="D2087" t="s">
        <v>26</v>
      </c>
      <c r="E2087" s="7">
        <v>45642</v>
      </c>
      <c r="F2087" t="s">
        <v>118</v>
      </c>
      <c r="G2087">
        <v>0</v>
      </c>
      <c r="H2087" t="s">
        <v>22</v>
      </c>
      <c r="I2087" t="s">
        <v>16</v>
      </c>
      <c r="J2087" t="s">
        <v>16</v>
      </c>
      <c r="K2087" t="str">
        <f>VLOOKUP(C2087,CheckName!A:B,2,0)</f>
        <v>CRC</v>
      </c>
      <c r="L2087">
        <v>0</v>
      </c>
      <c r="M2087">
        <f t="shared" si="309"/>
        <v>16</v>
      </c>
      <c r="N2087" t="str">
        <f>TEXT(MTDRejection[[#This Row],[RejectionDate]],"dddd")</f>
        <v>Monday</v>
      </c>
    </row>
    <row r="2088" spans="1:14">
      <c r="A2088" t="s">
        <v>84</v>
      </c>
      <c r="B2088" t="s">
        <v>4578</v>
      </c>
      <c r="C2088" t="s">
        <v>49</v>
      </c>
      <c r="D2088" t="s">
        <v>26</v>
      </c>
      <c r="E2088" s="7">
        <v>45642</v>
      </c>
      <c r="F2088" t="s">
        <v>118</v>
      </c>
      <c r="G2088">
        <v>0</v>
      </c>
      <c r="H2088" t="s">
        <v>27</v>
      </c>
      <c r="I2088" t="s">
        <v>16</v>
      </c>
      <c r="J2088" t="s">
        <v>16</v>
      </c>
      <c r="K2088" t="str">
        <f>VLOOKUP(C2088,CheckName!A:B,2,0)</f>
        <v>CRC</v>
      </c>
      <c r="L2088">
        <v>0</v>
      </c>
      <c r="M2088">
        <f t="shared" si="309"/>
        <v>16</v>
      </c>
      <c r="N2088" t="str">
        <f>TEXT(MTDRejection[[#This Row],[RejectionDate]],"dddd")</f>
        <v>Monday</v>
      </c>
    </row>
    <row r="2089" spans="1:14">
      <c r="A2089" t="s">
        <v>84</v>
      </c>
      <c r="B2089" t="s">
        <v>4579</v>
      </c>
      <c r="C2089" t="s">
        <v>49</v>
      </c>
      <c r="D2089" t="s">
        <v>26</v>
      </c>
      <c r="E2089" s="7">
        <v>45642</v>
      </c>
      <c r="F2089" t="s">
        <v>118</v>
      </c>
      <c r="G2089">
        <v>0</v>
      </c>
      <c r="H2089" t="s">
        <v>27</v>
      </c>
      <c r="I2089" t="s">
        <v>16</v>
      </c>
      <c r="J2089" t="s">
        <v>16</v>
      </c>
      <c r="K2089" t="str">
        <f>VLOOKUP(C2089,CheckName!A:B,2,0)</f>
        <v>CRC</v>
      </c>
      <c r="L2089">
        <v>0</v>
      </c>
      <c r="M2089">
        <f t="shared" si="309"/>
        <v>16</v>
      </c>
      <c r="N2089" t="str">
        <f>TEXT(MTDRejection[[#This Row],[RejectionDate]],"dddd")</f>
        <v>Monday</v>
      </c>
    </row>
    <row r="2090" spans="1:14">
      <c r="A2090" t="s">
        <v>84</v>
      </c>
      <c r="B2090" t="s">
        <v>4521</v>
      </c>
      <c r="C2090" t="s">
        <v>49</v>
      </c>
      <c r="D2090" t="s">
        <v>26</v>
      </c>
      <c r="E2090" s="7">
        <v>45642</v>
      </c>
      <c r="F2090" t="s">
        <v>118</v>
      </c>
      <c r="G2090">
        <v>0</v>
      </c>
      <c r="H2090" t="s">
        <v>22</v>
      </c>
      <c r="I2090" t="s">
        <v>16</v>
      </c>
      <c r="J2090" t="s">
        <v>16</v>
      </c>
      <c r="K2090" t="str">
        <f>VLOOKUP(C2090,CheckName!A:B,2,0)</f>
        <v>CRC</v>
      </c>
      <c r="L2090">
        <v>0</v>
      </c>
      <c r="M2090">
        <f>DAY(E2090)</f>
        <v>16</v>
      </c>
      <c r="N2090" t="str">
        <f>TEXT(MTDRejection[[#This Row],[RejectionDate]],"dddd")</f>
        <v>Monday</v>
      </c>
    </row>
    <row r="2091" spans="1:14">
      <c r="A2091" t="s">
        <v>84</v>
      </c>
      <c r="B2091" t="s">
        <v>1915</v>
      </c>
      <c r="C2091" t="s">
        <v>49</v>
      </c>
      <c r="D2091" t="s">
        <v>26</v>
      </c>
      <c r="E2091" s="7">
        <v>45642</v>
      </c>
      <c r="F2091" t="s">
        <v>118</v>
      </c>
      <c r="G2091">
        <v>0</v>
      </c>
      <c r="H2091" t="s">
        <v>22</v>
      </c>
      <c r="I2091" t="s">
        <v>16</v>
      </c>
      <c r="J2091" t="s">
        <v>16</v>
      </c>
      <c r="K2091" t="str">
        <f>VLOOKUP(C2091,CheckName!A:B,2,0)</f>
        <v>CRC</v>
      </c>
      <c r="L2091">
        <v>0</v>
      </c>
      <c r="M2091">
        <f>DAY(E2091)</f>
        <v>16</v>
      </c>
      <c r="N2091" t="str">
        <f>TEXT(MTDRejection[[#This Row],[RejectionDate]],"dddd")</f>
        <v>Monday</v>
      </c>
    </row>
    <row r="2092" spans="1:14">
      <c r="A2092" t="s">
        <v>285</v>
      </c>
      <c r="B2092" t="s">
        <v>4580</v>
      </c>
      <c r="C2092" t="s">
        <v>125</v>
      </c>
      <c r="D2092" t="s">
        <v>26</v>
      </c>
      <c r="E2092" s="7">
        <v>45642</v>
      </c>
      <c r="F2092" t="s">
        <v>2337</v>
      </c>
      <c r="G2092">
        <v>0</v>
      </c>
      <c r="H2092" t="s">
        <v>130</v>
      </c>
      <c r="I2092" t="s">
        <v>16</v>
      </c>
      <c r="J2092" t="s">
        <v>16</v>
      </c>
      <c r="K2092" t="str">
        <f>VLOOKUP(C2092,CheckName!A:B,2,0)</f>
        <v>Emp</v>
      </c>
      <c r="L2092">
        <v>0</v>
      </c>
      <c r="M2092">
        <f t="shared" ref="M2092:M2107" si="310">DAY(E2092)</f>
        <v>16</v>
      </c>
      <c r="N2092" t="str">
        <f>TEXT(MTDRejection[[#This Row],[RejectionDate]],"dddd")</f>
        <v>Monday</v>
      </c>
    </row>
    <row r="2093" spans="1:14">
      <c r="A2093" t="s">
        <v>142</v>
      </c>
      <c r="B2093" t="s">
        <v>4581</v>
      </c>
      <c r="C2093" t="s">
        <v>1347</v>
      </c>
      <c r="D2093" t="s">
        <v>26</v>
      </c>
      <c r="E2093" s="7">
        <v>45642</v>
      </c>
      <c r="F2093" t="s">
        <v>118</v>
      </c>
      <c r="G2093">
        <v>0</v>
      </c>
      <c r="H2093" t="s">
        <v>15</v>
      </c>
      <c r="I2093" t="s">
        <v>16</v>
      </c>
      <c r="J2093" t="s">
        <v>16</v>
      </c>
      <c r="K2093" t="str">
        <f>VLOOKUP(C2093,CheckName!A:B,2,0)</f>
        <v>CRC</v>
      </c>
      <c r="L2093">
        <v>0</v>
      </c>
      <c r="M2093">
        <f t="shared" si="310"/>
        <v>16</v>
      </c>
      <c r="N2093" t="str">
        <f>TEXT(MTDRejection[[#This Row],[RejectionDate]],"dddd")</f>
        <v>Monday</v>
      </c>
    </row>
    <row r="2094" spans="1:14">
      <c r="A2094" t="s">
        <v>142</v>
      </c>
      <c r="B2094" t="s">
        <v>4582</v>
      </c>
      <c r="C2094" t="s">
        <v>49</v>
      </c>
      <c r="D2094" t="s">
        <v>26</v>
      </c>
      <c r="E2094" s="7">
        <v>45642</v>
      </c>
      <c r="F2094" t="s">
        <v>118</v>
      </c>
      <c r="G2094">
        <v>0</v>
      </c>
      <c r="H2094" t="s">
        <v>130</v>
      </c>
      <c r="I2094" t="s">
        <v>16</v>
      </c>
      <c r="J2094" t="s">
        <v>16</v>
      </c>
      <c r="K2094" t="str">
        <f>VLOOKUP(C2094,CheckName!A:B,2,0)</f>
        <v>CRC</v>
      </c>
      <c r="L2094">
        <v>0</v>
      </c>
      <c r="M2094">
        <f t="shared" si="310"/>
        <v>16</v>
      </c>
      <c r="N2094" t="str">
        <f>TEXT(MTDRejection[[#This Row],[RejectionDate]],"dddd")</f>
        <v>Monday</v>
      </c>
    </row>
    <row r="2095" spans="1:14">
      <c r="A2095" t="s">
        <v>142</v>
      </c>
      <c r="B2095" t="s">
        <v>4583</v>
      </c>
      <c r="C2095" t="s">
        <v>49</v>
      </c>
      <c r="D2095" t="s">
        <v>26</v>
      </c>
      <c r="E2095" s="7">
        <v>45642</v>
      </c>
      <c r="F2095" t="s">
        <v>118</v>
      </c>
      <c r="G2095">
        <v>0</v>
      </c>
      <c r="H2095" t="s">
        <v>22</v>
      </c>
      <c r="I2095" t="s">
        <v>16</v>
      </c>
      <c r="J2095" t="s">
        <v>16</v>
      </c>
      <c r="K2095" t="str">
        <f>VLOOKUP(C2095,CheckName!A:B,2,0)</f>
        <v>CRC</v>
      </c>
      <c r="L2095">
        <v>0</v>
      </c>
      <c r="M2095">
        <f t="shared" si="310"/>
        <v>16</v>
      </c>
      <c r="N2095" t="str">
        <f>TEXT(MTDRejection[[#This Row],[RejectionDate]],"dddd")</f>
        <v>Monday</v>
      </c>
    </row>
    <row r="2096" spans="1:14">
      <c r="A2096" t="s">
        <v>142</v>
      </c>
      <c r="B2096" t="s">
        <v>4584</v>
      </c>
      <c r="C2096" t="s">
        <v>49</v>
      </c>
      <c r="D2096" t="s">
        <v>26</v>
      </c>
      <c r="E2096" s="7">
        <v>45642</v>
      </c>
      <c r="F2096" t="s">
        <v>118</v>
      </c>
      <c r="G2096">
        <v>0</v>
      </c>
      <c r="H2096" t="s">
        <v>130</v>
      </c>
      <c r="I2096" t="s">
        <v>16</v>
      </c>
      <c r="J2096" t="s">
        <v>16</v>
      </c>
      <c r="K2096" t="str">
        <f>VLOOKUP(C2096,CheckName!A:B,2,0)</f>
        <v>CRC</v>
      </c>
      <c r="L2096">
        <v>0</v>
      </c>
      <c r="M2096">
        <f t="shared" si="310"/>
        <v>16</v>
      </c>
      <c r="N2096" t="str">
        <f>TEXT(MTDRejection[[#This Row],[RejectionDate]],"dddd")</f>
        <v>Monday</v>
      </c>
    </row>
    <row r="2097" spans="1:14">
      <c r="A2097" t="s">
        <v>142</v>
      </c>
      <c r="B2097" t="s">
        <v>4585</v>
      </c>
      <c r="C2097" t="s">
        <v>49</v>
      </c>
      <c r="D2097" t="s">
        <v>26</v>
      </c>
      <c r="E2097" s="7">
        <v>45642</v>
      </c>
      <c r="F2097" t="s">
        <v>118</v>
      </c>
      <c r="G2097">
        <v>0</v>
      </c>
      <c r="H2097" t="s">
        <v>30</v>
      </c>
      <c r="I2097" t="s">
        <v>16</v>
      </c>
      <c r="J2097" t="s">
        <v>16</v>
      </c>
      <c r="K2097" t="str">
        <f>VLOOKUP(C2097,CheckName!A:B,2,0)</f>
        <v>CRC</v>
      </c>
      <c r="L2097">
        <v>0</v>
      </c>
      <c r="M2097">
        <f t="shared" si="310"/>
        <v>16</v>
      </c>
      <c r="N2097" t="str">
        <f>TEXT(MTDRejection[[#This Row],[RejectionDate]],"dddd")</f>
        <v>Monday</v>
      </c>
    </row>
    <row r="2098" spans="1:14">
      <c r="A2098" t="s">
        <v>142</v>
      </c>
      <c r="B2098" t="s">
        <v>4586</v>
      </c>
      <c r="C2098" t="s">
        <v>49</v>
      </c>
      <c r="D2098" t="s">
        <v>26</v>
      </c>
      <c r="E2098" s="7">
        <v>45642</v>
      </c>
      <c r="F2098" t="s">
        <v>118</v>
      </c>
      <c r="G2098">
        <v>0</v>
      </c>
      <c r="H2098" t="s">
        <v>22</v>
      </c>
      <c r="I2098" t="s">
        <v>16</v>
      </c>
      <c r="J2098" t="s">
        <v>16</v>
      </c>
      <c r="K2098" t="str">
        <f>VLOOKUP(C2098,CheckName!A:B,2,0)</f>
        <v>CRC</v>
      </c>
      <c r="L2098">
        <v>0</v>
      </c>
      <c r="M2098">
        <f t="shared" si="310"/>
        <v>16</v>
      </c>
      <c r="N2098" t="str">
        <f>TEXT(MTDRejection[[#This Row],[RejectionDate]],"dddd")</f>
        <v>Monday</v>
      </c>
    </row>
    <row r="2099" spans="1:14">
      <c r="A2099" t="s">
        <v>142</v>
      </c>
      <c r="B2099" t="s">
        <v>4587</v>
      </c>
      <c r="C2099" t="s">
        <v>49</v>
      </c>
      <c r="D2099" t="s">
        <v>26</v>
      </c>
      <c r="E2099" s="7">
        <v>45642</v>
      </c>
      <c r="F2099" t="s">
        <v>118</v>
      </c>
      <c r="G2099">
        <v>0</v>
      </c>
      <c r="H2099" t="s">
        <v>30</v>
      </c>
      <c r="I2099" t="s">
        <v>16</v>
      </c>
      <c r="J2099" t="s">
        <v>16</v>
      </c>
      <c r="K2099" t="str">
        <f>VLOOKUP(C2099,CheckName!A:B,2,0)</f>
        <v>CRC</v>
      </c>
      <c r="L2099">
        <v>0</v>
      </c>
      <c r="M2099">
        <f t="shared" si="310"/>
        <v>16</v>
      </c>
      <c r="N2099" t="str">
        <f>TEXT(MTDRejection[[#This Row],[RejectionDate]],"dddd")</f>
        <v>Monday</v>
      </c>
    </row>
    <row r="2100" spans="1:14">
      <c r="A2100" t="s">
        <v>142</v>
      </c>
      <c r="B2100" t="s">
        <v>4588</v>
      </c>
      <c r="C2100" t="s">
        <v>49</v>
      </c>
      <c r="D2100" t="s">
        <v>26</v>
      </c>
      <c r="E2100" s="7">
        <v>45642</v>
      </c>
      <c r="F2100" t="s">
        <v>118</v>
      </c>
      <c r="G2100">
        <v>0</v>
      </c>
      <c r="H2100" t="s">
        <v>15</v>
      </c>
      <c r="I2100" t="s">
        <v>16</v>
      </c>
      <c r="J2100" t="s">
        <v>16</v>
      </c>
      <c r="K2100" t="str">
        <f>VLOOKUP(C2100,CheckName!A:B,2,0)</f>
        <v>CRC</v>
      </c>
      <c r="L2100">
        <v>0</v>
      </c>
      <c r="M2100">
        <f t="shared" si="310"/>
        <v>16</v>
      </c>
      <c r="N2100" t="str">
        <f>TEXT(MTDRejection[[#This Row],[RejectionDate]],"dddd")</f>
        <v>Monday</v>
      </c>
    </row>
    <row r="2101" spans="1:14">
      <c r="A2101" t="s">
        <v>142</v>
      </c>
      <c r="B2101" t="s">
        <v>4589</v>
      </c>
      <c r="C2101" t="s">
        <v>49</v>
      </c>
      <c r="D2101" t="s">
        <v>26</v>
      </c>
      <c r="E2101" s="7">
        <v>45642</v>
      </c>
      <c r="F2101" t="s">
        <v>118</v>
      </c>
      <c r="G2101">
        <v>0</v>
      </c>
      <c r="H2101" t="s">
        <v>22</v>
      </c>
      <c r="I2101" t="s">
        <v>16</v>
      </c>
      <c r="J2101" t="s">
        <v>16</v>
      </c>
      <c r="K2101" t="str">
        <f>VLOOKUP(C2101,CheckName!A:B,2,0)</f>
        <v>CRC</v>
      </c>
      <c r="L2101">
        <v>0</v>
      </c>
      <c r="M2101">
        <f t="shared" si="310"/>
        <v>16</v>
      </c>
      <c r="N2101" t="str">
        <f>TEXT(MTDRejection[[#This Row],[RejectionDate]],"dddd")</f>
        <v>Monday</v>
      </c>
    </row>
    <row r="2102" spans="1:14">
      <c r="A2102" t="s">
        <v>142</v>
      </c>
      <c r="B2102" t="s">
        <v>4585</v>
      </c>
      <c r="C2102" t="s">
        <v>49</v>
      </c>
      <c r="D2102" t="s">
        <v>26</v>
      </c>
      <c r="E2102" s="7">
        <v>45642</v>
      </c>
      <c r="F2102" t="s">
        <v>118</v>
      </c>
      <c r="G2102">
        <v>0</v>
      </c>
      <c r="H2102" t="s">
        <v>95</v>
      </c>
      <c r="I2102" t="s">
        <v>16</v>
      </c>
      <c r="J2102" t="s">
        <v>16</v>
      </c>
      <c r="K2102" t="str">
        <f>VLOOKUP(C2102,CheckName!A:B,2,0)</f>
        <v>CRC</v>
      </c>
      <c r="L2102">
        <v>0</v>
      </c>
      <c r="M2102">
        <f t="shared" si="310"/>
        <v>16</v>
      </c>
      <c r="N2102" t="str">
        <f>TEXT(MTDRejection[[#This Row],[RejectionDate]],"dddd")</f>
        <v>Monday</v>
      </c>
    </row>
    <row r="2103" spans="1:14">
      <c r="A2103" t="s">
        <v>142</v>
      </c>
      <c r="B2103" t="s">
        <v>4590</v>
      </c>
      <c r="C2103" t="s">
        <v>49</v>
      </c>
      <c r="D2103" t="s">
        <v>26</v>
      </c>
      <c r="E2103" s="7">
        <v>45642</v>
      </c>
      <c r="F2103" t="s">
        <v>118</v>
      </c>
      <c r="G2103">
        <v>0</v>
      </c>
      <c r="H2103" t="s">
        <v>27</v>
      </c>
      <c r="I2103" t="s">
        <v>16</v>
      </c>
      <c r="J2103" t="s">
        <v>16</v>
      </c>
      <c r="K2103" t="str">
        <f>VLOOKUP(C2103,CheckName!A:B,2,0)</f>
        <v>CRC</v>
      </c>
      <c r="L2103">
        <v>0</v>
      </c>
      <c r="M2103">
        <f t="shared" si="310"/>
        <v>16</v>
      </c>
      <c r="N2103" t="str">
        <f>TEXT(MTDRejection[[#This Row],[RejectionDate]],"dddd")</f>
        <v>Monday</v>
      </c>
    </row>
    <row r="2104" spans="1:14">
      <c r="A2104" t="s">
        <v>142</v>
      </c>
      <c r="B2104" t="s">
        <v>4125</v>
      </c>
      <c r="C2104" t="s">
        <v>49</v>
      </c>
      <c r="D2104" t="s">
        <v>26</v>
      </c>
      <c r="E2104" s="7">
        <v>45642</v>
      </c>
      <c r="F2104" t="s">
        <v>118</v>
      </c>
      <c r="G2104">
        <v>0</v>
      </c>
      <c r="H2104" t="s">
        <v>27</v>
      </c>
      <c r="I2104" t="s">
        <v>16</v>
      </c>
      <c r="J2104" t="s">
        <v>16</v>
      </c>
      <c r="K2104" t="str">
        <f>VLOOKUP(C2104,CheckName!A:B,2,0)</f>
        <v>CRC</v>
      </c>
      <c r="L2104">
        <v>0</v>
      </c>
      <c r="M2104">
        <f t="shared" si="310"/>
        <v>16</v>
      </c>
      <c r="N2104" t="str">
        <f>TEXT(MTDRejection[[#This Row],[RejectionDate]],"dddd")</f>
        <v>Monday</v>
      </c>
    </row>
    <row r="2105" spans="1:14">
      <c r="A2105" t="s">
        <v>142</v>
      </c>
      <c r="B2105" t="s">
        <v>4591</v>
      </c>
      <c r="C2105" t="s">
        <v>49</v>
      </c>
      <c r="D2105" t="s">
        <v>26</v>
      </c>
      <c r="E2105" s="7">
        <v>45642</v>
      </c>
      <c r="F2105" t="s">
        <v>118</v>
      </c>
      <c r="G2105">
        <v>0</v>
      </c>
      <c r="H2105" t="s">
        <v>22</v>
      </c>
      <c r="I2105" t="s">
        <v>16</v>
      </c>
      <c r="J2105" t="s">
        <v>16</v>
      </c>
      <c r="K2105" t="str">
        <f>VLOOKUP(C2105,CheckName!A:B,2,0)</f>
        <v>CRC</v>
      </c>
      <c r="L2105">
        <v>0</v>
      </c>
      <c r="M2105">
        <f t="shared" si="310"/>
        <v>16</v>
      </c>
      <c r="N2105" t="str">
        <f>TEXT(MTDRejection[[#This Row],[RejectionDate]],"dddd")</f>
        <v>Monday</v>
      </c>
    </row>
    <row r="2106" spans="1:14">
      <c r="A2106" t="s">
        <v>142</v>
      </c>
      <c r="B2106" t="s">
        <v>4592</v>
      </c>
      <c r="C2106" t="s">
        <v>49</v>
      </c>
      <c r="D2106" t="s">
        <v>26</v>
      </c>
      <c r="E2106" s="7">
        <v>45642</v>
      </c>
      <c r="F2106" t="s">
        <v>118</v>
      </c>
      <c r="G2106">
        <v>0</v>
      </c>
      <c r="H2106" t="s">
        <v>22</v>
      </c>
      <c r="I2106" t="s">
        <v>16</v>
      </c>
      <c r="J2106" t="s">
        <v>16</v>
      </c>
      <c r="K2106" t="str">
        <f>VLOOKUP(C2106,CheckName!A:B,2,0)</f>
        <v>CRC</v>
      </c>
      <c r="L2106">
        <v>0</v>
      </c>
      <c r="M2106">
        <f t="shared" si="310"/>
        <v>16</v>
      </c>
      <c r="N2106" t="str">
        <f>TEXT(MTDRejection[[#This Row],[RejectionDate]],"dddd")</f>
        <v>Monday</v>
      </c>
    </row>
    <row r="2107" spans="1:14">
      <c r="A2107" t="s">
        <v>142</v>
      </c>
      <c r="B2107" t="s">
        <v>4593</v>
      </c>
      <c r="C2107" t="s">
        <v>49</v>
      </c>
      <c r="D2107" t="s">
        <v>26</v>
      </c>
      <c r="E2107" s="7">
        <v>45642</v>
      </c>
      <c r="F2107" t="s">
        <v>118</v>
      </c>
      <c r="G2107">
        <v>0</v>
      </c>
      <c r="H2107" t="s">
        <v>22</v>
      </c>
      <c r="I2107" t="s">
        <v>16</v>
      </c>
      <c r="J2107" t="s">
        <v>16</v>
      </c>
      <c r="K2107" t="str">
        <f>VLOOKUP(C2107,CheckName!A:B,2,0)</f>
        <v>CRC</v>
      </c>
      <c r="L2107">
        <v>0</v>
      </c>
      <c r="M2107">
        <f t="shared" si="310"/>
        <v>16</v>
      </c>
      <c r="N2107" t="str">
        <f>TEXT(MTDRejection[[#This Row],[RejectionDate]],"dddd")</f>
        <v>Monday</v>
      </c>
    </row>
    <row r="2108" spans="1:14">
      <c r="A2108" t="s">
        <v>142</v>
      </c>
      <c r="B2108" t="s">
        <v>4594</v>
      </c>
      <c r="C2108" t="s">
        <v>49</v>
      </c>
      <c r="D2108" t="s">
        <v>26</v>
      </c>
      <c r="E2108" s="7">
        <v>45639</v>
      </c>
      <c r="F2108" t="s">
        <v>118</v>
      </c>
      <c r="G2108">
        <v>3</v>
      </c>
      <c r="H2108" t="s">
        <v>22</v>
      </c>
      <c r="I2108" t="s">
        <v>16</v>
      </c>
      <c r="J2108" t="s">
        <v>16</v>
      </c>
      <c r="K2108" t="str">
        <f>VLOOKUP(C2108,CheckName!A:B,2,0)</f>
        <v>CRC</v>
      </c>
      <c r="L2108">
        <v>0</v>
      </c>
      <c r="M2108">
        <f>DAY(E2108)</f>
        <v>13</v>
      </c>
      <c r="N2108" t="str">
        <f>TEXT(MTDRejection[[#This Row],[RejectionDate]],"dddd")</f>
        <v>Friday</v>
      </c>
    </row>
    <row r="2109" spans="1:14">
      <c r="A2109" t="s">
        <v>432</v>
      </c>
      <c r="B2109" t="s">
        <v>2523</v>
      </c>
      <c r="C2109" t="s">
        <v>36</v>
      </c>
      <c r="D2109" t="s">
        <v>26</v>
      </c>
      <c r="E2109" s="7">
        <v>45636</v>
      </c>
      <c r="F2109" t="s">
        <v>1936</v>
      </c>
      <c r="G2109">
        <v>6</v>
      </c>
      <c r="H2109" t="s">
        <v>27</v>
      </c>
      <c r="I2109" t="s">
        <v>16</v>
      </c>
      <c r="J2109" t="s">
        <v>16</v>
      </c>
      <c r="K2109" t="str">
        <f>VLOOKUP(C2109,CheckName!A:B,2,0)</f>
        <v>Emp</v>
      </c>
      <c r="L2109">
        <v>0</v>
      </c>
      <c r="M2109">
        <f>DAY(E2109)</f>
        <v>10</v>
      </c>
      <c r="N2109" t="str">
        <f>TEXT(MTDRejection[[#This Row],[RejectionDate]],"dddd")</f>
        <v>Tuesday</v>
      </c>
    </row>
    <row r="2110" spans="1:14">
      <c r="A2110" t="s">
        <v>180</v>
      </c>
      <c r="B2110" t="s">
        <v>4595</v>
      </c>
      <c r="C2110" t="s">
        <v>54</v>
      </c>
      <c r="D2110" t="s">
        <v>13</v>
      </c>
      <c r="E2110" s="7">
        <v>45642</v>
      </c>
      <c r="F2110" t="s">
        <v>2343</v>
      </c>
      <c r="G2110">
        <v>0</v>
      </c>
      <c r="H2110" t="s">
        <v>15</v>
      </c>
      <c r="I2110" t="s">
        <v>16</v>
      </c>
      <c r="J2110" t="s">
        <v>16</v>
      </c>
      <c r="K2110" t="str">
        <f>VLOOKUP(C2110,CheckName!A:B,2,0)</f>
        <v>Edu</v>
      </c>
      <c r="L2110">
        <v>0</v>
      </c>
      <c r="M2110">
        <f>DAY(E2110)</f>
        <v>16</v>
      </c>
      <c r="N2110" t="str">
        <f>TEXT(MTDRejection[[#This Row],[RejectionDate]],"dddd")</f>
        <v>Monday</v>
      </c>
    </row>
    <row r="2111" spans="1:14">
      <c r="A2111" t="s">
        <v>419</v>
      </c>
      <c r="B2111" t="s">
        <v>4596</v>
      </c>
      <c r="C2111" t="s">
        <v>25</v>
      </c>
      <c r="D2111" t="s">
        <v>20</v>
      </c>
      <c r="E2111" s="7">
        <v>45642</v>
      </c>
      <c r="F2111" t="s">
        <v>273</v>
      </c>
      <c r="G2111">
        <v>0</v>
      </c>
      <c r="H2111" t="s">
        <v>27</v>
      </c>
      <c r="I2111" t="s">
        <v>16</v>
      </c>
      <c r="J2111" t="s">
        <v>16</v>
      </c>
      <c r="K2111" t="str">
        <f>VLOOKUP(C2111,CheckName!A:B,2,0)</f>
        <v>Add</v>
      </c>
      <c r="L2111">
        <v>0</v>
      </c>
      <c r="M2111">
        <f>DAY(E2111)</f>
        <v>16</v>
      </c>
      <c r="N2111" t="str">
        <f>TEXT(MTDRejection[[#This Row],[RejectionDate]],"dddd")</f>
        <v>Monday</v>
      </c>
    </row>
    <row r="2112" spans="1:14">
      <c r="A2112" t="s">
        <v>419</v>
      </c>
      <c r="B2112" t="s">
        <v>4597</v>
      </c>
      <c r="C2112" t="s">
        <v>25</v>
      </c>
      <c r="D2112" t="s">
        <v>20</v>
      </c>
      <c r="E2112" s="7">
        <v>45642</v>
      </c>
      <c r="F2112" t="s">
        <v>273</v>
      </c>
      <c r="G2112">
        <v>0</v>
      </c>
      <c r="H2112" t="s">
        <v>22</v>
      </c>
      <c r="I2112" t="s">
        <v>16</v>
      </c>
      <c r="J2112" t="s">
        <v>16</v>
      </c>
      <c r="K2112" t="str">
        <f>VLOOKUP(C2112,CheckName!A:B,2,0)</f>
        <v>Add</v>
      </c>
      <c r="L2112">
        <v>0</v>
      </c>
      <c r="M2112">
        <f t="shared" ref="M2112:M2114" si="311">DAY(E2112)</f>
        <v>16</v>
      </c>
      <c r="N2112" t="str">
        <f>TEXT(MTDRejection[[#This Row],[RejectionDate]],"dddd")</f>
        <v>Monday</v>
      </c>
    </row>
    <row r="2113" spans="1:14">
      <c r="A2113" t="s">
        <v>360</v>
      </c>
      <c r="B2113" t="s">
        <v>1937</v>
      </c>
      <c r="C2113" t="s">
        <v>36</v>
      </c>
      <c r="D2113" t="s">
        <v>26</v>
      </c>
      <c r="E2113" s="7">
        <v>45642</v>
      </c>
      <c r="F2113" t="s">
        <v>325</v>
      </c>
      <c r="G2113">
        <v>0</v>
      </c>
      <c r="H2113" t="s">
        <v>27</v>
      </c>
      <c r="I2113" t="s">
        <v>16</v>
      </c>
      <c r="J2113" t="s">
        <v>16</v>
      </c>
      <c r="K2113" t="str">
        <f>VLOOKUP(C2113,CheckName!A:B,2,0)</f>
        <v>Emp</v>
      </c>
      <c r="L2113">
        <v>0</v>
      </c>
      <c r="M2113">
        <f t="shared" si="311"/>
        <v>16</v>
      </c>
      <c r="N2113" t="str">
        <f>TEXT(MTDRejection[[#This Row],[RejectionDate]],"dddd")</f>
        <v>Monday</v>
      </c>
    </row>
    <row r="2114" spans="1:14">
      <c r="A2114" t="s">
        <v>360</v>
      </c>
      <c r="B2114" t="s">
        <v>4368</v>
      </c>
      <c r="C2114" t="s">
        <v>125</v>
      </c>
      <c r="D2114" t="s">
        <v>26</v>
      </c>
      <c r="E2114" s="7">
        <v>45642</v>
      </c>
      <c r="F2114" t="s">
        <v>325</v>
      </c>
      <c r="G2114">
        <v>0</v>
      </c>
      <c r="H2114" t="s">
        <v>27</v>
      </c>
      <c r="I2114" t="s">
        <v>16</v>
      </c>
      <c r="J2114" t="s">
        <v>16</v>
      </c>
      <c r="K2114" t="str">
        <f>VLOOKUP(C2114,CheckName!A:B,2,0)</f>
        <v>Emp</v>
      </c>
      <c r="L2114">
        <v>0</v>
      </c>
      <c r="M2114">
        <f t="shared" si="311"/>
        <v>16</v>
      </c>
      <c r="N2114" t="str">
        <f>TEXT(MTDRejection[[#This Row],[RejectionDate]],"dddd")</f>
        <v>Monday</v>
      </c>
    </row>
    <row r="2115" spans="1:14">
      <c r="A2115" t="s">
        <v>96</v>
      </c>
      <c r="B2115" t="s">
        <v>4598</v>
      </c>
      <c r="C2115" t="s">
        <v>54</v>
      </c>
      <c r="D2115" t="s">
        <v>51</v>
      </c>
      <c r="E2115" s="7">
        <v>45642</v>
      </c>
      <c r="F2115" t="s">
        <v>555</v>
      </c>
      <c r="G2115">
        <v>0</v>
      </c>
      <c r="H2115" t="s">
        <v>53</v>
      </c>
      <c r="I2115" t="s">
        <v>16</v>
      </c>
      <c r="J2115" t="s">
        <v>16</v>
      </c>
      <c r="K2115" t="str">
        <f>VLOOKUP(C2115,CheckName!A:B,2,0)</f>
        <v>Edu</v>
      </c>
      <c r="L2115">
        <v>0</v>
      </c>
      <c r="M2115">
        <f>DAY(E2115)</f>
        <v>16</v>
      </c>
      <c r="N2115" t="str">
        <f>TEXT(MTDRejection[[#This Row],[RejectionDate]],"dddd")</f>
        <v>Monday</v>
      </c>
    </row>
    <row r="2116" spans="1:14">
      <c r="A2116" t="s">
        <v>81</v>
      </c>
      <c r="B2116" t="s">
        <v>4599</v>
      </c>
      <c r="C2116" t="s">
        <v>12</v>
      </c>
      <c r="D2116" t="s">
        <v>38</v>
      </c>
      <c r="E2116" s="7">
        <v>45642</v>
      </c>
      <c r="F2116" t="s">
        <v>39</v>
      </c>
      <c r="G2116">
        <v>0</v>
      </c>
      <c r="H2116" t="s">
        <v>42</v>
      </c>
      <c r="I2116" t="s">
        <v>16</v>
      </c>
      <c r="J2116" t="s">
        <v>16</v>
      </c>
      <c r="K2116" t="str">
        <f>VLOOKUP(C2116,CheckName!A:B,2,0)</f>
        <v>Emp</v>
      </c>
      <c r="L2116">
        <v>0</v>
      </c>
      <c r="M2116">
        <f>DAY(E2116)</f>
        <v>16</v>
      </c>
      <c r="N2116" t="str">
        <f>TEXT(MTDRejection[[#This Row],[RejectionDate]],"dddd")</f>
        <v>Monday</v>
      </c>
    </row>
    <row r="2117" spans="1:14">
      <c r="A2117" t="s">
        <v>306</v>
      </c>
      <c r="B2117" t="s">
        <v>4600</v>
      </c>
      <c r="C2117" t="s">
        <v>56</v>
      </c>
      <c r="D2117" t="s">
        <v>13</v>
      </c>
      <c r="E2117" s="7">
        <v>45642</v>
      </c>
      <c r="F2117" t="s">
        <v>844</v>
      </c>
      <c r="G2117">
        <v>0</v>
      </c>
      <c r="H2117" t="s">
        <v>15</v>
      </c>
      <c r="I2117" t="s">
        <v>16</v>
      </c>
      <c r="J2117" t="s">
        <v>16</v>
      </c>
      <c r="K2117" t="str">
        <f>VLOOKUP(C2117,CheckName!A:B,2,0)</f>
        <v>Special Check</v>
      </c>
      <c r="L2117">
        <v>0</v>
      </c>
      <c r="M2117">
        <f>DAY(E2117)</f>
        <v>16</v>
      </c>
      <c r="N2117" t="str">
        <f>TEXT(MTDRejection[[#This Row],[RejectionDate]],"dddd")</f>
        <v>Monday</v>
      </c>
    </row>
    <row r="2118" spans="1:14">
      <c r="A2118" t="s">
        <v>263</v>
      </c>
      <c r="B2118" t="s">
        <v>2578</v>
      </c>
      <c r="C2118" t="s">
        <v>36</v>
      </c>
      <c r="D2118" t="s">
        <v>26</v>
      </c>
      <c r="E2118" s="7">
        <v>45642</v>
      </c>
      <c r="F2118" t="s">
        <v>311</v>
      </c>
      <c r="G2118">
        <v>0</v>
      </c>
      <c r="H2118" t="s">
        <v>27</v>
      </c>
      <c r="I2118" t="s">
        <v>16</v>
      </c>
      <c r="J2118" t="s">
        <v>16</v>
      </c>
      <c r="K2118" t="str">
        <f>VLOOKUP(C2118,CheckName!A:B,2,0)</f>
        <v>Emp</v>
      </c>
      <c r="L2118">
        <v>0</v>
      </c>
      <c r="M2118">
        <f>DAY(E2118)</f>
        <v>16</v>
      </c>
      <c r="N2118" t="str">
        <f>TEXT(MTDRejection[[#This Row],[RejectionDate]],"dddd")</f>
        <v>Monday</v>
      </c>
    </row>
    <row r="2119" spans="1:14">
      <c r="A2119" t="s">
        <v>142</v>
      </c>
      <c r="B2119" t="s">
        <v>4601</v>
      </c>
      <c r="C2119" t="s">
        <v>54</v>
      </c>
      <c r="D2119" t="s">
        <v>13</v>
      </c>
      <c r="E2119" s="7">
        <v>45642</v>
      </c>
      <c r="F2119" t="s">
        <v>98</v>
      </c>
      <c r="G2119">
        <v>0</v>
      </c>
      <c r="H2119" t="s">
        <v>15</v>
      </c>
      <c r="I2119" t="s">
        <v>16</v>
      </c>
      <c r="J2119" t="s">
        <v>16</v>
      </c>
      <c r="K2119" t="str">
        <f>VLOOKUP(C2119,CheckName!A:B,2,0)</f>
        <v>Edu</v>
      </c>
      <c r="L2119">
        <v>0</v>
      </c>
      <c r="M2119">
        <f t="shared" ref="M2119:M2120" si="312">DAY(E2119)</f>
        <v>16</v>
      </c>
      <c r="N2119" t="str">
        <f>TEXT(MTDRejection[[#This Row],[RejectionDate]],"dddd")</f>
        <v>Monday</v>
      </c>
    </row>
    <row r="2120" spans="1:14">
      <c r="A2120" t="s">
        <v>84</v>
      </c>
      <c r="B2120" t="s">
        <v>4602</v>
      </c>
      <c r="C2120" t="s">
        <v>12</v>
      </c>
      <c r="D2120" t="s">
        <v>13</v>
      </c>
      <c r="E2120" s="7">
        <v>45642</v>
      </c>
      <c r="F2120" t="s">
        <v>98</v>
      </c>
      <c r="G2120">
        <v>0</v>
      </c>
      <c r="H2120" t="s">
        <v>15</v>
      </c>
      <c r="I2120" t="s">
        <v>16</v>
      </c>
      <c r="J2120" t="s">
        <v>16</v>
      </c>
      <c r="K2120" t="str">
        <f>VLOOKUP(C2120,CheckName!A:B,2,0)</f>
        <v>Emp</v>
      </c>
      <c r="L2120">
        <v>0</v>
      </c>
      <c r="M2120">
        <f t="shared" si="312"/>
        <v>16</v>
      </c>
      <c r="N2120" t="str">
        <f>TEXT(MTDRejection[[#This Row],[RejectionDate]],"dddd")</f>
        <v>Monday</v>
      </c>
    </row>
    <row r="2121" spans="1:14">
      <c r="A2121" t="s">
        <v>45</v>
      </c>
      <c r="B2121" t="s">
        <v>4603</v>
      </c>
      <c r="C2121" t="s">
        <v>36</v>
      </c>
      <c r="D2121" t="s">
        <v>26</v>
      </c>
      <c r="E2121" s="7">
        <v>45642</v>
      </c>
      <c r="F2121" t="s">
        <v>2346</v>
      </c>
      <c r="G2121">
        <v>0</v>
      </c>
      <c r="H2121" t="s">
        <v>27</v>
      </c>
      <c r="I2121" t="s">
        <v>16</v>
      </c>
      <c r="J2121" t="s">
        <v>16</v>
      </c>
      <c r="K2121" t="str">
        <f>VLOOKUP(C2121,CheckName!A:B,2,0)</f>
        <v>Emp</v>
      </c>
      <c r="L2121">
        <v>0</v>
      </c>
      <c r="M2121">
        <f>DAY(E2121)</f>
        <v>16</v>
      </c>
      <c r="N2121" t="str">
        <f>TEXT(MTDRejection[[#This Row],[RejectionDate]],"dddd")</f>
        <v>Monday</v>
      </c>
    </row>
    <row r="2122" spans="1:14">
      <c r="A2122" t="s">
        <v>419</v>
      </c>
      <c r="B2122" t="s">
        <v>4298</v>
      </c>
      <c r="C2122" t="s">
        <v>25</v>
      </c>
      <c r="D2122" t="s">
        <v>20</v>
      </c>
      <c r="E2122" s="7">
        <v>45630</v>
      </c>
      <c r="F2122" t="s">
        <v>273</v>
      </c>
      <c r="G2122">
        <v>12</v>
      </c>
      <c r="H2122" t="s">
        <v>22</v>
      </c>
      <c r="I2122" t="s">
        <v>16</v>
      </c>
      <c r="J2122" t="s">
        <v>16</v>
      </c>
      <c r="K2122" t="str">
        <f>VLOOKUP(C2122,CheckName!A:B,2,0)</f>
        <v>Add</v>
      </c>
      <c r="L2122">
        <v>1</v>
      </c>
      <c r="M2122">
        <f>DAY(E2122)</f>
        <v>4</v>
      </c>
      <c r="N2122" t="str">
        <f>TEXT(MTDRejection[[#This Row],[RejectionDate]],"dddd")</f>
        <v>Wednesday</v>
      </c>
    </row>
    <row r="2123" spans="1:14">
      <c r="A2123" t="s">
        <v>396</v>
      </c>
      <c r="B2123" t="s">
        <v>4604</v>
      </c>
      <c r="C2123" t="s">
        <v>1103</v>
      </c>
      <c r="D2123" t="s">
        <v>51</v>
      </c>
      <c r="E2123" s="7">
        <v>45643</v>
      </c>
      <c r="F2123" t="s">
        <v>52</v>
      </c>
      <c r="G2123">
        <v>0</v>
      </c>
      <c r="H2123" t="s">
        <v>53</v>
      </c>
      <c r="I2123" t="s">
        <v>16</v>
      </c>
      <c r="J2123" t="s">
        <v>16</v>
      </c>
      <c r="K2123" t="str">
        <f>VLOOKUP(C2123,CheckName!A:B,2,0)</f>
        <v>CRC</v>
      </c>
      <c r="L2123">
        <v>0</v>
      </c>
      <c r="M2123">
        <f t="shared" ref="M2123:M2142" si="313">DAY(E2123)</f>
        <v>17</v>
      </c>
      <c r="N2123" t="str">
        <f>TEXT(MTDRejection[[#This Row],[RejectionDate]],"dddd")</f>
        <v>Tuesday</v>
      </c>
    </row>
    <row r="2124" spans="1:14">
      <c r="A2124" t="s">
        <v>396</v>
      </c>
      <c r="B2124" t="s">
        <v>4605</v>
      </c>
      <c r="C2124" t="s">
        <v>1104</v>
      </c>
      <c r="D2124" t="s">
        <v>51</v>
      </c>
      <c r="E2124" s="7">
        <v>45643</v>
      </c>
      <c r="F2124" t="s">
        <v>52</v>
      </c>
      <c r="G2124">
        <v>0</v>
      </c>
      <c r="H2124" t="s">
        <v>53</v>
      </c>
      <c r="I2124" t="s">
        <v>16</v>
      </c>
      <c r="J2124" t="s">
        <v>16</v>
      </c>
      <c r="K2124" t="str">
        <f>VLOOKUP(C2124,CheckName!A:B,2,0)</f>
        <v>CRC</v>
      </c>
      <c r="L2124">
        <v>0</v>
      </c>
      <c r="M2124">
        <f t="shared" si="313"/>
        <v>17</v>
      </c>
      <c r="N2124" t="str">
        <f>TEXT(MTDRejection[[#This Row],[RejectionDate]],"dddd")</f>
        <v>Tuesday</v>
      </c>
    </row>
    <row r="2125" spans="1:14">
      <c r="A2125" t="s">
        <v>396</v>
      </c>
      <c r="B2125" t="s">
        <v>4606</v>
      </c>
      <c r="C2125" t="s">
        <v>71</v>
      </c>
      <c r="D2125" t="s">
        <v>51</v>
      </c>
      <c r="E2125" s="7">
        <v>45643</v>
      </c>
      <c r="F2125" t="s">
        <v>52</v>
      </c>
      <c r="G2125">
        <v>0</v>
      </c>
      <c r="H2125" t="s">
        <v>53</v>
      </c>
      <c r="I2125" t="s">
        <v>16</v>
      </c>
      <c r="J2125" t="s">
        <v>16</v>
      </c>
      <c r="K2125" t="str">
        <f>VLOOKUP(C2125,CheckName!A:B,2,0)</f>
        <v>CRC</v>
      </c>
      <c r="L2125">
        <v>0</v>
      </c>
      <c r="M2125">
        <f t="shared" si="313"/>
        <v>17</v>
      </c>
      <c r="N2125" t="str">
        <f>TEXT(MTDRejection[[#This Row],[RejectionDate]],"dddd")</f>
        <v>Tuesday</v>
      </c>
    </row>
    <row r="2126" spans="1:14">
      <c r="A2126" t="s">
        <v>396</v>
      </c>
      <c r="B2126" t="s">
        <v>4607</v>
      </c>
      <c r="C2126" t="s">
        <v>122</v>
      </c>
      <c r="D2126" t="s">
        <v>51</v>
      </c>
      <c r="E2126" s="7">
        <v>45643</v>
      </c>
      <c r="F2126" t="s">
        <v>52</v>
      </c>
      <c r="G2126">
        <v>0</v>
      </c>
      <c r="H2126" t="s">
        <v>53</v>
      </c>
      <c r="I2126" t="s">
        <v>16</v>
      </c>
      <c r="J2126" t="s">
        <v>16</v>
      </c>
      <c r="K2126" t="str">
        <f>VLOOKUP(C2126,CheckName!A:B,2,0)</f>
        <v>Special Check</v>
      </c>
      <c r="L2126">
        <v>0</v>
      </c>
      <c r="M2126">
        <f t="shared" si="313"/>
        <v>17</v>
      </c>
      <c r="N2126" t="str">
        <f>TEXT(MTDRejection[[#This Row],[RejectionDate]],"dddd")</f>
        <v>Tuesday</v>
      </c>
    </row>
    <row r="2127" spans="1:14">
      <c r="A2127" t="s">
        <v>396</v>
      </c>
      <c r="B2127" t="s">
        <v>4604</v>
      </c>
      <c r="C2127" t="s">
        <v>59</v>
      </c>
      <c r="D2127" t="s">
        <v>51</v>
      </c>
      <c r="E2127" s="7">
        <v>45643</v>
      </c>
      <c r="F2127" t="s">
        <v>52</v>
      </c>
      <c r="G2127">
        <v>0</v>
      </c>
      <c r="H2127" t="s">
        <v>53</v>
      </c>
      <c r="I2127" t="s">
        <v>16</v>
      </c>
      <c r="J2127" t="s">
        <v>16</v>
      </c>
      <c r="K2127" t="str">
        <f>VLOOKUP(C2127,CheckName!A:B,2,0)</f>
        <v>Special Check</v>
      </c>
      <c r="L2127">
        <v>0</v>
      </c>
      <c r="M2127">
        <f t="shared" si="313"/>
        <v>17</v>
      </c>
      <c r="N2127" t="str">
        <f>TEXT(MTDRejection[[#This Row],[RejectionDate]],"dddd")</f>
        <v>Tuesday</v>
      </c>
    </row>
    <row r="2128" spans="1:14">
      <c r="A2128" t="s">
        <v>396</v>
      </c>
      <c r="B2128" t="s">
        <v>4608</v>
      </c>
      <c r="C2128" t="s">
        <v>1068</v>
      </c>
      <c r="D2128" t="s">
        <v>51</v>
      </c>
      <c r="E2128" s="7">
        <v>45643</v>
      </c>
      <c r="F2128" t="s">
        <v>52</v>
      </c>
      <c r="G2128">
        <v>0</v>
      </c>
      <c r="H2128" t="s">
        <v>53</v>
      </c>
      <c r="I2128" t="s">
        <v>16</v>
      </c>
      <c r="J2128" t="s">
        <v>16</v>
      </c>
      <c r="K2128" t="str">
        <f>VLOOKUP(C2128,CheckName!A:B,2,0)</f>
        <v>Special Check</v>
      </c>
      <c r="L2128">
        <v>0</v>
      </c>
      <c r="M2128">
        <f t="shared" si="313"/>
        <v>17</v>
      </c>
      <c r="N2128" t="str">
        <f>TEXT(MTDRejection[[#This Row],[RejectionDate]],"dddd")</f>
        <v>Tuesday</v>
      </c>
    </row>
    <row r="2129" spans="1:14">
      <c r="A2129" t="s">
        <v>396</v>
      </c>
      <c r="B2129" t="s">
        <v>4609</v>
      </c>
      <c r="C2129" t="s">
        <v>19</v>
      </c>
      <c r="D2129" t="s">
        <v>51</v>
      </c>
      <c r="E2129" s="7">
        <v>45643</v>
      </c>
      <c r="F2129" t="s">
        <v>52</v>
      </c>
      <c r="G2129">
        <v>0</v>
      </c>
      <c r="H2129" t="s">
        <v>53</v>
      </c>
      <c r="I2129" t="s">
        <v>16</v>
      </c>
      <c r="J2129" t="s">
        <v>16</v>
      </c>
      <c r="K2129" t="str">
        <f>VLOOKUP(C2129,CheckName!A:B,2,0)</f>
        <v>Add</v>
      </c>
      <c r="L2129">
        <v>0</v>
      </c>
      <c r="M2129">
        <f t="shared" si="313"/>
        <v>17</v>
      </c>
      <c r="N2129" t="str">
        <f>TEXT(MTDRejection[[#This Row],[RejectionDate]],"dddd")</f>
        <v>Tuesday</v>
      </c>
    </row>
    <row r="2130" spans="1:14">
      <c r="A2130" t="s">
        <v>396</v>
      </c>
      <c r="B2130" t="s">
        <v>2579</v>
      </c>
      <c r="C2130" t="s">
        <v>54</v>
      </c>
      <c r="D2130" t="s">
        <v>51</v>
      </c>
      <c r="E2130" s="7">
        <v>45643</v>
      </c>
      <c r="F2130" t="s">
        <v>52</v>
      </c>
      <c r="G2130">
        <v>0</v>
      </c>
      <c r="H2130" t="s">
        <v>53</v>
      </c>
      <c r="I2130" t="s">
        <v>16</v>
      </c>
      <c r="J2130" t="s">
        <v>16</v>
      </c>
      <c r="K2130" t="str">
        <f>VLOOKUP(C2130,CheckName!A:B,2,0)</f>
        <v>Edu</v>
      </c>
      <c r="L2130">
        <v>0</v>
      </c>
      <c r="M2130">
        <f t="shared" si="313"/>
        <v>17</v>
      </c>
      <c r="N2130" t="str">
        <f>TEXT(MTDRejection[[#This Row],[RejectionDate]],"dddd")</f>
        <v>Tuesday</v>
      </c>
    </row>
    <row r="2131" spans="1:14">
      <c r="A2131" t="s">
        <v>680</v>
      </c>
      <c r="B2131" t="s">
        <v>4610</v>
      </c>
      <c r="C2131" t="s">
        <v>54</v>
      </c>
      <c r="D2131" t="s">
        <v>51</v>
      </c>
      <c r="E2131" s="7">
        <v>45643</v>
      </c>
      <c r="F2131" t="s">
        <v>52</v>
      </c>
      <c r="G2131">
        <v>0</v>
      </c>
      <c r="H2131" t="s">
        <v>53</v>
      </c>
      <c r="I2131" t="s">
        <v>16</v>
      </c>
      <c r="J2131" t="s">
        <v>16</v>
      </c>
      <c r="K2131" t="str">
        <f>VLOOKUP(C2131,CheckName!A:B,2,0)</f>
        <v>Edu</v>
      </c>
      <c r="L2131">
        <v>0</v>
      </c>
      <c r="M2131">
        <f t="shared" si="313"/>
        <v>17</v>
      </c>
      <c r="N2131" t="str">
        <f>TEXT(MTDRejection[[#This Row],[RejectionDate]],"dddd")</f>
        <v>Tuesday</v>
      </c>
    </row>
    <row r="2132" spans="1:14">
      <c r="A2132" t="s">
        <v>100</v>
      </c>
      <c r="B2132" t="s">
        <v>4611</v>
      </c>
      <c r="C2132" t="s">
        <v>775</v>
      </c>
      <c r="D2132" t="s">
        <v>51</v>
      </c>
      <c r="E2132" s="7">
        <v>45643</v>
      </c>
      <c r="F2132" t="s">
        <v>2349</v>
      </c>
      <c r="G2132">
        <v>0</v>
      </c>
      <c r="H2132" t="s">
        <v>53</v>
      </c>
      <c r="I2132" t="s">
        <v>16</v>
      </c>
      <c r="J2132" t="s">
        <v>16</v>
      </c>
      <c r="K2132" t="str">
        <f>VLOOKUP(C2132,CheckName!A:B,2,0)</f>
        <v>Emp</v>
      </c>
      <c r="L2132">
        <v>0</v>
      </c>
      <c r="M2132">
        <f t="shared" si="313"/>
        <v>17</v>
      </c>
      <c r="N2132" t="str">
        <f>TEXT(MTDRejection[[#This Row],[RejectionDate]],"dddd")</f>
        <v>Tuesday</v>
      </c>
    </row>
    <row r="2133" spans="1:14">
      <c r="A2133" t="s">
        <v>306</v>
      </c>
      <c r="B2133" t="s">
        <v>4612</v>
      </c>
      <c r="C2133" t="s">
        <v>56</v>
      </c>
      <c r="D2133" t="s">
        <v>13</v>
      </c>
      <c r="E2133" s="7">
        <v>45643</v>
      </c>
      <c r="F2133" t="s">
        <v>1861</v>
      </c>
      <c r="G2133">
        <v>0</v>
      </c>
      <c r="H2133" t="s">
        <v>15</v>
      </c>
      <c r="I2133" t="s">
        <v>16</v>
      </c>
      <c r="J2133" t="s">
        <v>16</v>
      </c>
      <c r="K2133" t="str">
        <f>VLOOKUP(C2133,CheckName!A:B,2,0)</f>
        <v>Special Check</v>
      </c>
      <c r="L2133">
        <v>0</v>
      </c>
      <c r="M2133">
        <f t="shared" si="313"/>
        <v>17</v>
      </c>
      <c r="N2133" t="str">
        <f>TEXT(MTDRejection[[#This Row],[RejectionDate]],"dddd")</f>
        <v>Tuesday</v>
      </c>
    </row>
    <row r="2134" spans="1:14">
      <c r="A2134" t="s">
        <v>192</v>
      </c>
      <c r="B2134" t="s">
        <v>4613</v>
      </c>
      <c r="C2134" t="s">
        <v>49</v>
      </c>
      <c r="D2134" t="s">
        <v>13</v>
      </c>
      <c r="E2134" s="7">
        <v>45643</v>
      </c>
      <c r="F2134" t="s">
        <v>844</v>
      </c>
      <c r="G2134">
        <v>0</v>
      </c>
      <c r="H2134" t="s">
        <v>15</v>
      </c>
      <c r="I2134" t="s">
        <v>16</v>
      </c>
      <c r="J2134" t="s">
        <v>16</v>
      </c>
      <c r="K2134" t="str">
        <f>VLOOKUP(C2134,CheckName!A:B,2,0)</f>
        <v>CRC</v>
      </c>
      <c r="L2134">
        <v>0</v>
      </c>
      <c r="M2134">
        <f t="shared" si="313"/>
        <v>17</v>
      </c>
      <c r="N2134" t="str">
        <f>TEXT(MTDRejection[[#This Row],[RejectionDate]],"dddd")</f>
        <v>Tuesday</v>
      </c>
    </row>
    <row r="2135" spans="1:14">
      <c r="A2135" t="s">
        <v>192</v>
      </c>
      <c r="B2135" t="s">
        <v>4614</v>
      </c>
      <c r="C2135" t="s">
        <v>19</v>
      </c>
      <c r="D2135" t="s">
        <v>13</v>
      </c>
      <c r="E2135" s="7">
        <v>45643</v>
      </c>
      <c r="F2135" t="s">
        <v>844</v>
      </c>
      <c r="G2135">
        <v>0</v>
      </c>
      <c r="H2135" t="s">
        <v>15</v>
      </c>
      <c r="I2135" t="s">
        <v>16</v>
      </c>
      <c r="J2135" t="s">
        <v>16</v>
      </c>
      <c r="K2135" t="str">
        <f>VLOOKUP(C2135,CheckName!A:B,2,0)</f>
        <v>Add</v>
      </c>
      <c r="L2135">
        <v>0</v>
      </c>
      <c r="M2135">
        <f t="shared" si="313"/>
        <v>17</v>
      </c>
      <c r="N2135" t="str">
        <f>TEXT(MTDRejection[[#This Row],[RejectionDate]],"dddd")</f>
        <v>Tuesday</v>
      </c>
    </row>
    <row r="2136" spans="1:14">
      <c r="A2136" t="s">
        <v>116</v>
      </c>
      <c r="B2136" t="s">
        <v>4615</v>
      </c>
      <c r="C2136" t="s">
        <v>54</v>
      </c>
      <c r="D2136" t="s">
        <v>13</v>
      </c>
      <c r="E2136" s="7">
        <v>45643</v>
      </c>
      <c r="F2136" t="s">
        <v>1421</v>
      </c>
      <c r="G2136">
        <v>0</v>
      </c>
      <c r="H2136" t="s">
        <v>30</v>
      </c>
      <c r="I2136" t="s">
        <v>16</v>
      </c>
      <c r="J2136" t="s">
        <v>16</v>
      </c>
      <c r="K2136" t="str">
        <f>VLOOKUP(C2136,CheckName!A:B,2,0)</f>
        <v>Edu</v>
      </c>
      <c r="L2136">
        <v>0</v>
      </c>
      <c r="M2136">
        <f t="shared" si="313"/>
        <v>17</v>
      </c>
      <c r="N2136" t="str">
        <f>TEXT(MTDRejection[[#This Row],[RejectionDate]],"dddd")</f>
        <v>Tuesday</v>
      </c>
    </row>
    <row r="2137" spans="1:14">
      <c r="A2137" t="s">
        <v>116</v>
      </c>
      <c r="B2137" t="s">
        <v>4616</v>
      </c>
      <c r="C2137" t="s">
        <v>1668</v>
      </c>
      <c r="D2137" t="s">
        <v>13</v>
      </c>
      <c r="E2137" s="7">
        <v>45643</v>
      </c>
      <c r="F2137" t="s">
        <v>1421</v>
      </c>
      <c r="G2137">
        <v>0</v>
      </c>
      <c r="H2137" t="s">
        <v>30</v>
      </c>
      <c r="I2137" t="s">
        <v>16</v>
      </c>
      <c r="J2137" t="s">
        <v>16</v>
      </c>
      <c r="K2137" t="str">
        <f>VLOOKUP(C2137,CheckName!A:B,2,0)</f>
        <v>Edu</v>
      </c>
      <c r="L2137">
        <v>0</v>
      </c>
      <c r="M2137">
        <f t="shared" si="313"/>
        <v>17</v>
      </c>
      <c r="N2137" t="str">
        <f>TEXT(MTDRejection[[#This Row],[RejectionDate]],"dddd")</f>
        <v>Tuesday</v>
      </c>
    </row>
    <row r="2138" spans="1:14">
      <c r="A2138" t="s">
        <v>116</v>
      </c>
      <c r="B2138" t="s">
        <v>4617</v>
      </c>
      <c r="C2138" t="s">
        <v>805</v>
      </c>
      <c r="D2138" t="s">
        <v>13</v>
      </c>
      <c r="E2138" s="7">
        <v>45643</v>
      </c>
      <c r="F2138" t="s">
        <v>1421</v>
      </c>
      <c r="G2138">
        <v>0</v>
      </c>
      <c r="H2138" t="s">
        <v>30</v>
      </c>
      <c r="I2138" t="s">
        <v>16</v>
      </c>
      <c r="J2138" t="s">
        <v>16</v>
      </c>
      <c r="K2138" t="str">
        <f>VLOOKUP(C2138,CheckName!A:B,2,0)</f>
        <v>Edu</v>
      </c>
      <c r="L2138">
        <v>0</v>
      </c>
      <c r="M2138">
        <f t="shared" si="313"/>
        <v>17</v>
      </c>
      <c r="N2138" t="str">
        <f>TEXT(MTDRejection[[#This Row],[RejectionDate]],"dddd")</f>
        <v>Tuesday</v>
      </c>
    </row>
    <row r="2139" spans="1:14">
      <c r="A2139" t="s">
        <v>116</v>
      </c>
      <c r="B2139" t="s">
        <v>4618</v>
      </c>
      <c r="C2139" t="s">
        <v>1730</v>
      </c>
      <c r="D2139" t="s">
        <v>13</v>
      </c>
      <c r="E2139" s="7">
        <v>45643</v>
      </c>
      <c r="F2139" t="s">
        <v>1421</v>
      </c>
      <c r="G2139">
        <v>0</v>
      </c>
      <c r="H2139" t="s">
        <v>30</v>
      </c>
      <c r="I2139" t="s">
        <v>16</v>
      </c>
      <c r="J2139" t="s">
        <v>16</v>
      </c>
      <c r="K2139" t="str">
        <f>VLOOKUP(C2139,CheckName!A:B,2,0)</f>
        <v>Special Check</v>
      </c>
      <c r="L2139">
        <v>0</v>
      </c>
      <c r="M2139">
        <f t="shared" si="313"/>
        <v>17</v>
      </c>
      <c r="N2139" t="str">
        <f>TEXT(MTDRejection[[#This Row],[RejectionDate]],"dddd")</f>
        <v>Tuesday</v>
      </c>
    </row>
    <row r="2140" spans="1:14">
      <c r="A2140" t="s">
        <v>1566</v>
      </c>
      <c r="B2140" t="s">
        <v>4619</v>
      </c>
      <c r="C2140" t="s">
        <v>106</v>
      </c>
      <c r="D2140" t="s">
        <v>13</v>
      </c>
      <c r="E2140" s="7">
        <v>45643</v>
      </c>
      <c r="F2140" t="s">
        <v>107</v>
      </c>
      <c r="G2140">
        <v>0</v>
      </c>
      <c r="H2140" t="s">
        <v>15</v>
      </c>
      <c r="I2140" t="s">
        <v>16</v>
      </c>
      <c r="J2140" t="s">
        <v>16</v>
      </c>
      <c r="K2140" t="str">
        <f>VLOOKUP(C2140,CheckName!A:B,2,0)</f>
        <v>Ref</v>
      </c>
      <c r="L2140">
        <v>0</v>
      </c>
      <c r="M2140">
        <f t="shared" si="313"/>
        <v>17</v>
      </c>
      <c r="N2140" t="str">
        <f>TEXT(MTDRejection[[#This Row],[RejectionDate]],"dddd")</f>
        <v>Tuesday</v>
      </c>
    </row>
    <row r="2141" spans="1:14">
      <c r="A2141" t="s">
        <v>100</v>
      </c>
      <c r="B2141" t="s">
        <v>4620</v>
      </c>
      <c r="C2141" t="s">
        <v>1334</v>
      </c>
      <c r="D2141" t="s">
        <v>13</v>
      </c>
      <c r="E2141" s="7">
        <v>45643</v>
      </c>
      <c r="F2141" t="s">
        <v>1013</v>
      </c>
      <c r="G2141">
        <v>0</v>
      </c>
      <c r="H2141" t="s">
        <v>15</v>
      </c>
      <c r="I2141" t="s">
        <v>16</v>
      </c>
      <c r="J2141" t="s">
        <v>16</v>
      </c>
      <c r="K2141" t="str">
        <f>VLOOKUP(C2141,CheckName!A:B,2,0)</f>
        <v>CRC</v>
      </c>
      <c r="L2141">
        <v>0</v>
      </c>
      <c r="M2141">
        <f t="shared" si="313"/>
        <v>17</v>
      </c>
      <c r="N2141" t="str">
        <f>TEXT(MTDRejection[[#This Row],[RejectionDate]],"dddd")</f>
        <v>Tuesday</v>
      </c>
    </row>
    <row r="2142" spans="1:14">
      <c r="A2142" t="s">
        <v>100</v>
      </c>
      <c r="B2142" t="s">
        <v>4621</v>
      </c>
      <c r="C2142" t="s">
        <v>929</v>
      </c>
      <c r="D2142" t="s">
        <v>13</v>
      </c>
      <c r="E2142" s="7">
        <v>45642</v>
      </c>
      <c r="F2142" t="s">
        <v>1013</v>
      </c>
      <c r="G2142">
        <v>1</v>
      </c>
      <c r="H2142" t="s">
        <v>30</v>
      </c>
      <c r="I2142" t="s">
        <v>16</v>
      </c>
      <c r="J2142" t="s">
        <v>16</v>
      </c>
      <c r="K2142" t="str">
        <f>VLOOKUP(C2142,CheckName!A:B,2,0)</f>
        <v>Investigation</v>
      </c>
      <c r="L2142">
        <v>0</v>
      </c>
      <c r="M2142">
        <f t="shared" si="313"/>
        <v>16</v>
      </c>
      <c r="N2142" t="str">
        <f>TEXT(MTDRejection[[#This Row],[RejectionDate]],"dddd")</f>
        <v>Monday</v>
      </c>
    </row>
    <row r="2143" spans="1:14">
      <c r="A2143" t="s">
        <v>45</v>
      </c>
      <c r="B2143" t="s">
        <v>4622</v>
      </c>
      <c r="C2143" t="s">
        <v>54</v>
      </c>
      <c r="D2143" t="s">
        <v>26</v>
      </c>
      <c r="E2143" s="7">
        <v>45642</v>
      </c>
      <c r="F2143" t="s">
        <v>1304</v>
      </c>
      <c r="G2143">
        <v>1</v>
      </c>
      <c r="H2143" t="s">
        <v>95</v>
      </c>
      <c r="I2143" t="s">
        <v>16</v>
      </c>
      <c r="J2143" t="s">
        <v>16</v>
      </c>
      <c r="K2143" t="str">
        <f>VLOOKUP(C2143,CheckName!A:B,2,0)</f>
        <v>Edu</v>
      </c>
      <c r="L2143">
        <v>0</v>
      </c>
      <c r="M2143">
        <f>DAY(E2143)</f>
        <v>16</v>
      </c>
      <c r="N2143" t="str">
        <f>TEXT(MTDRejection[[#This Row],[RejectionDate]],"dddd")</f>
        <v>Monday</v>
      </c>
    </row>
    <row r="2144" spans="1:14">
      <c r="A2144" t="s">
        <v>912</v>
      </c>
      <c r="B2144" t="s">
        <v>4623</v>
      </c>
      <c r="C2144" t="s">
        <v>12</v>
      </c>
      <c r="D2144" t="s">
        <v>26</v>
      </c>
      <c r="E2144" s="7">
        <v>45642</v>
      </c>
      <c r="F2144" t="s">
        <v>141</v>
      </c>
      <c r="G2144">
        <v>1</v>
      </c>
      <c r="H2144" t="s">
        <v>27</v>
      </c>
      <c r="I2144" t="s">
        <v>16</v>
      </c>
      <c r="J2144" t="s">
        <v>16</v>
      </c>
      <c r="K2144" t="str">
        <f>VLOOKUP(C2144,CheckName!A:B,2,0)</f>
        <v>Emp</v>
      </c>
      <c r="L2144">
        <v>0</v>
      </c>
      <c r="M2144">
        <f t="shared" ref="M2144:M2150" si="314">DAY(E2144)</f>
        <v>16</v>
      </c>
      <c r="N2144" t="str">
        <f>TEXT(MTDRejection[[#This Row],[RejectionDate]],"dddd")</f>
        <v>Monday</v>
      </c>
    </row>
    <row r="2145" spans="1:14">
      <c r="A2145" t="s">
        <v>104</v>
      </c>
      <c r="B2145" t="s">
        <v>2581</v>
      </c>
      <c r="C2145" t="s">
        <v>106</v>
      </c>
      <c r="D2145" t="s">
        <v>26</v>
      </c>
      <c r="E2145" s="7">
        <v>45642</v>
      </c>
      <c r="F2145" t="s">
        <v>294</v>
      </c>
      <c r="G2145">
        <v>1</v>
      </c>
      <c r="H2145" t="s">
        <v>22</v>
      </c>
      <c r="I2145" t="s">
        <v>16</v>
      </c>
      <c r="J2145" t="s">
        <v>16</v>
      </c>
      <c r="K2145" t="str">
        <f>VLOOKUP(C2145,CheckName!A:B,2,0)</f>
        <v>Ref</v>
      </c>
      <c r="L2145">
        <v>0</v>
      </c>
      <c r="M2145">
        <f t="shared" si="314"/>
        <v>16</v>
      </c>
      <c r="N2145" t="str">
        <f>TEXT(MTDRejection[[#This Row],[RejectionDate]],"dddd")</f>
        <v>Monday</v>
      </c>
    </row>
    <row r="2146" spans="1:14">
      <c r="A2146" t="s">
        <v>306</v>
      </c>
      <c r="B2146" t="s">
        <v>4624</v>
      </c>
      <c r="C2146" t="s">
        <v>71</v>
      </c>
      <c r="D2146" t="s">
        <v>13</v>
      </c>
      <c r="E2146" s="7">
        <v>45642</v>
      </c>
      <c r="F2146" t="s">
        <v>819</v>
      </c>
      <c r="G2146">
        <v>1</v>
      </c>
      <c r="H2146" t="s">
        <v>15</v>
      </c>
      <c r="I2146" t="s">
        <v>16</v>
      </c>
      <c r="J2146" t="s">
        <v>16</v>
      </c>
      <c r="K2146" t="str">
        <f>VLOOKUP(C2146,CheckName!A:B,2,0)</f>
        <v>CRC</v>
      </c>
      <c r="L2146">
        <v>0</v>
      </c>
      <c r="M2146">
        <f t="shared" si="314"/>
        <v>16</v>
      </c>
      <c r="N2146" t="str">
        <f>TEXT(MTDRejection[[#This Row],[RejectionDate]],"dddd")</f>
        <v>Monday</v>
      </c>
    </row>
    <row r="2147" spans="1:14">
      <c r="A2147" t="s">
        <v>306</v>
      </c>
      <c r="B2147" t="s">
        <v>4625</v>
      </c>
      <c r="C2147" t="s">
        <v>71</v>
      </c>
      <c r="D2147" t="s">
        <v>38</v>
      </c>
      <c r="E2147" s="7">
        <v>45642</v>
      </c>
      <c r="F2147" t="s">
        <v>108</v>
      </c>
      <c r="G2147">
        <v>1</v>
      </c>
      <c r="H2147" t="s">
        <v>42</v>
      </c>
      <c r="I2147" t="s">
        <v>16</v>
      </c>
      <c r="J2147" t="s">
        <v>16</v>
      </c>
      <c r="K2147" t="str">
        <f>VLOOKUP(C2147,CheckName!A:B,2,0)</f>
        <v>CRC</v>
      </c>
      <c r="L2147">
        <v>0</v>
      </c>
      <c r="M2147">
        <f t="shared" si="314"/>
        <v>16</v>
      </c>
      <c r="N2147" t="str">
        <f>TEXT(MTDRejection[[#This Row],[RejectionDate]],"dddd")</f>
        <v>Monday</v>
      </c>
    </row>
    <row r="2148" spans="1:14">
      <c r="A2148" t="s">
        <v>116</v>
      </c>
      <c r="B2148" t="s">
        <v>4626</v>
      </c>
      <c r="C2148" t="s">
        <v>56</v>
      </c>
      <c r="D2148" t="s">
        <v>38</v>
      </c>
      <c r="E2148" s="7">
        <v>45642</v>
      </c>
      <c r="F2148" t="s">
        <v>108</v>
      </c>
      <c r="G2148">
        <v>1</v>
      </c>
      <c r="H2148" t="s">
        <v>42</v>
      </c>
      <c r="I2148" t="s">
        <v>16</v>
      </c>
      <c r="J2148" t="s">
        <v>16</v>
      </c>
      <c r="K2148" t="str">
        <f>VLOOKUP(C2148,CheckName!A:B,2,0)</f>
        <v>Special Check</v>
      </c>
      <c r="L2148">
        <v>0</v>
      </c>
      <c r="M2148">
        <f t="shared" si="314"/>
        <v>16</v>
      </c>
      <c r="N2148" t="str">
        <f>TEXT(MTDRejection[[#This Row],[RejectionDate]],"dddd")</f>
        <v>Monday</v>
      </c>
    </row>
    <row r="2149" spans="1:14">
      <c r="A2149" t="s">
        <v>627</v>
      </c>
      <c r="B2149" t="s">
        <v>4627</v>
      </c>
      <c r="C2149" t="s">
        <v>1691</v>
      </c>
      <c r="D2149" t="s">
        <v>38</v>
      </c>
      <c r="E2149" s="7">
        <v>45642</v>
      </c>
      <c r="F2149" t="s">
        <v>108</v>
      </c>
      <c r="G2149">
        <v>1</v>
      </c>
      <c r="H2149" t="s">
        <v>42</v>
      </c>
      <c r="I2149" t="s">
        <v>16</v>
      </c>
      <c r="J2149" t="s">
        <v>16</v>
      </c>
      <c r="K2149" t="str">
        <f>VLOOKUP(C2149,CheckName!A:B,2,0)</f>
        <v>CRC</v>
      </c>
      <c r="L2149">
        <v>0</v>
      </c>
      <c r="M2149">
        <f t="shared" si="314"/>
        <v>16</v>
      </c>
      <c r="N2149" t="str">
        <f>TEXT(MTDRejection[[#This Row],[RejectionDate]],"dddd")</f>
        <v>Monday</v>
      </c>
    </row>
    <row r="2150" spans="1:14">
      <c r="A2150" t="s">
        <v>216</v>
      </c>
      <c r="B2150" t="s">
        <v>4628</v>
      </c>
      <c r="C2150" t="s">
        <v>1730</v>
      </c>
      <c r="D2150" t="s">
        <v>38</v>
      </c>
      <c r="E2150" s="7">
        <v>45642</v>
      </c>
      <c r="F2150" t="s">
        <v>108</v>
      </c>
      <c r="G2150">
        <v>1</v>
      </c>
      <c r="H2150" t="s">
        <v>42</v>
      </c>
      <c r="I2150" t="s">
        <v>16</v>
      </c>
      <c r="J2150" t="s">
        <v>16</v>
      </c>
      <c r="K2150" t="str">
        <f>VLOOKUP(C2150,CheckName!A:B,2,0)</f>
        <v>Special Check</v>
      </c>
      <c r="L2150">
        <v>0</v>
      </c>
      <c r="M2150">
        <f t="shared" si="314"/>
        <v>16</v>
      </c>
      <c r="N2150" t="str">
        <f>TEXT(MTDRejection[[#This Row],[RejectionDate]],"dddd")</f>
        <v>Monday</v>
      </c>
    </row>
    <row r="2151" spans="1:14">
      <c r="A2151" t="s">
        <v>142</v>
      </c>
      <c r="B2151" t="s">
        <v>4629</v>
      </c>
      <c r="C2151" t="s">
        <v>36</v>
      </c>
      <c r="D2151" t="s">
        <v>26</v>
      </c>
      <c r="E2151" s="7">
        <v>45642</v>
      </c>
      <c r="F2151" t="s">
        <v>2333</v>
      </c>
      <c r="G2151">
        <v>1</v>
      </c>
      <c r="H2151" t="s">
        <v>27</v>
      </c>
      <c r="I2151" t="s">
        <v>16</v>
      </c>
      <c r="J2151" t="s">
        <v>16</v>
      </c>
      <c r="K2151" t="str">
        <f>VLOOKUP(C2151,CheckName!A:B,2,0)</f>
        <v>Emp</v>
      </c>
      <c r="L2151">
        <v>0</v>
      </c>
      <c r="M2151">
        <f t="shared" ref="M2151:M2155" si="315">DAY(E2151)</f>
        <v>16</v>
      </c>
      <c r="N2151" t="str">
        <f>TEXT(MTDRejection[[#This Row],[RejectionDate]],"dddd")</f>
        <v>Monday</v>
      </c>
    </row>
    <row r="2152" spans="1:14">
      <c r="A2152" t="s">
        <v>996</v>
      </c>
      <c r="B2152" t="s">
        <v>4630</v>
      </c>
      <c r="C2152" t="s">
        <v>54</v>
      </c>
      <c r="D2152" t="s">
        <v>26</v>
      </c>
      <c r="E2152" s="7">
        <v>45642</v>
      </c>
      <c r="F2152" t="s">
        <v>535</v>
      </c>
      <c r="G2152">
        <v>1</v>
      </c>
      <c r="H2152" t="s">
        <v>27</v>
      </c>
      <c r="I2152" t="s">
        <v>16</v>
      </c>
      <c r="J2152" t="s">
        <v>16</v>
      </c>
      <c r="K2152" t="str">
        <f>VLOOKUP(C2152,CheckName!A:B,2,0)</f>
        <v>Edu</v>
      </c>
      <c r="L2152">
        <v>1</v>
      </c>
      <c r="M2152">
        <f t="shared" si="315"/>
        <v>16</v>
      </c>
      <c r="N2152" t="str">
        <f>TEXT(MTDRejection[[#This Row],[RejectionDate]],"dddd")</f>
        <v>Monday</v>
      </c>
    </row>
    <row r="2153" spans="1:14">
      <c r="A2153" t="s">
        <v>189</v>
      </c>
      <c r="B2153" t="s">
        <v>4631</v>
      </c>
      <c r="C2153" t="s">
        <v>12</v>
      </c>
      <c r="D2153" t="s">
        <v>26</v>
      </c>
      <c r="E2153" s="7">
        <v>45642</v>
      </c>
      <c r="F2153" t="s">
        <v>1139</v>
      </c>
      <c r="G2153">
        <v>1</v>
      </c>
      <c r="H2153" t="s">
        <v>22</v>
      </c>
      <c r="I2153" t="s">
        <v>16</v>
      </c>
      <c r="J2153" t="s">
        <v>16</v>
      </c>
      <c r="K2153" t="str">
        <f>VLOOKUP(C2153,CheckName!A:B,2,0)</f>
        <v>Emp</v>
      </c>
      <c r="L2153">
        <v>0</v>
      </c>
      <c r="M2153">
        <f t="shared" si="315"/>
        <v>16</v>
      </c>
      <c r="N2153" t="str">
        <f>TEXT(MTDRejection[[#This Row],[RejectionDate]],"dddd")</f>
        <v>Monday</v>
      </c>
    </row>
    <row r="2154" spans="1:14">
      <c r="A2154" t="s">
        <v>1939</v>
      </c>
      <c r="B2154" t="s">
        <v>4632</v>
      </c>
      <c r="C2154" t="s">
        <v>54</v>
      </c>
      <c r="D2154" t="s">
        <v>26</v>
      </c>
      <c r="E2154" s="7">
        <v>45642</v>
      </c>
      <c r="F2154" t="s">
        <v>94</v>
      </c>
      <c r="G2154">
        <v>1</v>
      </c>
      <c r="H2154" t="s">
        <v>22</v>
      </c>
      <c r="I2154" t="s">
        <v>16</v>
      </c>
      <c r="J2154" t="s">
        <v>16</v>
      </c>
      <c r="K2154" t="str">
        <f>VLOOKUP(C2154,CheckName!A:B,2,0)</f>
        <v>Edu</v>
      </c>
      <c r="L2154">
        <v>0</v>
      </c>
      <c r="M2154">
        <f t="shared" si="315"/>
        <v>16</v>
      </c>
      <c r="N2154" t="str">
        <f>TEXT(MTDRejection[[#This Row],[RejectionDate]],"dddd")</f>
        <v>Monday</v>
      </c>
    </row>
    <row r="2155" spans="1:14">
      <c r="A2155" t="s">
        <v>912</v>
      </c>
      <c r="B2155" t="s">
        <v>4633</v>
      </c>
      <c r="C2155" t="s">
        <v>12</v>
      </c>
      <c r="D2155" t="s">
        <v>26</v>
      </c>
      <c r="E2155" s="7">
        <v>45642</v>
      </c>
      <c r="F2155" t="s">
        <v>1139</v>
      </c>
      <c r="G2155">
        <v>1</v>
      </c>
      <c r="H2155" t="s">
        <v>27</v>
      </c>
      <c r="I2155" t="s">
        <v>16</v>
      </c>
      <c r="J2155" t="s">
        <v>16</v>
      </c>
      <c r="K2155" t="str">
        <f>VLOOKUP(C2155,CheckName!A:B,2,0)</f>
        <v>Emp</v>
      </c>
      <c r="L2155">
        <v>0</v>
      </c>
      <c r="M2155">
        <f t="shared" si="315"/>
        <v>16</v>
      </c>
      <c r="N2155" t="str">
        <f>TEXT(MTDRejection[[#This Row],[RejectionDate]],"dddd")</f>
        <v>Monday</v>
      </c>
    </row>
    <row r="2156" spans="1:14">
      <c r="A2156" t="s">
        <v>60</v>
      </c>
      <c r="B2156" t="s">
        <v>2582</v>
      </c>
      <c r="C2156" t="s">
        <v>106</v>
      </c>
      <c r="D2156" t="s">
        <v>26</v>
      </c>
      <c r="E2156" s="7">
        <v>45642</v>
      </c>
      <c r="F2156" t="s">
        <v>330</v>
      </c>
      <c r="G2156">
        <v>1</v>
      </c>
      <c r="H2156" t="s">
        <v>290</v>
      </c>
      <c r="I2156" t="s">
        <v>16</v>
      </c>
      <c r="J2156" t="s">
        <v>16</v>
      </c>
      <c r="K2156" t="str">
        <f>VLOOKUP(C2156,CheckName!A:B,2,0)</f>
        <v>Ref</v>
      </c>
      <c r="L2156">
        <v>0</v>
      </c>
      <c r="M2156">
        <f t="shared" ref="M2156:M2159" si="316">DAY(E2156)</f>
        <v>16</v>
      </c>
      <c r="N2156" t="str">
        <f>TEXT(MTDRejection[[#This Row],[RejectionDate]],"dddd")</f>
        <v>Monday</v>
      </c>
    </row>
    <row r="2157" spans="1:14">
      <c r="A2157" t="s">
        <v>60</v>
      </c>
      <c r="B2157" t="s">
        <v>4634</v>
      </c>
      <c r="C2157" t="s">
        <v>106</v>
      </c>
      <c r="D2157" t="s">
        <v>26</v>
      </c>
      <c r="E2157" s="7">
        <v>45642</v>
      </c>
      <c r="F2157" t="s">
        <v>330</v>
      </c>
      <c r="G2157">
        <v>1</v>
      </c>
      <c r="H2157" t="s">
        <v>27</v>
      </c>
      <c r="I2157" t="s">
        <v>16</v>
      </c>
      <c r="J2157" t="s">
        <v>16</v>
      </c>
      <c r="K2157" t="str">
        <f>VLOOKUP(C2157,CheckName!A:B,2,0)</f>
        <v>Ref</v>
      </c>
      <c r="L2157">
        <v>1</v>
      </c>
      <c r="M2157">
        <f t="shared" si="316"/>
        <v>16</v>
      </c>
      <c r="N2157" t="str">
        <f>TEXT(MTDRejection[[#This Row],[RejectionDate]],"dddd")</f>
        <v>Monday</v>
      </c>
    </row>
    <row r="2158" spans="1:14">
      <c r="A2158" t="s">
        <v>81</v>
      </c>
      <c r="B2158" t="s">
        <v>4635</v>
      </c>
      <c r="C2158" t="s">
        <v>54</v>
      </c>
      <c r="D2158" t="s">
        <v>26</v>
      </c>
      <c r="E2158" s="7">
        <v>45642</v>
      </c>
      <c r="F2158" t="s">
        <v>103</v>
      </c>
      <c r="G2158">
        <v>1</v>
      </c>
      <c r="H2158" t="s">
        <v>27</v>
      </c>
      <c r="I2158" t="s">
        <v>16</v>
      </c>
      <c r="J2158" t="s">
        <v>16</v>
      </c>
      <c r="K2158" t="str">
        <f>VLOOKUP(C2158,CheckName!A:B,2,0)</f>
        <v>Edu</v>
      </c>
      <c r="L2158">
        <v>0</v>
      </c>
      <c r="M2158">
        <f t="shared" si="316"/>
        <v>16</v>
      </c>
      <c r="N2158" t="str">
        <f>TEXT(MTDRejection[[#This Row],[RejectionDate]],"dddd")</f>
        <v>Monday</v>
      </c>
    </row>
    <row r="2159" spans="1:14">
      <c r="A2159" t="s">
        <v>60</v>
      </c>
      <c r="B2159" t="s">
        <v>4636</v>
      </c>
      <c r="C2159" t="s">
        <v>220</v>
      </c>
      <c r="D2159" t="s">
        <v>26</v>
      </c>
      <c r="E2159" s="7">
        <v>45642</v>
      </c>
      <c r="F2159" t="s">
        <v>330</v>
      </c>
      <c r="G2159">
        <v>1</v>
      </c>
      <c r="H2159" t="s">
        <v>290</v>
      </c>
      <c r="I2159" t="s">
        <v>16</v>
      </c>
      <c r="J2159" t="s">
        <v>16</v>
      </c>
      <c r="K2159" t="str">
        <f>VLOOKUP(C2159,CheckName!A:B,2,0)</f>
        <v>Ref</v>
      </c>
      <c r="L2159">
        <v>0</v>
      </c>
      <c r="M2159">
        <f t="shared" si="316"/>
        <v>16</v>
      </c>
      <c r="N2159" t="str">
        <f>TEXT(MTDRejection[[#This Row],[RejectionDate]],"dddd")</f>
        <v>Monday</v>
      </c>
    </row>
    <row r="2160" spans="1:14">
      <c r="A2160" t="s">
        <v>465</v>
      </c>
      <c r="B2160" t="s">
        <v>4637</v>
      </c>
      <c r="C2160" t="s">
        <v>54</v>
      </c>
      <c r="D2160" t="s">
        <v>26</v>
      </c>
      <c r="E2160" s="7">
        <v>45642</v>
      </c>
      <c r="F2160" t="s">
        <v>538</v>
      </c>
      <c r="G2160">
        <v>1</v>
      </c>
      <c r="H2160" t="s">
        <v>27</v>
      </c>
      <c r="I2160" t="s">
        <v>16</v>
      </c>
      <c r="J2160" t="s">
        <v>16</v>
      </c>
      <c r="K2160" t="str">
        <f>VLOOKUP(C2160,CheckName!A:B,2,0)</f>
        <v>Edu</v>
      </c>
      <c r="L2160">
        <v>0</v>
      </c>
      <c r="M2160">
        <f t="shared" ref="M2160:M2162" si="317">DAY(E2160)</f>
        <v>16</v>
      </c>
      <c r="N2160" t="str">
        <f>TEXT(MTDRejection[[#This Row],[RejectionDate]],"dddd")</f>
        <v>Monday</v>
      </c>
    </row>
    <row r="2161" spans="1:14">
      <c r="A2161" t="s">
        <v>211</v>
      </c>
      <c r="B2161" t="s">
        <v>4638</v>
      </c>
      <c r="C2161" t="s">
        <v>54</v>
      </c>
      <c r="D2161" t="s">
        <v>26</v>
      </c>
      <c r="E2161" s="7">
        <v>45642</v>
      </c>
      <c r="F2161" t="s">
        <v>103</v>
      </c>
      <c r="G2161">
        <v>1</v>
      </c>
      <c r="H2161" t="s">
        <v>27</v>
      </c>
      <c r="I2161" t="s">
        <v>16</v>
      </c>
      <c r="J2161" t="s">
        <v>16</v>
      </c>
      <c r="K2161" t="str">
        <f>VLOOKUP(C2161,CheckName!A:B,2,0)</f>
        <v>Edu</v>
      </c>
      <c r="L2161">
        <v>0</v>
      </c>
      <c r="M2161">
        <f t="shared" si="317"/>
        <v>16</v>
      </c>
      <c r="N2161" t="str">
        <f>TEXT(MTDRejection[[#This Row],[RejectionDate]],"dddd")</f>
        <v>Monday</v>
      </c>
    </row>
    <row r="2162" spans="1:14">
      <c r="A2162" t="s">
        <v>137</v>
      </c>
      <c r="B2162" t="s">
        <v>4639</v>
      </c>
      <c r="C2162" t="s">
        <v>12</v>
      </c>
      <c r="D2162" t="s">
        <v>26</v>
      </c>
      <c r="E2162" s="7">
        <v>45642</v>
      </c>
      <c r="F2162" t="s">
        <v>169</v>
      </c>
      <c r="G2162">
        <v>1</v>
      </c>
      <c r="H2162" t="s">
        <v>22</v>
      </c>
      <c r="I2162" t="s">
        <v>16</v>
      </c>
      <c r="J2162" t="s">
        <v>16</v>
      </c>
      <c r="K2162" t="str">
        <f>VLOOKUP(C2162,CheckName!A:B,2,0)</f>
        <v>Emp</v>
      </c>
      <c r="L2162">
        <v>0</v>
      </c>
      <c r="M2162">
        <f t="shared" si="317"/>
        <v>16</v>
      </c>
      <c r="N2162" t="str">
        <f>TEXT(MTDRejection[[#This Row],[RejectionDate]],"dddd")</f>
        <v>Monday</v>
      </c>
    </row>
    <row r="2163" spans="1:14">
      <c r="A2163" t="s">
        <v>306</v>
      </c>
      <c r="B2163" t="s">
        <v>1940</v>
      </c>
      <c r="C2163" t="s">
        <v>56</v>
      </c>
      <c r="D2163" t="s">
        <v>13</v>
      </c>
      <c r="E2163" s="7">
        <v>45642</v>
      </c>
      <c r="F2163" t="s">
        <v>1861</v>
      </c>
      <c r="G2163">
        <v>1</v>
      </c>
      <c r="H2163" t="s">
        <v>15</v>
      </c>
      <c r="I2163" t="s">
        <v>16</v>
      </c>
      <c r="J2163" t="s">
        <v>16</v>
      </c>
      <c r="K2163" t="str">
        <f>VLOOKUP(C2163,CheckName!A:B,2,0)</f>
        <v>Special Check</v>
      </c>
      <c r="L2163">
        <v>0</v>
      </c>
      <c r="M2163">
        <f>DAY(E2163)</f>
        <v>16</v>
      </c>
      <c r="N2163" t="str">
        <f>TEXT(MTDRejection[[#This Row],[RejectionDate]],"dddd")</f>
        <v>Monday</v>
      </c>
    </row>
    <row r="2164" spans="1:14">
      <c r="A2164" t="s">
        <v>697</v>
      </c>
      <c r="B2164" t="s">
        <v>4640</v>
      </c>
      <c r="C2164" t="s">
        <v>36</v>
      </c>
      <c r="D2164" t="s">
        <v>26</v>
      </c>
      <c r="E2164" s="7">
        <v>45642</v>
      </c>
      <c r="F2164" t="s">
        <v>355</v>
      </c>
      <c r="G2164">
        <v>1</v>
      </c>
      <c r="H2164" t="s">
        <v>27</v>
      </c>
      <c r="I2164" t="s">
        <v>16</v>
      </c>
      <c r="J2164" t="s">
        <v>16</v>
      </c>
      <c r="K2164" t="str">
        <f>VLOOKUP(C2164,CheckName!A:B,2,0)</f>
        <v>Emp</v>
      </c>
      <c r="L2164">
        <v>0</v>
      </c>
      <c r="M2164">
        <f>DAY(E2164)</f>
        <v>16</v>
      </c>
      <c r="N2164" t="str">
        <f>TEXT(MTDRejection[[#This Row],[RejectionDate]],"dddd")</f>
        <v>Monday</v>
      </c>
    </row>
    <row r="2165" spans="1:14">
      <c r="A2165" t="s">
        <v>1942</v>
      </c>
      <c r="B2165" t="s">
        <v>4641</v>
      </c>
      <c r="C2165" t="s">
        <v>12</v>
      </c>
      <c r="D2165" t="s">
        <v>26</v>
      </c>
      <c r="E2165" s="7">
        <v>45642</v>
      </c>
      <c r="F2165" t="s">
        <v>380</v>
      </c>
      <c r="G2165">
        <v>1</v>
      </c>
      <c r="H2165" t="s">
        <v>27</v>
      </c>
      <c r="I2165" t="s">
        <v>16</v>
      </c>
      <c r="J2165" t="s">
        <v>16</v>
      </c>
      <c r="K2165" t="str">
        <f>VLOOKUP(C2165,CheckName!A:B,2,0)</f>
        <v>Emp</v>
      </c>
      <c r="L2165">
        <v>0</v>
      </c>
      <c r="M2165">
        <f>DAY(E2165)</f>
        <v>16</v>
      </c>
      <c r="N2165" t="str">
        <f>TEXT(MTDRejection[[#This Row],[RejectionDate]],"dddd")</f>
        <v>Monday</v>
      </c>
    </row>
    <row r="2166" spans="1:14">
      <c r="A2166" t="s">
        <v>45</v>
      </c>
      <c r="B2166" t="s">
        <v>4642</v>
      </c>
      <c r="C2166" t="s">
        <v>12</v>
      </c>
      <c r="D2166" t="s">
        <v>26</v>
      </c>
      <c r="E2166" s="7">
        <v>45642</v>
      </c>
      <c r="F2166" t="s">
        <v>83</v>
      </c>
      <c r="G2166">
        <v>1</v>
      </c>
      <c r="H2166" t="s">
        <v>27</v>
      </c>
      <c r="I2166" t="s">
        <v>16</v>
      </c>
      <c r="J2166" t="s">
        <v>16</v>
      </c>
      <c r="K2166" t="str">
        <f>VLOOKUP(C2166,CheckName!A:B,2,0)</f>
        <v>Emp</v>
      </c>
      <c r="L2166">
        <v>0</v>
      </c>
      <c r="M2166">
        <f>DAY(E2166)</f>
        <v>16</v>
      </c>
      <c r="N2166" t="str">
        <f>TEXT(MTDRejection[[#This Row],[RejectionDate]],"dddd")</f>
        <v>Monday</v>
      </c>
    </row>
    <row r="2167" spans="1:14">
      <c r="A2167" t="s">
        <v>47</v>
      </c>
      <c r="B2167" t="s">
        <v>4643</v>
      </c>
      <c r="C2167" t="s">
        <v>12</v>
      </c>
      <c r="D2167" t="s">
        <v>26</v>
      </c>
      <c r="E2167" s="7">
        <v>45642</v>
      </c>
      <c r="F2167" t="s">
        <v>182</v>
      </c>
      <c r="G2167">
        <v>1</v>
      </c>
      <c r="H2167" t="s">
        <v>27</v>
      </c>
      <c r="I2167" t="s">
        <v>16</v>
      </c>
      <c r="J2167" t="s">
        <v>16</v>
      </c>
      <c r="K2167" t="str">
        <f>VLOOKUP(C2167,CheckName!A:B,2,0)</f>
        <v>Emp</v>
      </c>
      <c r="L2167">
        <v>0</v>
      </c>
      <c r="M2167">
        <f t="shared" ref="M2167:M2169" si="318">DAY(E2167)</f>
        <v>16</v>
      </c>
      <c r="N2167" t="str">
        <f>TEXT(MTDRejection[[#This Row],[RejectionDate]],"dddd")</f>
        <v>Monday</v>
      </c>
    </row>
    <row r="2168" spans="1:14">
      <c r="A2168" t="s">
        <v>419</v>
      </c>
      <c r="B2168" t="s">
        <v>4644</v>
      </c>
      <c r="C2168" t="s">
        <v>36</v>
      </c>
      <c r="D2168" t="s">
        <v>26</v>
      </c>
      <c r="E2168" s="7">
        <v>45642</v>
      </c>
      <c r="F2168" t="s">
        <v>355</v>
      </c>
      <c r="G2168">
        <v>1</v>
      </c>
      <c r="H2168" t="s">
        <v>27</v>
      </c>
      <c r="I2168" t="s">
        <v>16</v>
      </c>
      <c r="J2168" t="s">
        <v>16</v>
      </c>
      <c r="K2168" t="str">
        <f>VLOOKUP(C2168,CheckName!A:B,2,0)</f>
        <v>Emp</v>
      </c>
      <c r="L2168">
        <v>0</v>
      </c>
      <c r="M2168">
        <f t="shared" si="318"/>
        <v>16</v>
      </c>
      <c r="N2168" t="str">
        <f>TEXT(MTDRejection[[#This Row],[RejectionDate]],"dddd")</f>
        <v>Monday</v>
      </c>
    </row>
    <row r="2169" spans="1:14">
      <c r="A2169" t="s">
        <v>404</v>
      </c>
      <c r="B2169" t="s">
        <v>4645</v>
      </c>
      <c r="C2169" t="s">
        <v>12</v>
      </c>
      <c r="D2169" t="s">
        <v>26</v>
      </c>
      <c r="E2169" s="7">
        <v>45642</v>
      </c>
      <c r="F2169" t="s">
        <v>182</v>
      </c>
      <c r="G2169">
        <v>1</v>
      </c>
      <c r="H2169" t="s">
        <v>27</v>
      </c>
      <c r="I2169" t="s">
        <v>16</v>
      </c>
      <c r="J2169" t="s">
        <v>16</v>
      </c>
      <c r="K2169" t="str">
        <f>VLOOKUP(C2169,CheckName!A:B,2,0)</f>
        <v>Emp</v>
      </c>
      <c r="L2169">
        <v>0</v>
      </c>
      <c r="M2169">
        <f t="shared" si="318"/>
        <v>16</v>
      </c>
      <c r="N2169" t="str">
        <f>TEXT(MTDRejection[[#This Row],[RejectionDate]],"dddd")</f>
        <v>Monday</v>
      </c>
    </row>
    <row r="2170" spans="1:14">
      <c r="A2170" t="s">
        <v>60</v>
      </c>
      <c r="B2170" t="s">
        <v>4646</v>
      </c>
      <c r="C2170" t="s">
        <v>36</v>
      </c>
      <c r="D2170" t="s">
        <v>26</v>
      </c>
      <c r="E2170" s="7">
        <v>45642</v>
      </c>
      <c r="F2170" t="s">
        <v>1055</v>
      </c>
      <c r="G2170">
        <v>1</v>
      </c>
      <c r="H2170" t="s">
        <v>27</v>
      </c>
      <c r="I2170" t="s">
        <v>16</v>
      </c>
      <c r="J2170" t="s">
        <v>16</v>
      </c>
      <c r="K2170" t="str">
        <f>VLOOKUP(C2170,CheckName!A:B,2,0)</f>
        <v>Emp</v>
      </c>
      <c r="L2170">
        <v>0</v>
      </c>
      <c r="M2170">
        <f>DAY(E2170)</f>
        <v>16</v>
      </c>
      <c r="N2170" t="str">
        <f>TEXT(MTDRejection[[#This Row],[RejectionDate]],"dddd")</f>
        <v>Monday</v>
      </c>
    </row>
    <row r="2171" spans="1:14">
      <c r="A2171" t="s">
        <v>446</v>
      </c>
      <c r="B2171" t="s">
        <v>4647</v>
      </c>
      <c r="C2171" t="s">
        <v>12</v>
      </c>
      <c r="D2171" t="s">
        <v>51</v>
      </c>
      <c r="E2171" s="7">
        <v>45642</v>
      </c>
      <c r="F2171" t="s">
        <v>52</v>
      </c>
      <c r="G2171">
        <v>1</v>
      </c>
      <c r="H2171" t="s">
        <v>53</v>
      </c>
      <c r="I2171" t="s">
        <v>16</v>
      </c>
      <c r="J2171" t="s">
        <v>16</v>
      </c>
      <c r="K2171" t="str">
        <f>VLOOKUP(C2171,CheckName!A:B,2,0)</f>
        <v>Emp</v>
      </c>
      <c r="L2171">
        <v>0</v>
      </c>
      <c r="M2171">
        <f t="shared" ref="M2171:M2174" si="319">DAY(E2171)</f>
        <v>16</v>
      </c>
      <c r="N2171" t="str">
        <f>TEXT(MTDRejection[[#This Row],[RejectionDate]],"dddd")</f>
        <v>Monday</v>
      </c>
    </row>
    <row r="2172" spans="1:14">
      <c r="A2172" t="s">
        <v>317</v>
      </c>
      <c r="B2172" t="s">
        <v>2394</v>
      </c>
      <c r="C2172" t="s">
        <v>12</v>
      </c>
      <c r="D2172" t="s">
        <v>26</v>
      </c>
      <c r="E2172" s="7">
        <v>45642</v>
      </c>
      <c r="F2172" t="s">
        <v>1055</v>
      </c>
      <c r="G2172">
        <v>1</v>
      </c>
      <c r="H2172" t="s">
        <v>27</v>
      </c>
      <c r="I2172" t="s">
        <v>16</v>
      </c>
      <c r="J2172" t="s">
        <v>16</v>
      </c>
      <c r="K2172" t="str">
        <f>VLOOKUP(C2172,CheckName!A:B,2,0)</f>
        <v>Emp</v>
      </c>
      <c r="L2172">
        <v>0</v>
      </c>
      <c r="M2172">
        <f t="shared" si="319"/>
        <v>16</v>
      </c>
      <c r="N2172" t="str">
        <f>TEXT(MTDRejection[[#This Row],[RejectionDate]],"dddd")</f>
        <v>Monday</v>
      </c>
    </row>
    <row r="2173" spans="1:14">
      <c r="A2173" t="s">
        <v>1822</v>
      </c>
      <c r="B2173" t="s">
        <v>4648</v>
      </c>
      <c r="C2173" t="s">
        <v>12</v>
      </c>
      <c r="D2173" t="s">
        <v>26</v>
      </c>
      <c r="E2173" s="7">
        <v>45642</v>
      </c>
      <c r="F2173" t="s">
        <v>1055</v>
      </c>
      <c r="G2173">
        <v>1</v>
      </c>
      <c r="H2173" t="s">
        <v>30</v>
      </c>
      <c r="I2173" t="s">
        <v>16</v>
      </c>
      <c r="J2173" t="s">
        <v>16</v>
      </c>
      <c r="K2173" t="str">
        <f>VLOOKUP(C2173,CheckName!A:B,2,0)</f>
        <v>Emp</v>
      </c>
      <c r="L2173">
        <v>0</v>
      </c>
      <c r="M2173">
        <f t="shared" si="319"/>
        <v>16</v>
      </c>
      <c r="N2173" t="str">
        <f>TEXT(MTDRejection[[#This Row],[RejectionDate]],"dddd")</f>
        <v>Monday</v>
      </c>
    </row>
    <row r="2174" spans="1:14">
      <c r="A2174" t="s">
        <v>45</v>
      </c>
      <c r="B2174" t="s">
        <v>4649</v>
      </c>
      <c r="C2174" t="s">
        <v>36</v>
      </c>
      <c r="D2174" t="s">
        <v>26</v>
      </c>
      <c r="E2174" s="7">
        <v>45642</v>
      </c>
      <c r="F2174" t="s">
        <v>224</v>
      </c>
      <c r="G2174">
        <v>1</v>
      </c>
      <c r="H2174" t="s">
        <v>27</v>
      </c>
      <c r="I2174" t="s">
        <v>16</v>
      </c>
      <c r="J2174" t="s">
        <v>16</v>
      </c>
      <c r="K2174" t="str">
        <f>VLOOKUP(C2174,CheckName!A:B,2,0)</f>
        <v>Emp</v>
      </c>
      <c r="L2174">
        <v>0</v>
      </c>
      <c r="M2174">
        <f t="shared" si="319"/>
        <v>16</v>
      </c>
      <c r="N2174" t="str">
        <f>TEXT(MTDRejection[[#This Row],[RejectionDate]],"dddd")</f>
        <v>Monday</v>
      </c>
    </row>
    <row r="2175" spans="1:14">
      <c r="A2175" t="s">
        <v>627</v>
      </c>
      <c r="B2175" t="s">
        <v>4650</v>
      </c>
      <c r="C2175" t="s">
        <v>12</v>
      </c>
      <c r="D2175" t="s">
        <v>26</v>
      </c>
      <c r="E2175" s="7">
        <v>45642</v>
      </c>
      <c r="F2175" t="s">
        <v>222</v>
      </c>
      <c r="G2175">
        <v>1</v>
      </c>
      <c r="H2175" t="s">
        <v>27</v>
      </c>
      <c r="I2175" t="s">
        <v>16</v>
      </c>
      <c r="J2175" t="s">
        <v>16</v>
      </c>
      <c r="K2175" t="str">
        <f>VLOOKUP(C2175,CheckName!A:B,2,0)</f>
        <v>Emp</v>
      </c>
      <c r="L2175">
        <v>0</v>
      </c>
      <c r="M2175">
        <f t="shared" ref="M2175:M2178" si="320">DAY(E2175)</f>
        <v>16</v>
      </c>
      <c r="N2175" t="str">
        <f>TEXT(MTDRejection[[#This Row],[RejectionDate]],"dddd")</f>
        <v>Monday</v>
      </c>
    </row>
    <row r="2176" spans="1:14">
      <c r="A2176" t="s">
        <v>84</v>
      </c>
      <c r="B2176" t="s">
        <v>4651</v>
      </c>
      <c r="C2176" t="s">
        <v>125</v>
      </c>
      <c r="D2176" t="s">
        <v>13</v>
      </c>
      <c r="E2176" s="7">
        <v>45642</v>
      </c>
      <c r="F2176" t="s">
        <v>1219</v>
      </c>
      <c r="G2176">
        <v>1</v>
      </c>
      <c r="H2176" t="s">
        <v>15</v>
      </c>
      <c r="I2176" t="s">
        <v>16</v>
      </c>
      <c r="J2176" t="s">
        <v>16</v>
      </c>
      <c r="K2176" t="str">
        <f>VLOOKUP(C2176,CheckName!A:B,2,0)</f>
        <v>Emp</v>
      </c>
      <c r="L2176">
        <v>0</v>
      </c>
      <c r="M2176">
        <f t="shared" si="320"/>
        <v>16</v>
      </c>
      <c r="N2176" t="str">
        <f>TEXT(MTDRejection[[#This Row],[RejectionDate]],"dddd")</f>
        <v>Monday</v>
      </c>
    </row>
    <row r="2177" spans="1:14">
      <c r="A2177" t="s">
        <v>64</v>
      </c>
      <c r="B2177" t="s">
        <v>4652</v>
      </c>
      <c r="C2177" t="s">
        <v>25</v>
      </c>
      <c r="D2177" t="s">
        <v>26</v>
      </c>
      <c r="E2177" s="7">
        <v>45642</v>
      </c>
      <c r="F2177" t="s">
        <v>66</v>
      </c>
      <c r="G2177">
        <v>1</v>
      </c>
      <c r="H2177" t="s">
        <v>27</v>
      </c>
      <c r="I2177" t="s">
        <v>16</v>
      </c>
      <c r="J2177" t="s">
        <v>16</v>
      </c>
      <c r="K2177" t="str">
        <f>VLOOKUP(C2177,CheckName!A:B,2,0)</f>
        <v>Add</v>
      </c>
      <c r="L2177">
        <v>0</v>
      </c>
      <c r="M2177">
        <f t="shared" si="320"/>
        <v>16</v>
      </c>
      <c r="N2177" t="str">
        <f>TEXT(MTDRejection[[#This Row],[RejectionDate]],"dddd")</f>
        <v>Monday</v>
      </c>
    </row>
    <row r="2178" spans="1:14">
      <c r="A2178" t="s">
        <v>452</v>
      </c>
      <c r="B2178" t="s">
        <v>4653</v>
      </c>
      <c r="C2178" t="s">
        <v>25</v>
      </c>
      <c r="D2178" t="s">
        <v>20</v>
      </c>
      <c r="E2178" s="7">
        <v>45642</v>
      </c>
      <c r="F2178" t="s">
        <v>2330</v>
      </c>
      <c r="G2178">
        <v>1</v>
      </c>
      <c r="H2178" t="s">
        <v>22</v>
      </c>
      <c r="I2178" t="s">
        <v>16</v>
      </c>
      <c r="J2178" t="s">
        <v>16</v>
      </c>
      <c r="K2178" t="str">
        <f>VLOOKUP(C2178,CheckName!A:B,2,0)</f>
        <v>Add</v>
      </c>
      <c r="L2178">
        <v>0</v>
      </c>
      <c r="M2178">
        <f t="shared" si="320"/>
        <v>16</v>
      </c>
      <c r="N2178" t="str">
        <f>TEXT(MTDRejection[[#This Row],[RejectionDate]],"dddd")</f>
        <v>Monday</v>
      </c>
    </row>
    <row r="2179" spans="1:14">
      <c r="A2179" t="s">
        <v>263</v>
      </c>
      <c r="B2179" t="s">
        <v>2695</v>
      </c>
      <c r="C2179" t="s">
        <v>93</v>
      </c>
      <c r="D2179" t="s">
        <v>26</v>
      </c>
      <c r="E2179" s="7">
        <v>45642</v>
      </c>
      <c r="F2179" t="s">
        <v>63</v>
      </c>
      <c r="G2179">
        <v>1</v>
      </c>
      <c r="H2179" t="s">
        <v>22</v>
      </c>
      <c r="I2179" t="s">
        <v>16</v>
      </c>
      <c r="J2179" t="s">
        <v>16</v>
      </c>
      <c r="K2179" t="str">
        <f>VLOOKUP(C2179,CheckName!A:B,2,0)</f>
        <v>Edu</v>
      </c>
      <c r="L2179">
        <v>0</v>
      </c>
      <c r="M2179">
        <f>DAY(E2179)</f>
        <v>16</v>
      </c>
      <c r="N2179" t="str">
        <f>TEXT(MTDRejection[[#This Row],[RejectionDate]],"dddd")</f>
        <v>Monday</v>
      </c>
    </row>
    <row r="2180" spans="1:14">
      <c r="A2180" t="s">
        <v>84</v>
      </c>
      <c r="B2180" t="s">
        <v>4654</v>
      </c>
      <c r="C2180" t="s">
        <v>19</v>
      </c>
      <c r="D2180" t="s">
        <v>26</v>
      </c>
      <c r="E2180" s="7">
        <v>45642</v>
      </c>
      <c r="F2180" t="s">
        <v>66</v>
      </c>
      <c r="G2180">
        <v>1</v>
      </c>
      <c r="H2180" t="s">
        <v>22</v>
      </c>
      <c r="I2180" t="s">
        <v>16</v>
      </c>
      <c r="J2180" t="s">
        <v>16</v>
      </c>
      <c r="K2180" t="str">
        <f>VLOOKUP(C2180,CheckName!A:B,2,0)</f>
        <v>Add</v>
      </c>
      <c r="L2180">
        <v>1</v>
      </c>
      <c r="M2180">
        <f t="shared" ref="M2180:M2183" si="321">DAY(E2180)</f>
        <v>16</v>
      </c>
      <c r="N2180" t="str">
        <f>TEXT(MTDRejection[[#This Row],[RejectionDate]],"dddd")</f>
        <v>Monday</v>
      </c>
    </row>
    <row r="2181" spans="1:14">
      <c r="A2181" t="s">
        <v>131</v>
      </c>
      <c r="B2181" t="s">
        <v>4655</v>
      </c>
      <c r="C2181" t="s">
        <v>19</v>
      </c>
      <c r="D2181" t="s">
        <v>20</v>
      </c>
      <c r="E2181" s="7">
        <v>45642</v>
      </c>
      <c r="F2181" t="s">
        <v>2330</v>
      </c>
      <c r="G2181">
        <v>1</v>
      </c>
      <c r="H2181" t="s">
        <v>22</v>
      </c>
      <c r="I2181" t="s">
        <v>16</v>
      </c>
      <c r="J2181" t="s">
        <v>16</v>
      </c>
      <c r="K2181" t="str">
        <f>VLOOKUP(C2181,CheckName!A:B,2,0)</f>
        <v>Add</v>
      </c>
      <c r="L2181">
        <v>0</v>
      </c>
      <c r="M2181">
        <f t="shared" si="321"/>
        <v>16</v>
      </c>
      <c r="N2181" t="str">
        <f>TEXT(MTDRejection[[#This Row],[RejectionDate]],"dddd")</f>
        <v>Monday</v>
      </c>
    </row>
    <row r="2182" spans="1:14">
      <c r="A2182" t="s">
        <v>142</v>
      </c>
      <c r="B2182" t="s">
        <v>2487</v>
      </c>
      <c r="C2182" t="s">
        <v>19</v>
      </c>
      <c r="D2182" t="s">
        <v>26</v>
      </c>
      <c r="E2182" s="7">
        <v>45642</v>
      </c>
      <c r="F2182" t="s">
        <v>66</v>
      </c>
      <c r="G2182">
        <v>1</v>
      </c>
      <c r="H2182" t="s">
        <v>30</v>
      </c>
      <c r="I2182" t="s">
        <v>16</v>
      </c>
      <c r="J2182" t="s">
        <v>16</v>
      </c>
      <c r="K2182" t="str">
        <f>VLOOKUP(C2182,CheckName!A:B,2,0)</f>
        <v>Add</v>
      </c>
      <c r="L2182">
        <v>1</v>
      </c>
      <c r="M2182">
        <f t="shared" si="321"/>
        <v>16</v>
      </c>
      <c r="N2182" t="str">
        <f>TEXT(MTDRejection[[#This Row],[RejectionDate]],"dddd")</f>
        <v>Monday</v>
      </c>
    </row>
    <row r="2183" spans="1:14">
      <c r="A2183" t="s">
        <v>119</v>
      </c>
      <c r="B2183" t="s">
        <v>4656</v>
      </c>
      <c r="C2183" t="s">
        <v>25</v>
      </c>
      <c r="D2183" t="s">
        <v>20</v>
      </c>
      <c r="E2183" s="7">
        <v>45642</v>
      </c>
      <c r="F2183" t="s">
        <v>2330</v>
      </c>
      <c r="G2183">
        <v>1</v>
      </c>
      <c r="H2183" t="s">
        <v>27</v>
      </c>
      <c r="I2183" t="s">
        <v>16</v>
      </c>
      <c r="J2183" t="s">
        <v>16</v>
      </c>
      <c r="K2183" t="str">
        <f>VLOOKUP(C2183,CheckName!A:B,2,0)</f>
        <v>Add</v>
      </c>
      <c r="L2183">
        <v>0</v>
      </c>
      <c r="M2183">
        <f t="shared" si="321"/>
        <v>16</v>
      </c>
      <c r="N2183" t="str">
        <f>TEXT(MTDRejection[[#This Row],[RejectionDate]],"dddd")</f>
        <v>Monday</v>
      </c>
    </row>
    <row r="2184" spans="1:14">
      <c r="A2184" t="s">
        <v>1237</v>
      </c>
      <c r="B2184" t="s">
        <v>4657</v>
      </c>
      <c r="C2184" t="s">
        <v>54</v>
      </c>
      <c r="D2184" t="s">
        <v>38</v>
      </c>
      <c r="E2184" s="7">
        <v>45642</v>
      </c>
      <c r="F2184" t="s">
        <v>1776</v>
      </c>
      <c r="G2184">
        <v>1</v>
      </c>
      <c r="H2184" t="s">
        <v>42</v>
      </c>
      <c r="I2184" t="s">
        <v>16</v>
      </c>
      <c r="J2184" t="s">
        <v>16</v>
      </c>
      <c r="K2184" t="str">
        <f>VLOOKUP(C2184,CheckName!A:B,2,0)</f>
        <v>Edu</v>
      </c>
      <c r="L2184">
        <v>0</v>
      </c>
      <c r="M2184">
        <f>DAY(E2184)</f>
        <v>16</v>
      </c>
      <c r="N2184" t="str">
        <f>TEXT(MTDRejection[[#This Row],[RejectionDate]],"dddd")</f>
        <v>Monday</v>
      </c>
    </row>
    <row r="2185" spans="1:14">
      <c r="A2185" t="s">
        <v>306</v>
      </c>
      <c r="B2185" t="s">
        <v>1878</v>
      </c>
      <c r="C2185" t="s">
        <v>12</v>
      </c>
      <c r="D2185" t="s">
        <v>38</v>
      </c>
      <c r="E2185" s="7">
        <v>45642</v>
      </c>
      <c r="F2185" t="s">
        <v>39</v>
      </c>
      <c r="G2185">
        <v>1</v>
      </c>
      <c r="H2185" t="s">
        <v>42</v>
      </c>
      <c r="I2185" t="s">
        <v>16</v>
      </c>
      <c r="J2185" t="s">
        <v>16</v>
      </c>
      <c r="K2185" t="str">
        <f>VLOOKUP(C2185,CheckName!A:B,2,0)</f>
        <v>Emp</v>
      </c>
      <c r="L2185">
        <v>0</v>
      </c>
      <c r="M2185">
        <f t="shared" ref="M2185:M2190" si="322">DAY(E2185)</f>
        <v>16</v>
      </c>
      <c r="N2185" t="str">
        <f>TEXT(MTDRejection[[#This Row],[RejectionDate]],"dddd")</f>
        <v>Monday</v>
      </c>
    </row>
    <row r="2186" spans="1:14">
      <c r="A2186" t="s">
        <v>599</v>
      </c>
      <c r="B2186" t="s">
        <v>4658</v>
      </c>
      <c r="C2186" t="s">
        <v>36</v>
      </c>
      <c r="D2186" t="s">
        <v>26</v>
      </c>
      <c r="E2186" s="7">
        <v>45642</v>
      </c>
      <c r="F2186" t="s">
        <v>675</v>
      </c>
      <c r="G2186">
        <v>1</v>
      </c>
      <c r="H2186" t="s">
        <v>27</v>
      </c>
      <c r="I2186" t="s">
        <v>16</v>
      </c>
      <c r="J2186" t="s">
        <v>16</v>
      </c>
      <c r="K2186" t="str">
        <f>VLOOKUP(C2186,CheckName!A:B,2,0)</f>
        <v>Emp</v>
      </c>
      <c r="L2186">
        <v>0</v>
      </c>
      <c r="M2186">
        <f t="shared" si="322"/>
        <v>16</v>
      </c>
      <c r="N2186" t="str">
        <f>TEXT(MTDRejection[[#This Row],[RejectionDate]],"dddd")</f>
        <v>Monday</v>
      </c>
    </row>
    <row r="2187" spans="1:14">
      <c r="A2187" t="s">
        <v>599</v>
      </c>
      <c r="B2187" t="s">
        <v>4659</v>
      </c>
      <c r="C2187" t="s">
        <v>54</v>
      </c>
      <c r="D2187" t="s">
        <v>51</v>
      </c>
      <c r="E2187" s="7">
        <v>45642</v>
      </c>
      <c r="F2187" t="s">
        <v>555</v>
      </c>
      <c r="G2187">
        <v>1</v>
      </c>
      <c r="H2187" t="s">
        <v>53</v>
      </c>
      <c r="I2187" t="s">
        <v>16</v>
      </c>
      <c r="J2187" t="s">
        <v>16</v>
      </c>
      <c r="K2187" t="str">
        <f>VLOOKUP(C2187,CheckName!A:B,2,0)</f>
        <v>Edu</v>
      </c>
      <c r="L2187">
        <v>0</v>
      </c>
      <c r="M2187">
        <f t="shared" si="322"/>
        <v>16</v>
      </c>
      <c r="N2187" t="str">
        <f>TEXT(MTDRejection[[#This Row],[RejectionDate]],"dddd")</f>
        <v>Monday</v>
      </c>
    </row>
    <row r="2188" spans="1:14">
      <c r="A2188" t="s">
        <v>84</v>
      </c>
      <c r="B2188" t="s">
        <v>4660</v>
      </c>
      <c r="C2188" t="s">
        <v>54</v>
      </c>
      <c r="D2188" t="s">
        <v>51</v>
      </c>
      <c r="E2188" s="7">
        <v>45642</v>
      </c>
      <c r="F2188" t="s">
        <v>555</v>
      </c>
      <c r="G2188">
        <v>1</v>
      </c>
      <c r="H2188" t="s">
        <v>53</v>
      </c>
      <c r="I2188" t="s">
        <v>16</v>
      </c>
      <c r="J2188" t="s">
        <v>16</v>
      </c>
      <c r="K2188" t="str">
        <f>VLOOKUP(C2188,CheckName!A:B,2,0)</f>
        <v>Edu</v>
      </c>
      <c r="L2188">
        <v>0</v>
      </c>
      <c r="M2188">
        <f t="shared" si="322"/>
        <v>16</v>
      </c>
      <c r="N2188" t="str">
        <f>TEXT(MTDRejection[[#This Row],[RejectionDate]],"dddd")</f>
        <v>Monday</v>
      </c>
    </row>
    <row r="2189" spans="1:14">
      <c r="A2189" t="s">
        <v>176</v>
      </c>
      <c r="B2189" t="s">
        <v>2583</v>
      </c>
      <c r="C2189" t="s">
        <v>54</v>
      </c>
      <c r="D2189" t="s">
        <v>26</v>
      </c>
      <c r="E2189" s="7">
        <v>45642</v>
      </c>
      <c r="F2189" t="s">
        <v>458</v>
      </c>
      <c r="G2189">
        <v>1</v>
      </c>
      <c r="H2189" t="s">
        <v>27</v>
      </c>
      <c r="I2189" t="s">
        <v>16</v>
      </c>
      <c r="J2189" t="s">
        <v>16</v>
      </c>
      <c r="K2189" t="str">
        <f>VLOOKUP(C2189,CheckName!A:B,2,0)</f>
        <v>Edu</v>
      </c>
      <c r="L2189">
        <v>0</v>
      </c>
      <c r="M2189">
        <f t="shared" si="322"/>
        <v>16</v>
      </c>
      <c r="N2189" t="str">
        <f>TEXT(MTDRejection[[#This Row],[RejectionDate]],"dddd")</f>
        <v>Monday</v>
      </c>
    </row>
    <row r="2190" spans="1:14">
      <c r="A2190" t="s">
        <v>160</v>
      </c>
      <c r="B2190" t="s">
        <v>4661</v>
      </c>
      <c r="C2190" t="s">
        <v>36</v>
      </c>
      <c r="D2190" t="s">
        <v>26</v>
      </c>
      <c r="E2190" s="7">
        <v>45642</v>
      </c>
      <c r="F2190" t="s">
        <v>675</v>
      </c>
      <c r="G2190">
        <v>1</v>
      </c>
      <c r="H2190" t="s">
        <v>27</v>
      </c>
      <c r="I2190" t="s">
        <v>16</v>
      </c>
      <c r="J2190" t="s">
        <v>16</v>
      </c>
      <c r="K2190" t="str">
        <f>VLOOKUP(C2190,CheckName!A:B,2,0)</f>
        <v>Emp</v>
      </c>
      <c r="L2190">
        <v>0</v>
      </c>
      <c r="M2190">
        <f t="shared" si="322"/>
        <v>16</v>
      </c>
      <c r="N2190" t="str">
        <f>TEXT(MTDRejection[[#This Row],[RejectionDate]],"dddd")</f>
        <v>Monday</v>
      </c>
    </row>
    <row r="2191" spans="1:14">
      <c r="A2191" t="s">
        <v>160</v>
      </c>
      <c r="B2191" t="s">
        <v>4662</v>
      </c>
      <c r="C2191" t="s">
        <v>19</v>
      </c>
      <c r="D2191" t="s">
        <v>26</v>
      </c>
      <c r="E2191" s="7">
        <v>45642</v>
      </c>
      <c r="F2191" t="s">
        <v>2327</v>
      </c>
      <c r="G2191">
        <v>1</v>
      </c>
      <c r="H2191" t="s">
        <v>27</v>
      </c>
      <c r="I2191" t="s">
        <v>16</v>
      </c>
      <c r="J2191" t="s">
        <v>16</v>
      </c>
      <c r="K2191" t="str">
        <f>VLOOKUP(C2191,CheckName!A:B,2,0)</f>
        <v>Add</v>
      </c>
      <c r="L2191">
        <v>0</v>
      </c>
      <c r="M2191">
        <f>DAY(E2191)</f>
        <v>16</v>
      </c>
      <c r="N2191" t="str">
        <f>TEXT(MTDRejection[[#This Row],[RejectionDate]],"dddd")</f>
        <v>Monday</v>
      </c>
    </row>
    <row r="2192" spans="1:14">
      <c r="A2192" t="s">
        <v>1822</v>
      </c>
      <c r="B2192" t="s">
        <v>4663</v>
      </c>
      <c r="C2192" t="s">
        <v>125</v>
      </c>
      <c r="D2192" t="s">
        <v>26</v>
      </c>
      <c r="E2192" s="7">
        <v>45639</v>
      </c>
      <c r="F2192" t="s">
        <v>1055</v>
      </c>
      <c r="G2192">
        <v>4</v>
      </c>
      <c r="H2192" t="s">
        <v>130</v>
      </c>
      <c r="I2192" t="s">
        <v>16</v>
      </c>
      <c r="J2192" t="s">
        <v>16</v>
      </c>
      <c r="K2192" t="str">
        <f>VLOOKUP(C2192,CheckName!A:B,2,0)</f>
        <v>Emp</v>
      </c>
      <c r="L2192">
        <v>0</v>
      </c>
      <c r="M2192">
        <f>DAY(E2192)</f>
        <v>13</v>
      </c>
      <c r="N2192" t="str">
        <f>TEXT(MTDRejection[[#This Row],[RejectionDate]],"dddd")</f>
        <v>Friday</v>
      </c>
    </row>
    <row r="2193" spans="1:14">
      <c r="A2193" t="s">
        <v>1204</v>
      </c>
      <c r="B2193" t="s">
        <v>4664</v>
      </c>
      <c r="C2193" t="s">
        <v>19</v>
      </c>
      <c r="D2193" t="s">
        <v>13</v>
      </c>
      <c r="E2193" s="7">
        <v>45643</v>
      </c>
      <c r="F2193" t="s">
        <v>1310</v>
      </c>
      <c r="G2193">
        <v>0</v>
      </c>
      <c r="H2193" t="s">
        <v>15</v>
      </c>
      <c r="I2193" t="s">
        <v>16</v>
      </c>
      <c r="J2193" t="s">
        <v>16</v>
      </c>
      <c r="K2193" t="str">
        <f>VLOOKUP(C2193,CheckName!A:B,2,0)</f>
        <v>Add</v>
      </c>
      <c r="L2193">
        <v>0</v>
      </c>
      <c r="M2193">
        <f>DAY(E2193)</f>
        <v>17</v>
      </c>
      <c r="N2193" t="str">
        <f>TEXT(MTDRejection[[#This Row],[RejectionDate]],"dddd")</f>
        <v>Tuesday</v>
      </c>
    </row>
    <row r="2194" spans="1:14">
      <c r="A2194" t="s">
        <v>137</v>
      </c>
      <c r="B2194" t="s">
        <v>3781</v>
      </c>
      <c r="C2194" t="s">
        <v>25</v>
      </c>
      <c r="D2194" t="s">
        <v>20</v>
      </c>
      <c r="E2194" s="7">
        <v>45643</v>
      </c>
      <c r="F2194" t="s">
        <v>273</v>
      </c>
      <c r="G2194">
        <v>0</v>
      </c>
      <c r="H2194" t="s">
        <v>22</v>
      </c>
      <c r="I2194" t="s">
        <v>16</v>
      </c>
      <c r="J2194" t="s">
        <v>16</v>
      </c>
      <c r="K2194" t="str">
        <f>VLOOKUP(C2194,CheckName!A:B,2,0)</f>
        <v>Add</v>
      </c>
      <c r="L2194">
        <v>0</v>
      </c>
      <c r="M2194">
        <f>DAY(E2194)</f>
        <v>17</v>
      </c>
      <c r="N2194" t="str">
        <f>TEXT(MTDRejection[[#This Row],[RejectionDate]],"dddd")</f>
        <v>Tuesday</v>
      </c>
    </row>
    <row r="2195" spans="1:14">
      <c r="A2195" t="s">
        <v>671</v>
      </c>
      <c r="B2195" t="s">
        <v>4665</v>
      </c>
      <c r="C2195" t="s">
        <v>36</v>
      </c>
      <c r="D2195" t="s">
        <v>51</v>
      </c>
      <c r="E2195" s="7">
        <v>45643</v>
      </c>
      <c r="F2195" t="s">
        <v>52</v>
      </c>
      <c r="G2195">
        <v>0</v>
      </c>
      <c r="H2195" t="s">
        <v>53</v>
      </c>
      <c r="I2195" t="s">
        <v>16</v>
      </c>
      <c r="J2195" t="s">
        <v>16</v>
      </c>
      <c r="K2195" t="str">
        <f>VLOOKUP(C2195,CheckName!A:B,2,0)</f>
        <v>Emp</v>
      </c>
      <c r="L2195">
        <v>0</v>
      </c>
      <c r="M2195">
        <f t="shared" ref="M2195:M2196" si="323">DAY(E2195)</f>
        <v>17</v>
      </c>
      <c r="N2195" t="str">
        <f>TEXT(MTDRejection[[#This Row],[RejectionDate]],"dddd")</f>
        <v>Tuesday</v>
      </c>
    </row>
    <row r="2196" spans="1:14">
      <c r="A2196" t="s">
        <v>671</v>
      </c>
      <c r="B2196" t="s">
        <v>2584</v>
      </c>
      <c r="C2196" t="s">
        <v>12</v>
      </c>
      <c r="D2196" t="s">
        <v>51</v>
      </c>
      <c r="E2196" s="7">
        <v>45643</v>
      </c>
      <c r="F2196" t="s">
        <v>52</v>
      </c>
      <c r="G2196">
        <v>0</v>
      </c>
      <c r="H2196" t="s">
        <v>53</v>
      </c>
      <c r="I2196" t="s">
        <v>16</v>
      </c>
      <c r="J2196" t="s">
        <v>16</v>
      </c>
      <c r="K2196" t="str">
        <f>VLOOKUP(C2196,CheckName!A:B,2,0)</f>
        <v>Emp</v>
      </c>
      <c r="L2196">
        <v>0</v>
      </c>
      <c r="M2196">
        <f t="shared" si="323"/>
        <v>17</v>
      </c>
      <c r="N2196" t="str">
        <f>TEXT(MTDRejection[[#This Row],[RejectionDate]],"dddd")</f>
        <v>Tuesday</v>
      </c>
    </row>
    <row r="2197" spans="1:14">
      <c r="A2197" t="s">
        <v>1819</v>
      </c>
      <c r="B2197" t="s">
        <v>2585</v>
      </c>
      <c r="C2197" t="s">
        <v>12</v>
      </c>
      <c r="D2197" t="s">
        <v>26</v>
      </c>
      <c r="E2197" s="7">
        <v>45643</v>
      </c>
      <c r="F2197" t="s">
        <v>222</v>
      </c>
      <c r="G2197">
        <v>0</v>
      </c>
      <c r="H2197" t="s">
        <v>27</v>
      </c>
      <c r="I2197" t="s">
        <v>16</v>
      </c>
      <c r="J2197" t="s">
        <v>16</v>
      </c>
      <c r="K2197" t="str">
        <f>VLOOKUP(C2197,CheckName!A:B,2,0)</f>
        <v>Emp</v>
      </c>
      <c r="L2197">
        <v>0</v>
      </c>
      <c r="M2197">
        <f t="shared" ref="M2197:M2214" si="324">DAY(E2197)</f>
        <v>17</v>
      </c>
      <c r="N2197" t="str">
        <f>TEXT(MTDRejection[[#This Row],[RejectionDate]],"dddd")</f>
        <v>Tuesday</v>
      </c>
    </row>
    <row r="2198" spans="1:14">
      <c r="A2198" t="s">
        <v>1755</v>
      </c>
      <c r="B2198" t="s">
        <v>2586</v>
      </c>
      <c r="C2198" t="s">
        <v>19</v>
      </c>
      <c r="D2198" t="s">
        <v>26</v>
      </c>
      <c r="E2198" s="7">
        <v>45643</v>
      </c>
      <c r="F2198" t="s">
        <v>2330</v>
      </c>
      <c r="G2198">
        <v>0</v>
      </c>
      <c r="H2198" t="s">
        <v>30</v>
      </c>
      <c r="I2198" t="s">
        <v>16</v>
      </c>
      <c r="J2198" t="s">
        <v>16</v>
      </c>
      <c r="K2198" t="str">
        <f>VLOOKUP(C2198,CheckName!A:B,2,0)</f>
        <v>Add</v>
      </c>
      <c r="L2198">
        <v>0</v>
      </c>
      <c r="M2198">
        <f t="shared" si="324"/>
        <v>17</v>
      </c>
      <c r="N2198" t="str">
        <f>TEXT(MTDRejection[[#This Row],[RejectionDate]],"dddd")</f>
        <v>Tuesday</v>
      </c>
    </row>
    <row r="2199" spans="1:14">
      <c r="A2199" t="s">
        <v>362</v>
      </c>
      <c r="B2199" t="s">
        <v>4666</v>
      </c>
      <c r="C2199" t="s">
        <v>25</v>
      </c>
      <c r="D2199" t="s">
        <v>26</v>
      </c>
      <c r="E2199" s="7">
        <v>45643</v>
      </c>
      <c r="F2199" t="s">
        <v>66</v>
      </c>
      <c r="G2199">
        <v>0</v>
      </c>
      <c r="H2199" t="s">
        <v>22</v>
      </c>
      <c r="I2199" t="s">
        <v>16</v>
      </c>
      <c r="J2199" t="s">
        <v>16</v>
      </c>
      <c r="K2199" t="str">
        <f>VLOOKUP(C2199,CheckName!A:B,2,0)</f>
        <v>Add</v>
      </c>
      <c r="L2199">
        <v>0</v>
      </c>
      <c r="M2199">
        <f t="shared" si="324"/>
        <v>17</v>
      </c>
      <c r="N2199" t="str">
        <f>TEXT(MTDRejection[[#This Row],[RejectionDate]],"dddd")</f>
        <v>Tuesday</v>
      </c>
    </row>
    <row r="2200" spans="1:14">
      <c r="A2200" t="s">
        <v>362</v>
      </c>
      <c r="B2200" t="s">
        <v>2587</v>
      </c>
      <c r="C2200" t="s">
        <v>25</v>
      </c>
      <c r="D2200" t="s">
        <v>26</v>
      </c>
      <c r="E2200" s="7">
        <v>45643</v>
      </c>
      <c r="F2200" t="s">
        <v>66</v>
      </c>
      <c r="G2200">
        <v>0</v>
      </c>
      <c r="H2200" t="s">
        <v>95</v>
      </c>
      <c r="I2200" t="s">
        <v>16</v>
      </c>
      <c r="J2200" t="s">
        <v>16</v>
      </c>
      <c r="K2200" t="str">
        <f>VLOOKUP(C2200,CheckName!A:B,2,0)</f>
        <v>Add</v>
      </c>
      <c r="L2200">
        <v>0</v>
      </c>
      <c r="M2200">
        <f t="shared" si="324"/>
        <v>17</v>
      </c>
      <c r="N2200" t="str">
        <f>TEXT(MTDRejection[[#This Row],[RejectionDate]],"dddd")</f>
        <v>Tuesday</v>
      </c>
    </row>
    <row r="2201" spans="1:14">
      <c r="A2201" t="s">
        <v>88</v>
      </c>
      <c r="B2201" t="s">
        <v>4667</v>
      </c>
      <c r="C2201" t="s">
        <v>25</v>
      </c>
      <c r="D2201" t="s">
        <v>26</v>
      </c>
      <c r="E2201" s="7">
        <v>45643</v>
      </c>
      <c r="F2201" t="s">
        <v>66</v>
      </c>
      <c r="G2201">
        <v>0</v>
      </c>
      <c r="H2201" t="s">
        <v>27</v>
      </c>
      <c r="I2201" t="s">
        <v>16</v>
      </c>
      <c r="J2201" t="s">
        <v>16</v>
      </c>
      <c r="K2201" t="str">
        <f>VLOOKUP(C2201,CheckName!A:B,2,0)</f>
        <v>Add</v>
      </c>
      <c r="L2201">
        <v>0</v>
      </c>
      <c r="M2201">
        <f t="shared" si="324"/>
        <v>17</v>
      </c>
      <c r="N2201" t="str">
        <f>TEXT(MTDRejection[[#This Row],[RejectionDate]],"dddd")</f>
        <v>Tuesday</v>
      </c>
    </row>
    <row r="2202" spans="1:14">
      <c r="A2202" t="s">
        <v>127</v>
      </c>
      <c r="B2202" t="s">
        <v>4668</v>
      </c>
      <c r="C2202" t="s">
        <v>106</v>
      </c>
      <c r="D2202" t="s">
        <v>13</v>
      </c>
      <c r="E2202" s="7">
        <v>45643</v>
      </c>
      <c r="F2202" t="s">
        <v>72</v>
      </c>
      <c r="G2202">
        <v>0</v>
      </c>
      <c r="H2202" t="s">
        <v>15</v>
      </c>
      <c r="I2202" t="s">
        <v>16</v>
      </c>
      <c r="J2202" t="s">
        <v>16</v>
      </c>
      <c r="K2202" t="str">
        <f>VLOOKUP(C2202,CheckName!A:B,2,0)</f>
        <v>Ref</v>
      </c>
      <c r="L2202">
        <v>0</v>
      </c>
      <c r="M2202">
        <f t="shared" si="324"/>
        <v>17</v>
      </c>
      <c r="N2202" t="str">
        <f>TEXT(MTDRejection[[#This Row],[RejectionDate]],"dddd")</f>
        <v>Tuesday</v>
      </c>
    </row>
    <row r="2203" spans="1:14">
      <c r="A2203" t="s">
        <v>96</v>
      </c>
      <c r="B2203" t="s">
        <v>4669</v>
      </c>
      <c r="C2203" t="s">
        <v>12</v>
      </c>
      <c r="D2203" t="s">
        <v>26</v>
      </c>
      <c r="E2203" s="7">
        <v>45643</v>
      </c>
      <c r="F2203" t="s">
        <v>2341</v>
      </c>
      <c r="G2203">
        <v>0</v>
      </c>
      <c r="H2203" t="s">
        <v>27</v>
      </c>
      <c r="I2203" t="s">
        <v>16</v>
      </c>
      <c r="J2203" t="s">
        <v>16</v>
      </c>
      <c r="K2203" t="str">
        <f>VLOOKUP(C2203,CheckName!A:B,2,0)</f>
        <v>Emp</v>
      </c>
      <c r="L2203">
        <v>0</v>
      </c>
      <c r="M2203">
        <f t="shared" si="324"/>
        <v>17</v>
      </c>
      <c r="N2203" t="str">
        <f>TEXT(MTDRejection[[#This Row],[RejectionDate]],"dddd")</f>
        <v>Tuesday</v>
      </c>
    </row>
    <row r="2204" spans="1:14">
      <c r="A2204" t="s">
        <v>45</v>
      </c>
      <c r="B2204" t="s">
        <v>4670</v>
      </c>
      <c r="C2204" t="s">
        <v>12</v>
      </c>
      <c r="D2204" t="s">
        <v>26</v>
      </c>
      <c r="E2204" s="7">
        <v>45643</v>
      </c>
      <c r="F2204" t="s">
        <v>80</v>
      </c>
      <c r="G2204">
        <v>0</v>
      </c>
      <c r="H2204" t="s">
        <v>22</v>
      </c>
      <c r="I2204" t="s">
        <v>16</v>
      </c>
      <c r="J2204" t="s">
        <v>16</v>
      </c>
      <c r="K2204" t="str">
        <f>VLOOKUP(C2204,CheckName!A:B,2,0)</f>
        <v>Emp</v>
      </c>
      <c r="L2204">
        <v>0</v>
      </c>
      <c r="M2204">
        <f t="shared" si="324"/>
        <v>17</v>
      </c>
      <c r="N2204" t="str">
        <f>TEXT(MTDRejection[[#This Row],[RejectionDate]],"dddd")</f>
        <v>Tuesday</v>
      </c>
    </row>
    <row r="2205" spans="1:14">
      <c r="A2205" t="s">
        <v>186</v>
      </c>
      <c r="B2205" t="s">
        <v>2556</v>
      </c>
      <c r="C2205" t="s">
        <v>12</v>
      </c>
      <c r="D2205" t="s">
        <v>26</v>
      </c>
      <c r="E2205" s="7">
        <v>45643</v>
      </c>
      <c r="F2205" t="s">
        <v>80</v>
      </c>
      <c r="G2205">
        <v>0</v>
      </c>
      <c r="H2205" t="s">
        <v>27</v>
      </c>
      <c r="I2205" t="s">
        <v>16</v>
      </c>
      <c r="J2205" t="s">
        <v>16</v>
      </c>
      <c r="K2205" t="str">
        <f>VLOOKUP(C2205,CheckName!A:B,2,0)</f>
        <v>Emp</v>
      </c>
      <c r="L2205">
        <v>0</v>
      </c>
      <c r="M2205">
        <f t="shared" si="324"/>
        <v>17</v>
      </c>
      <c r="N2205" t="str">
        <f>TEXT(MTDRejection[[#This Row],[RejectionDate]],"dddd")</f>
        <v>Tuesday</v>
      </c>
    </row>
    <row r="2206" spans="1:14">
      <c r="A2206" t="s">
        <v>47</v>
      </c>
      <c r="B2206" t="s">
        <v>4671</v>
      </c>
      <c r="C2206" t="s">
        <v>54</v>
      </c>
      <c r="D2206" t="s">
        <v>26</v>
      </c>
      <c r="E2206" s="7">
        <v>45643</v>
      </c>
      <c r="F2206" t="s">
        <v>188</v>
      </c>
      <c r="G2206">
        <v>0</v>
      </c>
      <c r="H2206" t="s">
        <v>27</v>
      </c>
      <c r="I2206" t="s">
        <v>16</v>
      </c>
      <c r="J2206" t="s">
        <v>16</v>
      </c>
      <c r="K2206" t="str">
        <f>VLOOKUP(C2206,CheckName!A:B,2,0)</f>
        <v>Edu</v>
      </c>
      <c r="L2206">
        <v>0</v>
      </c>
      <c r="M2206">
        <f t="shared" si="324"/>
        <v>17</v>
      </c>
      <c r="N2206" t="str">
        <f>TEXT(MTDRejection[[#This Row],[RejectionDate]],"dddd")</f>
        <v>Tuesday</v>
      </c>
    </row>
    <row r="2207" spans="1:14">
      <c r="A2207" t="s">
        <v>45</v>
      </c>
      <c r="B2207" t="s">
        <v>2588</v>
      </c>
      <c r="C2207" t="s">
        <v>259</v>
      </c>
      <c r="D2207" t="s">
        <v>51</v>
      </c>
      <c r="E2207" s="7">
        <v>45643</v>
      </c>
      <c r="F2207" t="s">
        <v>2349</v>
      </c>
      <c r="G2207">
        <v>0</v>
      </c>
      <c r="H2207" t="s">
        <v>53</v>
      </c>
      <c r="I2207" t="s">
        <v>16</v>
      </c>
      <c r="J2207" t="s">
        <v>16</v>
      </c>
      <c r="K2207" t="str">
        <f>VLOOKUP(C2207,CheckName!A:B,2,0)</f>
        <v>Emp</v>
      </c>
      <c r="L2207">
        <v>0</v>
      </c>
      <c r="M2207">
        <f t="shared" si="324"/>
        <v>17</v>
      </c>
      <c r="N2207" t="str">
        <f>TEXT(MTDRejection[[#This Row],[RejectionDate]],"dddd")</f>
        <v>Tuesday</v>
      </c>
    </row>
    <row r="2208" spans="1:14">
      <c r="A2208" t="s">
        <v>45</v>
      </c>
      <c r="B2208" t="s">
        <v>4672</v>
      </c>
      <c r="C2208" t="s">
        <v>112</v>
      </c>
      <c r="D2208" t="s">
        <v>51</v>
      </c>
      <c r="E2208" s="7">
        <v>45643</v>
      </c>
      <c r="F2208" t="s">
        <v>2349</v>
      </c>
      <c r="G2208">
        <v>0</v>
      </c>
      <c r="H2208" t="s">
        <v>53</v>
      </c>
      <c r="I2208" t="s">
        <v>16</v>
      </c>
      <c r="J2208" t="s">
        <v>16</v>
      </c>
      <c r="K2208" t="str">
        <f>VLOOKUP(C2208,CheckName!A:B,2,0)</f>
        <v>Emp</v>
      </c>
      <c r="L2208">
        <v>0</v>
      </c>
      <c r="M2208">
        <f t="shared" si="324"/>
        <v>17</v>
      </c>
      <c r="N2208" t="str">
        <f>TEXT(MTDRejection[[#This Row],[RejectionDate]],"dddd")</f>
        <v>Tuesday</v>
      </c>
    </row>
    <row r="2209" spans="1:14">
      <c r="A2209" t="s">
        <v>45</v>
      </c>
      <c r="B2209" t="s">
        <v>4673</v>
      </c>
      <c r="C2209" t="s">
        <v>125</v>
      </c>
      <c r="D2209" t="s">
        <v>51</v>
      </c>
      <c r="E2209" s="7">
        <v>45643</v>
      </c>
      <c r="F2209" t="s">
        <v>2349</v>
      </c>
      <c r="G2209">
        <v>0</v>
      </c>
      <c r="H2209" t="s">
        <v>53</v>
      </c>
      <c r="I2209" t="s">
        <v>16</v>
      </c>
      <c r="J2209" t="s">
        <v>16</v>
      </c>
      <c r="K2209" t="str">
        <f>VLOOKUP(C2209,CheckName!A:B,2,0)</f>
        <v>Emp</v>
      </c>
      <c r="L2209">
        <v>0</v>
      </c>
      <c r="M2209">
        <f t="shared" si="324"/>
        <v>17</v>
      </c>
      <c r="N2209" t="str">
        <f>TEXT(MTDRejection[[#This Row],[RejectionDate]],"dddd")</f>
        <v>Tuesday</v>
      </c>
    </row>
    <row r="2210" spans="1:14">
      <c r="A2210" t="s">
        <v>45</v>
      </c>
      <c r="B2210" t="s">
        <v>4674</v>
      </c>
      <c r="C2210" t="s">
        <v>1677</v>
      </c>
      <c r="D2210" t="s">
        <v>51</v>
      </c>
      <c r="E2210" s="7">
        <v>45643</v>
      </c>
      <c r="F2210" t="s">
        <v>2349</v>
      </c>
      <c r="G2210">
        <v>0</v>
      </c>
      <c r="H2210" t="s">
        <v>53</v>
      </c>
      <c r="I2210" t="s">
        <v>16</v>
      </c>
      <c r="J2210" t="s">
        <v>16</v>
      </c>
      <c r="K2210" t="str">
        <f>VLOOKUP(C2210,CheckName!A:B,2,0)</f>
        <v>Emp</v>
      </c>
      <c r="L2210">
        <v>0</v>
      </c>
      <c r="M2210">
        <f t="shared" si="324"/>
        <v>17</v>
      </c>
      <c r="N2210" t="str">
        <f>TEXT(MTDRejection[[#This Row],[RejectionDate]],"dddd")</f>
        <v>Tuesday</v>
      </c>
    </row>
    <row r="2211" spans="1:14">
      <c r="A2211" t="s">
        <v>84</v>
      </c>
      <c r="B2211" t="s">
        <v>4675</v>
      </c>
      <c r="C2211" t="s">
        <v>19</v>
      </c>
      <c r="D2211" t="s">
        <v>13</v>
      </c>
      <c r="E2211" s="7">
        <v>45643</v>
      </c>
      <c r="F2211" t="s">
        <v>1861</v>
      </c>
      <c r="G2211">
        <v>0</v>
      </c>
      <c r="H2211" t="s">
        <v>15</v>
      </c>
      <c r="I2211" t="s">
        <v>16</v>
      </c>
      <c r="J2211" t="s">
        <v>16</v>
      </c>
      <c r="K2211" t="str">
        <f>VLOOKUP(C2211,CheckName!A:B,2,0)</f>
        <v>Add</v>
      </c>
      <c r="L2211">
        <v>0</v>
      </c>
      <c r="M2211">
        <f t="shared" si="324"/>
        <v>17</v>
      </c>
      <c r="N2211" t="str">
        <f>TEXT(MTDRejection[[#This Row],[RejectionDate]],"dddd")</f>
        <v>Tuesday</v>
      </c>
    </row>
    <row r="2212" spans="1:14">
      <c r="A2212" t="s">
        <v>84</v>
      </c>
      <c r="B2212" t="s">
        <v>4676</v>
      </c>
      <c r="C2212" t="s">
        <v>49</v>
      </c>
      <c r="D2212" t="s">
        <v>13</v>
      </c>
      <c r="E2212" s="7">
        <v>45643</v>
      </c>
      <c r="F2212" t="s">
        <v>1861</v>
      </c>
      <c r="G2212">
        <v>0</v>
      </c>
      <c r="H2212" t="s">
        <v>15</v>
      </c>
      <c r="I2212" t="s">
        <v>16</v>
      </c>
      <c r="J2212" t="s">
        <v>16</v>
      </c>
      <c r="K2212" t="str">
        <f>VLOOKUP(C2212,CheckName!A:B,2,0)</f>
        <v>CRC</v>
      </c>
      <c r="L2212">
        <v>0</v>
      </c>
      <c r="M2212">
        <f t="shared" si="324"/>
        <v>17</v>
      </c>
      <c r="N2212" t="str">
        <f>TEXT(MTDRejection[[#This Row],[RejectionDate]],"dddd")</f>
        <v>Tuesday</v>
      </c>
    </row>
    <row r="2213" spans="1:14">
      <c r="A2213" t="s">
        <v>306</v>
      </c>
      <c r="B2213" t="s">
        <v>4544</v>
      </c>
      <c r="C2213" t="s">
        <v>533</v>
      </c>
      <c r="D2213" t="s">
        <v>13</v>
      </c>
      <c r="E2213" s="7">
        <v>45643</v>
      </c>
      <c r="F2213" t="s">
        <v>844</v>
      </c>
      <c r="G2213">
        <v>0</v>
      </c>
      <c r="H2213" t="s">
        <v>30</v>
      </c>
      <c r="I2213" t="s">
        <v>16</v>
      </c>
      <c r="J2213" t="s">
        <v>16</v>
      </c>
      <c r="K2213" t="str">
        <f>VLOOKUP(C2213,CheckName!A:B,2,0)</f>
        <v>CRC</v>
      </c>
      <c r="L2213">
        <v>0</v>
      </c>
      <c r="M2213">
        <f t="shared" si="324"/>
        <v>17</v>
      </c>
      <c r="N2213" t="str">
        <f>TEXT(MTDRejection[[#This Row],[RejectionDate]],"dddd")</f>
        <v>Tuesday</v>
      </c>
    </row>
    <row r="2214" spans="1:14">
      <c r="A2214" t="s">
        <v>192</v>
      </c>
      <c r="B2214" t="s">
        <v>2590</v>
      </c>
      <c r="C2214" t="s">
        <v>36</v>
      </c>
      <c r="D2214" t="s">
        <v>13</v>
      </c>
      <c r="E2214" s="7">
        <v>45643</v>
      </c>
      <c r="F2214" t="s">
        <v>844</v>
      </c>
      <c r="G2214">
        <v>0</v>
      </c>
      <c r="H2214" t="s">
        <v>15</v>
      </c>
      <c r="I2214" t="s">
        <v>16</v>
      </c>
      <c r="J2214" t="s">
        <v>16</v>
      </c>
      <c r="K2214" t="str">
        <f>VLOOKUP(C2214,CheckName!A:B,2,0)</f>
        <v>Emp</v>
      </c>
      <c r="L2214">
        <v>0</v>
      </c>
      <c r="M2214">
        <f t="shared" si="324"/>
        <v>17</v>
      </c>
      <c r="N2214" t="str">
        <f>TEXT(MTDRejection[[#This Row],[RejectionDate]],"dddd")</f>
        <v>Tuesday</v>
      </c>
    </row>
    <row r="2215" spans="1:14">
      <c r="A2215" t="s">
        <v>1221</v>
      </c>
      <c r="B2215" t="s">
        <v>4677</v>
      </c>
      <c r="C2215" t="s">
        <v>71</v>
      </c>
      <c r="D2215" t="s">
        <v>13</v>
      </c>
      <c r="E2215" s="7">
        <v>45643</v>
      </c>
      <c r="F2215" t="s">
        <v>98</v>
      </c>
      <c r="G2215">
        <v>0</v>
      </c>
      <c r="H2215" t="s">
        <v>15</v>
      </c>
      <c r="I2215" t="s">
        <v>16</v>
      </c>
      <c r="J2215" t="s">
        <v>16</v>
      </c>
      <c r="K2215" t="str">
        <f>VLOOKUP(C2215,CheckName!A:B,2,0)</f>
        <v>CRC</v>
      </c>
      <c r="L2215">
        <v>0</v>
      </c>
      <c r="M2215">
        <f t="shared" ref="M2215:M2216" si="325">DAY(E2215)</f>
        <v>17</v>
      </c>
      <c r="N2215" t="str">
        <f>TEXT(MTDRejection[[#This Row],[RejectionDate]],"dddd")</f>
        <v>Tuesday</v>
      </c>
    </row>
    <row r="2216" spans="1:14">
      <c r="A2216" t="s">
        <v>1221</v>
      </c>
      <c r="B2216" t="s">
        <v>4678</v>
      </c>
      <c r="C2216" t="s">
        <v>123</v>
      </c>
      <c r="D2216" t="s">
        <v>13</v>
      </c>
      <c r="E2216" s="7">
        <v>45643</v>
      </c>
      <c r="F2216" t="s">
        <v>98</v>
      </c>
      <c r="G2216">
        <v>0</v>
      </c>
      <c r="H2216" t="s">
        <v>15</v>
      </c>
      <c r="I2216" t="s">
        <v>16</v>
      </c>
      <c r="J2216" t="s">
        <v>16</v>
      </c>
      <c r="K2216" t="str">
        <f>VLOOKUP(C2216,CheckName!A:B,2,0)</f>
        <v>Special Check</v>
      </c>
      <c r="L2216">
        <v>0</v>
      </c>
      <c r="M2216">
        <f t="shared" si="325"/>
        <v>17</v>
      </c>
      <c r="N2216" t="str">
        <f>TEXT(MTDRejection[[#This Row],[RejectionDate]],"dddd")</f>
        <v>Tuesday</v>
      </c>
    </row>
    <row r="2217" spans="1:14">
      <c r="A2217" t="s">
        <v>88</v>
      </c>
      <c r="B2217" t="s">
        <v>4679</v>
      </c>
      <c r="C2217" t="s">
        <v>36</v>
      </c>
      <c r="D2217" t="s">
        <v>26</v>
      </c>
      <c r="E2217" s="7">
        <v>45643</v>
      </c>
      <c r="F2217" t="s">
        <v>159</v>
      </c>
      <c r="G2217">
        <v>0</v>
      </c>
      <c r="H2217" t="s">
        <v>95</v>
      </c>
      <c r="I2217" t="s">
        <v>16</v>
      </c>
      <c r="J2217" t="s">
        <v>16</v>
      </c>
      <c r="K2217" t="str">
        <f>VLOOKUP(C2217,CheckName!A:B,2,0)</f>
        <v>Emp</v>
      </c>
      <c r="L2217">
        <v>0</v>
      </c>
      <c r="M2217">
        <f t="shared" ref="M2217:M2226" si="326">DAY(E2217)</f>
        <v>17</v>
      </c>
      <c r="N2217" t="str">
        <f>TEXT(MTDRejection[[#This Row],[RejectionDate]],"dddd")</f>
        <v>Tuesday</v>
      </c>
    </row>
    <row r="2218" spans="1:14">
      <c r="A2218" t="s">
        <v>203</v>
      </c>
      <c r="B2218" t="s">
        <v>4680</v>
      </c>
      <c r="C2218" t="s">
        <v>36</v>
      </c>
      <c r="D2218" t="s">
        <v>26</v>
      </c>
      <c r="E2218" s="7">
        <v>45643</v>
      </c>
      <c r="F2218" t="s">
        <v>2333</v>
      </c>
      <c r="G2218">
        <v>0</v>
      </c>
      <c r="H2218" t="s">
        <v>27</v>
      </c>
      <c r="I2218" t="s">
        <v>16</v>
      </c>
      <c r="J2218" t="s">
        <v>16</v>
      </c>
      <c r="K2218" t="str">
        <f>VLOOKUP(C2218,CheckName!A:B,2,0)</f>
        <v>Emp</v>
      </c>
      <c r="L2218">
        <v>0</v>
      </c>
      <c r="M2218">
        <f t="shared" si="326"/>
        <v>17</v>
      </c>
      <c r="N2218" t="str">
        <f>TEXT(MTDRejection[[#This Row],[RejectionDate]],"dddd")</f>
        <v>Tuesday</v>
      </c>
    </row>
    <row r="2219" spans="1:14">
      <c r="A2219" t="s">
        <v>1778</v>
      </c>
      <c r="B2219" t="s">
        <v>4681</v>
      </c>
      <c r="C2219" t="s">
        <v>12</v>
      </c>
      <c r="D2219" t="s">
        <v>26</v>
      </c>
      <c r="E2219" s="7">
        <v>45643</v>
      </c>
      <c r="F2219" t="s">
        <v>2335</v>
      </c>
      <c r="G2219">
        <v>0</v>
      </c>
      <c r="H2219" t="s">
        <v>130</v>
      </c>
      <c r="I2219" t="s">
        <v>16</v>
      </c>
      <c r="J2219" t="s">
        <v>16</v>
      </c>
      <c r="K2219" t="str">
        <f>VLOOKUP(C2219,CheckName!A:B,2,0)</f>
        <v>Emp</v>
      </c>
      <c r="L2219">
        <v>0</v>
      </c>
      <c r="M2219">
        <f t="shared" si="326"/>
        <v>17</v>
      </c>
      <c r="N2219" t="str">
        <f>TEXT(MTDRejection[[#This Row],[RejectionDate]],"dddd")</f>
        <v>Tuesday</v>
      </c>
    </row>
    <row r="2220" spans="1:14">
      <c r="A2220" t="s">
        <v>1778</v>
      </c>
      <c r="B2220" t="s">
        <v>4682</v>
      </c>
      <c r="C2220" t="s">
        <v>12</v>
      </c>
      <c r="D2220" t="s">
        <v>26</v>
      </c>
      <c r="E2220" s="7">
        <v>45643</v>
      </c>
      <c r="F2220" t="s">
        <v>2335</v>
      </c>
      <c r="G2220">
        <v>0</v>
      </c>
      <c r="H2220" t="s">
        <v>30</v>
      </c>
      <c r="I2220" t="s">
        <v>16</v>
      </c>
      <c r="J2220" t="s">
        <v>16</v>
      </c>
      <c r="K2220" t="str">
        <f>VLOOKUP(C2220,CheckName!A:B,2,0)</f>
        <v>Emp</v>
      </c>
      <c r="L2220">
        <v>0</v>
      </c>
      <c r="M2220">
        <f t="shared" si="326"/>
        <v>17</v>
      </c>
      <c r="N2220" t="str">
        <f>TEXT(MTDRejection[[#This Row],[RejectionDate]],"dddd")</f>
        <v>Tuesday</v>
      </c>
    </row>
    <row r="2221" spans="1:14">
      <c r="A2221" t="s">
        <v>84</v>
      </c>
      <c r="B2221" t="s">
        <v>4683</v>
      </c>
      <c r="C2221" t="s">
        <v>36</v>
      </c>
      <c r="D2221" t="s">
        <v>26</v>
      </c>
      <c r="E2221" s="7">
        <v>45643</v>
      </c>
      <c r="F2221" t="s">
        <v>2333</v>
      </c>
      <c r="G2221">
        <v>0</v>
      </c>
      <c r="H2221" t="s">
        <v>95</v>
      </c>
      <c r="I2221" t="s">
        <v>16</v>
      </c>
      <c r="J2221" t="s">
        <v>16</v>
      </c>
      <c r="K2221" t="str">
        <f>VLOOKUP(C2221,CheckName!A:B,2,0)</f>
        <v>Emp</v>
      </c>
      <c r="L2221">
        <v>0</v>
      </c>
      <c r="M2221">
        <f t="shared" si="326"/>
        <v>17</v>
      </c>
      <c r="N2221" t="str">
        <f>TEXT(MTDRejection[[#This Row],[RejectionDate]],"dddd")</f>
        <v>Tuesday</v>
      </c>
    </row>
    <row r="2222" spans="1:14">
      <c r="A2222" t="s">
        <v>84</v>
      </c>
      <c r="B2222" t="s">
        <v>4684</v>
      </c>
      <c r="C2222" t="s">
        <v>12</v>
      </c>
      <c r="D2222" t="s">
        <v>26</v>
      </c>
      <c r="E2222" s="7">
        <v>45643</v>
      </c>
      <c r="F2222" t="s">
        <v>2333</v>
      </c>
      <c r="G2222">
        <v>0</v>
      </c>
      <c r="H2222" t="s">
        <v>27</v>
      </c>
      <c r="I2222" t="s">
        <v>16</v>
      </c>
      <c r="J2222" t="s">
        <v>16</v>
      </c>
      <c r="K2222" t="str">
        <f>VLOOKUP(C2222,CheckName!A:B,2,0)</f>
        <v>Emp</v>
      </c>
      <c r="L2222">
        <v>0</v>
      </c>
      <c r="M2222">
        <f t="shared" si="326"/>
        <v>17</v>
      </c>
      <c r="N2222" t="str">
        <f>TEXT(MTDRejection[[#This Row],[RejectionDate]],"dddd")</f>
        <v>Tuesday</v>
      </c>
    </row>
    <row r="2223" spans="1:14">
      <c r="A2223" t="s">
        <v>1882</v>
      </c>
      <c r="B2223" t="s">
        <v>4685</v>
      </c>
      <c r="C2223" t="s">
        <v>12</v>
      </c>
      <c r="D2223" t="s">
        <v>26</v>
      </c>
      <c r="E2223" s="7">
        <v>45643</v>
      </c>
      <c r="F2223" t="s">
        <v>2335</v>
      </c>
      <c r="G2223">
        <v>0</v>
      </c>
      <c r="H2223" t="s">
        <v>27</v>
      </c>
      <c r="I2223" t="s">
        <v>16</v>
      </c>
      <c r="J2223" t="s">
        <v>16</v>
      </c>
      <c r="K2223" t="str">
        <f>VLOOKUP(C2223,CheckName!A:B,2,0)</f>
        <v>Emp</v>
      </c>
      <c r="L2223">
        <v>0</v>
      </c>
      <c r="M2223">
        <f t="shared" si="326"/>
        <v>17</v>
      </c>
      <c r="N2223" t="str">
        <f>TEXT(MTDRejection[[#This Row],[RejectionDate]],"dddd")</f>
        <v>Tuesday</v>
      </c>
    </row>
    <row r="2224" spans="1:14">
      <c r="A2224" t="s">
        <v>1811</v>
      </c>
      <c r="B2224" t="s">
        <v>4686</v>
      </c>
      <c r="C2224" t="s">
        <v>12</v>
      </c>
      <c r="D2224" t="s">
        <v>26</v>
      </c>
      <c r="E2224" s="7">
        <v>45643</v>
      </c>
      <c r="F2224" t="s">
        <v>2335</v>
      </c>
      <c r="G2224">
        <v>0</v>
      </c>
      <c r="H2224" t="s">
        <v>95</v>
      </c>
      <c r="I2224" t="s">
        <v>16</v>
      </c>
      <c r="J2224" t="s">
        <v>16</v>
      </c>
      <c r="K2224" t="str">
        <f>VLOOKUP(C2224,CheckName!A:B,2,0)</f>
        <v>Emp</v>
      </c>
      <c r="L2224">
        <v>0</v>
      </c>
      <c r="M2224">
        <f t="shared" si="326"/>
        <v>17</v>
      </c>
      <c r="N2224" t="str">
        <f>TEXT(MTDRejection[[#This Row],[RejectionDate]],"dddd")</f>
        <v>Tuesday</v>
      </c>
    </row>
    <row r="2225" spans="1:14">
      <c r="A2225" t="s">
        <v>142</v>
      </c>
      <c r="B2225" t="s">
        <v>4687</v>
      </c>
      <c r="C2225" t="s">
        <v>36</v>
      </c>
      <c r="D2225" t="s">
        <v>26</v>
      </c>
      <c r="E2225" s="7">
        <v>45643</v>
      </c>
      <c r="F2225" t="s">
        <v>2333</v>
      </c>
      <c r="G2225">
        <v>0</v>
      </c>
      <c r="H2225" t="s">
        <v>130</v>
      </c>
      <c r="I2225" t="s">
        <v>16</v>
      </c>
      <c r="J2225" t="s">
        <v>16</v>
      </c>
      <c r="K2225" t="str">
        <f>VLOOKUP(C2225,CheckName!A:B,2,0)</f>
        <v>Emp</v>
      </c>
      <c r="L2225">
        <v>0</v>
      </c>
      <c r="M2225">
        <f t="shared" si="326"/>
        <v>17</v>
      </c>
      <c r="N2225" t="str">
        <f>TEXT(MTDRejection[[#This Row],[RejectionDate]],"dddd")</f>
        <v>Tuesday</v>
      </c>
    </row>
    <row r="2226" spans="1:14">
      <c r="A2226" t="s">
        <v>934</v>
      </c>
      <c r="B2226" t="s">
        <v>4688</v>
      </c>
      <c r="C2226" t="s">
        <v>54</v>
      </c>
      <c r="D2226" t="s">
        <v>13</v>
      </c>
      <c r="E2226" s="7">
        <v>45643</v>
      </c>
      <c r="F2226" t="s">
        <v>540</v>
      </c>
      <c r="G2226">
        <v>0</v>
      </c>
      <c r="H2226" t="s">
        <v>15</v>
      </c>
      <c r="I2226" t="s">
        <v>16</v>
      </c>
      <c r="J2226" t="s">
        <v>16</v>
      </c>
      <c r="K2226" t="str">
        <f>VLOOKUP(C2226,CheckName!A:B,2,0)</f>
        <v>Edu</v>
      </c>
      <c r="L2226">
        <v>0</v>
      </c>
      <c r="M2226">
        <f t="shared" si="326"/>
        <v>17</v>
      </c>
      <c r="N2226" t="str">
        <f>TEXT(MTDRejection[[#This Row],[RejectionDate]],"dddd")</f>
        <v>Tuesday</v>
      </c>
    </row>
    <row r="2227" spans="1:14">
      <c r="A2227" t="s">
        <v>288</v>
      </c>
      <c r="B2227" t="s">
        <v>4689</v>
      </c>
      <c r="C2227" t="s">
        <v>54</v>
      </c>
      <c r="D2227" t="s">
        <v>26</v>
      </c>
      <c r="E2227" s="7">
        <v>45643</v>
      </c>
      <c r="F2227" t="s">
        <v>121</v>
      </c>
      <c r="G2227">
        <v>0</v>
      </c>
      <c r="H2227" t="s">
        <v>27</v>
      </c>
      <c r="I2227" t="s">
        <v>16</v>
      </c>
      <c r="J2227" t="s">
        <v>16</v>
      </c>
      <c r="K2227" t="str">
        <f>VLOOKUP(C2227,CheckName!A:B,2,0)</f>
        <v>Edu</v>
      </c>
      <c r="L2227">
        <v>0</v>
      </c>
      <c r="M2227">
        <f t="shared" ref="M2227:M2228" si="327">DAY(E2227)</f>
        <v>17</v>
      </c>
      <c r="N2227" t="str">
        <f>TEXT(MTDRejection[[#This Row],[RejectionDate]],"dddd")</f>
        <v>Tuesday</v>
      </c>
    </row>
    <row r="2228" spans="1:14">
      <c r="A2228" t="s">
        <v>84</v>
      </c>
      <c r="B2228" t="s">
        <v>4690</v>
      </c>
      <c r="C2228" t="s">
        <v>36</v>
      </c>
      <c r="D2228" t="s">
        <v>26</v>
      </c>
      <c r="E2228" s="7">
        <v>45643</v>
      </c>
      <c r="F2228" t="s">
        <v>115</v>
      </c>
      <c r="G2228">
        <v>0</v>
      </c>
      <c r="H2228" t="s">
        <v>27</v>
      </c>
      <c r="I2228" t="s">
        <v>16</v>
      </c>
      <c r="J2228" t="s">
        <v>16</v>
      </c>
      <c r="K2228" t="str">
        <f>VLOOKUP(C2228,CheckName!A:B,2,0)</f>
        <v>Emp</v>
      </c>
      <c r="L2228">
        <v>0</v>
      </c>
      <c r="M2228">
        <f t="shared" si="327"/>
        <v>17</v>
      </c>
      <c r="N2228" t="str">
        <f>TEXT(MTDRejection[[#This Row],[RejectionDate]],"dddd")</f>
        <v>Tuesday</v>
      </c>
    </row>
    <row r="2229" spans="1:14">
      <c r="A2229" t="s">
        <v>100</v>
      </c>
      <c r="B2229" t="s">
        <v>2580</v>
      </c>
      <c r="C2229" t="s">
        <v>102</v>
      </c>
      <c r="D2229" t="s">
        <v>13</v>
      </c>
      <c r="E2229" s="7">
        <v>45642</v>
      </c>
      <c r="F2229" t="s">
        <v>1219</v>
      </c>
      <c r="G2229">
        <v>1</v>
      </c>
      <c r="H2229" t="s">
        <v>505</v>
      </c>
      <c r="I2229" t="s">
        <v>16</v>
      </c>
      <c r="J2229" t="s">
        <v>16</v>
      </c>
      <c r="K2229" t="str">
        <f>VLOOKUP(C2229,CheckName!A:B,2,0)</f>
        <v>Edu</v>
      </c>
      <c r="L2229">
        <v>0</v>
      </c>
      <c r="M2229">
        <f>DAY(E2229)</f>
        <v>16</v>
      </c>
      <c r="N2229" t="str">
        <f>TEXT(MTDRejection[[#This Row],[RejectionDate]],"dddd")</f>
        <v>Monday</v>
      </c>
    </row>
    <row r="2230" spans="1:14">
      <c r="A2230" t="s">
        <v>1246</v>
      </c>
      <c r="B2230" t="s">
        <v>4691</v>
      </c>
      <c r="C2230" t="s">
        <v>12</v>
      </c>
      <c r="D2230" t="s">
        <v>26</v>
      </c>
      <c r="E2230" s="7">
        <v>45638</v>
      </c>
      <c r="F2230" t="s">
        <v>115</v>
      </c>
      <c r="G2230">
        <v>5</v>
      </c>
      <c r="H2230" t="s">
        <v>27</v>
      </c>
      <c r="I2230" t="s">
        <v>16</v>
      </c>
      <c r="J2230" t="s">
        <v>16</v>
      </c>
      <c r="K2230" t="str">
        <f>VLOOKUP(C2230,CheckName!A:B,2,0)</f>
        <v>Emp</v>
      </c>
      <c r="L2230">
        <v>0</v>
      </c>
      <c r="M2230">
        <f>DAY(E2230)</f>
        <v>12</v>
      </c>
      <c r="N2230" t="str">
        <f>TEXT(MTDRejection[[#This Row],[RejectionDate]],"dddd")</f>
        <v>Thursday</v>
      </c>
    </row>
    <row r="2231" spans="1:14">
      <c r="A2231" t="s">
        <v>362</v>
      </c>
      <c r="B2231" t="s">
        <v>4692</v>
      </c>
      <c r="C2231" t="s">
        <v>12</v>
      </c>
      <c r="D2231" t="s">
        <v>26</v>
      </c>
      <c r="E2231" s="7">
        <v>45637</v>
      </c>
      <c r="F2231" t="s">
        <v>115</v>
      </c>
      <c r="G2231">
        <v>6</v>
      </c>
      <c r="H2231" t="s">
        <v>22</v>
      </c>
      <c r="I2231" t="s">
        <v>16</v>
      </c>
      <c r="J2231" t="s">
        <v>16</v>
      </c>
      <c r="K2231" t="str">
        <f>VLOOKUP(C2231,CheckName!A:B,2,0)</f>
        <v>Emp</v>
      </c>
      <c r="L2231">
        <v>0</v>
      </c>
      <c r="M2231">
        <f>DAY(E2231)</f>
        <v>11</v>
      </c>
      <c r="N2231" t="str">
        <f>TEXT(MTDRejection[[#This Row],[RejectionDate]],"dddd")</f>
        <v>Wednesday</v>
      </c>
    </row>
    <row r="2232" spans="1:14">
      <c r="A2232" t="s">
        <v>205</v>
      </c>
      <c r="B2232" t="s">
        <v>4693</v>
      </c>
      <c r="C2232" t="s">
        <v>25</v>
      </c>
      <c r="D2232" t="s">
        <v>20</v>
      </c>
      <c r="E2232" s="7">
        <v>45643</v>
      </c>
      <c r="F2232" t="s">
        <v>2327</v>
      </c>
      <c r="G2232">
        <v>0</v>
      </c>
      <c r="H2232" t="s">
        <v>22</v>
      </c>
      <c r="I2232" t="s">
        <v>16</v>
      </c>
      <c r="J2232" t="s">
        <v>16</v>
      </c>
      <c r="K2232" t="str">
        <f>VLOOKUP(C2232,CheckName!A:B,2,0)</f>
        <v>Add</v>
      </c>
      <c r="L2232">
        <v>1</v>
      </c>
      <c r="M2232">
        <f t="shared" ref="M2232:M2240" si="328">DAY(E2232)</f>
        <v>17</v>
      </c>
      <c r="N2232" t="str">
        <f>TEXT(MTDRejection[[#This Row],[RejectionDate]],"dddd")</f>
        <v>Tuesday</v>
      </c>
    </row>
    <row r="2233" spans="1:14">
      <c r="A2233" t="s">
        <v>170</v>
      </c>
      <c r="B2233" t="s">
        <v>4694</v>
      </c>
      <c r="C2233" t="s">
        <v>19</v>
      </c>
      <c r="D2233" t="s">
        <v>20</v>
      </c>
      <c r="E2233" s="7">
        <v>45643</v>
      </c>
      <c r="F2233" t="s">
        <v>273</v>
      </c>
      <c r="G2233">
        <v>0</v>
      </c>
      <c r="H2233" t="s">
        <v>130</v>
      </c>
      <c r="I2233" t="s">
        <v>16</v>
      </c>
      <c r="J2233" t="s">
        <v>16</v>
      </c>
      <c r="K2233" t="str">
        <f>VLOOKUP(C2233,CheckName!A:B,2,0)</f>
        <v>Add</v>
      </c>
      <c r="L2233">
        <v>0</v>
      </c>
      <c r="M2233">
        <f t="shared" si="328"/>
        <v>17</v>
      </c>
      <c r="N2233" t="str">
        <f>TEXT(MTDRejection[[#This Row],[RejectionDate]],"dddd")</f>
        <v>Tuesday</v>
      </c>
    </row>
    <row r="2234" spans="1:14">
      <c r="A2234" t="s">
        <v>205</v>
      </c>
      <c r="B2234" t="s">
        <v>4695</v>
      </c>
      <c r="C2234" t="s">
        <v>19</v>
      </c>
      <c r="D2234" t="s">
        <v>20</v>
      </c>
      <c r="E2234" s="7">
        <v>45643</v>
      </c>
      <c r="F2234" t="s">
        <v>2327</v>
      </c>
      <c r="G2234">
        <v>0</v>
      </c>
      <c r="H2234" t="s">
        <v>22</v>
      </c>
      <c r="I2234" t="s">
        <v>16</v>
      </c>
      <c r="J2234" t="s">
        <v>16</v>
      </c>
      <c r="K2234" t="str">
        <f>VLOOKUP(C2234,CheckName!A:B,2,0)</f>
        <v>Add</v>
      </c>
      <c r="L2234">
        <v>0</v>
      </c>
      <c r="M2234">
        <f t="shared" si="328"/>
        <v>17</v>
      </c>
      <c r="N2234" t="str">
        <f>TEXT(MTDRejection[[#This Row],[RejectionDate]],"dddd")</f>
        <v>Tuesday</v>
      </c>
    </row>
    <row r="2235" spans="1:14">
      <c r="A2235" t="s">
        <v>295</v>
      </c>
      <c r="B2235" t="s">
        <v>4696</v>
      </c>
      <c r="C2235" t="s">
        <v>1856</v>
      </c>
      <c r="D2235" t="s">
        <v>13</v>
      </c>
      <c r="E2235" s="7">
        <v>45643</v>
      </c>
      <c r="F2235" t="s">
        <v>2326</v>
      </c>
      <c r="G2235">
        <v>0</v>
      </c>
      <c r="H2235" t="s">
        <v>15</v>
      </c>
      <c r="I2235" t="s">
        <v>16</v>
      </c>
      <c r="J2235" t="s">
        <v>16</v>
      </c>
      <c r="K2235" t="str">
        <f>VLOOKUP(C2235,CheckName!A:B,2,0)</f>
        <v>Special Check</v>
      </c>
      <c r="L2235">
        <v>0</v>
      </c>
      <c r="M2235">
        <f t="shared" si="328"/>
        <v>17</v>
      </c>
      <c r="N2235" t="str">
        <f>TEXT(MTDRejection[[#This Row],[RejectionDate]],"dddd")</f>
        <v>Tuesday</v>
      </c>
    </row>
    <row r="2236" spans="1:14">
      <c r="A2236" t="s">
        <v>1758</v>
      </c>
      <c r="B2236" t="s">
        <v>4697</v>
      </c>
      <c r="C2236" t="s">
        <v>25</v>
      </c>
      <c r="D2236" t="s">
        <v>20</v>
      </c>
      <c r="E2236" s="7">
        <v>45643</v>
      </c>
      <c r="F2236" t="s">
        <v>2327</v>
      </c>
      <c r="G2236">
        <v>0</v>
      </c>
      <c r="H2236" t="s">
        <v>130</v>
      </c>
      <c r="I2236" t="s">
        <v>16</v>
      </c>
      <c r="J2236" t="s">
        <v>16</v>
      </c>
      <c r="K2236" t="str">
        <f>VLOOKUP(C2236,CheckName!A:B,2,0)</f>
        <v>Add</v>
      </c>
      <c r="L2236">
        <v>0</v>
      </c>
      <c r="M2236">
        <f t="shared" si="328"/>
        <v>17</v>
      </c>
      <c r="N2236" t="str">
        <f>TEXT(MTDRejection[[#This Row],[RejectionDate]],"dddd")</f>
        <v>Tuesday</v>
      </c>
    </row>
    <row r="2237" spans="1:14">
      <c r="A2237" t="s">
        <v>1943</v>
      </c>
      <c r="B2237" t="s">
        <v>4698</v>
      </c>
      <c r="C2237" t="s">
        <v>25</v>
      </c>
      <c r="D2237" t="s">
        <v>20</v>
      </c>
      <c r="E2237" s="7">
        <v>45643</v>
      </c>
      <c r="F2237" t="s">
        <v>2327</v>
      </c>
      <c r="G2237">
        <v>0</v>
      </c>
      <c r="H2237" t="s">
        <v>22</v>
      </c>
      <c r="I2237" t="s">
        <v>16</v>
      </c>
      <c r="J2237" t="s">
        <v>16</v>
      </c>
      <c r="K2237" t="str">
        <f>VLOOKUP(C2237,CheckName!A:B,2,0)</f>
        <v>Add</v>
      </c>
      <c r="L2237">
        <v>0</v>
      </c>
      <c r="M2237">
        <f t="shared" si="328"/>
        <v>17</v>
      </c>
      <c r="N2237" t="str">
        <f>TEXT(MTDRejection[[#This Row],[RejectionDate]],"dddd")</f>
        <v>Tuesday</v>
      </c>
    </row>
    <row r="2238" spans="1:14">
      <c r="A2238" t="s">
        <v>207</v>
      </c>
      <c r="B2238" t="s">
        <v>4699</v>
      </c>
      <c r="C2238" t="s">
        <v>19</v>
      </c>
      <c r="D2238" t="s">
        <v>20</v>
      </c>
      <c r="E2238" s="7">
        <v>45643</v>
      </c>
      <c r="F2238" t="s">
        <v>2327</v>
      </c>
      <c r="G2238">
        <v>0</v>
      </c>
      <c r="H2238" t="s">
        <v>22</v>
      </c>
      <c r="I2238" t="s">
        <v>16</v>
      </c>
      <c r="J2238" t="s">
        <v>16</v>
      </c>
      <c r="K2238" t="str">
        <f>VLOOKUP(C2238,CheckName!A:B,2,0)</f>
        <v>Add</v>
      </c>
      <c r="L2238">
        <v>0</v>
      </c>
      <c r="M2238">
        <f t="shared" si="328"/>
        <v>17</v>
      </c>
      <c r="N2238" t="str">
        <f>TEXT(MTDRejection[[#This Row],[RejectionDate]],"dddd")</f>
        <v>Tuesday</v>
      </c>
    </row>
    <row r="2239" spans="1:14">
      <c r="A2239" t="s">
        <v>1110</v>
      </c>
      <c r="B2239" t="s">
        <v>4700</v>
      </c>
      <c r="C2239" t="s">
        <v>965</v>
      </c>
      <c r="D2239" t="s">
        <v>20</v>
      </c>
      <c r="E2239" s="7">
        <v>45643</v>
      </c>
      <c r="F2239" t="s">
        <v>2327</v>
      </c>
      <c r="G2239">
        <v>0</v>
      </c>
      <c r="H2239" t="s">
        <v>22</v>
      </c>
      <c r="I2239" t="s">
        <v>16</v>
      </c>
      <c r="J2239" t="s">
        <v>16</v>
      </c>
      <c r="K2239" t="str">
        <f>VLOOKUP(C2239,CheckName!A:B,2,0)</f>
        <v>Add</v>
      </c>
      <c r="L2239">
        <v>0</v>
      </c>
      <c r="M2239">
        <f t="shared" si="328"/>
        <v>17</v>
      </c>
      <c r="N2239" t="str">
        <f>TEXT(MTDRejection[[#This Row],[RejectionDate]],"dddd")</f>
        <v>Tuesday</v>
      </c>
    </row>
    <row r="2240" spans="1:14">
      <c r="A2240" t="s">
        <v>1110</v>
      </c>
      <c r="B2240" t="s">
        <v>4701</v>
      </c>
      <c r="C2240" t="s">
        <v>965</v>
      </c>
      <c r="D2240" t="s">
        <v>20</v>
      </c>
      <c r="E2240" s="7">
        <v>45643</v>
      </c>
      <c r="F2240" t="s">
        <v>2327</v>
      </c>
      <c r="G2240">
        <v>0</v>
      </c>
      <c r="H2240" t="s">
        <v>22</v>
      </c>
      <c r="I2240" t="s">
        <v>16</v>
      </c>
      <c r="J2240" t="s">
        <v>16</v>
      </c>
      <c r="K2240" t="str">
        <f>VLOOKUP(C2240,CheckName!A:B,2,0)</f>
        <v>Add</v>
      </c>
      <c r="L2240">
        <v>0</v>
      </c>
      <c r="M2240">
        <f t="shared" si="328"/>
        <v>17</v>
      </c>
      <c r="N2240" t="str">
        <f>TEXT(MTDRejection[[#This Row],[RejectionDate]],"dddd")</f>
        <v>Tuesday</v>
      </c>
    </row>
    <row r="2241" spans="1:14">
      <c r="A2241" t="s">
        <v>180</v>
      </c>
      <c r="B2241" t="s">
        <v>4702</v>
      </c>
      <c r="C2241" t="s">
        <v>25</v>
      </c>
      <c r="D2241" t="s">
        <v>20</v>
      </c>
      <c r="E2241" s="7">
        <v>45643</v>
      </c>
      <c r="F2241" t="s">
        <v>2327</v>
      </c>
      <c r="G2241">
        <v>0</v>
      </c>
      <c r="H2241" t="s">
        <v>22</v>
      </c>
      <c r="I2241" t="s">
        <v>16</v>
      </c>
      <c r="J2241" t="s">
        <v>16</v>
      </c>
      <c r="K2241" t="str">
        <f>VLOOKUP(C2241,CheckName!A:B,2,0)</f>
        <v>Add</v>
      </c>
      <c r="L2241">
        <v>0</v>
      </c>
      <c r="M2241">
        <f>DAY(E2241)</f>
        <v>17</v>
      </c>
      <c r="N2241" t="str">
        <f>TEXT(MTDRejection[[#This Row],[RejectionDate]],"dddd")</f>
        <v>Tuesday</v>
      </c>
    </row>
    <row r="2242" spans="1:14">
      <c r="A2242" t="s">
        <v>116</v>
      </c>
      <c r="B2242" t="s">
        <v>4703</v>
      </c>
      <c r="C2242" t="s">
        <v>1510</v>
      </c>
      <c r="D2242" t="s">
        <v>20</v>
      </c>
      <c r="E2242" s="7">
        <v>45643</v>
      </c>
      <c r="F2242" t="s">
        <v>2327</v>
      </c>
      <c r="G2242">
        <v>0</v>
      </c>
      <c r="H2242" t="s">
        <v>22</v>
      </c>
      <c r="I2242" t="s">
        <v>16</v>
      </c>
      <c r="J2242" t="s">
        <v>16</v>
      </c>
      <c r="K2242" t="str">
        <f>VLOOKUP(C2242,CheckName!A:B,2,0)</f>
        <v>Add</v>
      </c>
      <c r="L2242">
        <v>0</v>
      </c>
      <c r="M2242">
        <f t="shared" ref="M2242:M2244" si="329">DAY(E2242)</f>
        <v>17</v>
      </c>
      <c r="N2242" t="str">
        <f>TEXT(MTDRejection[[#This Row],[RejectionDate]],"dddd")</f>
        <v>Tuesday</v>
      </c>
    </row>
    <row r="2243" spans="1:14">
      <c r="A2243" t="s">
        <v>160</v>
      </c>
      <c r="B2243" t="s">
        <v>4704</v>
      </c>
      <c r="C2243" t="s">
        <v>19</v>
      </c>
      <c r="D2243" t="s">
        <v>20</v>
      </c>
      <c r="E2243" s="7">
        <v>45643</v>
      </c>
      <c r="F2243" t="s">
        <v>2327</v>
      </c>
      <c r="G2243">
        <v>0</v>
      </c>
      <c r="H2243" t="s">
        <v>130</v>
      </c>
      <c r="I2243" t="s">
        <v>16</v>
      </c>
      <c r="J2243" t="s">
        <v>16</v>
      </c>
      <c r="K2243" t="str">
        <f>VLOOKUP(C2243,CheckName!A:B,2,0)</f>
        <v>Add</v>
      </c>
      <c r="L2243">
        <v>0</v>
      </c>
      <c r="M2243">
        <f t="shared" si="329"/>
        <v>17</v>
      </c>
      <c r="N2243" t="str">
        <f>TEXT(MTDRejection[[#This Row],[RejectionDate]],"dddd")</f>
        <v>Tuesday</v>
      </c>
    </row>
    <row r="2244" spans="1:14">
      <c r="A2244" t="s">
        <v>211</v>
      </c>
      <c r="B2244" t="s">
        <v>4705</v>
      </c>
      <c r="C2244" t="s">
        <v>12</v>
      </c>
      <c r="D2244" t="s">
        <v>51</v>
      </c>
      <c r="E2244" s="7">
        <v>45643</v>
      </c>
      <c r="F2244" t="s">
        <v>52</v>
      </c>
      <c r="G2244">
        <v>0</v>
      </c>
      <c r="H2244" t="s">
        <v>53</v>
      </c>
      <c r="I2244" t="s">
        <v>16</v>
      </c>
      <c r="J2244" t="s">
        <v>16</v>
      </c>
      <c r="K2244" t="str">
        <f>VLOOKUP(C2244,CheckName!A:B,2,0)</f>
        <v>Emp</v>
      </c>
      <c r="L2244">
        <v>0</v>
      </c>
      <c r="M2244">
        <f t="shared" si="329"/>
        <v>17</v>
      </c>
      <c r="N2244" t="str">
        <f>TEXT(MTDRejection[[#This Row],[RejectionDate]],"dddd")</f>
        <v>Tuesday</v>
      </c>
    </row>
    <row r="2245" spans="1:14">
      <c r="A2245" t="s">
        <v>142</v>
      </c>
      <c r="B2245" t="s">
        <v>2577</v>
      </c>
      <c r="C2245" t="s">
        <v>54</v>
      </c>
      <c r="D2245" t="s">
        <v>26</v>
      </c>
      <c r="E2245" s="7">
        <v>45643</v>
      </c>
      <c r="F2245" t="s">
        <v>63</v>
      </c>
      <c r="G2245">
        <v>0</v>
      </c>
      <c r="H2245" t="s">
        <v>130</v>
      </c>
      <c r="I2245" t="s">
        <v>16</v>
      </c>
      <c r="J2245" t="s">
        <v>16</v>
      </c>
      <c r="K2245" t="str">
        <f>VLOOKUP(C2245,CheckName!A:B,2,0)</f>
        <v>Edu</v>
      </c>
      <c r="L2245">
        <v>0</v>
      </c>
      <c r="M2245">
        <f t="shared" ref="M2245:M2246" si="330">DAY(E2245)</f>
        <v>17</v>
      </c>
      <c r="N2245" t="str">
        <f>TEXT(MTDRejection[[#This Row],[RejectionDate]],"dddd")</f>
        <v>Tuesday</v>
      </c>
    </row>
    <row r="2246" spans="1:14">
      <c r="A2246" t="s">
        <v>142</v>
      </c>
      <c r="B2246" t="s">
        <v>4706</v>
      </c>
      <c r="C2246" t="s">
        <v>54</v>
      </c>
      <c r="D2246" t="s">
        <v>26</v>
      </c>
      <c r="E2246" s="7">
        <v>45643</v>
      </c>
      <c r="F2246" t="s">
        <v>63</v>
      </c>
      <c r="G2246">
        <v>0</v>
      </c>
      <c r="H2246" t="s">
        <v>27</v>
      </c>
      <c r="I2246" t="s">
        <v>16</v>
      </c>
      <c r="J2246" t="s">
        <v>16</v>
      </c>
      <c r="K2246" t="str">
        <f>VLOOKUP(C2246,CheckName!A:B,2,0)</f>
        <v>Edu</v>
      </c>
      <c r="L2246">
        <v>0</v>
      </c>
      <c r="M2246">
        <f t="shared" si="330"/>
        <v>17</v>
      </c>
      <c r="N2246" t="str">
        <f>TEXT(MTDRejection[[#This Row],[RejectionDate]],"dddd")</f>
        <v>Tuesday</v>
      </c>
    </row>
    <row r="2247" spans="1:14">
      <c r="A2247" t="s">
        <v>45</v>
      </c>
      <c r="B2247" t="s">
        <v>4707</v>
      </c>
      <c r="C2247" t="s">
        <v>19</v>
      </c>
      <c r="D2247" t="s">
        <v>20</v>
      </c>
      <c r="E2247" s="7">
        <v>45643</v>
      </c>
      <c r="F2247" t="s">
        <v>2330</v>
      </c>
      <c r="G2247">
        <v>0</v>
      </c>
      <c r="H2247" t="s">
        <v>22</v>
      </c>
      <c r="I2247" t="s">
        <v>16</v>
      </c>
      <c r="J2247" t="s">
        <v>16</v>
      </c>
      <c r="K2247" t="str">
        <f>VLOOKUP(C2247,CheckName!A:B,2,0)</f>
        <v>Add</v>
      </c>
      <c r="L2247">
        <v>0</v>
      </c>
      <c r="M2247">
        <f t="shared" ref="M2247:M2248" si="331">DAY(E2247)</f>
        <v>17</v>
      </c>
      <c r="N2247" t="str">
        <f>TEXT(MTDRejection[[#This Row],[RejectionDate]],"dddd")</f>
        <v>Tuesday</v>
      </c>
    </row>
    <row r="2248" spans="1:14">
      <c r="A2248" t="s">
        <v>45</v>
      </c>
      <c r="B2248" t="s">
        <v>4708</v>
      </c>
      <c r="C2248" t="s">
        <v>19</v>
      </c>
      <c r="D2248" t="s">
        <v>20</v>
      </c>
      <c r="E2248" s="7">
        <v>45643</v>
      </c>
      <c r="F2248" t="s">
        <v>2330</v>
      </c>
      <c r="G2248">
        <v>0</v>
      </c>
      <c r="H2248" t="s">
        <v>22</v>
      </c>
      <c r="I2248" t="s">
        <v>16</v>
      </c>
      <c r="J2248" t="s">
        <v>16</v>
      </c>
      <c r="K2248" t="str">
        <f>VLOOKUP(C2248,CheckName!A:B,2,0)</f>
        <v>Add</v>
      </c>
      <c r="L2248">
        <v>0</v>
      </c>
      <c r="M2248">
        <f t="shared" si="331"/>
        <v>17</v>
      </c>
      <c r="N2248" t="str">
        <f>TEXT(MTDRejection[[#This Row],[RejectionDate]],"dddd")</f>
        <v>Tuesday</v>
      </c>
    </row>
    <row r="2249" spans="1:14">
      <c r="A2249" t="s">
        <v>84</v>
      </c>
      <c r="B2249" t="s">
        <v>4709</v>
      </c>
      <c r="C2249" t="s">
        <v>1347</v>
      </c>
      <c r="D2249" t="s">
        <v>13</v>
      </c>
      <c r="E2249" s="7">
        <v>45643</v>
      </c>
      <c r="F2249" t="s">
        <v>1861</v>
      </c>
      <c r="G2249">
        <v>0</v>
      </c>
      <c r="H2249" t="s">
        <v>15</v>
      </c>
      <c r="I2249" t="s">
        <v>16</v>
      </c>
      <c r="J2249" t="s">
        <v>16</v>
      </c>
      <c r="K2249" t="str">
        <f>VLOOKUP(C2249,CheckName!A:B,2,0)</f>
        <v>CRC</v>
      </c>
      <c r="L2249">
        <v>0</v>
      </c>
      <c r="M2249">
        <f>DAY(E2249)</f>
        <v>17</v>
      </c>
      <c r="N2249" t="str">
        <f>TEXT(MTDRejection[[#This Row],[RejectionDate]],"dddd")</f>
        <v>Tuesday</v>
      </c>
    </row>
    <row r="2250" spans="1:14">
      <c r="A2250" t="s">
        <v>419</v>
      </c>
      <c r="B2250" t="s">
        <v>4710</v>
      </c>
      <c r="C2250" t="s">
        <v>36</v>
      </c>
      <c r="D2250" t="s">
        <v>26</v>
      </c>
      <c r="E2250" s="7">
        <v>45643</v>
      </c>
      <c r="F2250" t="s">
        <v>2347</v>
      </c>
      <c r="G2250">
        <v>0</v>
      </c>
      <c r="H2250" t="s">
        <v>27</v>
      </c>
      <c r="I2250" t="s">
        <v>16</v>
      </c>
      <c r="J2250" t="s">
        <v>16</v>
      </c>
      <c r="K2250" t="str">
        <f>VLOOKUP(C2250,CheckName!A:B,2,0)</f>
        <v>Emp</v>
      </c>
      <c r="L2250">
        <v>0</v>
      </c>
      <c r="M2250">
        <f t="shared" ref="M2250:M2252" si="332">DAY(E2250)</f>
        <v>17</v>
      </c>
      <c r="N2250" t="str">
        <f>TEXT(MTDRejection[[#This Row],[RejectionDate]],"dddd")</f>
        <v>Tuesday</v>
      </c>
    </row>
    <row r="2251" spans="1:14">
      <c r="A2251" t="s">
        <v>419</v>
      </c>
      <c r="B2251" t="s">
        <v>4711</v>
      </c>
      <c r="C2251" t="s">
        <v>125</v>
      </c>
      <c r="D2251" t="s">
        <v>26</v>
      </c>
      <c r="E2251" s="7">
        <v>45643</v>
      </c>
      <c r="F2251" t="s">
        <v>2347</v>
      </c>
      <c r="G2251">
        <v>0</v>
      </c>
      <c r="H2251" t="s">
        <v>27</v>
      </c>
      <c r="I2251" t="s">
        <v>16</v>
      </c>
      <c r="J2251" t="s">
        <v>16</v>
      </c>
      <c r="K2251" t="str">
        <f>VLOOKUP(C2251,CheckName!A:B,2,0)</f>
        <v>Emp</v>
      </c>
      <c r="L2251">
        <v>0</v>
      </c>
      <c r="M2251">
        <f t="shared" si="332"/>
        <v>17</v>
      </c>
      <c r="N2251" t="str">
        <f>TEXT(MTDRejection[[#This Row],[RejectionDate]],"dddd")</f>
        <v>Tuesday</v>
      </c>
    </row>
    <row r="2252" spans="1:14">
      <c r="A2252" t="s">
        <v>119</v>
      </c>
      <c r="B2252" t="s">
        <v>4712</v>
      </c>
      <c r="C2252" t="s">
        <v>36</v>
      </c>
      <c r="D2252" t="s">
        <v>26</v>
      </c>
      <c r="E2252" s="7">
        <v>45643</v>
      </c>
      <c r="F2252" t="s">
        <v>355</v>
      </c>
      <c r="G2252">
        <v>0</v>
      </c>
      <c r="H2252" t="s">
        <v>27</v>
      </c>
      <c r="I2252" t="s">
        <v>16</v>
      </c>
      <c r="J2252" t="s">
        <v>16</v>
      </c>
      <c r="K2252" t="str">
        <f>VLOOKUP(C2252,CheckName!A:B,2,0)</f>
        <v>Emp</v>
      </c>
      <c r="L2252">
        <v>0</v>
      </c>
      <c r="M2252">
        <f t="shared" si="332"/>
        <v>17</v>
      </c>
      <c r="N2252" t="str">
        <f>TEXT(MTDRejection[[#This Row],[RejectionDate]],"dddd")</f>
        <v>Tuesday</v>
      </c>
    </row>
    <row r="2253" spans="1:14">
      <c r="A2253" t="s">
        <v>81</v>
      </c>
      <c r="B2253" t="s">
        <v>4713</v>
      </c>
      <c r="C2253" t="s">
        <v>54</v>
      </c>
      <c r="D2253" t="s">
        <v>26</v>
      </c>
      <c r="E2253" s="7">
        <v>45643</v>
      </c>
      <c r="F2253" t="s">
        <v>103</v>
      </c>
      <c r="G2253">
        <v>0</v>
      </c>
      <c r="H2253" t="s">
        <v>27</v>
      </c>
      <c r="I2253" t="s">
        <v>16</v>
      </c>
      <c r="J2253" t="s">
        <v>16</v>
      </c>
      <c r="K2253" t="str">
        <f>VLOOKUP(C2253,CheckName!A:B,2,0)</f>
        <v>Edu</v>
      </c>
      <c r="L2253">
        <v>0</v>
      </c>
      <c r="M2253">
        <f t="shared" ref="M2253:M2259" si="333">DAY(E2253)</f>
        <v>17</v>
      </c>
      <c r="N2253" t="str">
        <f>TEXT(MTDRejection[[#This Row],[RejectionDate]],"dddd")</f>
        <v>Tuesday</v>
      </c>
    </row>
    <row r="2254" spans="1:14">
      <c r="A2254" t="s">
        <v>1882</v>
      </c>
      <c r="B2254" t="s">
        <v>4714</v>
      </c>
      <c r="C2254" t="s">
        <v>12</v>
      </c>
      <c r="D2254" t="s">
        <v>26</v>
      </c>
      <c r="E2254" s="7">
        <v>45643</v>
      </c>
      <c r="F2254" t="s">
        <v>2335</v>
      </c>
      <c r="G2254">
        <v>0</v>
      </c>
      <c r="H2254" t="s">
        <v>27</v>
      </c>
      <c r="I2254" t="s">
        <v>16</v>
      </c>
      <c r="J2254" t="s">
        <v>16</v>
      </c>
      <c r="K2254" t="str">
        <f>VLOOKUP(C2254,CheckName!A:B,2,0)</f>
        <v>Emp</v>
      </c>
      <c r="L2254">
        <v>0</v>
      </c>
      <c r="M2254">
        <f t="shared" si="333"/>
        <v>17</v>
      </c>
      <c r="N2254" t="str">
        <f>TEXT(MTDRejection[[#This Row],[RejectionDate]],"dddd")</f>
        <v>Tuesday</v>
      </c>
    </row>
    <row r="2255" spans="1:14">
      <c r="A2255" t="s">
        <v>419</v>
      </c>
      <c r="B2255" t="s">
        <v>4715</v>
      </c>
      <c r="C2255" t="s">
        <v>54</v>
      </c>
      <c r="D2255" t="s">
        <v>26</v>
      </c>
      <c r="E2255" s="7">
        <v>45643</v>
      </c>
      <c r="F2255" t="s">
        <v>121</v>
      </c>
      <c r="G2255">
        <v>0</v>
      </c>
      <c r="H2255" t="s">
        <v>27</v>
      </c>
      <c r="I2255" t="s">
        <v>16</v>
      </c>
      <c r="J2255" t="s">
        <v>16</v>
      </c>
      <c r="K2255" t="str">
        <f>VLOOKUP(C2255,CheckName!A:B,2,0)</f>
        <v>Edu</v>
      </c>
      <c r="L2255">
        <v>0</v>
      </c>
      <c r="M2255">
        <f t="shared" si="333"/>
        <v>17</v>
      </c>
      <c r="N2255" t="str">
        <f>TEXT(MTDRejection[[#This Row],[RejectionDate]],"dddd")</f>
        <v>Tuesday</v>
      </c>
    </row>
    <row r="2256" spans="1:14">
      <c r="A2256" t="s">
        <v>100</v>
      </c>
      <c r="B2256" t="s">
        <v>4716</v>
      </c>
      <c r="C2256" t="s">
        <v>775</v>
      </c>
      <c r="D2256" t="s">
        <v>26</v>
      </c>
      <c r="E2256" s="7">
        <v>45642</v>
      </c>
      <c r="F2256" t="s">
        <v>380</v>
      </c>
      <c r="G2256">
        <v>1</v>
      </c>
      <c r="H2256" t="s">
        <v>22</v>
      </c>
      <c r="I2256" t="s">
        <v>16</v>
      </c>
      <c r="J2256" t="s">
        <v>16</v>
      </c>
      <c r="K2256" t="str">
        <f>VLOOKUP(C2256,CheckName!A:B,2,0)</f>
        <v>Emp</v>
      </c>
      <c r="L2256">
        <v>0</v>
      </c>
      <c r="M2256">
        <f t="shared" si="333"/>
        <v>16</v>
      </c>
      <c r="N2256" t="str">
        <f>TEXT(MTDRejection[[#This Row],[RejectionDate]],"dddd")</f>
        <v>Monday</v>
      </c>
    </row>
    <row r="2257" spans="1:14">
      <c r="A2257" t="s">
        <v>1755</v>
      </c>
      <c r="B2257" t="s">
        <v>4717</v>
      </c>
      <c r="C2257" t="s">
        <v>12</v>
      </c>
      <c r="D2257" t="s">
        <v>26</v>
      </c>
      <c r="E2257" s="7">
        <v>45642</v>
      </c>
      <c r="F2257" t="s">
        <v>1055</v>
      </c>
      <c r="G2257">
        <v>1</v>
      </c>
      <c r="H2257" t="s">
        <v>22</v>
      </c>
      <c r="I2257" t="s">
        <v>16</v>
      </c>
      <c r="J2257" t="s">
        <v>16</v>
      </c>
      <c r="K2257" t="str">
        <f>VLOOKUP(C2257,CheckName!A:B,2,0)</f>
        <v>Emp</v>
      </c>
      <c r="L2257">
        <v>0</v>
      </c>
      <c r="M2257">
        <f t="shared" si="333"/>
        <v>16</v>
      </c>
      <c r="N2257" t="str">
        <f>TEXT(MTDRejection[[#This Row],[RejectionDate]],"dddd")</f>
        <v>Monday</v>
      </c>
    </row>
    <row r="2258" spans="1:14">
      <c r="A2258" t="s">
        <v>469</v>
      </c>
      <c r="B2258" t="s">
        <v>4718</v>
      </c>
      <c r="C2258" t="s">
        <v>54</v>
      </c>
      <c r="D2258" t="s">
        <v>26</v>
      </c>
      <c r="E2258" s="7">
        <v>45631</v>
      </c>
      <c r="F2258" t="s">
        <v>121</v>
      </c>
      <c r="G2258">
        <v>12</v>
      </c>
      <c r="H2258" t="s">
        <v>27</v>
      </c>
      <c r="I2258" t="s">
        <v>16</v>
      </c>
      <c r="J2258" t="s">
        <v>16</v>
      </c>
      <c r="K2258" t="str">
        <f>VLOOKUP(C2258,CheckName!A:B,2,0)</f>
        <v>Edu</v>
      </c>
      <c r="L2258">
        <v>0</v>
      </c>
      <c r="M2258">
        <f t="shared" si="333"/>
        <v>5</v>
      </c>
      <c r="N2258" t="str">
        <f>TEXT(MTDRejection[[#This Row],[RejectionDate]],"dddd")</f>
        <v>Thursday</v>
      </c>
    </row>
    <row r="2259" spans="1:14">
      <c r="A2259" t="s">
        <v>81</v>
      </c>
      <c r="B2259" t="s">
        <v>4719</v>
      </c>
      <c r="C2259" t="s">
        <v>54</v>
      </c>
      <c r="D2259" t="s">
        <v>26</v>
      </c>
      <c r="E2259" s="7">
        <v>45629</v>
      </c>
      <c r="F2259" t="s">
        <v>121</v>
      </c>
      <c r="G2259">
        <v>14</v>
      </c>
      <c r="H2259" t="s">
        <v>27</v>
      </c>
      <c r="I2259" t="s">
        <v>16</v>
      </c>
      <c r="J2259" t="s">
        <v>16</v>
      </c>
      <c r="K2259" t="str">
        <f>VLOOKUP(C2259,CheckName!A:B,2,0)</f>
        <v>Edu</v>
      </c>
      <c r="L2259">
        <v>0</v>
      </c>
      <c r="M2259">
        <f t="shared" si="333"/>
        <v>3</v>
      </c>
      <c r="N2259" t="str">
        <f>TEXT(MTDRejection[[#This Row],[RejectionDate]],"dddd")</f>
        <v>Tuesday</v>
      </c>
    </row>
    <row r="2260" spans="1:14">
      <c r="A2260" t="s">
        <v>1944</v>
      </c>
      <c r="B2260" t="s">
        <v>4720</v>
      </c>
      <c r="C2260" t="s">
        <v>93</v>
      </c>
      <c r="D2260" t="s">
        <v>13</v>
      </c>
      <c r="E2260" s="7">
        <v>45643</v>
      </c>
      <c r="F2260" t="s">
        <v>2326</v>
      </c>
      <c r="G2260">
        <v>0</v>
      </c>
      <c r="H2260" t="s">
        <v>15</v>
      </c>
      <c r="I2260" t="s">
        <v>16</v>
      </c>
      <c r="J2260" t="s">
        <v>16</v>
      </c>
      <c r="K2260" t="str">
        <f>VLOOKUP(C2260,CheckName!A:B,2,0)</f>
        <v>Edu</v>
      </c>
      <c r="L2260">
        <v>0</v>
      </c>
      <c r="M2260">
        <f t="shared" ref="M2260:M2261" si="334">DAY(E2260)</f>
        <v>17</v>
      </c>
      <c r="N2260" t="str">
        <f>TEXT(MTDRejection[[#This Row],[RejectionDate]],"dddd")</f>
        <v>Tuesday</v>
      </c>
    </row>
    <row r="2261" spans="1:14">
      <c r="A2261" t="s">
        <v>519</v>
      </c>
      <c r="B2261" t="s">
        <v>4721</v>
      </c>
      <c r="C2261" t="s">
        <v>36</v>
      </c>
      <c r="D2261" t="s">
        <v>13</v>
      </c>
      <c r="E2261" s="7">
        <v>45643</v>
      </c>
      <c r="F2261" t="s">
        <v>2326</v>
      </c>
      <c r="G2261">
        <v>0</v>
      </c>
      <c r="H2261" t="s">
        <v>30</v>
      </c>
      <c r="I2261" t="s">
        <v>16</v>
      </c>
      <c r="J2261" t="s">
        <v>16</v>
      </c>
      <c r="K2261" t="str">
        <f>VLOOKUP(C2261,CheckName!A:B,2,0)</f>
        <v>Emp</v>
      </c>
      <c r="L2261">
        <v>0</v>
      </c>
      <c r="M2261">
        <f t="shared" si="334"/>
        <v>17</v>
      </c>
      <c r="N2261" t="str">
        <f>TEXT(MTDRejection[[#This Row],[RejectionDate]],"dddd")</f>
        <v>Tuesday</v>
      </c>
    </row>
    <row r="2262" spans="1:14">
      <c r="A2262" t="s">
        <v>47</v>
      </c>
      <c r="B2262" t="s">
        <v>4722</v>
      </c>
      <c r="C2262" t="s">
        <v>54</v>
      </c>
      <c r="D2262" t="s">
        <v>13</v>
      </c>
      <c r="E2262" s="7">
        <v>45643</v>
      </c>
      <c r="F2262" t="s">
        <v>2326</v>
      </c>
      <c r="G2262">
        <v>0</v>
      </c>
      <c r="H2262" t="s">
        <v>30</v>
      </c>
      <c r="I2262" t="s">
        <v>16</v>
      </c>
      <c r="J2262" t="s">
        <v>16</v>
      </c>
      <c r="K2262" t="str">
        <f>VLOOKUP(C2262,CheckName!A:B,2,0)</f>
        <v>Edu</v>
      </c>
      <c r="L2262">
        <v>0</v>
      </c>
      <c r="M2262">
        <f t="shared" ref="M2262:M2264" si="335">DAY(E2262)</f>
        <v>17</v>
      </c>
      <c r="N2262" t="str">
        <f>TEXT(MTDRejection[[#This Row],[RejectionDate]],"dddd")</f>
        <v>Tuesday</v>
      </c>
    </row>
    <row r="2263" spans="1:14">
      <c r="A2263" t="s">
        <v>47</v>
      </c>
      <c r="B2263" t="s">
        <v>4723</v>
      </c>
      <c r="C2263" t="s">
        <v>54</v>
      </c>
      <c r="D2263" t="s">
        <v>13</v>
      </c>
      <c r="E2263" s="7">
        <v>45643</v>
      </c>
      <c r="F2263" t="s">
        <v>2326</v>
      </c>
      <c r="G2263">
        <v>0</v>
      </c>
      <c r="H2263" t="s">
        <v>15</v>
      </c>
      <c r="I2263" t="s">
        <v>16</v>
      </c>
      <c r="J2263" t="s">
        <v>16</v>
      </c>
      <c r="K2263" t="str">
        <f>VLOOKUP(C2263,CheckName!A:B,2,0)</f>
        <v>Edu</v>
      </c>
      <c r="L2263">
        <v>0</v>
      </c>
      <c r="M2263">
        <f t="shared" si="335"/>
        <v>17</v>
      </c>
      <c r="N2263" t="str">
        <f>TEXT(MTDRejection[[#This Row],[RejectionDate]],"dddd")</f>
        <v>Tuesday</v>
      </c>
    </row>
    <row r="2264" spans="1:14">
      <c r="A2264" t="s">
        <v>81</v>
      </c>
      <c r="B2264" t="s">
        <v>4724</v>
      </c>
      <c r="C2264" t="s">
        <v>25</v>
      </c>
      <c r="D2264" t="s">
        <v>20</v>
      </c>
      <c r="E2264" s="7">
        <v>45643</v>
      </c>
      <c r="F2264" t="s">
        <v>2327</v>
      </c>
      <c r="G2264">
        <v>0</v>
      </c>
      <c r="H2264" t="s">
        <v>27</v>
      </c>
      <c r="I2264" t="s">
        <v>16</v>
      </c>
      <c r="J2264" t="s">
        <v>16</v>
      </c>
      <c r="K2264" t="str">
        <f>VLOOKUP(C2264,CheckName!A:B,2,0)</f>
        <v>Add</v>
      </c>
      <c r="L2264">
        <v>0</v>
      </c>
      <c r="M2264">
        <f t="shared" si="335"/>
        <v>17</v>
      </c>
      <c r="N2264" t="str">
        <f>TEXT(MTDRejection[[#This Row],[RejectionDate]],"dddd")</f>
        <v>Tuesday</v>
      </c>
    </row>
    <row r="2265" spans="1:14">
      <c r="A2265" t="s">
        <v>432</v>
      </c>
      <c r="B2265" t="s">
        <v>4725</v>
      </c>
      <c r="C2265" t="s">
        <v>467</v>
      </c>
      <c r="D2265" t="s">
        <v>26</v>
      </c>
      <c r="E2265" s="7">
        <v>45643</v>
      </c>
      <c r="F2265" t="s">
        <v>236</v>
      </c>
      <c r="G2265">
        <v>0</v>
      </c>
      <c r="H2265" t="s">
        <v>22</v>
      </c>
      <c r="I2265" t="s">
        <v>16</v>
      </c>
      <c r="J2265" t="s">
        <v>16</v>
      </c>
      <c r="K2265" t="str">
        <f>VLOOKUP(C2265,CheckName!A:B,2,0)</f>
        <v>Special Check</v>
      </c>
      <c r="L2265">
        <v>0</v>
      </c>
      <c r="M2265">
        <f>DAY(E2265)</f>
        <v>17</v>
      </c>
      <c r="N2265" t="str">
        <f>TEXT(MTDRejection[[#This Row],[RejectionDate]],"dddd")</f>
        <v>Tuesday</v>
      </c>
    </row>
    <row r="2266" spans="1:14">
      <c r="A2266" t="s">
        <v>1945</v>
      </c>
      <c r="B2266" t="s">
        <v>4726</v>
      </c>
      <c r="C2266" t="s">
        <v>123</v>
      </c>
      <c r="D2266" t="s">
        <v>26</v>
      </c>
      <c r="E2266" s="7">
        <v>45643</v>
      </c>
      <c r="F2266" t="s">
        <v>236</v>
      </c>
      <c r="G2266">
        <v>0</v>
      </c>
      <c r="H2266" t="s">
        <v>27</v>
      </c>
      <c r="I2266" t="s">
        <v>16</v>
      </c>
      <c r="J2266" t="s">
        <v>16</v>
      </c>
      <c r="K2266" t="str">
        <f>VLOOKUP(C2266,CheckName!A:B,2,0)</f>
        <v>Special Check</v>
      </c>
      <c r="L2266">
        <v>0</v>
      </c>
      <c r="M2266">
        <f t="shared" ref="M2266:M2267" si="336">DAY(E2266)</f>
        <v>17</v>
      </c>
      <c r="N2266" t="str">
        <f>TEXT(MTDRejection[[#This Row],[RejectionDate]],"dddd")</f>
        <v>Tuesday</v>
      </c>
    </row>
    <row r="2267" spans="1:14">
      <c r="A2267" t="s">
        <v>1889</v>
      </c>
      <c r="B2267" t="s">
        <v>4727</v>
      </c>
      <c r="C2267" t="s">
        <v>25</v>
      </c>
      <c r="D2267" t="s">
        <v>20</v>
      </c>
      <c r="E2267" s="7">
        <v>45643</v>
      </c>
      <c r="F2267" t="s">
        <v>2327</v>
      </c>
      <c r="G2267">
        <v>0</v>
      </c>
      <c r="H2267" t="s">
        <v>22</v>
      </c>
      <c r="I2267" t="s">
        <v>16</v>
      </c>
      <c r="J2267" t="s">
        <v>16</v>
      </c>
      <c r="K2267" t="str">
        <f>VLOOKUP(C2267,CheckName!A:B,2,0)</f>
        <v>Add</v>
      </c>
      <c r="L2267">
        <v>0</v>
      </c>
      <c r="M2267">
        <f t="shared" si="336"/>
        <v>17</v>
      </c>
      <c r="N2267" t="str">
        <f>TEXT(MTDRejection[[#This Row],[RejectionDate]],"dddd")</f>
        <v>Tuesday</v>
      </c>
    </row>
    <row r="2268" spans="1:14">
      <c r="A2268" t="s">
        <v>45</v>
      </c>
      <c r="B2268" t="s">
        <v>4728</v>
      </c>
      <c r="C2268" t="s">
        <v>12</v>
      </c>
      <c r="D2268" t="s">
        <v>26</v>
      </c>
      <c r="E2268" s="7">
        <v>45643</v>
      </c>
      <c r="F2268" t="s">
        <v>224</v>
      </c>
      <c r="G2268">
        <v>0</v>
      </c>
      <c r="H2268" t="s">
        <v>22</v>
      </c>
      <c r="I2268" t="s">
        <v>16</v>
      </c>
      <c r="J2268" t="s">
        <v>16</v>
      </c>
      <c r="K2268" t="str">
        <f>VLOOKUP(C2268,CheckName!A:B,2,0)</f>
        <v>Emp</v>
      </c>
      <c r="L2268">
        <v>0</v>
      </c>
      <c r="M2268">
        <f>DAY(E2268)</f>
        <v>17</v>
      </c>
      <c r="N2268" t="str">
        <f>TEXT(MTDRejection[[#This Row],[RejectionDate]],"dddd")</f>
        <v>Tuesday</v>
      </c>
    </row>
    <row r="2269" spans="1:14">
      <c r="A2269" t="s">
        <v>64</v>
      </c>
      <c r="B2269" t="s">
        <v>4729</v>
      </c>
      <c r="C2269" t="s">
        <v>25</v>
      </c>
      <c r="D2269" t="s">
        <v>26</v>
      </c>
      <c r="E2269" s="7">
        <v>45643</v>
      </c>
      <c r="F2269" t="s">
        <v>66</v>
      </c>
      <c r="G2269">
        <v>0</v>
      </c>
      <c r="H2269" t="s">
        <v>27</v>
      </c>
      <c r="I2269" t="s">
        <v>16</v>
      </c>
      <c r="J2269" t="s">
        <v>16</v>
      </c>
      <c r="K2269" t="str">
        <f>VLOOKUP(C2269,CheckName!A:B,2,0)</f>
        <v>Add</v>
      </c>
      <c r="L2269">
        <v>0</v>
      </c>
      <c r="M2269">
        <f>DAY(E2269)</f>
        <v>17</v>
      </c>
      <c r="N2269" t="str">
        <f>TEXT(MTDRejection[[#This Row],[RejectionDate]],"dddd")</f>
        <v>Tuesday</v>
      </c>
    </row>
    <row r="2270" spans="1:14">
      <c r="A2270" t="s">
        <v>100</v>
      </c>
      <c r="B2270" t="s">
        <v>1946</v>
      </c>
      <c r="C2270" t="s">
        <v>359</v>
      </c>
      <c r="D2270" t="s">
        <v>13</v>
      </c>
      <c r="E2270" s="7">
        <v>45643</v>
      </c>
      <c r="F2270" t="s">
        <v>706</v>
      </c>
      <c r="G2270">
        <v>0</v>
      </c>
      <c r="H2270" t="s">
        <v>15</v>
      </c>
      <c r="I2270" t="s">
        <v>16</v>
      </c>
      <c r="J2270" t="s">
        <v>16</v>
      </c>
      <c r="K2270" t="str">
        <f>VLOOKUP(C2270,CheckName!A:B,2,0)</f>
        <v>Emp</v>
      </c>
      <c r="L2270">
        <v>0</v>
      </c>
      <c r="M2270">
        <f t="shared" ref="M2270:M2272" si="337">DAY(E2270)</f>
        <v>17</v>
      </c>
      <c r="N2270" t="str">
        <f>TEXT(MTDRejection[[#This Row],[RejectionDate]],"dddd")</f>
        <v>Tuesday</v>
      </c>
    </row>
    <row r="2271" spans="1:14">
      <c r="A2271" t="s">
        <v>281</v>
      </c>
      <c r="B2271" t="s">
        <v>4730</v>
      </c>
      <c r="C2271" t="s">
        <v>56</v>
      </c>
      <c r="D2271" t="s">
        <v>13</v>
      </c>
      <c r="E2271" s="7">
        <v>45643</v>
      </c>
      <c r="F2271" t="s">
        <v>706</v>
      </c>
      <c r="G2271">
        <v>0</v>
      </c>
      <c r="H2271" t="s">
        <v>15</v>
      </c>
      <c r="I2271" t="s">
        <v>16</v>
      </c>
      <c r="J2271" t="s">
        <v>16</v>
      </c>
      <c r="K2271" t="str">
        <f>VLOOKUP(C2271,CheckName!A:B,2,0)</f>
        <v>Special Check</v>
      </c>
      <c r="L2271">
        <v>0</v>
      </c>
      <c r="M2271">
        <f t="shared" si="337"/>
        <v>17</v>
      </c>
      <c r="N2271" t="str">
        <f>TEXT(MTDRejection[[#This Row],[RejectionDate]],"dddd")</f>
        <v>Tuesday</v>
      </c>
    </row>
    <row r="2272" spans="1:14">
      <c r="A2272" t="s">
        <v>119</v>
      </c>
      <c r="B2272" t="s">
        <v>4731</v>
      </c>
      <c r="C2272" t="s">
        <v>125</v>
      </c>
      <c r="D2272" t="s">
        <v>26</v>
      </c>
      <c r="E2272" s="7">
        <v>45643</v>
      </c>
      <c r="F2272" t="s">
        <v>2354</v>
      </c>
      <c r="G2272">
        <v>0</v>
      </c>
      <c r="H2272" t="s">
        <v>27</v>
      </c>
      <c r="I2272" t="s">
        <v>16</v>
      </c>
      <c r="J2272" t="s">
        <v>16</v>
      </c>
      <c r="K2272" t="str">
        <f>VLOOKUP(C2272,CheckName!A:B,2,0)</f>
        <v>Emp</v>
      </c>
      <c r="L2272">
        <v>0</v>
      </c>
      <c r="M2272">
        <f t="shared" si="337"/>
        <v>17</v>
      </c>
      <c r="N2272" t="str">
        <f>TEXT(MTDRejection[[#This Row],[RejectionDate]],"dddd")</f>
        <v>Tuesday</v>
      </c>
    </row>
    <row r="2273" spans="1:14">
      <c r="A2273" t="s">
        <v>47</v>
      </c>
      <c r="B2273" t="s">
        <v>4732</v>
      </c>
      <c r="C2273" t="s">
        <v>36</v>
      </c>
      <c r="D2273" t="s">
        <v>26</v>
      </c>
      <c r="E2273" s="7">
        <v>45643</v>
      </c>
      <c r="F2273" t="s">
        <v>614</v>
      </c>
      <c r="G2273">
        <v>0</v>
      </c>
      <c r="H2273" t="s">
        <v>130</v>
      </c>
      <c r="I2273" t="s">
        <v>16</v>
      </c>
      <c r="J2273" t="s">
        <v>16</v>
      </c>
      <c r="K2273" t="str">
        <f>VLOOKUP(C2273,CheckName!A:B,2,0)</f>
        <v>Emp</v>
      </c>
      <c r="L2273">
        <v>0</v>
      </c>
      <c r="M2273">
        <f>DAY(E2273)</f>
        <v>17</v>
      </c>
      <c r="N2273" t="str">
        <f>TEXT(MTDRejection[[#This Row],[RejectionDate]],"dddd")</f>
        <v>Tuesday</v>
      </c>
    </row>
    <row r="2274" spans="1:14">
      <c r="A2274" t="s">
        <v>250</v>
      </c>
      <c r="B2274" t="s">
        <v>2591</v>
      </c>
      <c r="C2274" t="s">
        <v>54</v>
      </c>
      <c r="D2274" t="s">
        <v>26</v>
      </c>
      <c r="E2274" s="7">
        <v>45643</v>
      </c>
      <c r="F2274" t="s">
        <v>94</v>
      </c>
      <c r="G2274">
        <v>0</v>
      </c>
      <c r="H2274" t="s">
        <v>425</v>
      </c>
      <c r="I2274" t="s">
        <v>16</v>
      </c>
      <c r="J2274" t="s">
        <v>16</v>
      </c>
      <c r="K2274" t="str">
        <f>VLOOKUP(C2274,CheckName!A:B,2,0)</f>
        <v>Edu</v>
      </c>
      <c r="L2274">
        <v>0</v>
      </c>
      <c r="M2274">
        <f>DAY(E2274)</f>
        <v>17</v>
      </c>
      <c r="N2274" t="str">
        <f>TEXT(MTDRejection[[#This Row],[RejectionDate]],"dddd")</f>
        <v>Tuesday</v>
      </c>
    </row>
    <row r="2275" spans="1:14">
      <c r="A2275" t="s">
        <v>100</v>
      </c>
      <c r="B2275" t="s">
        <v>4733</v>
      </c>
      <c r="C2275" t="s">
        <v>102</v>
      </c>
      <c r="D2275" t="s">
        <v>26</v>
      </c>
      <c r="E2275" s="7">
        <v>45643</v>
      </c>
      <c r="F2275" t="s">
        <v>538</v>
      </c>
      <c r="G2275">
        <v>0</v>
      </c>
      <c r="H2275" t="s">
        <v>27</v>
      </c>
      <c r="I2275" t="s">
        <v>16</v>
      </c>
      <c r="J2275" t="s">
        <v>16</v>
      </c>
      <c r="K2275" t="str">
        <f>VLOOKUP(C2275,CheckName!A:B,2,0)</f>
        <v>Edu</v>
      </c>
      <c r="L2275">
        <v>0</v>
      </c>
      <c r="M2275">
        <f t="shared" ref="M2275:M2284" si="338">DAY(E2275)</f>
        <v>17</v>
      </c>
      <c r="N2275" t="str">
        <f>TEXT(MTDRejection[[#This Row],[RejectionDate]],"dddd")</f>
        <v>Tuesday</v>
      </c>
    </row>
    <row r="2276" spans="1:14">
      <c r="A2276" t="s">
        <v>176</v>
      </c>
      <c r="B2276" t="s">
        <v>4734</v>
      </c>
      <c r="C2276" t="s">
        <v>54</v>
      </c>
      <c r="D2276" t="s">
        <v>26</v>
      </c>
      <c r="E2276" s="7">
        <v>45643</v>
      </c>
      <c r="F2276" t="s">
        <v>103</v>
      </c>
      <c r="G2276">
        <v>0</v>
      </c>
      <c r="H2276" t="s">
        <v>27</v>
      </c>
      <c r="I2276" t="s">
        <v>16</v>
      </c>
      <c r="J2276" t="s">
        <v>16</v>
      </c>
      <c r="K2276" t="str">
        <f>VLOOKUP(C2276,CheckName!A:B,2,0)</f>
        <v>Edu</v>
      </c>
      <c r="L2276">
        <v>0</v>
      </c>
      <c r="M2276">
        <f t="shared" si="338"/>
        <v>17</v>
      </c>
      <c r="N2276" t="str">
        <f>TEXT(MTDRejection[[#This Row],[RejectionDate]],"dddd")</f>
        <v>Tuesday</v>
      </c>
    </row>
    <row r="2277" spans="1:14">
      <c r="A2277" t="s">
        <v>580</v>
      </c>
      <c r="B2277" t="s">
        <v>4735</v>
      </c>
      <c r="C2277" t="s">
        <v>54</v>
      </c>
      <c r="D2277" t="s">
        <v>13</v>
      </c>
      <c r="E2277" s="7">
        <v>45643</v>
      </c>
      <c r="F2277" t="s">
        <v>107</v>
      </c>
      <c r="G2277">
        <v>0</v>
      </c>
      <c r="H2277" t="s">
        <v>130</v>
      </c>
      <c r="I2277" t="s">
        <v>16</v>
      </c>
      <c r="J2277" t="s">
        <v>16</v>
      </c>
      <c r="K2277" t="str">
        <f>VLOOKUP(C2277,CheckName!A:B,2,0)</f>
        <v>Edu</v>
      </c>
      <c r="L2277">
        <v>0</v>
      </c>
      <c r="M2277">
        <f t="shared" si="338"/>
        <v>17</v>
      </c>
      <c r="N2277" t="str">
        <f>TEXT(MTDRejection[[#This Row],[RejectionDate]],"dddd")</f>
        <v>Tuesday</v>
      </c>
    </row>
    <row r="2278" spans="1:14">
      <c r="A2278" t="s">
        <v>263</v>
      </c>
      <c r="B2278" t="s">
        <v>4736</v>
      </c>
      <c r="C2278" t="s">
        <v>93</v>
      </c>
      <c r="D2278" t="s">
        <v>13</v>
      </c>
      <c r="E2278" s="7">
        <v>45643</v>
      </c>
      <c r="F2278" t="s">
        <v>107</v>
      </c>
      <c r="G2278">
        <v>0</v>
      </c>
      <c r="H2278" t="s">
        <v>15</v>
      </c>
      <c r="I2278" t="s">
        <v>16</v>
      </c>
      <c r="J2278" t="s">
        <v>16</v>
      </c>
      <c r="K2278" t="str">
        <f>VLOOKUP(C2278,CheckName!A:B,2,0)</f>
        <v>Edu</v>
      </c>
      <c r="L2278">
        <v>0</v>
      </c>
      <c r="M2278">
        <f t="shared" si="338"/>
        <v>17</v>
      </c>
      <c r="N2278" t="str">
        <f>TEXT(MTDRejection[[#This Row],[RejectionDate]],"dddd")</f>
        <v>Tuesday</v>
      </c>
    </row>
    <row r="2279" spans="1:14">
      <c r="A2279" t="s">
        <v>47</v>
      </c>
      <c r="B2279" t="s">
        <v>4737</v>
      </c>
      <c r="C2279" t="s">
        <v>36</v>
      </c>
      <c r="D2279" t="s">
        <v>13</v>
      </c>
      <c r="E2279" s="7">
        <v>45643</v>
      </c>
      <c r="F2279" t="s">
        <v>107</v>
      </c>
      <c r="G2279">
        <v>0</v>
      </c>
      <c r="H2279" t="s">
        <v>130</v>
      </c>
      <c r="I2279" t="s">
        <v>16</v>
      </c>
      <c r="J2279" t="s">
        <v>16</v>
      </c>
      <c r="K2279" t="str">
        <f>VLOOKUP(C2279,CheckName!A:B,2,0)</f>
        <v>Emp</v>
      </c>
      <c r="L2279">
        <v>0</v>
      </c>
      <c r="M2279">
        <f t="shared" si="338"/>
        <v>17</v>
      </c>
      <c r="N2279" t="str">
        <f>TEXT(MTDRejection[[#This Row],[RejectionDate]],"dddd")</f>
        <v>Tuesday</v>
      </c>
    </row>
    <row r="2280" spans="1:14">
      <c r="A2280" t="s">
        <v>47</v>
      </c>
      <c r="B2280" t="s">
        <v>4738</v>
      </c>
      <c r="C2280" t="s">
        <v>54</v>
      </c>
      <c r="D2280" t="s">
        <v>13</v>
      </c>
      <c r="E2280" s="7">
        <v>45643</v>
      </c>
      <c r="F2280" t="s">
        <v>107</v>
      </c>
      <c r="G2280">
        <v>0</v>
      </c>
      <c r="H2280" t="s">
        <v>130</v>
      </c>
      <c r="I2280" t="s">
        <v>16</v>
      </c>
      <c r="J2280" t="s">
        <v>16</v>
      </c>
      <c r="K2280" t="str">
        <f>VLOOKUP(C2280,CheckName!A:B,2,0)</f>
        <v>Edu</v>
      </c>
      <c r="L2280">
        <v>0</v>
      </c>
      <c r="M2280">
        <f t="shared" si="338"/>
        <v>17</v>
      </c>
      <c r="N2280" t="str">
        <f>TEXT(MTDRejection[[#This Row],[RejectionDate]],"dddd")</f>
        <v>Tuesday</v>
      </c>
    </row>
    <row r="2281" spans="1:14">
      <c r="A2281" t="s">
        <v>47</v>
      </c>
      <c r="B2281" t="s">
        <v>4739</v>
      </c>
      <c r="C2281" t="s">
        <v>36</v>
      </c>
      <c r="D2281" t="s">
        <v>13</v>
      </c>
      <c r="E2281" s="7">
        <v>45643</v>
      </c>
      <c r="F2281" t="s">
        <v>107</v>
      </c>
      <c r="G2281">
        <v>0</v>
      </c>
      <c r="H2281" t="s">
        <v>15</v>
      </c>
      <c r="I2281" t="s">
        <v>16</v>
      </c>
      <c r="J2281" t="s">
        <v>16</v>
      </c>
      <c r="K2281" t="str">
        <f>VLOOKUP(C2281,CheckName!A:B,2,0)</f>
        <v>Emp</v>
      </c>
      <c r="L2281">
        <v>0</v>
      </c>
      <c r="M2281">
        <f t="shared" si="338"/>
        <v>17</v>
      </c>
      <c r="N2281" t="str">
        <f>TEXT(MTDRejection[[#This Row],[RejectionDate]],"dddd")</f>
        <v>Tuesday</v>
      </c>
    </row>
    <row r="2282" spans="1:14">
      <c r="A2282" t="s">
        <v>47</v>
      </c>
      <c r="B2282" t="s">
        <v>4740</v>
      </c>
      <c r="C2282" t="s">
        <v>54</v>
      </c>
      <c r="D2282" t="s">
        <v>13</v>
      </c>
      <c r="E2282" s="7">
        <v>45643</v>
      </c>
      <c r="F2282" t="s">
        <v>107</v>
      </c>
      <c r="G2282">
        <v>0</v>
      </c>
      <c r="H2282" t="s">
        <v>15</v>
      </c>
      <c r="I2282" t="s">
        <v>16</v>
      </c>
      <c r="J2282" t="s">
        <v>16</v>
      </c>
      <c r="K2282" t="str">
        <f>VLOOKUP(C2282,CheckName!A:B,2,0)</f>
        <v>Edu</v>
      </c>
      <c r="L2282">
        <v>0</v>
      </c>
      <c r="M2282">
        <f t="shared" si="338"/>
        <v>17</v>
      </c>
      <c r="N2282" t="str">
        <f>TEXT(MTDRejection[[#This Row],[RejectionDate]],"dddd")</f>
        <v>Tuesday</v>
      </c>
    </row>
    <row r="2283" spans="1:14">
      <c r="A2283" t="s">
        <v>47</v>
      </c>
      <c r="B2283" t="s">
        <v>4741</v>
      </c>
      <c r="C2283" t="s">
        <v>54</v>
      </c>
      <c r="D2283" t="s">
        <v>13</v>
      </c>
      <c r="E2283" s="7">
        <v>45643</v>
      </c>
      <c r="F2283" t="s">
        <v>107</v>
      </c>
      <c r="G2283">
        <v>0</v>
      </c>
      <c r="H2283" t="s">
        <v>15</v>
      </c>
      <c r="I2283" t="s">
        <v>16</v>
      </c>
      <c r="J2283" t="s">
        <v>16</v>
      </c>
      <c r="K2283" t="str">
        <f>VLOOKUP(C2283,CheckName!A:B,2,0)</f>
        <v>Edu</v>
      </c>
      <c r="L2283">
        <v>0</v>
      </c>
      <c r="M2283">
        <f t="shared" si="338"/>
        <v>17</v>
      </c>
      <c r="N2283" t="str">
        <f>TEXT(MTDRejection[[#This Row],[RejectionDate]],"dddd")</f>
        <v>Tuesday</v>
      </c>
    </row>
    <row r="2284" spans="1:14">
      <c r="A2284" t="s">
        <v>47</v>
      </c>
      <c r="B2284" t="s">
        <v>4742</v>
      </c>
      <c r="C2284" t="s">
        <v>12</v>
      </c>
      <c r="D2284" t="s">
        <v>13</v>
      </c>
      <c r="E2284" s="7">
        <v>45643</v>
      </c>
      <c r="F2284" t="s">
        <v>107</v>
      </c>
      <c r="G2284">
        <v>0</v>
      </c>
      <c r="H2284" t="s">
        <v>15</v>
      </c>
      <c r="I2284" t="s">
        <v>16</v>
      </c>
      <c r="J2284" t="s">
        <v>16</v>
      </c>
      <c r="K2284" t="str">
        <f>VLOOKUP(C2284,CheckName!A:B,2,0)</f>
        <v>Emp</v>
      </c>
      <c r="L2284">
        <v>0</v>
      </c>
      <c r="M2284">
        <f t="shared" si="338"/>
        <v>17</v>
      </c>
      <c r="N2284" t="str">
        <f>TEXT(MTDRejection[[#This Row],[RejectionDate]],"dddd")</f>
        <v>Tuesday</v>
      </c>
    </row>
    <row r="2285" spans="1:14">
      <c r="A2285" t="s">
        <v>165</v>
      </c>
      <c r="B2285" t="s">
        <v>2594</v>
      </c>
      <c r="C2285" t="s">
        <v>467</v>
      </c>
      <c r="D2285" t="s">
        <v>26</v>
      </c>
      <c r="E2285" s="7">
        <v>45643</v>
      </c>
      <c r="F2285" t="s">
        <v>236</v>
      </c>
      <c r="G2285">
        <v>0</v>
      </c>
      <c r="H2285" t="s">
        <v>27</v>
      </c>
      <c r="I2285" t="s">
        <v>16</v>
      </c>
      <c r="J2285" t="s">
        <v>16</v>
      </c>
      <c r="K2285" t="str">
        <f>VLOOKUP(C2285,CheckName!A:B,2,0)</f>
        <v>Special Check</v>
      </c>
      <c r="L2285">
        <v>0</v>
      </c>
      <c r="M2285">
        <f>DAY(E2285)</f>
        <v>17</v>
      </c>
      <c r="N2285" t="str">
        <f>TEXT(MTDRejection[[#This Row],[RejectionDate]],"dddd")</f>
        <v>Tuesday</v>
      </c>
    </row>
    <row r="2286" spans="1:14">
      <c r="A2286" t="s">
        <v>432</v>
      </c>
      <c r="B2286" t="s">
        <v>4743</v>
      </c>
      <c r="C2286" t="s">
        <v>467</v>
      </c>
      <c r="D2286" t="s">
        <v>26</v>
      </c>
      <c r="E2286" s="7">
        <v>45643</v>
      </c>
      <c r="F2286" t="s">
        <v>236</v>
      </c>
      <c r="G2286">
        <v>0</v>
      </c>
      <c r="H2286" t="s">
        <v>22</v>
      </c>
      <c r="I2286" t="s">
        <v>16</v>
      </c>
      <c r="J2286" t="s">
        <v>16</v>
      </c>
      <c r="K2286" t="str">
        <f>VLOOKUP(C2286,CheckName!A:B,2,0)</f>
        <v>Special Check</v>
      </c>
      <c r="L2286">
        <v>0</v>
      </c>
      <c r="M2286">
        <f>DAY(E2286)</f>
        <v>17</v>
      </c>
      <c r="N2286" t="str">
        <f>TEXT(MTDRejection[[#This Row],[RejectionDate]],"dddd")</f>
        <v>Tuesday</v>
      </c>
    </row>
    <row r="2287" spans="1:14">
      <c r="A2287" t="s">
        <v>84</v>
      </c>
      <c r="B2287" t="s">
        <v>4744</v>
      </c>
      <c r="C2287" t="s">
        <v>467</v>
      </c>
      <c r="D2287" t="s">
        <v>26</v>
      </c>
      <c r="E2287" s="7">
        <v>45643</v>
      </c>
      <c r="F2287" t="s">
        <v>236</v>
      </c>
      <c r="G2287">
        <v>0</v>
      </c>
      <c r="H2287" t="s">
        <v>27</v>
      </c>
      <c r="I2287" t="s">
        <v>16</v>
      </c>
      <c r="J2287" t="s">
        <v>16</v>
      </c>
      <c r="K2287" t="str">
        <f>VLOOKUP(C2287,CheckName!A:B,2,0)</f>
        <v>Special Check</v>
      </c>
      <c r="L2287">
        <v>0</v>
      </c>
      <c r="M2287">
        <f t="shared" ref="M2287:M2291" si="339">DAY(E2287)</f>
        <v>17</v>
      </c>
      <c r="N2287" t="str">
        <f>TEXT(MTDRejection[[#This Row],[RejectionDate]],"dddd")</f>
        <v>Tuesday</v>
      </c>
    </row>
    <row r="2288" spans="1:14">
      <c r="A2288" t="s">
        <v>84</v>
      </c>
      <c r="B2288" t="s">
        <v>4745</v>
      </c>
      <c r="C2288" t="s">
        <v>467</v>
      </c>
      <c r="D2288" t="s">
        <v>26</v>
      </c>
      <c r="E2288" s="7">
        <v>45643</v>
      </c>
      <c r="F2288" t="s">
        <v>236</v>
      </c>
      <c r="G2288">
        <v>0</v>
      </c>
      <c r="H2288" t="s">
        <v>22</v>
      </c>
      <c r="I2288" t="s">
        <v>16</v>
      </c>
      <c r="J2288" t="s">
        <v>16</v>
      </c>
      <c r="K2288" t="str">
        <f>VLOOKUP(C2288,CheckName!A:B,2,0)</f>
        <v>Special Check</v>
      </c>
      <c r="L2288">
        <v>0</v>
      </c>
      <c r="M2288">
        <f t="shared" si="339"/>
        <v>17</v>
      </c>
      <c r="N2288" t="str">
        <f>TEXT(MTDRejection[[#This Row],[RejectionDate]],"dddd")</f>
        <v>Tuesday</v>
      </c>
    </row>
    <row r="2289" spans="1:14">
      <c r="A2289" t="s">
        <v>84</v>
      </c>
      <c r="B2289" t="s">
        <v>2595</v>
      </c>
      <c r="C2289" t="s">
        <v>467</v>
      </c>
      <c r="D2289" t="s">
        <v>26</v>
      </c>
      <c r="E2289" s="7">
        <v>45643</v>
      </c>
      <c r="F2289" t="s">
        <v>236</v>
      </c>
      <c r="G2289">
        <v>0</v>
      </c>
      <c r="H2289" t="s">
        <v>22</v>
      </c>
      <c r="I2289" t="s">
        <v>16</v>
      </c>
      <c r="J2289" t="s">
        <v>16</v>
      </c>
      <c r="K2289" t="str">
        <f>VLOOKUP(C2289,CheckName!A:B,2,0)</f>
        <v>Special Check</v>
      </c>
      <c r="L2289">
        <v>0</v>
      </c>
      <c r="M2289">
        <f t="shared" si="339"/>
        <v>17</v>
      </c>
      <c r="N2289" t="str">
        <f>TEXT(MTDRejection[[#This Row],[RejectionDate]],"dddd")</f>
        <v>Tuesday</v>
      </c>
    </row>
    <row r="2290" spans="1:14">
      <c r="A2290" t="s">
        <v>84</v>
      </c>
      <c r="B2290" t="s">
        <v>4746</v>
      </c>
      <c r="C2290" t="s">
        <v>467</v>
      </c>
      <c r="D2290" t="s">
        <v>26</v>
      </c>
      <c r="E2290" s="7">
        <v>45643</v>
      </c>
      <c r="F2290" t="s">
        <v>236</v>
      </c>
      <c r="G2290">
        <v>0</v>
      </c>
      <c r="H2290" t="s">
        <v>22</v>
      </c>
      <c r="I2290" t="s">
        <v>16</v>
      </c>
      <c r="J2290" t="s">
        <v>16</v>
      </c>
      <c r="K2290" t="str">
        <f>VLOOKUP(C2290,CheckName!A:B,2,0)</f>
        <v>Special Check</v>
      </c>
      <c r="L2290">
        <v>0</v>
      </c>
      <c r="M2290">
        <f t="shared" si="339"/>
        <v>17</v>
      </c>
      <c r="N2290" t="str">
        <f>TEXT(MTDRejection[[#This Row],[RejectionDate]],"dddd")</f>
        <v>Tuesday</v>
      </c>
    </row>
    <row r="2291" spans="1:14">
      <c r="A2291" t="s">
        <v>84</v>
      </c>
      <c r="B2291" t="s">
        <v>4747</v>
      </c>
      <c r="C2291" t="s">
        <v>467</v>
      </c>
      <c r="D2291" t="s">
        <v>26</v>
      </c>
      <c r="E2291" s="7">
        <v>45643</v>
      </c>
      <c r="F2291" t="s">
        <v>236</v>
      </c>
      <c r="G2291">
        <v>0</v>
      </c>
      <c r="H2291" t="s">
        <v>22</v>
      </c>
      <c r="I2291" t="s">
        <v>16</v>
      </c>
      <c r="J2291" t="s">
        <v>16</v>
      </c>
      <c r="K2291" t="str">
        <f>VLOOKUP(C2291,CheckName!A:B,2,0)</f>
        <v>Special Check</v>
      </c>
      <c r="L2291">
        <v>0</v>
      </c>
      <c r="M2291">
        <f t="shared" si="339"/>
        <v>17</v>
      </c>
      <c r="N2291" t="str">
        <f>TEXT(MTDRejection[[#This Row],[RejectionDate]],"dddd")</f>
        <v>Tuesday</v>
      </c>
    </row>
    <row r="2292" spans="1:14">
      <c r="A2292" t="s">
        <v>419</v>
      </c>
      <c r="B2292" t="s">
        <v>4748</v>
      </c>
      <c r="C2292" t="s">
        <v>54</v>
      </c>
      <c r="D2292" t="s">
        <v>13</v>
      </c>
      <c r="E2292" s="7">
        <v>45643</v>
      </c>
      <c r="F2292" t="s">
        <v>492</v>
      </c>
      <c r="G2292">
        <v>0</v>
      </c>
      <c r="H2292" t="s">
        <v>15</v>
      </c>
      <c r="I2292" t="s">
        <v>16</v>
      </c>
      <c r="J2292" t="s">
        <v>16</v>
      </c>
      <c r="K2292" t="str">
        <f>VLOOKUP(C2292,CheckName!A:B,2,0)</f>
        <v>Edu</v>
      </c>
      <c r="L2292">
        <v>0</v>
      </c>
      <c r="M2292">
        <f t="shared" ref="M2292:M2293" si="340">DAY(E2292)</f>
        <v>17</v>
      </c>
      <c r="N2292" t="str">
        <f>TEXT(MTDRejection[[#This Row],[RejectionDate]],"dddd")</f>
        <v>Tuesday</v>
      </c>
    </row>
    <row r="2293" spans="1:14">
      <c r="A2293" t="s">
        <v>96</v>
      </c>
      <c r="B2293" t="s">
        <v>4749</v>
      </c>
      <c r="C2293" t="s">
        <v>125</v>
      </c>
      <c r="D2293" t="s">
        <v>13</v>
      </c>
      <c r="E2293" s="7">
        <v>45643</v>
      </c>
      <c r="F2293" t="s">
        <v>492</v>
      </c>
      <c r="G2293">
        <v>0</v>
      </c>
      <c r="H2293" t="s">
        <v>15</v>
      </c>
      <c r="I2293" t="s">
        <v>16</v>
      </c>
      <c r="J2293" t="s">
        <v>16</v>
      </c>
      <c r="K2293" t="str">
        <f>VLOOKUP(C2293,CheckName!A:B,2,0)</f>
        <v>Emp</v>
      </c>
      <c r="L2293">
        <v>0</v>
      </c>
      <c r="M2293">
        <f t="shared" si="340"/>
        <v>17</v>
      </c>
      <c r="N2293" t="str">
        <f>TEXT(MTDRejection[[#This Row],[RejectionDate]],"dddd")</f>
        <v>Tuesday</v>
      </c>
    </row>
    <row r="2294" spans="1:14">
      <c r="A2294" t="s">
        <v>45</v>
      </c>
      <c r="B2294" t="s">
        <v>4750</v>
      </c>
      <c r="C2294" t="s">
        <v>36</v>
      </c>
      <c r="D2294" t="s">
        <v>26</v>
      </c>
      <c r="E2294" s="7">
        <v>45643</v>
      </c>
      <c r="F2294" t="s">
        <v>222</v>
      </c>
      <c r="G2294">
        <v>0</v>
      </c>
      <c r="H2294" t="s">
        <v>22</v>
      </c>
      <c r="I2294" t="s">
        <v>16</v>
      </c>
      <c r="J2294" t="s">
        <v>16</v>
      </c>
      <c r="K2294" t="str">
        <f>VLOOKUP(C2294,CheckName!A:B,2,0)</f>
        <v>Emp</v>
      </c>
      <c r="L2294">
        <v>0</v>
      </c>
      <c r="M2294">
        <f>DAY(E2294)</f>
        <v>17</v>
      </c>
      <c r="N2294" t="str">
        <f>TEXT(MTDRejection[[#This Row],[RejectionDate]],"dddd")</f>
        <v>Tuesday</v>
      </c>
    </row>
    <row r="2295" spans="1:14">
      <c r="A2295" t="s">
        <v>211</v>
      </c>
      <c r="B2295" t="s">
        <v>4751</v>
      </c>
      <c r="C2295" t="s">
        <v>54</v>
      </c>
      <c r="D2295" t="s">
        <v>26</v>
      </c>
      <c r="E2295" s="7">
        <v>45643</v>
      </c>
      <c r="F2295" t="s">
        <v>2344</v>
      </c>
      <c r="G2295">
        <v>0</v>
      </c>
      <c r="H2295" t="s">
        <v>22</v>
      </c>
      <c r="I2295" t="s">
        <v>16</v>
      </c>
      <c r="J2295" t="s">
        <v>16</v>
      </c>
      <c r="K2295" t="str">
        <f>VLOOKUP(C2295,CheckName!A:B,2,0)</f>
        <v>Edu</v>
      </c>
      <c r="L2295">
        <v>0</v>
      </c>
      <c r="M2295">
        <f t="shared" ref="M2295:M2296" si="341">DAY(E2295)</f>
        <v>17</v>
      </c>
      <c r="N2295" t="str">
        <f>TEXT(MTDRejection[[#This Row],[RejectionDate]],"dddd")</f>
        <v>Tuesday</v>
      </c>
    </row>
    <row r="2296" spans="1:14">
      <c r="A2296" t="s">
        <v>84</v>
      </c>
      <c r="B2296" t="s">
        <v>4752</v>
      </c>
      <c r="C2296" t="s">
        <v>54</v>
      </c>
      <c r="D2296" t="s">
        <v>26</v>
      </c>
      <c r="E2296" s="7">
        <v>45643</v>
      </c>
      <c r="F2296" t="s">
        <v>2329</v>
      </c>
      <c r="G2296">
        <v>0</v>
      </c>
      <c r="H2296" t="s">
        <v>290</v>
      </c>
      <c r="I2296" t="s">
        <v>16</v>
      </c>
      <c r="J2296" t="s">
        <v>16</v>
      </c>
      <c r="K2296" t="str">
        <f>VLOOKUP(C2296,CheckName!A:B,2,0)</f>
        <v>Edu</v>
      </c>
      <c r="L2296">
        <v>0</v>
      </c>
      <c r="M2296">
        <f t="shared" si="341"/>
        <v>17</v>
      </c>
      <c r="N2296" t="str">
        <f>TEXT(MTDRejection[[#This Row],[RejectionDate]],"dddd")</f>
        <v>Tuesday</v>
      </c>
    </row>
    <row r="2297" spans="1:14">
      <c r="A2297" t="s">
        <v>281</v>
      </c>
      <c r="B2297" t="s">
        <v>2596</v>
      </c>
      <c r="C2297" t="s">
        <v>93</v>
      </c>
      <c r="D2297" t="s">
        <v>13</v>
      </c>
      <c r="E2297" s="7">
        <v>45643</v>
      </c>
      <c r="F2297" t="s">
        <v>706</v>
      </c>
      <c r="G2297">
        <v>0</v>
      </c>
      <c r="H2297" t="s">
        <v>15</v>
      </c>
      <c r="I2297" t="s">
        <v>16</v>
      </c>
      <c r="J2297" t="s">
        <v>16</v>
      </c>
      <c r="K2297" t="str">
        <f>VLOOKUP(C2297,CheckName!A:B,2,0)</f>
        <v>Edu</v>
      </c>
      <c r="L2297">
        <v>0</v>
      </c>
      <c r="M2297">
        <f t="shared" ref="M2297:M2304" si="342">DAY(E2297)</f>
        <v>17</v>
      </c>
      <c r="N2297" t="str">
        <f>TEXT(MTDRejection[[#This Row],[RejectionDate]],"dddd")</f>
        <v>Tuesday</v>
      </c>
    </row>
    <row r="2298" spans="1:14">
      <c r="A2298" t="s">
        <v>1840</v>
      </c>
      <c r="B2298" t="s">
        <v>4753</v>
      </c>
      <c r="C2298" t="s">
        <v>125</v>
      </c>
      <c r="D2298" t="s">
        <v>26</v>
      </c>
      <c r="E2298" s="7">
        <v>45643</v>
      </c>
      <c r="F2298" t="s">
        <v>277</v>
      </c>
      <c r="G2298">
        <v>0</v>
      </c>
      <c r="H2298" t="s">
        <v>27</v>
      </c>
      <c r="I2298" t="s">
        <v>16</v>
      </c>
      <c r="J2298" t="s">
        <v>16</v>
      </c>
      <c r="K2298" t="str">
        <f>VLOOKUP(C2298,CheckName!A:B,2,0)</f>
        <v>Emp</v>
      </c>
      <c r="L2298">
        <v>0</v>
      </c>
      <c r="M2298">
        <f t="shared" si="342"/>
        <v>17</v>
      </c>
      <c r="N2298" t="str">
        <f>TEXT(MTDRejection[[#This Row],[RejectionDate]],"dddd")</f>
        <v>Tuesday</v>
      </c>
    </row>
    <row r="2299" spans="1:14">
      <c r="A2299" t="s">
        <v>81</v>
      </c>
      <c r="B2299" t="s">
        <v>4754</v>
      </c>
      <c r="C2299" t="s">
        <v>12</v>
      </c>
      <c r="D2299" t="s">
        <v>26</v>
      </c>
      <c r="E2299" s="7">
        <v>45643</v>
      </c>
      <c r="F2299" t="s">
        <v>277</v>
      </c>
      <c r="G2299">
        <v>0</v>
      </c>
      <c r="H2299" t="s">
        <v>27</v>
      </c>
      <c r="I2299" t="s">
        <v>16</v>
      </c>
      <c r="J2299" t="s">
        <v>16</v>
      </c>
      <c r="K2299" t="str">
        <f>VLOOKUP(C2299,CheckName!A:B,2,0)</f>
        <v>Emp</v>
      </c>
      <c r="L2299">
        <v>0</v>
      </c>
      <c r="M2299">
        <f t="shared" si="342"/>
        <v>17</v>
      </c>
      <c r="N2299" t="str">
        <f>TEXT(MTDRejection[[#This Row],[RejectionDate]],"dddd")</f>
        <v>Tuesday</v>
      </c>
    </row>
    <row r="2300" spans="1:14">
      <c r="A2300" t="s">
        <v>45</v>
      </c>
      <c r="B2300" t="s">
        <v>4755</v>
      </c>
      <c r="C2300" t="s">
        <v>36</v>
      </c>
      <c r="D2300" t="s">
        <v>26</v>
      </c>
      <c r="E2300" s="7">
        <v>45643</v>
      </c>
      <c r="F2300" t="s">
        <v>179</v>
      </c>
      <c r="G2300">
        <v>0</v>
      </c>
      <c r="H2300" t="s">
        <v>22</v>
      </c>
      <c r="I2300" t="s">
        <v>16</v>
      </c>
      <c r="J2300" t="s">
        <v>16</v>
      </c>
      <c r="K2300" t="str">
        <f>VLOOKUP(C2300,CheckName!A:B,2,0)</f>
        <v>Emp</v>
      </c>
      <c r="L2300">
        <v>0</v>
      </c>
      <c r="M2300">
        <f t="shared" si="342"/>
        <v>17</v>
      </c>
      <c r="N2300" t="str">
        <f>TEXT(MTDRejection[[#This Row],[RejectionDate]],"dddd")</f>
        <v>Tuesday</v>
      </c>
    </row>
    <row r="2301" spans="1:14">
      <c r="A2301" t="s">
        <v>34</v>
      </c>
      <c r="B2301" t="s">
        <v>2597</v>
      </c>
      <c r="C2301" t="s">
        <v>12</v>
      </c>
      <c r="D2301" t="s">
        <v>26</v>
      </c>
      <c r="E2301" s="7">
        <v>45643</v>
      </c>
      <c r="F2301" t="s">
        <v>721</v>
      </c>
      <c r="G2301">
        <v>0</v>
      </c>
      <c r="H2301" t="s">
        <v>130</v>
      </c>
      <c r="I2301" t="s">
        <v>16</v>
      </c>
      <c r="J2301" t="s">
        <v>16</v>
      </c>
      <c r="K2301" t="str">
        <f>VLOOKUP(C2301,CheckName!A:B,2,0)</f>
        <v>Emp</v>
      </c>
      <c r="L2301">
        <v>0</v>
      </c>
      <c r="M2301">
        <f t="shared" si="342"/>
        <v>17</v>
      </c>
      <c r="N2301" t="str">
        <f>TEXT(MTDRejection[[#This Row],[RejectionDate]],"dddd")</f>
        <v>Tuesday</v>
      </c>
    </row>
    <row r="2302" spans="1:14">
      <c r="A2302" t="s">
        <v>281</v>
      </c>
      <c r="B2302" t="s">
        <v>4756</v>
      </c>
      <c r="C2302" t="s">
        <v>36</v>
      </c>
      <c r="D2302" t="s">
        <v>26</v>
      </c>
      <c r="E2302" s="7">
        <v>45643</v>
      </c>
      <c r="F2302" t="s">
        <v>162</v>
      </c>
      <c r="G2302">
        <v>0</v>
      </c>
      <c r="H2302" t="s">
        <v>27</v>
      </c>
      <c r="I2302" t="s">
        <v>16</v>
      </c>
      <c r="J2302" t="s">
        <v>16</v>
      </c>
      <c r="K2302" t="str">
        <f>VLOOKUP(C2302,CheckName!A:B,2,0)</f>
        <v>Emp</v>
      </c>
      <c r="L2302">
        <v>0</v>
      </c>
      <c r="M2302">
        <f t="shared" si="342"/>
        <v>17</v>
      </c>
      <c r="N2302" t="str">
        <f>TEXT(MTDRejection[[#This Row],[RejectionDate]],"dddd")</f>
        <v>Tuesday</v>
      </c>
    </row>
    <row r="2303" spans="1:14">
      <c r="A2303" t="s">
        <v>250</v>
      </c>
      <c r="B2303" t="s">
        <v>4757</v>
      </c>
      <c r="C2303" t="s">
        <v>54</v>
      </c>
      <c r="D2303" t="s">
        <v>13</v>
      </c>
      <c r="E2303" s="7">
        <v>45643</v>
      </c>
      <c r="F2303" t="s">
        <v>540</v>
      </c>
      <c r="G2303">
        <v>0</v>
      </c>
      <c r="H2303" t="s">
        <v>15</v>
      </c>
      <c r="I2303" t="s">
        <v>16</v>
      </c>
      <c r="J2303" t="s">
        <v>16</v>
      </c>
      <c r="K2303" t="str">
        <f>VLOOKUP(C2303,CheckName!A:B,2,0)</f>
        <v>Edu</v>
      </c>
      <c r="L2303">
        <v>0</v>
      </c>
      <c r="M2303">
        <f t="shared" si="342"/>
        <v>17</v>
      </c>
      <c r="N2303" t="str">
        <f>TEXT(MTDRejection[[#This Row],[RejectionDate]],"dddd")</f>
        <v>Tuesday</v>
      </c>
    </row>
    <row r="2304" spans="1:14">
      <c r="A2304" t="s">
        <v>45</v>
      </c>
      <c r="B2304" t="s">
        <v>4758</v>
      </c>
      <c r="C2304" t="s">
        <v>12</v>
      </c>
      <c r="D2304" t="s">
        <v>26</v>
      </c>
      <c r="E2304" s="7">
        <v>45643</v>
      </c>
      <c r="F2304" t="s">
        <v>2346</v>
      </c>
      <c r="G2304">
        <v>0</v>
      </c>
      <c r="H2304" t="s">
        <v>27</v>
      </c>
      <c r="I2304" t="s">
        <v>16</v>
      </c>
      <c r="J2304" t="s">
        <v>16</v>
      </c>
      <c r="K2304" t="str">
        <f>VLOOKUP(C2304,CheckName!A:B,2,0)</f>
        <v>Emp</v>
      </c>
      <c r="L2304">
        <v>0</v>
      </c>
      <c r="M2304">
        <f t="shared" si="342"/>
        <v>17</v>
      </c>
      <c r="N2304" t="str">
        <f>TEXT(MTDRejection[[#This Row],[RejectionDate]],"dddd")</f>
        <v>Tuesday</v>
      </c>
    </row>
    <row r="2305" spans="1:14">
      <c r="A2305" t="s">
        <v>96</v>
      </c>
      <c r="B2305" t="s">
        <v>4759</v>
      </c>
      <c r="C2305" t="s">
        <v>12</v>
      </c>
      <c r="D2305" t="s">
        <v>13</v>
      </c>
      <c r="E2305" s="7">
        <v>45642</v>
      </c>
      <c r="F2305" t="s">
        <v>492</v>
      </c>
      <c r="G2305">
        <v>1</v>
      </c>
      <c r="H2305" t="s">
        <v>15</v>
      </c>
      <c r="I2305" t="s">
        <v>16</v>
      </c>
      <c r="J2305" t="s">
        <v>16</v>
      </c>
      <c r="K2305" t="str">
        <f>VLOOKUP(C2305,CheckName!A:B,2,0)</f>
        <v>Emp</v>
      </c>
      <c r="L2305">
        <v>0</v>
      </c>
      <c r="M2305">
        <f t="shared" ref="M2305" si="343">DAY(E2305)</f>
        <v>16</v>
      </c>
      <c r="N2305" t="str">
        <f>TEXT(MTDRejection[[#This Row],[RejectionDate]],"dddd")</f>
        <v>Monday</v>
      </c>
    </row>
    <row r="2306" spans="1:14">
      <c r="A2306" t="s">
        <v>996</v>
      </c>
      <c r="B2306" t="s">
        <v>2598</v>
      </c>
      <c r="C2306" t="s">
        <v>12</v>
      </c>
      <c r="D2306" t="s">
        <v>26</v>
      </c>
      <c r="E2306" s="7">
        <v>45638</v>
      </c>
      <c r="F2306" t="s">
        <v>37</v>
      </c>
      <c r="G2306">
        <v>5</v>
      </c>
      <c r="H2306" t="s">
        <v>27</v>
      </c>
      <c r="I2306" t="s">
        <v>16</v>
      </c>
      <c r="J2306" t="s">
        <v>16</v>
      </c>
      <c r="K2306" t="str">
        <f>VLOOKUP(C2306,CheckName!A:B,2,0)</f>
        <v>Emp</v>
      </c>
      <c r="L2306">
        <v>0</v>
      </c>
      <c r="M2306">
        <f>DAY(E2306)</f>
        <v>12</v>
      </c>
      <c r="N2306" t="str">
        <f>TEXT(MTDRejection[[#This Row],[RejectionDate]],"dddd")</f>
        <v>Thursday</v>
      </c>
    </row>
    <row r="2307" spans="1:14">
      <c r="A2307" t="s">
        <v>176</v>
      </c>
      <c r="B2307" t="s">
        <v>2599</v>
      </c>
      <c r="C2307" t="s">
        <v>54</v>
      </c>
      <c r="D2307" t="s">
        <v>26</v>
      </c>
      <c r="E2307" s="7">
        <v>45630</v>
      </c>
      <c r="F2307" t="s">
        <v>1825</v>
      </c>
      <c r="G2307">
        <v>13</v>
      </c>
      <c r="H2307" t="s">
        <v>27</v>
      </c>
      <c r="I2307" t="s">
        <v>16</v>
      </c>
      <c r="J2307" t="s">
        <v>16</v>
      </c>
      <c r="K2307" t="str">
        <f>VLOOKUP(C2307,CheckName!A:B,2,0)</f>
        <v>Edu</v>
      </c>
      <c r="L2307">
        <v>0</v>
      </c>
      <c r="M2307">
        <f>DAY(E2307)</f>
        <v>4</v>
      </c>
      <c r="N2307" t="str">
        <f>TEXT(MTDRejection[[#This Row],[RejectionDate]],"dddd")</f>
        <v>Wednesday</v>
      </c>
    </row>
    <row r="2308" spans="1:14">
      <c r="A2308" t="s">
        <v>119</v>
      </c>
      <c r="B2308" t="s">
        <v>1800</v>
      </c>
      <c r="C2308" t="s">
        <v>12</v>
      </c>
      <c r="D2308" t="s">
        <v>13</v>
      </c>
      <c r="E2308" s="7">
        <v>45643</v>
      </c>
      <c r="F2308" t="s">
        <v>1310</v>
      </c>
      <c r="G2308">
        <v>0</v>
      </c>
      <c r="H2308" t="s">
        <v>15</v>
      </c>
      <c r="I2308" t="s">
        <v>16</v>
      </c>
      <c r="J2308" t="s">
        <v>16</v>
      </c>
      <c r="K2308" t="str">
        <f>VLOOKUP(C2308,CheckName!A:B,2,0)</f>
        <v>Emp</v>
      </c>
      <c r="L2308">
        <v>0</v>
      </c>
      <c r="M2308">
        <f>DAY(E2308)</f>
        <v>17</v>
      </c>
      <c r="N2308" t="str">
        <f>TEXT(MTDRejection[[#This Row],[RejectionDate]],"dddd")</f>
        <v>Tuesday</v>
      </c>
    </row>
    <row r="2309" spans="1:14">
      <c r="A2309" t="s">
        <v>1028</v>
      </c>
      <c r="B2309" t="s">
        <v>4760</v>
      </c>
      <c r="C2309" t="s">
        <v>467</v>
      </c>
      <c r="D2309" t="s">
        <v>26</v>
      </c>
      <c r="E2309" s="7">
        <v>45643</v>
      </c>
      <c r="F2309" t="s">
        <v>236</v>
      </c>
      <c r="G2309">
        <v>0</v>
      </c>
      <c r="H2309" t="s">
        <v>130</v>
      </c>
      <c r="I2309" t="s">
        <v>16</v>
      </c>
      <c r="J2309" t="s">
        <v>16</v>
      </c>
      <c r="K2309" t="str">
        <f>VLOOKUP(C2309,CheckName!A:B,2,0)</f>
        <v>Special Check</v>
      </c>
      <c r="L2309">
        <v>1</v>
      </c>
      <c r="M2309">
        <f t="shared" ref="M2309:M2310" si="344">DAY(E2309)</f>
        <v>17</v>
      </c>
      <c r="N2309" t="str">
        <f>TEXT(MTDRejection[[#This Row],[RejectionDate]],"dddd")</f>
        <v>Tuesday</v>
      </c>
    </row>
    <row r="2310" spans="1:14">
      <c r="A2310" t="s">
        <v>1204</v>
      </c>
      <c r="B2310" t="s">
        <v>4761</v>
      </c>
      <c r="C2310" t="s">
        <v>467</v>
      </c>
      <c r="D2310" t="s">
        <v>26</v>
      </c>
      <c r="E2310" s="7">
        <v>45643</v>
      </c>
      <c r="F2310" t="s">
        <v>236</v>
      </c>
      <c r="G2310">
        <v>0</v>
      </c>
      <c r="H2310" t="s">
        <v>22</v>
      </c>
      <c r="I2310" t="s">
        <v>16</v>
      </c>
      <c r="J2310" t="s">
        <v>16</v>
      </c>
      <c r="K2310" t="str">
        <f>VLOOKUP(C2310,CheckName!A:B,2,0)</f>
        <v>Special Check</v>
      </c>
      <c r="L2310">
        <v>0</v>
      </c>
      <c r="M2310">
        <f t="shared" si="344"/>
        <v>17</v>
      </c>
      <c r="N2310" t="str">
        <f>TEXT(MTDRejection[[#This Row],[RejectionDate]],"dddd")</f>
        <v>Tuesday</v>
      </c>
    </row>
    <row r="2311" spans="1:14">
      <c r="A2311" t="s">
        <v>360</v>
      </c>
      <c r="B2311" t="s">
        <v>2600</v>
      </c>
      <c r="C2311" t="s">
        <v>467</v>
      </c>
      <c r="D2311" t="s">
        <v>26</v>
      </c>
      <c r="E2311" s="7">
        <v>45643</v>
      </c>
      <c r="F2311" t="s">
        <v>236</v>
      </c>
      <c r="G2311">
        <v>0</v>
      </c>
      <c r="H2311" t="s">
        <v>22</v>
      </c>
      <c r="I2311" t="s">
        <v>16</v>
      </c>
      <c r="J2311" t="s">
        <v>16</v>
      </c>
      <c r="K2311" t="str">
        <f>VLOOKUP(C2311,CheckName!A:B,2,0)</f>
        <v>Special Check</v>
      </c>
      <c r="L2311">
        <v>0</v>
      </c>
      <c r="M2311">
        <f>DAY(E2311)</f>
        <v>17</v>
      </c>
      <c r="N2311" t="str">
        <f>TEXT(MTDRejection[[#This Row],[RejectionDate]],"dddd")</f>
        <v>Tuesday</v>
      </c>
    </row>
    <row r="2312" spans="1:14">
      <c r="A2312" t="s">
        <v>1435</v>
      </c>
      <c r="B2312" t="s">
        <v>2601</v>
      </c>
      <c r="C2312" t="s">
        <v>19</v>
      </c>
      <c r="D2312" t="s">
        <v>20</v>
      </c>
      <c r="E2312" s="7">
        <v>45643</v>
      </c>
      <c r="F2312" t="s">
        <v>273</v>
      </c>
      <c r="G2312">
        <v>0</v>
      </c>
      <c r="H2312" t="s">
        <v>22</v>
      </c>
      <c r="I2312" t="s">
        <v>16</v>
      </c>
      <c r="J2312" t="s">
        <v>16</v>
      </c>
      <c r="K2312" t="str">
        <f>VLOOKUP(C2312,CheckName!A:B,2,0)</f>
        <v>Add</v>
      </c>
      <c r="L2312">
        <v>0</v>
      </c>
      <c r="M2312">
        <f t="shared" ref="M2312:M2314" si="345">DAY(E2312)</f>
        <v>17</v>
      </c>
      <c r="N2312" t="str">
        <f>TEXT(MTDRejection[[#This Row],[RejectionDate]],"dddd")</f>
        <v>Tuesday</v>
      </c>
    </row>
    <row r="2313" spans="1:14">
      <c r="A2313" t="s">
        <v>119</v>
      </c>
      <c r="B2313" t="s">
        <v>4762</v>
      </c>
      <c r="C2313" t="s">
        <v>25</v>
      </c>
      <c r="D2313" t="s">
        <v>20</v>
      </c>
      <c r="E2313" s="7">
        <v>45643</v>
      </c>
      <c r="F2313" t="s">
        <v>273</v>
      </c>
      <c r="G2313">
        <v>0</v>
      </c>
      <c r="H2313" t="s">
        <v>22</v>
      </c>
      <c r="I2313" t="s">
        <v>16</v>
      </c>
      <c r="J2313" t="s">
        <v>16</v>
      </c>
      <c r="K2313" t="str">
        <f>VLOOKUP(C2313,CheckName!A:B,2,0)</f>
        <v>Add</v>
      </c>
      <c r="L2313">
        <v>0</v>
      </c>
      <c r="M2313">
        <f t="shared" si="345"/>
        <v>17</v>
      </c>
      <c r="N2313" t="str">
        <f>TEXT(MTDRejection[[#This Row],[RejectionDate]],"dddd")</f>
        <v>Tuesday</v>
      </c>
    </row>
    <row r="2314" spans="1:14">
      <c r="A2314" t="s">
        <v>137</v>
      </c>
      <c r="B2314" t="s">
        <v>4763</v>
      </c>
      <c r="C2314" t="s">
        <v>25</v>
      </c>
      <c r="D2314" t="s">
        <v>20</v>
      </c>
      <c r="E2314" s="7">
        <v>45643</v>
      </c>
      <c r="F2314" t="s">
        <v>273</v>
      </c>
      <c r="G2314">
        <v>0</v>
      </c>
      <c r="H2314" t="s">
        <v>22</v>
      </c>
      <c r="I2314" t="s">
        <v>16</v>
      </c>
      <c r="J2314" t="s">
        <v>16</v>
      </c>
      <c r="K2314" t="str">
        <f>VLOOKUP(C2314,CheckName!A:B,2,0)</f>
        <v>Add</v>
      </c>
      <c r="L2314">
        <v>0</v>
      </c>
      <c r="M2314">
        <f t="shared" si="345"/>
        <v>17</v>
      </c>
      <c r="N2314" t="str">
        <f>TEXT(MTDRejection[[#This Row],[RejectionDate]],"dddd")</f>
        <v>Tuesday</v>
      </c>
    </row>
    <row r="2315" spans="1:14">
      <c r="A2315" t="s">
        <v>45</v>
      </c>
      <c r="B2315" t="s">
        <v>4764</v>
      </c>
      <c r="C2315" t="s">
        <v>36</v>
      </c>
      <c r="D2315" t="s">
        <v>26</v>
      </c>
      <c r="E2315" s="7">
        <v>45643</v>
      </c>
      <c r="F2315" t="s">
        <v>224</v>
      </c>
      <c r="G2315">
        <v>0</v>
      </c>
      <c r="H2315" t="s">
        <v>27</v>
      </c>
      <c r="I2315" t="s">
        <v>16</v>
      </c>
      <c r="J2315" t="s">
        <v>16</v>
      </c>
      <c r="K2315" t="str">
        <f>VLOOKUP(C2315,CheckName!A:B,2,0)</f>
        <v>Emp</v>
      </c>
      <c r="L2315">
        <v>0</v>
      </c>
      <c r="M2315">
        <f>DAY(E2315)</f>
        <v>17</v>
      </c>
      <c r="N2315" t="str">
        <f>TEXT(MTDRejection[[#This Row],[RejectionDate]],"dddd")</f>
        <v>Tuesday</v>
      </c>
    </row>
    <row r="2316" spans="1:14">
      <c r="A2316" t="s">
        <v>1016</v>
      </c>
      <c r="B2316" t="s">
        <v>2602</v>
      </c>
      <c r="C2316" t="s">
        <v>25</v>
      </c>
      <c r="D2316" t="s">
        <v>20</v>
      </c>
      <c r="E2316" s="7">
        <v>45643</v>
      </c>
      <c r="F2316" t="s">
        <v>2330</v>
      </c>
      <c r="G2316">
        <v>0</v>
      </c>
      <c r="H2316" t="s">
        <v>22</v>
      </c>
      <c r="I2316" t="s">
        <v>16</v>
      </c>
      <c r="J2316" t="s">
        <v>16</v>
      </c>
      <c r="K2316" t="str">
        <f>VLOOKUP(C2316,CheckName!A:B,2,0)</f>
        <v>Add</v>
      </c>
      <c r="L2316">
        <v>0</v>
      </c>
      <c r="M2316">
        <f>DAY(E2316)</f>
        <v>17</v>
      </c>
      <c r="N2316" t="str">
        <f>TEXT(MTDRejection[[#This Row],[RejectionDate]],"dddd")</f>
        <v>Tuesday</v>
      </c>
    </row>
    <row r="2317" spans="1:14">
      <c r="A2317" t="s">
        <v>281</v>
      </c>
      <c r="B2317" t="s">
        <v>4765</v>
      </c>
      <c r="C2317" t="s">
        <v>54</v>
      </c>
      <c r="D2317" t="s">
        <v>26</v>
      </c>
      <c r="E2317" s="7">
        <v>45643</v>
      </c>
      <c r="F2317" t="s">
        <v>63</v>
      </c>
      <c r="G2317">
        <v>0</v>
      </c>
      <c r="H2317" t="s">
        <v>27</v>
      </c>
      <c r="I2317" t="s">
        <v>16</v>
      </c>
      <c r="J2317" t="s">
        <v>16</v>
      </c>
      <c r="K2317" t="str">
        <f>VLOOKUP(C2317,CheckName!A:B,2,0)</f>
        <v>Edu</v>
      </c>
      <c r="L2317">
        <v>0</v>
      </c>
      <c r="M2317">
        <f t="shared" ref="M2317:M2318" si="346">DAY(E2317)</f>
        <v>17</v>
      </c>
      <c r="N2317" t="str">
        <f>TEXT(MTDRejection[[#This Row],[RejectionDate]],"dddd")</f>
        <v>Tuesday</v>
      </c>
    </row>
    <row r="2318" spans="1:14">
      <c r="A2318" t="s">
        <v>456</v>
      </c>
      <c r="B2318" t="s">
        <v>4766</v>
      </c>
      <c r="C2318" t="s">
        <v>54</v>
      </c>
      <c r="D2318" t="s">
        <v>26</v>
      </c>
      <c r="E2318" s="7">
        <v>45643</v>
      </c>
      <c r="F2318" t="s">
        <v>63</v>
      </c>
      <c r="G2318">
        <v>0</v>
      </c>
      <c r="H2318" t="s">
        <v>505</v>
      </c>
      <c r="I2318" t="s">
        <v>16</v>
      </c>
      <c r="J2318" t="s">
        <v>16</v>
      </c>
      <c r="K2318" t="str">
        <f>VLOOKUP(C2318,CheckName!A:B,2,0)</f>
        <v>Edu</v>
      </c>
      <c r="L2318">
        <v>0</v>
      </c>
      <c r="M2318">
        <f t="shared" si="346"/>
        <v>17</v>
      </c>
      <c r="N2318" t="str">
        <f>TEXT(MTDRejection[[#This Row],[RejectionDate]],"dddd")</f>
        <v>Tuesday</v>
      </c>
    </row>
    <row r="2319" spans="1:14">
      <c r="A2319" t="s">
        <v>446</v>
      </c>
      <c r="B2319" t="s">
        <v>2603</v>
      </c>
      <c r="C2319" t="s">
        <v>54</v>
      </c>
      <c r="D2319" t="s">
        <v>26</v>
      </c>
      <c r="E2319" s="7">
        <v>45643</v>
      </c>
      <c r="F2319" t="s">
        <v>63</v>
      </c>
      <c r="G2319">
        <v>0</v>
      </c>
      <c r="H2319" t="s">
        <v>22</v>
      </c>
      <c r="I2319" t="s">
        <v>16</v>
      </c>
      <c r="J2319" t="s">
        <v>16</v>
      </c>
      <c r="K2319" t="str">
        <f>VLOOKUP(C2319,CheckName!A:B,2,0)</f>
        <v>Edu</v>
      </c>
      <c r="L2319">
        <v>0</v>
      </c>
      <c r="M2319">
        <f t="shared" ref="M2319:M2321" si="347">DAY(E2319)</f>
        <v>17</v>
      </c>
      <c r="N2319" t="str">
        <f>TEXT(MTDRejection[[#This Row],[RejectionDate]],"dddd")</f>
        <v>Tuesday</v>
      </c>
    </row>
    <row r="2320" spans="1:14">
      <c r="A2320" t="s">
        <v>517</v>
      </c>
      <c r="B2320" t="s">
        <v>4767</v>
      </c>
      <c r="C2320" t="s">
        <v>54</v>
      </c>
      <c r="D2320" t="s">
        <v>26</v>
      </c>
      <c r="E2320" s="7">
        <v>45643</v>
      </c>
      <c r="F2320" t="s">
        <v>63</v>
      </c>
      <c r="G2320">
        <v>0</v>
      </c>
      <c r="H2320" t="s">
        <v>425</v>
      </c>
      <c r="I2320" t="s">
        <v>16</v>
      </c>
      <c r="J2320" t="s">
        <v>16</v>
      </c>
      <c r="K2320" t="str">
        <f>VLOOKUP(C2320,CheckName!A:B,2,0)</f>
        <v>Edu</v>
      </c>
      <c r="L2320">
        <v>0</v>
      </c>
      <c r="M2320">
        <f t="shared" si="347"/>
        <v>17</v>
      </c>
      <c r="N2320" t="str">
        <f>TEXT(MTDRejection[[#This Row],[RejectionDate]],"dddd")</f>
        <v>Tuesday</v>
      </c>
    </row>
    <row r="2321" spans="1:14">
      <c r="A2321" t="s">
        <v>119</v>
      </c>
      <c r="B2321" t="s">
        <v>2604</v>
      </c>
      <c r="C2321" t="s">
        <v>805</v>
      </c>
      <c r="D2321" t="s">
        <v>26</v>
      </c>
      <c r="E2321" s="7">
        <v>45643</v>
      </c>
      <c r="F2321" t="s">
        <v>63</v>
      </c>
      <c r="G2321">
        <v>0</v>
      </c>
      <c r="H2321" t="s">
        <v>27</v>
      </c>
      <c r="I2321" t="s">
        <v>16</v>
      </c>
      <c r="J2321" t="s">
        <v>16</v>
      </c>
      <c r="K2321" t="str">
        <f>VLOOKUP(C2321,CheckName!A:B,2,0)</f>
        <v>Edu</v>
      </c>
      <c r="L2321">
        <v>0</v>
      </c>
      <c r="M2321">
        <f t="shared" si="347"/>
        <v>17</v>
      </c>
      <c r="N2321" t="str">
        <f>TEXT(MTDRejection[[#This Row],[RejectionDate]],"dddd")</f>
        <v>Tuesday</v>
      </c>
    </row>
    <row r="2322" spans="1:14">
      <c r="A2322" t="s">
        <v>362</v>
      </c>
      <c r="B2322" t="s">
        <v>4768</v>
      </c>
      <c r="C2322" t="s">
        <v>54</v>
      </c>
      <c r="D2322" t="s">
        <v>13</v>
      </c>
      <c r="E2322" s="7">
        <v>45643</v>
      </c>
      <c r="F2322" t="s">
        <v>706</v>
      </c>
      <c r="G2322">
        <v>0</v>
      </c>
      <c r="H2322" t="s">
        <v>15</v>
      </c>
      <c r="I2322" t="s">
        <v>16</v>
      </c>
      <c r="J2322" t="s">
        <v>16</v>
      </c>
      <c r="K2322" t="str">
        <f>VLOOKUP(C2322,CheckName!A:B,2,0)</f>
        <v>Edu</v>
      </c>
      <c r="L2322">
        <v>0</v>
      </c>
      <c r="M2322">
        <f>DAY(E2322)</f>
        <v>17</v>
      </c>
      <c r="N2322" t="str">
        <f>TEXT(MTDRejection[[#This Row],[RejectionDate]],"dddd")</f>
        <v>Tuesday</v>
      </c>
    </row>
    <row r="2323" spans="1:14">
      <c r="A2323" t="s">
        <v>667</v>
      </c>
      <c r="B2323" t="s">
        <v>4769</v>
      </c>
      <c r="C2323" t="s">
        <v>125</v>
      </c>
      <c r="D2323" t="s">
        <v>51</v>
      </c>
      <c r="E2323" s="7">
        <v>45643</v>
      </c>
      <c r="F2323" t="s">
        <v>52</v>
      </c>
      <c r="G2323">
        <v>0</v>
      </c>
      <c r="H2323" t="s">
        <v>53</v>
      </c>
      <c r="I2323" t="s">
        <v>16</v>
      </c>
      <c r="J2323" t="s">
        <v>16</v>
      </c>
      <c r="K2323" t="str">
        <f>VLOOKUP(C2323,CheckName!A:B,2,0)</f>
        <v>Emp</v>
      </c>
      <c r="L2323">
        <v>0</v>
      </c>
      <c r="M2323">
        <f>DAY(E2323)</f>
        <v>17</v>
      </c>
      <c r="N2323" t="str">
        <f>TEXT(MTDRejection[[#This Row],[RejectionDate]],"dddd")</f>
        <v>Tuesday</v>
      </c>
    </row>
    <row r="2324" spans="1:14">
      <c r="A2324" t="s">
        <v>84</v>
      </c>
      <c r="B2324" t="s">
        <v>4770</v>
      </c>
      <c r="C2324" t="s">
        <v>12</v>
      </c>
      <c r="D2324" t="s">
        <v>26</v>
      </c>
      <c r="E2324" s="7">
        <v>45643</v>
      </c>
      <c r="F2324" t="s">
        <v>184</v>
      </c>
      <c r="G2324">
        <v>0</v>
      </c>
      <c r="H2324" t="s">
        <v>27</v>
      </c>
      <c r="I2324" t="s">
        <v>16</v>
      </c>
      <c r="J2324" t="s">
        <v>16</v>
      </c>
      <c r="K2324" t="str">
        <f>VLOOKUP(C2324,CheckName!A:B,2,0)</f>
        <v>Emp</v>
      </c>
      <c r="L2324">
        <v>0</v>
      </c>
      <c r="M2324">
        <f>DAY(E2324)</f>
        <v>17</v>
      </c>
      <c r="N2324" t="str">
        <f>TEXT(MTDRejection[[#This Row],[RejectionDate]],"dddd")</f>
        <v>Tuesday</v>
      </c>
    </row>
    <row r="2325" spans="1:14">
      <c r="A2325" t="s">
        <v>1949</v>
      </c>
      <c r="B2325" t="s">
        <v>4771</v>
      </c>
      <c r="C2325" t="s">
        <v>12</v>
      </c>
      <c r="D2325" t="s">
        <v>13</v>
      </c>
      <c r="E2325" s="7">
        <v>45643</v>
      </c>
      <c r="F2325" t="s">
        <v>1421</v>
      </c>
      <c r="G2325">
        <v>0</v>
      </c>
      <c r="H2325" t="s">
        <v>15</v>
      </c>
      <c r="I2325" t="s">
        <v>16</v>
      </c>
      <c r="J2325" t="s">
        <v>16</v>
      </c>
      <c r="K2325" t="str">
        <f>VLOOKUP(C2325,CheckName!A:B,2,0)</f>
        <v>Emp</v>
      </c>
      <c r="L2325">
        <v>0</v>
      </c>
      <c r="M2325">
        <f t="shared" ref="M2325:M2327" si="348">DAY(E2325)</f>
        <v>17</v>
      </c>
      <c r="N2325" t="str">
        <f>TEXT(MTDRejection[[#This Row],[RejectionDate]],"dddd")</f>
        <v>Tuesday</v>
      </c>
    </row>
    <row r="2326" spans="1:14">
      <c r="A2326" t="s">
        <v>452</v>
      </c>
      <c r="B2326" t="s">
        <v>1950</v>
      </c>
      <c r="C2326" t="s">
        <v>25</v>
      </c>
      <c r="D2326" t="s">
        <v>13</v>
      </c>
      <c r="E2326" s="7">
        <v>45643</v>
      </c>
      <c r="F2326" t="s">
        <v>844</v>
      </c>
      <c r="G2326">
        <v>0</v>
      </c>
      <c r="H2326" t="s">
        <v>15</v>
      </c>
      <c r="I2326" t="s">
        <v>16</v>
      </c>
      <c r="J2326" t="s">
        <v>16</v>
      </c>
      <c r="K2326" t="str">
        <f>VLOOKUP(C2326,CheckName!A:B,2,0)</f>
        <v>Add</v>
      </c>
      <c r="L2326">
        <v>0</v>
      </c>
      <c r="M2326">
        <f t="shared" si="348"/>
        <v>17</v>
      </c>
      <c r="N2326" t="str">
        <f>TEXT(MTDRejection[[#This Row],[RejectionDate]],"dddd")</f>
        <v>Tuesday</v>
      </c>
    </row>
    <row r="2327" spans="1:14">
      <c r="A2327" t="s">
        <v>452</v>
      </c>
      <c r="B2327" t="s">
        <v>4772</v>
      </c>
      <c r="C2327" t="s">
        <v>25</v>
      </c>
      <c r="D2327" t="s">
        <v>13</v>
      </c>
      <c r="E2327" s="7">
        <v>45643</v>
      </c>
      <c r="F2327" t="s">
        <v>844</v>
      </c>
      <c r="G2327">
        <v>0</v>
      </c>
      <c r="H2327" t="s">
        <v>15</v>
      </c>
      <c r="I2327" t="s">
        <v>16</v>
      </c>
      <c r="J2327" t="s">
        <v>16</v>
      </c>
      <c r="K2327" t="str">
        <f>VLOOKUP(C2327,CheckName!A:B,2,0)</f>
        <v>Add</v>
      </c>
      <c r="L2327">
        <v>0</v>
      </c>
      <c r="M2327">
        <f t="shared" si="348"/>
        <v>17</v>
      </c>
      <c r="N2327" t="str">
        <f>TEXT(MTDRejection[[#This Row],[RejectionDate]],"dddd")</f>
        <v>Tuesday</v>
      </c>
    </row>
    <row r="2328" spans="1:14">
      <c r="A2328" t="s">
        <v>119</v>
      </c>
      <c r="B2328" t="s">
        <v>4773</v>
      </c>
      <c r="C2328" t="s">
        <v>12</v>
      </c>
      <c r="D2328" t="s">
        <v>26</v>
      </c>
      <c r="E2328" s="7">
        <v>45643</v>
      </c>
      <c r="F2328" t="s">
        <v>311</v>
      </c>
      <c r="G2328">
        <v>0</v>
      </c>
      <c r="H2328" t="s">
        <v>27</v>
      </c>
      <c r="I2328" t="s">
        <v>16</v>
      </c>
      <c r="J2328" t="s">
        <v>16</v>
      </c>
      <c r="K2328" t="str">
        <f>VLOOKUP(C2328,CheckName!A:B,2,0)</f>
        <v>Emp</v>
      </c>
      <c r="L2328">
        <v>0</v>
      </c>
      <c r="M2328">
        <f>DAY(E2328)</f>
        <v>17</v>
      </c>
      <c r="N2328" t="str">
        <f>TEXT(MTDRejection[[#This Row],[RejectionDate]],"dddd")</f>
        <v>Tuesday</v>
      </c>
    </row>
    <row r="2329" spans="1:14">
      <c r="A2329" t="s">
        <v>131</v>
      </c>
      <c r="B2329" t="s">
        <v>4774</v>
      </c>
      <c r="C2329" t="s">
        <v>54</v>
      </c>
      <c r="D2329" t="s">
        <v>26</v>
      </c>
      <c r="E2329" s="7">
        <v>45643</v>
      </c>
      <c r="F2329" t="s">
        <v>103</v>
      </c>
      <c r="G2329">
        <v>0</v>
      </c>
      <c r="H2329" t="s">
        <v>27</v>
      </c>
      <c r="I2329" t="s">
        <v>16</v>
      </c>
      <c r="J2329" t="s">
        <v>16</v>
      </c>
      <c r="K2329" t="str">
        <f>VLOOKUP(C2329,CheckName!A:B,2,0)</f>
        <v>Edu</v>
      </c>
      <c r="L2329">
        <v>0</v>
      </c>
      <c r="M2329">
        <f t="shared" ref="M2329:M2330" si="349">DAY(E2329)</f>
        <v>17</v>
      </c>
      <c r="N2329" t="str">
        <f>TEXT(MTDRejection[[#This Row],[RejectionDate]],"dddd")</f>
        <v>Tuesday</v>
      </c>
    </row>
    <row r="2330" spans="1:14">
      <c r="A2330" t="s">
        <v>45</v>
      </c>
      <c r="B2330" t="s">
        <v>4775</v>
      </c>
      <c r="C2330" t="s">
        <v>54</v>
      </c>
      <c r="D2330" t="s">
        <v>26</v>
      </c>
      <c r="E2330" s="7">
        <v>45643</v>
      </c>
      <c r="F2330" t="s">
        <v>604</v>
      </c>
      <c r="G2330">
        <v>0</v>
      </c>
      <c r="H2330" t="s">
        <v>27</v>
      </c>
      <c r="I2330" t="s">
        <v>16</v>
      </c>
      <c r="J2330" t="s">
        <v>16</v>
      </c>
      <c r="K2330" t="str">
        <f>VLOOKUP(C2330,CheckName!A:B,2,0)</f>
        <v>Edu</v>
      </c>
      <c r="L2330">
        <v>0</v>
      </c>
      <c r="M2330">
        <f t="shared" si="349"/>
        <v>17</v>
      </c>
      <c r="N2330" t="str">
        <f>TEXT(MTDRejection[[#This Row],[RejectionDate]],"dddd")</f>
        <v>Tuesday</v>
      </c>
    </row>
    <row r="2331" spans="1:14">
      <c r="A2331" t="s">
        <v>91</v>
      </c>
      <c r="B2331" t="s">
        <v>4776</v>
      </c>
      <c r="C2331" t="s">
        <v>93</v>
      </c>
      <c r="D2331" t="s">
        <v>13</v>
      </c>
      <c r="E2331" s="7">
        <v>45643</v>
      </c>
      <c r="F2331" t="s">
        <v>107</v>
      </c>
      <c r="G2331">
        <v>0</v>
      </c>
      <c r="H2331" t="s">
        <v>15</v>
      </c>
      <c r="I2331" t="s">
        <v>16</v>
      </c>
      <c r="J2331" t="s">
        <v>16</v>
      </c>
      <c r="K2331" t="str">
        <f>VLOOKUP(C2331,CheckName!A:B,2,0)</f>
        <v>Edu</v>
      </c>
      <c r="L2331">
        <v>0</v>
      </c>
      <c r="M2331">
        <f>DAY(E2331)</f>
        <v>17</v>
      </c>
      <c r="N2331" t="str">
        <f>TEXT(MTDRejection[[#This Row],[RejectionDate]],"dddd")</f>
        <v>Tuesday</v>
      </c>
    </row>
    <row r="2332" spans="1:14">
      <c r="A2332" t="s">
        <v>1951</v>
      </c>
      <c r="B2332" t="s">
        <v>4777</v>
      </c>
      <c r="C2332" t="s">
        <v>36</v>
      </c>
      <c r="D2332" t="s">
        <v>26</v>
      </c>
      <c r="E2332" s="7">
        <v>45643</v>
      </c>
      <c r="F2332" t="s">
        <v>2335</v>
      </c>
      <c r="G2332">
        <v>0</v>
      </c>
      <c r="H2332" t="s">
        <v>22</v>
      </c>
      <c r="I2332" t="s">
        <v>16</v>
      </c>
      <c r="J2332" t="s">
        <v>16</v>
      </c>
      <c r="K2332" t="str">
        <f>VLOOKUP(C2332,CheckName!A:B,2,0)</f>
        <v>Emp</v>
      </c>
      <c r="L2332">
        <v>0</v>
      </c>
      <c r="M2332">
        <f t="shared" ref="M2332:M2334" si="350">DAY(E2332)</f>
        <v>17</v>
      </c>
      <c r="N2332" t="str">
        <f>TEXT(MTDRejection[[#This Row],[RejectionDate]],"dddd")</f>
        <v>Tuesday</v>
      </c>
    </row>
    <row r="2333" spans="1:14">
      <c r="A2333" t="s">
        <v>299</v>
      </c>
      <c r="B2333" t="s">
        <v>2605</v>
      </c>
      <c r="C2333" t="s">
        <v>12</v>
      </c>
      <c r="D2333" t="s">
        <v>26</v>
      </c>
      <c r="E2333" s="7">
        <v>45643</v>
      </c>
      <c r="F2333" t="s">
        <v>2335</v>
      </c>
      <c r="G2333">
        <v>0</v>
      </c>
      <c r="H2333" t="s">
        <v>27</v>
      </c>
      <c r="I2333" t="s">
        <v>16</v>
      </c>
      <c r="J2333" t="s">
        <v>16</v>
      </c>
      <c r="K2333" t="str">
        <f>VLOOKUP(C2333,CheckName!A:B,2,0)</f>
        <v>Emp</v>
      </c>
      <c r="L2333">
        <v>0</v>
      </c>
      <c r="M2333">
        <f t="shared" si="350"/>
        <v>17</v>
      </c>
      <c r="N2333" t="str">
        <f>TEXT(MTDRejection[[#This Row],[RejectionDate]],"dddd")</f>
        <v>Tuesday</v>
      </c>
    </row>
    <row r="2334" spans="1:14">
      <c r="A2334" t="s">
        <v>180</v>
      </c>
      <c r="B2334" t="s">
        <v>4778</v>
      </c>
      <c r="C2334" t="s">
        <v>36</v>
      </c>
      <c r="D2334" t="s">
        <v>26</v>
      </c>
      <c r="E2334" s="7">
        <v>45643</v>
      </c>
      <c r="F2334" t="s">
        <v>2335</v>
      </c>
      <c r="G2334">
        <v>0</v>
      </c>
      <c r="H2334" t="s">
        <v>22</v>
      </c>
      <c r="I2334" t="s">
        <v>16</v>
      </c>
      <c r="J2334" t="s">
        <v>16</v>
      </c>
      <c r="K2334" t="str">
        <f>VLOOKUP(C2334,CheckName!A:B,2,0)</f>
        <v>Emp</v>
      </c>
      <c r="L2334">
        <v>0</v>
      </c>
      <c r="M2334">
        <f t="shared" si="350"/>
        <v>17</v>
      </c>
      <c r="N2334" t="str">
        <f>TEXT(MTDRejection[[#This Row],[RejectionDate]],"dddd")</f>
        <v>Tuesday</v>
      </c>
    </row>
    <row r="2335" spans="1:14">
      <c r="A2335" t="s">
        <v>1952</v>
      </c>
      <c r="B2335" t="s">
        <v>4779</v>
      </c>
      <c r="C2335" t="s">
        <v>54</v>
      </c>
      <c r="D2335" t="s">
        <v>13</v>
      </c>
      <c r="E2335" s="7">
        <v>45643</v>
      </c>
      <c r="F2335" t="s">
        <v>540</v>
      </c>
      <c r="G2335">
        <v>0</v>
      </c>
      <c r="H2335" t="s">
        <v>15</v>
      </c>
      <c r="I2335" t="s">
        <v>16</v>
      </c>
      <c r="J2335" t="s">
        <v>16</v>
      </c>
      <c r="K2335" t="str">
        <f>VLOOKUP(C2335,CheckName!A:B,2,0)</f>
        <v>Edu</v>
      </c>
      <c r="L2335">
        <v>0</v>
      </c>
      <c r="M2335">
        <f t="shared" ref="M2335:M2337" si="351">DAY(E2335)</f>
        <v>17</v>
      </c>
      <c r="N2335" t="str">
        <f>TEXT(MTDRejection[[#This Row],[RejectionDate]],"dddd")</f>
        <v>Tuesday</v>
      </c>
    </row>
    <row r="2336" spans="1:14">
      <c r="A2336" t="s">
        <v>45</v>
      </c>
      <c r="B2336" t="s">
        <v>1953</v>
      </c>
      <c r="C2336" t="s">
        <v>12</v>
      </c>
      <c r="D2336" t="s">
        <v>26</v>
      </c>
      <c r="E2336" s="7">
        <v>45643</v>
      </c>
      <c r="F2336" t="s">
        <v>115</v>
      </c>
      <c r="G2336">
        <v>0</v>
      </c>
      <c r="H2336" t="s">
        <v>27</v>
      </c>
      <c r="I2336" t="s">
        <v>16</v>
      </c>
      <c r="J2336" t="s">
        <v>16</v>
      </c>
      <c r="K2336" t="str">
        <f>VLOOKUP(C2336,CheckName!A:B,2,0)</f>
        <v>Emp</v>
      </c>
      <c r="L2336">
        <v>0</v>
      </c>
      <c r="M2336">
        <f t="shared" si="351"/>
        <v>17</v>
      </c>
      <c r="N2336" t="str">
        <f>TEXT(MTDRejection[[#This Row],[RejectionDate]],"dddd")</f>
        <v>Tuesday</v>
      </c>
    </row>
    <row r="2337" spans="1:14">
      <c r="A2337" t="s">
        <v>84</v>
      </c>
      <c r="B2337" t="s">
        <v>4780</v>
      </c>
      <c r="C2337" t="s">
        <v>125</v>
      </c>
      <c r="D2337" t="s">
        <v>26</v>
      </c>
      <c r="E2337" s="7">
        <v>45643</v>
      </c>
      <c r="F2337" t="s">
        <v>151</v>
      </c>
      <c r="G2337">
        <v>0</v>
      </c>
      <c r="H2337" t="s">
        <v>27</v>
      </c>
      <c r="I2337" t="s">
        <v>16</v>
      </c>
      <c r="J2337" t="s">
        <v>16</v>
      </c>
      <c r="K2337" t="str">
        <f>VLOOKUP(C2337,CheckName!A:B,2,0)</f>
        <v>Emp</v>
      </c>
      <c r="L2337">
        <v>0</v>
      </c>
      <c r="M2337">
        <f t="shared" si="351"/>
        <v>17</v>
      </c>
      <c r="N2337" t="str">
        <f>TEXT(MTDRejection[[#This Row],[RejectionDate]],"dddd")</f>
        <v>Tuesday</v>
      </c>
    </row>
    <row r="2338" spans="1:14">
      <c r="A2338" t="s">
        <v>84</v>
      </c>
      <c r="B2338" t="s">
        <v>4781</v>
      </c>
      <c r="C2338" t="s">
        <v>12</v>
      </c>
      <c r="D2338" t="s">
        <v>26</v>
      </c>
      <c r="E2338" s="7">
        <v>45643</v>
      </c>
      <c r="F2338" t="s">
        <v>2355</v>
      </c>
      <c r="G2338">
        <v>0</v>
      </c>
      <c r="H2338" t="s">
        <v>27</v>
      </c>
      <c r="I2338" t="s">
        <v>16</v>
      </c>
      <c r="J2338" t="s">
        <v>16</v>
      </c>
      <c r="K2338" t="str">
        <f>VLOOKUP(C2338,CheckName!A:B,2,0)</f>
        <v>Emp</v>
      </c>
      <c r="L2338">
        <v>0</v>
      </c>
      <c r="M2338">
        <f>DAY(E2338)</f>
        <v>17</v>
      </c>
      <c r="N2338" t="str">
        <f>TEXT(MTDRejection[[#This Row],[RejectionDate]],"dddd")</f>
        <v>Tuesday</v>
      </c>
    </row>
    <row r="2339" spans="1:14">
      <c r="A2339" t="s">
        <v>1954</v>
      </c>
      <c r="B2339" t="s">
        <v>4782</v>
      </c>
      <c r="C2339" t="s">
        <v>12</v>
      </c>
      <c r="D2339" t="s">
        <v>26</v>
      </c>
      <c r="E2339" s="7">
        <v>45639</v>
      </c>
      <c r="F2339" t="s">
        <v>37</v>
      </c>
      <c r="G2339">
        <v>4</v>
      </c>
      <c r="H2339" t="s">
        <v>27</v>
      </c>
      <c r="I2339" t="s">
        <v>16</v>
      </c>
      <c r="J2339" t="s">
        <v>16</v>
      </c>
      <c r="K2339" t="str">
        <f>VLOOKUP(C2339,CheckName!A:B,2,0)</f>
        <v>Emp</v>
      </c>
      <c r="L2339">
        <v>0</v>
      </c>
      <c r="M2339">
        <f>DAY(E2339)</f>
        <v>13</v>
      </c>
      <c r="N2339" t="str">
        <f>TEXT(MTDRejection[[#This Row],[RejectionDate]],"dddd")</f>
        <v>Friday</v>
      </c>
    </row>
    <row r="2340" spans="1:14">
      <c r="A2340" t="s">
        <v>996</v>
      </c>
      <c r="B2340" t="s">
        <v>4783</v>
      </c>
      <c r="C2340" t="s">
        <v>12</v>
      </c>
      <c r="D2340" t="s">
        <v>26</v>
      </c>
      <c r="E2340" s="7">
        <v>45636</v>
      </c>
      <c r="F2340" t="s">
        <v>159</v>
      </c>
      <c r="G2340">
        <v>7</v>
      </c>
      <c r="H2340" t="s">
        <v>27</v>
      </c>
      <c r="I2340" t="s">
        <v>16</v>
      </c>
      <c r="J2340" t="s">
        <v>16</v>
      </c>
      <c r="K2340" t="str">
        <f>VLOOKUP(C2340,CheckName!A:B,2,0)</f>
        <v>Emp</v>
      </c>
      <c r="L2340">
        <v>0</v>
      </c>
      <c r="M2340">
        <f>DAY(E2340)</f>
        <v>10</v>
      </c>
      <c r="N2340" t="str">
        <f>TEXT(MTDRejection[[#This Row],[RejectionDate]],"dddd")</f>
        <v>Tuesday</v>
      </c>
    </row>
    <row r="2341" spans="1:14">
      <c r="A2341" t="s">
        <v>116</v>
      </c>
      <c r="B2341" t="s">
        <v>4784</v>
      </c>
      <c r="C2341" t="s">
        <v>467</v>
      </c>
      <c r="D2341" t="s">
        <v>26</v>
      </c>
      <c r="E2341" s="7">
        <v>45643</v>
      </c>
      <c r="F2341" t="s">
        <v>236</v>
      </c>
      <c r="G2341">
        <v>0</v>
      </c>
      <c r="H2341" t="s">
        <v>425</v>
      </c>
      <c r="I2341" t="s">
        <v>16</v>
      </c>
      <c r="J2341" t="s">
        <v>16</v>
      </c>
      <c r="K2341" t="str">
        <f>VLOOKUP(C2341,CheckName!A:B,2,0)</f>
        <v>Special Check</v>
      </c>
      <c r="L2341">
        <v>1</v>
      </c>
      <c r="M2341">
        <f>DAY(E2341)</f>
        <v>17</v>
      </c>
      <c r="N2341" t="str">
        <f>TEXT(MTDRejection[[#This Row],[RejectionDate]],"dddd")</f>
        <v>Tuesday</v>
      </c>
    </row>
    <row r="2342" spans="1:14">
      <c r="A2342" t="s">
        <v>1110</v>
      </c>
      <c r="B2342" t="s">
        <v>4785</v>
      </c>
      <c r="C2342" t="s">
        <v>965</v>
      </c>
      <c r="D2342" t="s">
        <v>20</v>
      </c>
      <c r="E2342" s="7">
        <v>45643</v>
      </c>
      <c r="F2342" t="s">
        <v>273</v>
      </c>
      <c r="G2342">
        <v>0</v>
      </c>
      <c r="H2342" t="s">
        <v>22</v>
      </c>
      <c r="I2342" t="s">
        <v>16</v>
      </c>
      <c r="J2342" t="s">
        <v>16</v>
      </c>
      <c r="K2342" t="str">
        <f>VLOOKUP(C2342,CheckName!A:B,2,0)</f>
        <v>Add</v>
      </c>
      <c r="L2342">
        <v>0</v>
      </c>
      <c r="M2342">
        <f t="shared" ref="M2342:M2343" si="352">DAY(E2342)</f>
        <v>17</v>
      </c>
      <c r="N2342" t="str">
        <f>TEXT(MTDRejection[[#This Row],[RejectionDate]],"dddd")</f>
        <v>Tuesday</v>
      </c>
    </row>
    <row r="2343" spans="1:14">
      <c r="A2343" t="s">
        <v>192</v>
      </c>
      <c r="B2343" t="s">
        <v>2606</v>
      </c>
      <c r="C2343" t="s">
        <v>19</v>
      </c>
      <c r="D2343" t="s">
        <v>20</v>
      </c>
      <c r="E2343" s="7">
        <v>45643</v>
      </c>
      <c r="F2343" t="s">
        <v>273</v>
      </c>
      <c r="G2343">
        <v>0</v>
      </c>
      <c r="H2343" t="s">
        <v>130</v>
      </c>
      <c r="I2343" t="s">
        <v>16</v>
      </c>
      <c r="J2343" t="s">
        <v>16</v>
      </c>
      <c r="K2343" t="str">
        <f>VLOOKUP(C2343,CheckName!A:B,2,0)</f>
        <v>Add</v>
      </c>
      <c r="L2343">
        <v>0</v>
      </c>
      <c r="M2343">
        <f t="shared" si="352"/>
        <v>17</v>
      </c>
      <c r="N2343" t="str">
        <f>TEXT(MTDRejection[[#This Row],[RejectionDate]],"dddd")</f>
        <v>Tuesday</v>
      </c>
    </row>
    <row r="2344" spans="1:14">
      <c r="A2344" t="s">
        <v>200</v>
      </c>
      <c r="B2344" t="s">
        <v>4786</v>
      </c>
      <c r="C2344" t="s">
        <v>25</v>
      </c>
      <c r="D2344" t="s">
        <v>20</v>
      </c>
      <c r="E2344" s="7">
        <v>45643</v>
      </c>
      <c r="F2344" t="s">
        <v>2327</v>
      </c>
      <c r="G2344">
        <v>0</v>
      </c>
      <c r="H2344" t="s">
        <v>22</v>
      </c>
      <c r="I2344" t="s">
        <v>16</v>
      </c>
      <c r="J2344" t="s">
        <v>16</v>
      </c>
      <c r="K2344" t="str">
        <f>VLOOKUP(C2344,CheckName!A:B,2,0)</f>
        <v>Add</v>
      </c>
      <c r="L2344">
        <v>0</v>
      </c>
      <c r="M2344">
        <f>DAY(E2344)</f>
        <v>17</v>
      </c>
      <c r="N2344" t="str">
        <f>TEXT(MTDRejection[[#This Row],[RejectionDate]],"dddd")</f>
        <v>Tuesday</v>
      </c>
    </row>
    <row r="2345" spans="1:14">
      <c r="A2345" t="s">
        <v>1110</v>
      </c>
      <c r="B2345" t="s">
        <v>2607</v>
      </c>
      <c r="C2345" t="s">
        <v>965</v>
      </c>
      <c r="D2345" t="s">
        <v>20</v>
      </c>
      <c r="E2345" s="7">
        <v>45643</v>
      </c>
      <c r="F2345" t="s">
        <v>2327</v>
      </c>
      <c r="G2345">
        <v>0</v>
      </c>
      <c r="H2345" t="s">
        <v>22</v>
      </c>
      <c r="I2345" t="s">
        <v>16</v>
      </c>
      <c r="J2345" t="s">
        <v>16</v>
      </c>
      <c r="K2345" t="str">
        <f>VLOOKUP(C2345,CheckName!A:B,2,0)</f>
        <v>Add</v>
      </c>
      <c r="L2345">
        <v>0</v>
      </c>
      <c r="M2345">
        <f>DAY(E2345)</f>
        <v>17</v>
      </c>
      <c r="N2345" t="str">
        <f>TEXT(MTDRejection[[#This Row],[RejectionDate]],"dddd")</f>
        <v>Tuesday</v>
      </c>
    </row>
    <row r="2346" spans="1:14">
      <c r="A2346" t="s">
        <v>432</v>
      </c>
      <c r="B2346" t="s">
        <v>4787</v>
      </c>
      <c r="C2346" t="s">
        <v>36</v>
      </c>
      <c r="D2346" t="s">
        <v>26</v>
      </c>
      <c r="E2346" s="7">
        <v>45643</v>
      </c>
      <c r="F2346" t="s">
        <v>37</v>
      </c>
      <c r="G2346">
        <v>0</v>
      </c>
      <c r="H2346" t="s">
        <v>27</v>
      </c>
      <c r="I2346" t="s">
        <v>16</v>
      </c>
      <c r="J2346" t="s">
        <v>16</v>
      </c>
      <c r="K2346" t="str">
        <f>VLOOKUP(C2346,CheckName!A:B,2,0)</f>
        <v>Emp</v>
      </c>
      <c r="L2346">
        <v>0</v>
      </c>
      <c r="M2346">
        <f t="shared" ref="M2346:M2347" si="353">DAY(E2346)</f>
        <v>17</v>
      </c>
      <c r="N2346" t="str">
        <f>TEXT(MTDRejection[[#This Row],[RejectionDate]],"dddd")</f>
        <v>Tuesday</v>
      </c>
    </row>
    <row r="2347" spans="1:14">
      <c r="A2347" t="s">
        <v>465</v>
      </c>
      <c r="B2347" t="s">
        <v>4788</v>
      </c>
      <c r="C2347" t="s">
        <v>36</v>
      </c>
      <c r="D2347" t="s">
        <v>26</v>
      </c>
      <c r="E2347" s="7">
        <v>45643</v>
      </c>
      <c r="F2347" t="s">
        <v>37</v>
      </c>
      <c r="G2347">
        <v>0</v>
      </c>
      <c r="H2347" t="s">
        <v>27</v>
      </c>
      <c r="I2347" t="s">
        <v>16</v>
      </c>
      <c r="J2347" t="s">
        <v>16</v>
      </c>
      <c r="K2347" t="str">
        <f>VLOOKUP(C2347,CheckName!A:B,2,0)</f>
        <v>Emp</v>
      </c>
      <c r="L2347">
        <v>0</v>
      </c>
      <c r="M2347">
        <f t="shared" si="353"/>
        <v>17</v>
      </c>
      <c r="N2347" t="str">
        <f>TEXT(MTDRejection[[#This Row],[RejectionDate]],"dddd")</f>
        <v>Tuesday</v>
      </c>
    </row>
    <row r="2348" spans="1:14">
      <c r="A2348" t="s">
        <v>461</v>
      </c>
      <c r="B2348" t="s">
        <v>4789</v>
      </c>
      <c r="C2348" t="s">
        <v>12</v>
      </c>
      <c r="D2348" t="s">
        <v>26</v>
      </c>
      <c r="E2348" s="7">
        <v>45643</v>
      </c>
      <c r="F2348" t="s">
        <v>675</v>
      </c>
      <c r="G2348">
        <v>0</v>
      </c>
      <c r="H2348" t="s">
        <v>27</v>
      </c>
      <c r="I2348" t="s">
        <v>16</v>
      </c>
      <c r="J2348" t="s">
        <v>16</v>
      </c>
      <c r="K2348" t="str">
        <f>VLOOKUP(C2348,CheckName!A:B,2,0)</f>
        <v>Emp</v>
      </c>
      <c r="L2348">
        <v>0</v>
      </c>
      <c r="M2348">
        <f t="shared" ref="M2348:M2349" si="354">DAY(E2348)</f>
        <v>17</v>
      </c>
      <c r="N2348" t="str">
        <f>TEXT(MTDRejection[[#This Row],[RejectionDate]],"dddd")</f>
        <v>Tuesday</v>
      </c>
    </row>
    <row r="2349" spans="1:14">
      <c r="A2349" t="s">
        <v>1939</v>
      </c>
      <c r="B2349" t="s">
        <v>4790</v>
      </c>
      <c r="C2349" t="s">
        <v>56</v>
      </c>
      <c r="D2349" t="s">
        <v>13</v>
      </c>
      <c r="E2349" s="7">
        <v>45643</v>
      </c>
      <c r="F2349" t="s">
        <v>2334</v>
      </c>
      <c r="G2349">
        <v>0</v>
      </c>
      <c r="H2349" t="s">
        <v>15</v>
      </c>
      <c r="I2349" t="s">
        <v>16</v>
      </c>
      <c r="J2349" t="s">
        <v>16</v>
      </c>
      <c r="K2349" t="str">
        <f>VLOOKUP(C2349,CheckName!A:B,2,0)</f>
        <v>Special Check</v>
      </c>
      <c r="L2349">
        <v>0</v>
      </c>
      <c r="M2349">
        <f t="shared" si="354"/>
        <v>17</v>
      </c>
      <c r="N2349" t="str">
        <f>TEXT(MTDRejection[[#This Row],[RejectionDate]],"dddd")</f>
        <v>Tuesday</v>
      </c>
    </row>
    <row r="2350" spans="1:14">
      <c r="A2350" t="s">
        <v>285</v>
      </c>
      <c r="B2350" t="s">
        <v>4791</v>
      </c>
      <c r="C2350" t="s">
        <v>125</v>
      </c>
      <c r="D2350" t="s">
        <v>26</v>
      </c>
      <c r="E2350" s="7">
        <v>45643</v>
      </c>
      <c r="F2350" t="s">
        <v>1055</v>
      </c>
      <c r="G2350">
        <v>0</v>
      </c>
      <c r="H2350" t="s">
        <v>27</v>
      </c>
      <c r="I2350" t="s">
        <v>16</v>
      </c>
      <c r="J2350" t="s">
        <v>16</v>
      </c>
      <c r="K2350" t="str">
        <f>VLOOKUP(C2350,CheckName!A:B,2,0)</f>
        <v>Emp</v>
      </c>
      <c r="L2350">
        <v>0</v>
      </c>
      <c r="M2350">
        <f>DAY(E2350)</f>
        <v>17</v>
      </c>
      <c r="N2350" t="str">
        <f>TEXT(MTDRejection[[#This Row],[RejectionDate]],"dddd")</f>
        <v>Tuesday</v>
      </c>
    </row>
    <row r="2351" spans="1:14">
      <c r="A2351" t="s">
        <v>84</v>
      </c>
      <c r="B2351" t="s">
        <v>4792</v>
      </c>
      <c r="C2351" t="s">
        <v>19</v>
      </c>
      <c r="D2351" t="s">
        <v>26</v>
      </c>
      <c r="E2351" s="7">
        <v>45643</v>
      </c>
      <c r="F2351" t="s">
        <v>66</v>
      </c>
      <c r="G2351">
        <v>0</v>
      </c>
      <c r="H2351" t="s">
        <v>22</v>
      </c>
      <c r="I2351" t="s">
        <v>16</v>
      </c>
      <c r="J2351" t="s">
        <v>16</v>
      </c>
      <c r="K2351" t="str">
        <f>VLOOKUP(C2351,CheckName!A:B,2,0)</f>
        <v>Add</v>
      </c>
      <c r="L2351">
        <v>0</v>
      </c>
      <c r="M2351">
        <f t="shared" ref="M2351:M2355" si="355">DAY(E2351)</f>
        <v>17</v>
      </c>
      <c r="N2351" t="str">
        <f>TEXT(MTDRejection[[#This Row],[RejectionDate]],"dddd")</f>
        <v>Tuesday</v>
      </c>
    </row>
    <row r="2352" spans="1:14">
      <c r="A2352" t="s">
        <v>84</v>
      </c>
      <c r="B2352" t="s">
        <v>2503</v>
      </c>
      <c r="C2352" t="s">
        <v>19</v>
      </c>
      <c r="D2352" t="s">
        <v>26</v>
      </c>
      <c r="E2352" s="7">
        <v>45643</v>
      </c>
      <c r="F2352" t="s">
        <v>66</v>
      </c>
      <c r="G2352">
        <v>0</v>
      </c>
      <c r="H2352" t="s">
        <v>27</v>
      </c>
      <c r="I2352" t="s">
        <v>16</v>
      </c>
      <c r="J2352" t="s">
        <v>16</v>
      </c>
      <c r="K2352" t="str">
        <f>VLOOKUP(C2352,CheckName!A:B,2,0)</f>
        <v>Add</v>
      </c>
      <c r="L2352">
        <v>0</v>
      </c>
      <c r="M2352">
        <f t="shared" si="355"/>
        <v>17</v>
      </c>
      <c r="N2352" t="str">
        <f>TEXT(MTDRejection[[#This Row],[RejectionDate]],"dddd")</f>
        <v>Tuesday</v>
      </c>
    </row>
    <row r="2353" spans="1:14">
      <c r="A2353" t="s">
        <v>84</v>
      </c>
      <c r="B2353" t="s">
        <v>2608</v>
      </c>
      <c r="C2353" t="s">
        <v>25</v>
      </c>
      <c r="D2353" t="s">
        <v>26</v>
      </c>
      <c r="E2353" s="7">
        <v>45643</v>
      </c>
      <c r="F2353" t="s">
        <v>66</v>
      </c>
      <c r="G2353">
        <v>0</v>
      </c>
      <c r="H2353" t="s">
        <v>27</v>
      </c>
      <c r="I2353" t="s">
        <v>16</v>
      </c>
      <c r="J2353" t="s">
        <v>16</v>
      </c>
      <c r="K2353" t="str">
        <f>VLOOKUP(C2353,CheckName!A:B,2,0)</f>
        <v>Add</v>
      </c>
      <c r="L2353">
        <v>0</v>
      </c>
      <c r="M2353">
        <f t="shared" si="355"/>
        <v>17</v>
      </c>
      <c r="N2353" t="str">
        <f>TEXT(MTDRejection[[#This Row],[RejectionDate]],"dddd")</f>
        <v>Tuesday</v>
      </c>
    </row>
    <row r="2354" spans="1:14">
      <c r="A2354" t="s">
        <v>84</v>
      </c>
      <c r="B2354" t="s">
        <v>1910</v>
      </c>
      <c r="C2354" t="s">
        <v>25</v>
      </c>
      <c r="D2354" t="s">
        <v>26</v>
      </c>
      <c r="E2354" s="7">
        <v>45643</v>
      </c>
      <c r="F2354" t="s">
        <v>66</v>
      </c>
      <c r="G2354">
        <v>0</v>
      </c>
      <c r="H2354" t="s">
        <v>22</v>
      </c>
      <c r="I2354" t="s">
        <v>16</v>
      </c>
      <c r="J2354" t="s">
        <v>16</v>
      </c>
      <c r="K2354" t="str">
        <f>VLOOKUP(C2354,CheckName!A:B,2,0)</f>
        <v>Add</v>
      </c>
      <c r="L2354">
        <v>0</v>
      </c>
      <c r="M2354">
        <f t="shared" si="355"/>
        <v>17</v>
      </c>
      <c r="N2354" t="str">
        <f>TEXT(MTDRejection[[#This Row],[RejectionDate]],"dddd")</f>
        <v>Tuesday</v>
      </c>
    </row>
    <row r="2355" spans="1:14">
      <c r="A2355" t="s">
        <v>84</v>
      </c>
      <c r="B2355" t="s">
        <v>2609</v>
      </c>
      <c r="C2355" t="s">
        <v>25</v>
      </c>
      <c r="D2355" t="s">
        <v>26</v>
      </c>
      <c r="E2355" s="7">
        <v>45643</v>
      </c>
      <c r="F2355" t="s">
        <v>66</v>
      </c>
      <c r="G2355">
        <v>0</v>
      </c>
      <c r="H2355" t="s">
        <v>22</v>
      </c>
      <c r="I2355" t="s">
        <v>16</v>
      </c>
      <c r="J2355" t="s">
        <v>16</v>
      </c>
      <c r="K2355" t="str">
        <f>VLOOKUP(C2355,CheckName!A:B,2,0)</f>
        <v>Add</v>
      </c>
      <c r="L2355">
        <v>0</v>
      </c>
      <c r="M2355">
        <f t="shared" si="355"/>
        <v>17</v>
      </c>
      <c r="N2355" t="str">
        <f>TEXT(MTDRejection[[#This Row],[RejectionDate]],"dddd")</f>
        <v>Tuesday</v>
      </c>
    </row>
    <row r="2356" spans="1:14">
      <c r="A2356" t="s">
        <v>142</v>
      </c>
      <c r="B2356" t="s">
        <v>4793</v>
      </c>
      <c r="C2356" t="s">
        <v>19</v>
      </c>
      <c r="D2356" t="s">
        <v>26</v>
      </c>
      <c r="E2356" s="7">
        <v>45643</v>
      </c>
      <c r="F2356" t="s">
        <v>66</v>
      </c>
      <c r="G2356">
        <v>0</v>
      </c>
      <c r="H2356" t="s">
        <v>27</v>
      </c>
      <c r="I2356" t="s">
        <v>16</v>
      </c>
      <c r="J2356" t="s">
        <v>16</v>
      </c>
      <c r="K2356" t="str">
        <f>VLOOKUP(C2356,CheckName!A:B,2,0)</f>
        <v>Add</v>
      </c>
      <c r="L2356">
        <v>0</v>
      </c>
      <c r="M2356">
        <f>DAY(E2356)</f>
        <v>17</v>
      </c>
      <c r="N2356" t="str">
        <f>TEXT(MTDRejection[[#This Row],[RejectionDate]],"dddd")</f>
        <v>Tuesday</v>
      </c>
    </row>
    <row r="2357" spans="1:14">
      <c r="A2357" t="s">
        <v>139</v>
      </c>
      <c r="B2357" t="s">
        <v>4794</v>
      </c>
      <c r="C2357" t="s">
        <v>25</v>
      </c>
      <c r="D2357" t="s">
        <v>20</v>
      </c>
      <c r="E2357" s="7">
        <v>45643</v>
      </c>
      <c r="F2357" t="s">
        <v>2330</v>
      </c>
      <c r="G2357">
        <v>0</v>
      </c>
      <c r="H2357" t="s">
        <v>130</v>
      </c>
      <c r="I2357" t="s">
        <v>16</v>
      </c>
      <c r="J2357" t="s">
        <v>16</v>
      </c>
      <c r="K2357" t="str">
        <f>VLOOKUP(C2357,CheckName!A:B,2,0)</f>
        <v>Add</v>
      </c>
      <c r="L2357">
        <v>0</v>
      </c>
      <c r="M2357">
        <f t="shared" ref="M2357:M2359" si="356">DAY(E2357)</f>
        <v>17</v>
      </c>
      <c r="N2357" t="str">
        <f>TEXT(MTDRejection[[#This Row],[RejectionDate]],"dddd")</f>
        <v>Tuesday</v>
      </c>
    </row>
    <row r="2358" spans="1:14">
      <c r="A2358" t="s">
        <v>1570</v>
      </c>
      <c r="B2358" t="s">
        <v>4795</v>
      </c>
      <c r="C2358" t="s">
        <v>25</v>
      </c>
      <c r="D2358" t="s">
        <v>20</v>
      </c>
      <c r="E2358" s="7">
        <v>45643</v>
      </c>
      <c r="F2358" t="s">
        <v>2330</v>
      </c>
      <c r="G2358">
        <v>0</v>
      </c>
      <c r="H2358" t="s">
        <v>22</v>
      </c>
      <c r="I2358" t="s">
        <v>16</v>
      </c>
      <c r="J2358" t="s">
        <v>16</v>
      </c>
      <c r="K2358" t="str">
        <f>VLOOKUP(C2358,CheckName!A:B,2,0)</f>
        <v>Add</v>
      </c>
      <c r="L2358">
        <v>0</v>
      </c>
      <c r="M2358">
        <f t="shared" si="356"/>
        <v>17</v>
      </c>
      <c r="N2358" t="str">
        <f>TEXT(MTDRejection[[#This Row],[RejectionDate]],"dddd")</f>
        <v>Tuesday</v>
      </c>
    </row>
    <row r="2359" spans="1:14">
      <c r="A2359" t="s">
        <v>176</v>
      </c>
      <c r="B2359" t="s">
        <v>4796</v>
      </c>
      <c r="C2359" t="s">
        <v>25</v>
      </c>
      <c r="D2359" t="s">
        <v>20</v>
      </c>
      <c r="E2359" s="7">
        <v>45643</v>
      </c>
      <c r="F2359" t="s">
        <v>2330</v>
      </c>
      <c r="G2359">
        <v>0</v>
      </c>
      <c r="H2359" t="s">
        <v>22</v>
      </c>
      <c r="I2359" t="s">
        <v>16</v>
      </c>
      <c r="J2359" t="s">
        <v>16</v>
      </c>
      <c r="K2359" t="str">
        <f>VLOOKUP(C2359,CheckName!A:B,2,0)</f>
        <v>Add</v>
      </c>
      <c r="L2359">
        <v>0</v>
      </c>
      <c r="M2359">
        <f t="shared" si="356"/>
        <v>17</v>
      </c>
      <c r="N2359" t="str">
        <f>TEXT(MTDRejection[[#This Row],[RejectionDate]],"dddd")</f>
        <v>Tuesday</v>
      </c>
    </row>
    <row r="2360" spans="1:14">
      <c r="A2360" t="s">
        <v>119</v>
      </c>
      <c r="B2360" t="s">
        <v>2610</v>
      </c>
      <c r="C2360" t="s">
        <v>19</v>
      </c>
      <c r="D2360" t="s">
        <v>20</v>
      </c>
      <c r="E2360" s="7">
        <v>45643</v>
      </c>
      <c r="F2360" t="s">
        <v>2330</v>
      </c>
      <c r="G2360">
        <v>0</v>
      </c>
      <c r="H2360" t="s">
        <v>27</v>
      </c>
      <c r="I2360" t="s">
        <v>16</v>
      </c>
      <c r="J2360" t="s">
        <v>16</v>
      </c>
      <c r="K2360" t="str">
        <f>VLOOKUP(C2360,CheckName!A:B,2,0)</f>
        <v>Add</v>
      </c>
      <c r="L2360">
        <v>0</v>
      </c>
      <c r="M2360">
        <f t="shared" ref="M2360:M2362" si="357">DAY(E2360)</f>
        <v>17</v>
      </c>
      <c r="N2360" t="str">
        <f>TEXT(MTDRejection[[#This Row],[RejectionDate]],"dddd")</f>
        <v>Tuesday</v>
      </c>
    </row>
    <row r="2361" spans="1:14">
      <c r="A2361" t="s">
        <v>84</v>
      </c>
      <c r="B2361" t="s">
        <v>4013</v>
      </c>
      <c r="C2361" t="s">
        <v>19</v>
      </c>
      <c r="D2361" t="s">
        <v>26</v>
      </c>
      <c r="E2361" s="7">
        <v>45643</v>
      </c>
      <c r="F2361" t="s">
        <v>66</v>
      </c>
      <c r="G2361">
        <v>0</v>
      </c>
      <c r="H2361" t="s">
        <v>22</v>
      </c>
      <c r="I2361" t="s">
        <v>16</v>
      </c>
      <c r="J2361" t="s">
        <v>16</v>
      </c>
      <c r="K2361" t="str">
        <f>VLOOKUP(C2361,CheckName!A:B,2,0)</f>
        <v>Add</v>
      </c>
      <c r="L2361">
        <v>0</v>
      </c>
      <c r="M2361">
        <f t="shared" si="357"/>
        <v>17</v>
      </c>
      <c r="N2361" t="str">
        <f>TEXT(MTDRejection[[#This Row],[RejectionDate]],"dddd")</f>
        <v>Tuesday</v>
      </c>
    </row>
    <row r="2362" spans="1:14">
      <c r="A2362" t="s">
        <v>84</v>
      </c>
      <c r="B2362" t="s">
        <v>4797</v>
      </c>
      <c r="C2362" t="s">
        <v>25</v>
      </c>
      <c r="D2362" t="s">
        <v>26</v>
      </c>
      <c r="E2362" s="7">
        <v>45643</v>
      </c>
      <c r="F2362" t="s">
        <v>66</v>
      </c>
      <c r="G2362">
        <v>0</v>
      </c>
      <c r="H2362" t="s">
        <v>15</v>
      </c>
      <c r="I2362" t="s">
        <v>16</v>
      </c>
      <c r="J2362" t="s">
        <v>16</v>
      </c>
      <c r="K2362" t="str">
        <f>VLOOKUP(C2362,CheckName!A:B,2,0)</f>
        <v>Add</v>
      </c>
      <c r="L2362">
        <v>0</v>
      </c>
      <c r="M2362">
        <f t="shared" si="357"/>
        <v>17</v>
      </c>
      <c r="N2362" t="str">
        <f>TEXT(MTDRejection[[#This Row],[RejectionDate]],"dddd")</f>
        <v>Tuesday</v>
      </c>
    </row>
    <row r="2363" spans="1:14">
      <c r="A2363" t="s">
        <v>119</v>
      </c>
      <c r="B2363" t="s">
        <v>4798</v>
      </c>
      <c r="C2363" t="s">
        <v>54</v>
      </c>
      <c r="D2363" t="s">
        <v>26</v>
      </c>
      <c r="E2363" s="7">
        <v>45643</v>
      </c>
      <c r="F2363" t="s">
        <v>63</v>
      </c>
      <c r="G2363">
        <v>0</v>
      </c>
      <c r="H2363" t="s">
        <v>27</v>
      </c>
      <c r="I2363" t="s">
        <v>16</v>
      </c>
      <c r="J2363" t="s">
        <v>16</v>
      </c>
      <c r="K2363" t="str">
        <f>VLOOKUP(C2363,CheckName!A:B,2,0)</f>
        <v>Edu</v>
      </c>
      <c r="L2363">
        <v>0</v>
      </c>
      <c r="M2363">
        <f>DAY(E2363)</f>
        <v>17</v>
      </c>
      <c r="N2363" t="str">
        <f>TEXT(MTDRejection[[#This Row],[RejectionDate]],"dddd")</f>
        <v>Tuesday</v>
      </c>
    </row>
    <row r="2364" spans="1:14">
      <c r="A2364" t="s">
        <v>45</v>
      </c>
      <c r="B2364" t="s">
        <v>4799</v>
      </c>
      <c r="C2364" t="s">
        <v>112</v>
      </c>
      <c r="D2364" t="s">
        <v>38</v>
      </c>
      <c r="E2364" s="7">
        <v>45643</v>
      </c>
      <c r="F2364" t="s">
        <v>39</v>
      </c>
      <c r="G2364">
        <v>0</v>
      </c>
      <c r="H2364" t="s">
        <v>42</v>
      </c>
      <c r="I2364" t="s">
        <v>16</v>
      </c>
      <c r="J2364" t="s">
        <v>16</v>
      </c>
      <c r="K2364" t="str">
        <f>VLOOKUP(C2364,CheckName!A:B,2,0)</f>
        <v>Emp</v>
      </c>
      <c r="L2364">
        <v>1</v>
      </c>
      <c r="M2364">
        <f>DAY(E2364)</f>
        <v>17</v>
      </c>
      <c r="N2364" t="str">
        <f>TEXT(MTDRejection[[#This Row],[RejectionDate]],"dddd")</f>
        <v>Tuesday</v>
      </c>
    </row>
    <row r="2365" spans="1:14">
      <c r="A2365" t="s">
        <v>45</v>
      </c>
      <c r="B2365" t="s">
        <v>2611</v>
      </c>
      <c r="C2365" t="s">
        <v>19</v>
      </c>
      <c r="D2365" t="s">
        <v>20</v>
      </c>
      <c r="E2365" s="7">
        <v>45643</v>
      </c>
      <c r="F2365" t="s">
        <v>2348</v>
      </c>
      <c r="G2365">
        <v>0</v>
      </c>
      <c r="H2365" t="s">
        <v>22</v>
      </c>
      <c r="I2365" t="s">
        <v>16</v>
      </c>
      <c r="J2365" t="s">
        <v>16</v>
      </c>
      <c r="K2365" t="str">
        <f>VLOOKUP(C2365,CheckName!A:B,2,0)</f>
        <v>Add</v>
      </c>
      <c r="L2365">
        <v>0</v>
      </c>
      <c r="M2365">
        <f>DAY(E2365)</f>
        <v>17</v>
      </c>
      <c r="N2365" t="str">
        <f>TEXT(MTDRejection[[#This Row],[RejectionDate]],"dddd")</f>
        <v>Tuesday</v>
      </c>
    </row>
    <row r="2366" spans="1:14">
      <c r="A2366" t="s">
        <v>160</v>
      </c>
      <c r="B2366" t="s">
        <v>4800</v>
      </c>
      <c r="C2366" t="s">
        <v>125</v>
      </c>
      <c r="D2366" t="s">
        <v>26</v>
      </c>
      <c r="E2366" s="7">
        <v>45643</v>
      </c>
      <c r="F2366" t="s">
        <v>80</v>
      </c>
      <c r="G2366">
        <v>0</v>
      </c>
      <c r="H2366" t="s">
        <v>27</v>
      </c>
      <c r="I2366" t="s">
        <v>16</v>
      </c>
      <c r="J2366" t="s">
        <v>16</v>
      </c>
      <c r="K2366" t="str">
        <f>VLOOKUP(C2366,CheckName!A:B,2,0)</f>
        <v>Emp</v>
      </c>
      <c r="L2366">
        <v>0</v>
      </c>
      <c r="M2366">
        <f t="shared" ref="M2366:M2367" si="358">DAY(E2366)</f>
        <v>17</v>
      </c>
      <c r="N2366" t="str">
        <f>TEXT(MTDRejection[[#This Row],[RejectionDate]],"dddd")</f>
        <v>Tuesday</v>
      </c>
    </row>
    <row r="2367" spans="1:14">
      <c r="A2367" t="s">
        <v>432</v>
      </c>
      <c r="B2367" t="s">
        <v>4801</v>
      </c>
      <c r="C2367" t="s">
        <v>36</v>
      </c>
      <c r="D2367" t="s">
        <v>38</v>
      </c>
      <c r="E2367" s="7">
        <v>45643</v>
      </c>
      <c r="F2367" t="s">
        <v>39</v>
      </c>
      <c r="G2367">
        <v>0</v>
      </c>
      <c r="H2367" t="s">
        <v>42</v>
      </c>
      <c r="I2367" t="s">
        <v>16</v>
      </c>
      <c r="J2367" t="s">
        <v>16</v>
      </c>
      <c r="K2367" t="str">
        <f>VLOOKUP(C2367,CheckName!A:B,2,0)</f>
        <v>Emp</v>
      </c>
      <c r="L2367">
        <v>0</v>
      </c>
      <c r="M2367">
        <f t="shared" si="358"/>
        <v>17</v>
      </c>
      <c r="N2367" t="str">
        <f>TEXT(MTDRejection[[#This Row],[RejectionDate]],"dddd")</f>
        <v>Tuesday</v>
      </c>
    </row>
    <row r="2368" spans="1:14">
      <c r="A2368" t="s">
        <v>1842</v>
      </c>
      <c r="B2368" t="s">
        <v>4802</v>
      </c>
      <c r="C2368" t="s">
        <v>36</v>
      </c>
      <c r="D2368" t="s">
        <v>26</v>
      </c>
      <c r="E2368" s="7">
        <v>45643</v>
      </c>
      <c r="F2368" t="s">
        <v>182</v>
      </c>
      <c r="G2368">
        <v>0</v>
      </c>
      <c r="H2368" t="s">
        <v>27</v>
      </c>
      <c r="I2368" t="s">
        <v>16</v>
      </c>
      <c r="J2368" t="s">
        <v>16</v>
      </c>
      <c r="K2368" t="str">
        <f>VLOOKUP(C2368,CheckName!A:B,2,0)</f>
        <v>Emp</v>
      </c>
      <c r="L2368">
        <v>0</v>
      </c>
      <c r="M2368">
        <f t="shared" ref="M2368:M2372" si="359">DAY(E2368)</f>
        <v>17</v>
      </c>
      <c r="N2368" t="str">
        <f>TEXT(MTDRejection[[#This Row],[RejectionDate]],"dddd")</f>
        <v>Tuesday</v>
      </c>
    </row>
    <row r="2369" spans="1:14">
      <c r="A2369" t="s">
        <v>45</v>
      </c>
      <c r="B2369" t="s">
        <v>2612</v>
      </c>
      <c r="C2369" t="s">
        <v>12</v>
      </c>
      <c r="D2369" t="s">
        <v>26</v>
      </c>
      <c r="E2369" s="7">
        <v>45643</v>
      </c>
      <c r="F2369" t="s">
        <v>83</v>
      </c>
      <c r="G2369">
        <v>0</v>
      </c>
      <c r="H2369" t="s">
        <v>27</v>
      </c>
      <c r="I2369" t="s">
        <v>16</v>
      </c>
      <c r="J2369" t="s">
        <v>16</v>
      </c>
      <c r="K2369" t="str">
        <f>VLOOKUP(C2369,CheckName!A:B,2,0)</f>
        <v>Emp</v>
      </c>
      <c r="L2369">
        <v>0</v>
      </c>
      <c r="M2369">
        <f t="shared" si="359"/>
        <v>17</v>
      </c>
      <c r="N2369" t="str">
        <f>TEXT(MTDRejection[[#This Row],[RejectionDate]],"dddd")</f>
        <v>Tuesday</v>
      </c>
    </row>
    <row r="2370" spans="1:14">
      <c r="A2370" t="s">
        <v>81</v>
      </c>
      <c r="B2370" t="s">
        <v>4803</v>
      </c>
      <c r="C2370" t="s">
        <v>12</v>
      </c>
      <c r="D2370" t="s">
        <v>26</v>
      </c>
      <c r="E2370" s="7">
        <v>45643</v>
      </c>
      <c r="F2370" t="s">
        <v>83</v>
      </c>
      <c r="G2370">
        <v>0</v>
      </c>
      <c r="H2370" t="s">
        <v>27</v>
      </c>
      <c r="I2370" t="s">
        <v>16</v>
      </c>
      <c r="J2370" t="s">
        <v>16</v>
      </c>
      <c r="K2370" t="str">
        <f>VLOOKUP(C2370,CheckName!A:B,2,0)</f>
        <v>Emp</v>
      </c>
      <c r="L2370">
        <v>0</v>
      </c>
      <c r="M2370">
        <f t="shared" si="359"/>
        <v>17</v>
      </c>
      <c r="N2370" t="str">
        <f>TEXT(MTDRejection[[#This Row],[RejectionDate]],"dddd")</f>
        <v>Tuesday</v>
      </c>
    </row>
    <row r="2371" spans="1:14">
      <c r="A2371" t="s">
        <v>1204</v>
      </c>
      <c r="B2371" t="s">
        <v>4804</v>
      </c>
      <c r="C2371" t="s">
        <v>12</v>
      </c>
      <c r="D2371" t="s">
        <v>26</v>
      </c>
      <c r="E2371" s="7">
        <v>45643</v>
      </c>
      <c r="F2371" t="s">
        <v>184</v>
      </c>
      <c r="G2371">
        <v>0</v>
      </c>
      <c r="H2371" t="s">
        <v>27</v>
      </c>
      <c r="I2371" t="s">
        <v>16</v>
      </c>
      <c r="J2371" t="s">
        <v>16</v>
      </c>
      <c r="K2371" t="str">
        <f>VLOOKUP(C2371,CheckName!A:B,2,0)</f>
        <v>Emp</v>
      </c>
      <c r="L2371">
        <v>0</v>
      </c>
      <c r="M2371">
        <f t="shared" si="359"/>
        <v>17</v>
      </c>
      <c r="N2371" t="str">
        <f>TEXT(MTDRejection[[#This Row],[RejectionDate]],"dddd")</f>
        <v>Tuesday</v>
      </c>
    </row>
    <row r="2372" spans="1:14">
      <c r="A2372" t="s">
        <v>1455</v>
      </c>
      <c r="B2372" t="s">
        <v>4805</v>
      </c>
      <c r="C2372" t="s">
        <v>12</v>
      </c>
      <c r="D2372" t="s">
        <v>26</v>
      </c>
      <c r="E2372" s="7">
        <v>45643</v>
      </c>
      <c r="F2372" t="s">
        <v>184</v>
      </c>
      <c r="G2372">
        <v>0</v>
      </c>
      <c r="H2372" t="s">
        <v>27</v>
      </c>
      <c r="I2372" t="s">
        <v>16</v>
      </c>
      <c r="J2372" t="s">
        <v>16</v>
      </c>
      <c r="K2372" t="str">
        <f>VLOOKUP(C2372,CheckName!A:B,2,0)</f>
        <v>Emp</v>
      </c>
      <c r="L2372">
        <v>0</v>
      </c>
      <c r="M2372">
        <f t="shared" si="359"/>
        <v>17</v>
      </c>
      <c r="N2372" t="str">
        <f>TEXT(MTDRejection[[#This Row],[RejectionDate]],"dddd")</f>
        <v>Tuesday</v>
      </c>
    </row>
    <row r="2373" spans="1:14">
      <c r="A2373" t="s">
        <v>349</v>
      </c>
      <c r="B2373" t="s">
        <v>4806</v>
      </c>
      <c r="C2373" t="s">
        <v>49</v>
      </c>
      <c r="D2373" t="s">
        <v>13</v>
      </c>
      <c r="E2373" s="7">
        <v>45643</v>
      </c>
      <c r="F2373" t="s">
        <v>2345</v>
      </c>
      <c r="G2373">
        <v>0</v>
      </c>
      <c r="H2373" t="s">
        <v>30</v>
      </c>
      <c r="I2373" t="s">
        <v>16</v>
      </c>
      <c r="J2373" t="s">
        <v>16</v>
      </c>
      <c r="K2373" t="str">
        <f>VLOOKUP(C2373,CheckName!A:B,2,0)</f>
        <v>CRC</v>
      </c>
      <c r="L2373">
        <v>0</v>
      </c>
      <c r="M2373">
        <f t="shared" ref="M2373:M2374" si="360">DAY(E2373)</f>
        <v>17</v>
      </c>
      <c r="N2373" t="str">
        <f>TEXT(MTDRejection[[#This Row],[RejectionDate]],"dddd")</f>
        <v>Tuesday</v>
      </c>
    </row>
    <row r="2374" spans="1:14">
      <c r="A2374" t="s">
        <v>349</v>
      </c>
      <c r="B2374" t="s">
        <v>4807</v>
      </c>
      <c r="C2374" t="s">
        <v>19</v>
      </c>
      <c r="D2374" t="s">
        <v>13</v>
      </c>
      <c r="E2374" s="7">
        <v>45643</v>
      </c>
      <c r="F2374" t="s">
        <v>2345</v>
      </c>
      <c r="G2374">
        <v>0</v>
      </c>
      <c r="H2374" t="s">
        <v>30</v>
      </c>
      <c r="I2374" t="s">
        <v>16</v>
      </c>
      <c r="J2374" t="s">
        <v>16</v>
      </c>
      <c r="K2374" t="str">
        <f>VLOOKUP(C2374,CheckName!A:B,2,0)</f>
        <v>Add</v>
      </c>
      <c r="L2374">
        <v>0</v>
      </c>
      <c r="M2374">
        <f t="shared" si="360"/>
        <v>17</v>
      </c>
      <c r="N2374" t="str">
        <f>TEXT(MTDRejection[[#This Row],[RejectionDate]],"dddd")</f>
        <v>Tuesday</v>
      </c>
    </row>
    <row r="2375" spans="1:14">
      <c r="A2375" t="s">
        <v>996</v>
      </c>
      <c r="B2375" t="s">
        <v>4808</v>
      </c>
      <c r="C2375" t="s">
        <v>12</v>
      </c>
      <c r="D2375" t="s">
        <v>26</v>
      </c>
      <c r="E2375" s="7">
        <v>45643</v>
      </c>
      <c r="F2375" t="s">
        <v>721</v>
      </c>
      <c r="G2375">
        <v>0</v>
      </c>
      <c r="H2375" t="s">
        <v>27</v>
      </c>
      <c r="I2375" t="s">
        <v>16</v>
      </c>
      <c r="J2375" t="s">
        <v>16</v>
      </c>
      <c r="K2375" t="str">
        <f>VLOOKUP(C2375,CheckName!A:B,2,0)</f>
        <v>Emp</v>
      </c>
      <c r="L2375">
        <v>0</v>
      </c>
      <c r="M2375">
        <f>DAY(E2375)</f>
        <v>17</v>
      </c>
      <c r="N2375" t="str">
        <f>TEXT(MTDRejection[[#This Row],[RejectionDate]],"dddd")</f>
        <v>Tuesday</v>
      </c>
    </row>
    <row r="2376" spans="1:14">
      <c r="A2376" t="s">
        <v>1552</v>
      </c>
      <c r="B2376" t="s">
        <v>1783</v>
      </c>
      <c r="C2376" t="s">
        <v>1686</v>
      </c>
      <c r="D2376" t="s">
        <v>38</v>
      </c>
      <c r="E2376" s="7">
        <v>45643</v>
      </c>
      <c r="F2376" t="s">
        <v>108</v>
      </c>
      <c r="G2376">
        <v>0</v>
      </c>
      <c r="H2376" t="s">
        <v>42</v>
      </c>
      <c r="I2376" t="s">
        <v>16</v>
      </c>
      <c r="J2376" t="s">
        <v>16</v>
      </c>
      <c r="K2376" t="str">
        <f>VLOOKUP(C2376,CheckName!A:B,2,0)</f>
        <v>CRC</v>
      </c>
      <c r="L2376">
        <v>0</v>
      </c>
      <c r="M2376">
        <f t="shared" ref="M2376:M2380" si="361">DAY(E2376)</f>
        <v>17</v>
      </c>
      <c r="N2376" t="str">
        <f>TEXT(MTDRejection[[#This Row],[RejectionDate]],"dddd")</f>
        <v>Tuesday</v>
      </c>
    </row>
    <row r="2377" spans="1:14">
      <c r="A2377" t="s">
        <v>100</v>
      </c>
      <c r="B2377" t="s">
        <v>4809</v>
      </c>
      <c r="C2377" t="s">
        <v>255</v>
      </c>
      <c r="D2377" t="s">
        <v>13</v>
      </c>
      <c r="E2377" s="7">
        <v>45643</v>
      </c>
      <c r="F2377" t="s">
        <v>98</v>
      </c>
      <c r="G2377">
        <v>0</v>
      </c>
      <c r="H2377" t="s">
        <v>15</v>
      </c>
      <c r="I2377" t="s">
        <v>16</v>
      </c>
      <c r="J2377" t="s">
        <v>16</v>
      </c>
      <c r="K2377" t="str">
        <f>VLOOKUP(C2377,CheckName!A:B,2,0)</f>
        <v>Special Check</v>
      </c>
      <c r="L2377">
        <v>0</v>
      </c>
      <c r="M2377">
        <f t="shared" si="361"/>
        <v>17</v>
      </c>
      <c r="N2377" t="str">
        <f>TEXT(MTDRejection[[#This Row],[RejectionDate]],"dddd")</f>
        <v>Tuesday</v>
      </c>
    </row>
    <row r="2378" spans="1:14">
      <c r="A2378" t="s">
        <v>100</v>
      </c>
      <c r="B2378" t="s">
        <v>4810</v>
      </c>
      <c r="C2378" t="s">
        <v>359</v>
      </c>
      <c r="D2378" t="s">
        <v>13</v>
      </c>
      <c r="E2378" s="7">
        <v>45643</v>
      </c>
      <c r="F2378" t="s">
        <v>98</v>
      </c>
      <c r="G2378">
        <v>0</v>
      </c>
      <c r="H2378" t="s">
        <v>15</v>
      </c>
      <c r="I2378" t="s">
        <v>16</v>
      </c>
      <c r="J2378" t="s">
        <v>16</v>
      </c>
      <c r="K2378" t="str">
        <f>VLOOKUP(C2378,CheckName!A:B,2,0)</f>
        <v>Emp</v>
      </c>
      <c r="L2378">
        <v>0</v>
      </c>
      <c r="M2378">
        <f t="shared" si="361"/>
        <v>17</v>
      </c>
      <c r="N2378" t="str">
        <f>TEXT(MTDRejection[[#This Row],[RejectionDate]],"dddd")</f>
        <v>Tuesday</v>
      </c>
    </row>
    <row r="2379" spans="1:14">
      <c r="A2379" t="s">
        <v>100</v>
      </c>
      <c r="B2379" t="s">
        <v>4811</v>
      </c>
      <c r="C2379" t="s">
        <v>102</v>
      </c>
      <c r="D2379" t="s">
        <v>13</v>
      </c>
      <c r="E2379" s="7">
        <v>45643</v>
      </c>
      <c r="F2379" t="s">
        <v>98</v>
      </c>
      <c r="G2379">
        <v>0</v>
      </c>
      <c r="H2379" t="s">
        <v>15</v>
      </c>
      <c r="I2379" t="s">
        <v>16</v>
      </c>
      <c r="J2379" t="s">
        <v>16</v>
      </c>
      <c r="K2379" t="str">
        <f>VLOOKUP(C2379,CheckName!A:B,2,0)</f>
        <v>Edu</v>
      </c>
      <c r="L2379">
        <v>0</v>
      </c>
      <c r="M2379">
        <f t="shared" si="361"/>
        <v>17</v>
      </c>
      <c r="N2379" t="str">
        <f>TEXT(MTDRejection[[#This Row],[RejectionDate]],"dddd")</f>
        <v>Tuesday</v>
      </c>
    </row>
    <row r="2380" spans="1:14">
      <c r="A2380" t="s">
        <v>100</v>
      </c>
      <c r="B2380" t="s">
        <v>4812</v>
      </c>
      <c r="C2380" t="s">
        <v>235</v>
      </c>
      <c r="D2380" t="s">
        <v>13</v>
      </c>
      <c r="E2380" s="7">
        <v>45643</v>
      </c>
      <c r="F2380" t="s">
        <v>98</v>
      </c>
      <c r="G2380">
        <v>0</v>
      </c>
      <c r="H2380" t="s">
        <v>15</v>
      </c>
      <c r="I2380" t="s">
        <v>16</v>
      </c>
      <c r="J2380" t="s">
        <v>16</v>
      </c>
      <c r="K2380" t="str">
        <f>VLOOKUP(C2380,CheckName!A:B,2,0)</f>
        <v>Special Check</v>
      </c>
      <c r="L2380">
        <v>0</v>
      </c>
      <c r="M2380">
        <f t="shared" si="361"/>
        <v>17</v>
      </c>
      <c r="N2380" t="str">
        <f>TEXT(MTDRejection[[#This Row],[RejectionDate]],"dddd")</f>
        <v>Tuesday</v>
      </c>
    </row>
    <row r="2381" spans="1:14">
      <c r="A2381" t="s">
        <v>845</v>
      </c>
      <c r="B2381" t="s">
        <v>4813</v>
      </c>
      <c r="C2381" t="s">
        <v>36</v>
      </c>
      <c r="D2381" t="s">
        <v>26</v>
      </c>
      <c r="E2381" s="7">
        <v>45643</v>
      </c>
      <c r="F2381" t="s">
        <v>169</v>
      </c>
      <c r="G2381">
        <v>0</v>
      </c>
      <c r="H2381" t="s">
        <v>22</v>
      </c>
      <c r="I2381" t="s">
        <v>16</v>
      </c>
      <c r="J2381" t="s">
        <v>16</v>
      </c>
      <c r="K2381" t="str">
        <f>VLOOKUP(C2381,CheckName!A:B,2,0)</f>
        <v>Emp</v>
      </c>
      <c r="L2381">
        <v>0</v>
      </c>
      <c r="M2381">
        <f t="shared" ref="M2381:M2386" si="362">DAY(E2381)</f>
        <v>17</v>
      </c>
      <c r="N2381" t="str">
        <f>TEXT(MTDRejection[[#This Row],[RejectionDate]],"dddd")</f>
        <v>Tuesday</v>
      </c>
    </row>
    <row r="2382" spans="1:14">
      <c r="A2382" t="s">
        <v>996</v>
      </c>
      <c r="B2382" t="s">
        <v>4814</v>
      </c>
      <c r="C2382" t="s">
        <v>106</v>
      </c>
      <c r="D2382" t="s">
        <v>26</v>
      </c>
      <c r="E2382" s="7">
        <v>45643</v>
      </c>
      <c r="F2382" t="s">
        <v>330</v>
      </c>
      <c r="G2382">
        <v>0</v>
      </c>
      <c r="H2382" t="s">
        <v>27</v>
      </c>
      <c r="I2382" t="s">
        <v>16</v>
      </c>
      <c r="J2382" t="s">
        <v>16</v>
      </c>
      <c r="K2382" t="str">
        <f>VLOOKUP(C2382,CheckName!A:B,2,0)</f>
        <v>Ref</v>
      </c>
      <c r="L2382">
        <v>0</v>
      </c>
      <c r="M2382">
        <f t="shared" si="362"/>
        <v>17</v>
      </c>
      <c r="N2382" t="str">
        <f>TEXT(MTDRejection[[#This Row],[RejectionDate]],"dddd")</f>
        <v>Tuesday</v>
      </c>
    </row>
    <row r="2383" spans="1:14">
      <c r="A2383" t="s">
        <v>1246</v>
      </c>
      <c r="B2383" t="s">
        <v>4815</v>
      </c>
      <c r="C2383" t="s">
        <v>12</v>
      </c>
      <c r="D2383" t="s">
        <v>13</v>
      </c>
      <c r="E2383" s="7">
        <v>45643</v>
      </c>
      <c r="F2383" t="s">
        <v>2332</v>
      </c>
      <c r="G2383">
        <v>0</v>
      </c>
      <c r="H2383" t="s">
        <v>15</v>
      </c>
      <c r="I2383" t="s">
        <v>16</v>
      </c>
      <c r="J2383" t="s">
        <v>16</v>
      </c>
      <c r="K2383" t="str">
        <f>VLOOKUP(C2383,CheckName!A:B,2,0)</f>
        <v>Emp</v>
      </c>
      <c r="L2383">
        <v>0</v>
      </c>
      <c r="M2383">
        <f t="shared" si="362"/>
        <v>17</v>
      </c>
      <c r="N2383" t="str">
        <f>TEXT(MTDRejection[[#This Row],[RejectionDate]],"dddd")</f>
        <v>Tuesday</v>
      </c>
    </row>
    <row r="2384" spans="1:14">
      <c r="A2384" t="s">
        <v>1958</v>
      </c>
      <c r="B2384" t="s">
        <v>4816</v>
      </c>
      <c r="C2384" t="s">
        <v>49</v>
      </c>
      <c r="D2384" t="s">
        <v>13</v>
      </c>
      <c r="E2384" s="7">
        <v>45643</v>
      </c>
      <c r="F2384" t="s">
        <v>2332</v>
      </c>
      <c r="G2384">
        <v>0</v>
      </c>
      <c r="H2384" t="s">
        <v>505</v>
      </c>
      <c r="I2384" t="s">
        <v>16</v>
      </c>
      <c r="J2384" t="s">
        <v>16</v>
      </c>
      <c r="K2384" t="str">
        <f>VLOOKUP(C2384,CheckName!A:B,2,0)</f>
        <v>CRC</v>
      </c>
      <c r="L2384">
        <v>0</v>
      </c>
      <c r="M2384">
        <f t="shared" si="362"/>
        <v>17</v>
      </c>
      <c r="N2384" t="str">
        <f>TEXT(MTDRejection[[#This Row],[RejectionDate]],"dddd")</f>
        <v>Tuesday</v>
      </c>
    </row>
    <row r="2385" spans="1:14">
      <c r="A2385" t="s">
        <v>1958</v>
      </c>
      <c r="B2385" t="s">
        <v>4816</v>
      </c>
      <c r="C2385" t="s">
        <v>49</v>
      </c>
      <c r="D2385" t="s">
        <v>13</v>
      </c>
      <c r="E2385" s="7">
        <v>45643</v>
      </c>
      <c r="F2385" t="s">
        <v>2332</v>
      </c>
      <c r="G2385">
        <v>0</v>
      </c>
      <c r="H2385" t="s">
        <v>15</v>
      </c>
      <c r="I2385" t="s">
        <v>16</v>
      </c>
      <c r="J2385" t="s">
        <v>16</v>
      </c>
      <c r="K2385" t="str">
        <f>VLOOKUP(C2385,CheckName!A:B,2,0)</f>
        <v>CRC</v>
      </c>
      <c r="L2385">
        <v>0</v>
      </c>
      <c r="M2385">
        <f t="shared" si="362"/>
        <v>17</v>
      </c>
      <c r="N2385" t="str">
        <f>TEXT(MTDRejection[[#This Row],[RejectionDate]],"dddd")</f>
        <v>Tuesday</v>
      </c>
    </row>
    <row r="2386" spans="1:14">
      <c r="A2386" t="s">
        <v>1958</v>
      </c>
      <c r="B2386" t="s">
        <v>4817</v>
      </c>
      <c r="C2386" t="s">
        <v>49</v>
      </c>
      <c r="D2386" t="s">
        <v>13</v>
      </c>
      <c r="E2386" s="7">
        <v>45643</v>
      </c>
      <c r="F2386" t="s">
        <v>2332</v>
      </c>
      <c r="G2386">
        <v>0</v>
      </c>
      <c r="H2386" t="s">
        <v>15</v>
      </c>
      <c r="I2386" t="s">
        <v>16</v>
      </c>
      <c r="J2386" t="s">
        <v>16</v>
      </c>
      <c r="K2386" t="str">
        <f>VLOOKUP(C2386,CheckName!A:B,2,0)</f>
        <v>CRC</v>
      </c>
      <c r="L2386">
        <v>0</v>
      </c>
      <c r="M2386">
        <f t="shared" si="362"/>
        <v>17</v>
      </c>
      <c r="N2386" t="str">
        <f>TEXT(MTDRejection[[#This Row],[RejectionDate]],"dddd")</f>
        <v>Tuesday</v>
      </c>
    </row>
    <row r="2387" spans="1:14">
      <c r="A2387" t="s">
        <v>285</v>
      </c>
      <c r="B2387" t="s">
        <v>4818</v>
      </c>
      <c r="C2387" t="s">
        <v>36</v>
      </c>
      <c r="D2387" t="s">
        <v>26</v>
      </c>
      <c r="E2387" s="7">
        <v>45643</v>
      </c>
      <c r="F2387" t="s">
        <v>2333</v>
      </c>
      <c r="G2387">
        <v>0</v>
      </c>
      <c r="H2387" t="s">
        <v>27</v>
      </c>
      <c r="I2387" t="s">
        <v>16</v>
      </c>
      <c r="J2387" t="s">
        <v>16</v>
      </c>
      <c r="K2387" t="str">
        <f>VLOOKUP(C2387,CheckName!A:B,2,0)</f>
        <v>Emp</v>
      </c>
      <c r="L2387">
        <v>0</v>
      </c>
      <c r="M2387">
        <f>DAY(E2387)</f>
        <v>17</v>
      </c>
      <c r="N2387" t="str">
        <f>TEXT(MTDRejection[[#This Row],[RejectionDate]],"dddd")</f>
        <v>Tuesday</v>
      </c>
    </row>
    <row r="2388" spans="1:14">
      <c r="A2388" t="s">
        <v>116</v>
      </c>
      <c r="B2388" t="s">
        <v>1176</v>
      </c>
      <c r="C2388" t="s">
        <v>1730</v>
      </c>
      <c r="D2388" t="s">
        <v>26</v>
      </c>
      <c r="E2388" s="7">
        <v>45643</v>
      </c>
      <c r="F2388" t="s">
        <v>118</v>
      </c>
      <c r="G2388">
        <v>0</v>
      </c>
      <c r="H2388" t="s">
        <v>27</v>
      </c>
      <c r="I2388" t="s">
        <v>16</v>
      </c>
      <c r="J2388" t="s">
        <v>16</v>
      </c>
      <c r="K2388" t="str">
        <f>VLOOKUP(C2388,CheckName!A:B,2,0)</f>
        <v>Special Check</v>
      </c>
      <c r="L2388">
        <v>0</v>
      </c>
      <c r="M2388">
        <f>DAY(E2388)</f>
        <v>17</v>
      </c>
      <c r="N2388" t="str">
        <f>TEXT(MTDRejection[[#This Row],[RejectionDate]],"dddd")</f>
        <v>Tuesday</v>
      </c>
    </row>
    <row r="2389" spans="1:14">
      <c r="A2389" t="s">
        <v>1246</v>
      </c>
      <c r="B2389" t="s">
        <v>2614</v>
      </c>
      <c r="C2389" t="s">
        <v>12</v>
      </c>
      <c r="D2389" t="s">
        <v>26</v>
      </c>
      <c r="E2389" s="7">
        <v>45643</v>
      </c>
      <c r="F2389" t="s">
        <v>151</v>
      </c>
      <c r="G2389">
        <v>0</v>
      </c>
      <c r="H2389" t="s">
        <v>27</v>
      </c>
      <c r="I2389" t="s">
        <v>16</v>
      </c>
      <c r="J2389" t="s">
        <v>16</v>
      </c>
      <c r="K2389" t="str">
        <f>VLOOKUP(C2389,CheckName!A:B,2,0)</f>
        <v>Emp</v>
      </c>
      <c r="L2389">
        <v>1</v>
      </c>
      <c r="M2389">
        <f>DAY(E2389)</f>
        <v>17</v>
      </c>
      <c r="N2389" t="str">
        <f>TEXT(MTDRejection[[#This Row],[RejectionDate]],"dddd")</f>
        <v>Tuesday</v>
      </c>
    </row>
    <row r="2390" spans="1:14">
      <c r="A2390" t="s">
        <v>119</v>
      </c>
      <c r="B2390" t="s">
        <v>4819</v>
      </c>
      <c r="C2390" t="s">
        <v>36</v>
      </c>
      <c r="D2390" t="s">
        <v>26</v>
      </c>
      <c r="E2390" s="7">
        <v>45643</v>
      </c>
      <c r="F2390" t="s">
        <v>2337</v>
      </c>
      <c r="G2390">
        <v>0</v>
      </c>
      <c r="H2390" t="s">
        <v>27</v>
      </c>
      <c r="I2390" t="s">
        <v>16</v>
      </c>
      <c r="J2390" t="s">
        <v>16</v>
      </c>
      <c r="K2390" t="str">
        <f>VLOOKUP(C2390,CheckName!A:B,2,0)</f>
        <v>Emp</v>
      </c>
      <c r="L2390">
        <v>0</v>
      </c>
      <c r="M2390">
        <f t="shared" ref="M2390:M2398" si="363">DAY(E2390)</f>
        <v>17</v>
      </c>
      <c r="N2390" t="str">
        <f>TEXT(MTDRejection[[#This Row],[RejectionDate]],"dddd")</f>
        <v>Tuesday</v>
      </c>
    </row>
    <row r="2391" spans="1:14">
      <c r="A2391" t="s">
        <v>1237</v>
      </c>
      <c r="B2391" t="s">
        <v>4820</v>
      </c>
      <c r="C2391" t="s">
        <v>125</v>
      </c>
      <c r="D2391" t="s">
        <v>26</v>
      </c>
      <c r="E2391" s="7">
        <v>45643</v>
      </c>
      <c r="F2391" t="s">
        <v>141</v>
      </c>
      <c r="G2391">
        <v>0</v>
      </c>
      <c r="H2391" t="s">
        <v>22</v>
      </c>
      <c r="I2391" t="s">
        <v>16</v>
      </c>
      <c r="J2391" t="s">
        <v>16</v>
      </c>
      <c r="K2391" t="str">
        <f>VLOOKUP(C2391,CheckName!A:B,2,0)</f>
        <v>Emp</v>
      </c>
      <c r="L2391">
        <v>0</v>
      </c>
      <c r="M2391">
        <f t="shared" si="363"/>
        <v>17</v>
      </c>
      <c r="N2391" t="str">
        <f>TEXT(MTDRejection[[#This Row],[RejectionDate]],"dddd")</f>
        <v>Tuesday</v>
      </c>
    </row>
    <row r="2392" spans="1:14">
      <c r="A2392" t="s">
        <v>977</v>
      </c>
      <c r="B2392" t="s">
        <v>4821</v>
      </c>
      <c r="C2392" t="s">
        <v>12</v>
      </c>
      <c r="D2392" t="s">
        <v>38</v>
      </c>
      <c r="E2392" s="7">
        <v>45643</v>
      </c>
      <c r="F2392" t="s">
        <v>39</v>
      </c>
      <c r="G2392">
        <v>0</v>
      </c>
      <c r="H2392" t="s">
        <v>42</v>
      </c>
      <c r="I2392" t="s">
        <v>16</v>
      </c>
      <c r="J2392" t="s">
        <v>16</v>
      </c>
      <c r="K2392" t="str">
        <f>VLOOKUP(C2392,CheckName!A:B,2,0)</f>
        <v>Emp</v>
      </c>
      <c r="L2392">
        <v>0</v>
      </c>
      <c r="M2392">
        <f t="shared" si="363"/>
        <v>17</v>
      </c>
      <c r="N2392" t="str">
        <f>TEXT(MTDRejection[[#This Row],[RejectionDate]],"dddd")</f>
        <v>Tuesday</v>
      </c>
    </row>
    <row r="2393" spans="1:14">
      <c r="A2393" t="s">
        <v>45</v>
      </c>
      <c r="B2393" t="s">
        <v>4822</v>
      </c>
      <c r="C2393" t="s">
        <v>123</v>
      </c>
      <c r="D2393" t="s">
        <v>13</v>
      </c>
      <c r="E2393" s="7">
        <v>45643</v>
      </c>
      <c r="F2393" t="s">
        <v>1013</v>
      </c>
      <c r="G2393">
        <v>0</v>
      </c>
      <c r="H2393" t="s">
        <v>15</v>
      </c>
      <c r="I2393" t="s">
        <v>16</v>
      </c>
      <c r="J2393" t="s">
        <v>16</v>
      </c>
      <c r="K2393" t="str">
        <f>VLOOKUP(C2393,CheckName!A:B,2,0)</f>
        <v>Special Check</v>
      </c>
      <c r="L2393">
        <v>0</v>
      </c>
      <c r="M2393">
        <f t="shared" si="363"/>
        <v>17</v>
      </c>
      <c r="N2393" t="str">
        <f>TEXT(MTDRejection[[#This Row],[RejectionDate]],"dddd")</f>
        <v>Tuesday</v>
      </c>
    </row>
    <row r="2394" spans="1:14">
      <c r="A2394" t="s">
        <v>45</v>
      </c>
      <c r="B2394" t="s">
        <v>4823</v>
      </c>
      <c r="C2394" t="s">
        <v>49</v>
      </c>
      <c r="D2394" t="s">
        <v>13</v>
      </c>
      <c r="E2394" s="7">
        <v>45643</v>
      </c>
      <c r="F2394" t="s">
        <v>1013</v>
      </c>
      <c r="G2394">
        <v>0</v>
      </c>
      <c r="H2394" t="s">
        <v>15</v>
      </c>
      <c r="I2394" t="s">
        <v>16</v>
      </c>
      <c r="J2394" t="s">
        <v>16</v>
      </c>
      <c r="K2394" t="str">
        <f>VLOOKUP(C2394,CheckName!A:B,2,0)</f>
        <v>CRC</v>
      </c>
      <c r="L2394">
        <v>0</v>
      </c>
      <c r="M2394">
        <f t="shared" si="363"/>
        <v>17</v>
      </c>
      <c r="N2394" t="str">
        <f>TEXT(MTDRejection[[#This Row],[RejectionDate]],"dddd")</f>
        <v>Tuesday</v>
      </c>
    </row>
    <row r="2395" spans="1:14">
      <c r="A2395" t="s">
        <v>45</v>
      </c>
      <c r="B2395" t="s">
        <v>2615</v>
      </c>
      <c r="C2395" t="s">
        <v>19</v>
      </c>
      <c r="D2395" t="s">
        <v>13</v>
      </c>
      <c r="E2395" s="7">
        <v>45643</v>
      </c>
      <c r="F2395" t="s">
        <v>1013</v>
      </c>
      <c r="G2395">
        <v>0</v>
      </c>
      <c r="H2395" t="s">
        <v>15</v>
      </c>
      <c r="I2395" t="s">
        <v>16</v>
      </c>
      <c r="J2395" t="s">
        <v>16</v>
      </c>
      <c r="K2395" t="str">
        <f>VLOOKUP(C2395,CheckName!A:B,2,0)</f>
        <v>Add</v>
      </c>
      <c r="L2395">
        <v>0</v>
      </c>
      <c r="M2395">
        <f t="shared" si="363"/>
        <v>17</v>
      </c>
      <c r="N2395" t="str">
        <f>TEXT(MTDRejection[[#This Row],[RejectionDate]],"dddd")</f>
        <v>Tuesday</v>
      </c>
    </row>
    <row r="2396" spans="1:14">
      <c r="A2396" t="s">
        <v>599</v>
      </c>
      <c r="B2396" t="s">
        <v>4824</v>
      </c>
      <c r="C2396" t="s">
        <v>59</v>
      </c>
      <c r="D2396" t="s">
        <v>13</v>
      </c>
      <c r="E2396" s="7">
        <v>45643</v>
      </c>
      <c r="F2396" t="s">
        <v>1013</v>
      </c>
      <c r="G2396">
        <v>0</v>
      </c>
      <c r="H2396" t="s">
        <v>30</v>
      </c>
      <c r="I2396" t="s">
        <v>16</v>
      </c>
      <c r="J2396" t="s">
        <v>16</v>
      </c>
      <c r="K2396" t="str">
        <f>VLOOKUP(C2396,CheckName!A:B,2,0)</f>
        <v>Special Check</v>
      </c>
      <c r="L2396">
        <v>0</v>
      </c>
      <c r="M2396">
        <f t="shared" si="363"/>
        <v>17</v>
      </c>
      <c r="N2396" t="str">
        <f>TEXT(MTDRejection[[#This Row],[RejectionDate]],"dddd")</f>
        <v>Tuesday</v>
      </c>
    </row>
    <row r="2397" spans="1:14">
      <c r="A2397" t="s">
        <v>599</v>
      </c>
      <c r="B2397" t="s">
        <v>4825</v>
      </c>
      <c r="C2397" t="s">
        <v>122</v>
      </c>
      <c r="D2397" t="s">
        <v>13</v>
      </c>
      <c r="E2397" s="7">
        <v>45643</v>
      </c>
      <c r="F2397" t="s">
        <v>1013</v>
      </c>
      <c r="G2397">
        <v>0</v>
      </c>
      <c r="H2397" t="s">
        <v>30</v>
      </c>
      <c r="I2397" t="s">
        <v>16</v>
      </c>
      <c r="J2397" t="s">
        <v>16</v>
      </c>
      <c r="K2397" t="str">
        <f>VLOOKUP(C2397,CheckName!A:B,2,0)</f>
        <v>Special Check</v>
      </c>
      <c r="L2397">
        <v>0</v>
      </c>
      <c r="M2397">
        <f t="shared" si="363"/>
        <v>17</v>
      </c>
      <c r="N2397" t="str">
        <f>TEXT(MTDRejection[[#This Row],[RejectionDate]],"dddd")</f>
        <v>Tuesday</v>
      </c>
    </row>
    <row r="2398" spans="1:14">
      <c r="A2398" t="s">
        <v>599</v>
      </c>
      <c r="B2398" t="s">
        <v>4826</v>
      </c>
      <c r="C2398" t="s">
        <v>71</v>
      </c>
      <c r="D2398" t="s">
        <v>13</v>
      </c>
      <c r="E2398" s="7">
        <v>45643</v>
      </c>
      <c r="F2398" t="s">
        <v>1013</v>
      </c>
      <c r="G2398">
        <v>0</v>
      </c>
      <c r="H2398" t="s">
        <v>30</v>
      </c>
      <c r="I2398" t="s">
        <v>16</v>
      </c>
      <c r="J2398" t="s">
        <v>16</v>
      </c>
      <c r="K2398" t="str">
        <f>VLOOKUP(C2398,CheckName!A:B,2,0)</f>
        <v>CRC</v>
      </c>
      <c r="L2398">
        <v>0</v>
      </c>
      <c r="M2398">
        <f t="shared" si="363"/>
        <v>17</v>
      </c>
      <c r="N2398" t="str">
        <f>TEXT(MTDRejection[[#This Row],[RejectionDate]],"dddd")</f>
        <v>Tuesday</v>
      </c>
    </row>
    <row r="2399" spans="1:14">
      <c r="A2399" t="s">
        <v>682</v>
      </c>
      <c r="B2399" t="s">
        <v>4827</v>
      </c>
      <c r="C2399" t="s">
        <v>12</v>
      </c>
      <c r="D2399" t="s">
        <v>38</v>
      </c>
      <c r="E2399" s="7">
        <v>45643</v>
      </c>
      <c r="F2399" t="s">
        <v>39</v>
      </c>
      <c r="G2399">
        <v>0</v>
      </c>
      <c r="H2399" t="s">
        <v>42</v>
      </c>
      <c r="I2399" t="s">
        <v>16</v>
      </c>
      <c r="J2399" t="s">
        <v>16</v>
      </c>
      <c r="K2399" t="str">
        <f>VLOOKUP(C2399,CheckName!A:B,2,0)</f>
        <v>Emp</v>
      </c>
      <c r="L2399">
        <v>0</v>
      </c>
      <c r="M2399">
        <f t="shared" ref="M2399:M2406" si="364">DAY(E2399)</f>
        <v>17</v>
      </c>
      <c r="N2399" t="str">
        <f>TEXT(MTDRejection[[#This Row],[RejectionDate]],"dddd")</f>
        <v>Tuesday</v>
      </c>
    </row>
    <row r="2400" spans="1:14">
      <c r="A2400" t="s">
        <v>432</v>
      </c>
      <c r="B2400" t="s">
        <v>4828</v>
      </c>
      <c r="C2400" t="s">
        <v>36</v>
      </c>
      <c r="D2400" t="s">
        <v>38</v>
      </c>
      <c r="E2400" s="7">
        <v>45638</v>
      </c>
      <c r="F2400" t="s">
        <v>39</v>
      </c>
      <c r="G2400">
        <v>5</v>
      </c>
      <c r="H2400" t="s">
        <v>42</v>
      </c>
      <c r="I2400" t="s">
        <v>16</v>
      </c>
      <c r="J2400" t="s">
        <v>16</v>
      </c>
      <c r="K2400" t="str">
        <f>VLOOKUP(C2400,CheckName!A:B,2,0)</f>
        <v>Emp</v>
      </c>
      <c r="L2400">
        <v>0</v>
      </c>
      <c r="M2400">
        <f t="shared" si="364"/>
        <v>12</v>
      </c>
      <c r="N2400" t="str">
        <f>TEXT(MTDRejection[[#This Row],[RejectionDate]],"dddd")</f>
        <v>Thursday</v>
      </c>
    </row>
    <row r="2401" spans="1:14">
      <c r="A2401" t="s">
        <v>100</v>
      </c>
      <c r="B2401" t="s">
        <v>4829</v>
      </c>
      <c r="C2401" t="s">
        <v>359</v>
      </c>
      <c r="D2401" t="s">
        <v>38</v>
      </c>
      <c r="E2401" s="7">
        <v>45637</v>
      </c>
      <c r="F2401" t="s">
        <v>39</v>
      </c>
      <c r="G2401">
        <v>6</v>
      </c>
      <c r="H2401" t="s">
        <v>42</v>
      </c>
      <c r="I2401" t="s">
        <v>16</v>
      </c>
      <c r="J2401" t="s">
        <v>16</v>
      </c>
      <c r="K2401" t="str">
        <f>VLOOKUP(C2401,CheckName!A:B,2,0)</f>
        <v>Emp</v>
      </c>
      <c r="L2401">
        <v>0</v>
      </c>
      <c r="M2401">
        <f t="shared" si="364"/>
        <v>11</v>
      </c>
      <c r="N2401" t="str">
        <f>TEXT(MTDRejection[[#This Row],[RejectionDate]],"dddd")</f>
        <v>Wednesday</v>
      </c>
    </row>
    <row r="2402" spans="1:14">
      <c r="A2402" t="s">
        <v>69</v>
      </c>
      <c r="B2402" t="s">
        <v>4830</v>
      </c>
      <c r="C2402" t="s">
        <v>54</v>
      </c>
      <c r="D2402" t="s">
        <v>26</v>
      </c>
      <c r="E2402" s="7">
        <v>45636</v>
      </c>
      <c r="F2402" t="s">
        <v>63</v>
      </c>
      <c r="G2402">
        <v>7</v>
      </c>
      <c r="H2402" t="s">
        <v>27</v>
      </c>
      <c r="I2402" t="s">
        <v>16</v>
      </c>
      <c r="J2402" t="s">
        <v>16</v>
      </c>
      <c r="K2402" t="str">
        <f>VLOOKUP(C2402,CheckName!A:B,2,0)</f>
        <v>Edu</v>
      </c>
      <c r="L2402">
        <v>0</v>
      </c>
      <c r="M2402">
        <f t="shared" si="364"/>
        <v>10</v>
      </c>
      <c r="N2402" t="str">
        <f>TEXT(MTDRejection[[#This Row],[RejectionDate]],"dddd")</f>
        <v>Tuesday</v>
      </c>
    </row>
    <row r="2403" spans="1:14">
      <c r="A2403" t="s">
        <v>142</v>
      </c>
      <c r="B2403" t="s">
        <v>4831</v>
      </c>
      <c r="C2403" t="s">
        <v>19</v>
      </c>
      <c r="D2403" t="s">
        <v>26</v>
      </c>
      <c r="E2403" s="7">
        <v>45635</v>
      </c>
      <c r="F2403" t="s">
        <v>66</v>
      </c>
      <c r="G2403">
        <v>8</v>
      </c>
      <c r="H2403" t="s">
        <v>27</v>
      </c>
      <c r="I2403" t="s">
        <v>16</v>
      </c>
      <c r="J2403" t="s">
        <v>16</v>
      </c>
      <c r="K2403" t="str">
        <f>VLOOKUP(C2403,CheckName!A:B,2,0)</f>
        <v>Add</v>
      </c>
      <c r="L2403">
        <v>0</v>
      </c>
      <c r="M2403">
        <f t="shared" si="364"/>
        <v>9</v>
      </c>
      <c r="N2403" t="str">
        <f>TEXT(MTDRejection[[#This Row],[RejectionDate]],"dddd")</f>
        <v>Monday</v>
      </c>
    </row>
    <row r="2404" spans="1:14">
      <c r="A2404" t="s">
        <v>84</v>
      </c>
      <c r="B2404" t="s">
        <v>4832</v>
      </c>
      <c r="C2404" t="s">
        <v>25</v>
      </c>
      <c r="D2404" t="s">
        <v>26</v>
      </c>
      <c r="E2404" s="7">
        <v>45632</v>
      </c>
      <c r="F2404" t="s">
        <v>66</v>
      </c>
      <c r="G2404">
        <v>11</v>
      </c>
      <c r="H2404" t="s">
        <v>27</v>
      </c>
      <c r="I2404" t="s">
        <v>16</v>
      </c>
      <c r="J2404" t="s">
        <v>16</v>
      </c>
      <c r="K2404" t="str">
        <f>VLOOKUP(C2404,CheckName!A:B,2,0)</f>
        <v>Add</v>
      </c>
      <c r="L2404">
        <v>0</v>
      </c>
      <c r="M2404">
        <f t="shared" si="364"/>
        <v>6</v>
      </c>
      <c r="N2404" t="str">
        <f>TEXT(MTDRejection[[#This Row],[RejectionDate]],"dddd")</f>
        <v>Friday</v>
      </c>
    </row>
    <row r="2405" spans="1:14">
      <c r="A2405" t="s">
        <v>1840</v>
      </c>
      <c r="B2405" t="s">
        <v>2616</v>
      </c>
      <c r="C2405" t="s">
        <v>93</v>
      </c>
      <c r="D2405" t="s">
        <v>26</v>
      </c>
      <c r="E2405" s="7">
        <v>45631</v>
      </c>
      <c r="F2405" t="s">
        <v>103</v>
      </c>
      <c r="G2405">
        <v>12</v>
      </c>
      <c r="H2405" t="s">
        <v>27</v>
      </c>
      <c r="I2405" t="s">
        <v>16</v>
      </c>
      <c r="J2405" t="s">
        <v>16</v>
      </c>
      <c r="K2405" t="str">
        <f>VLOOKUP(C2405,CheckName!A:B,2,0)</f>
        <v>Edu</v>
      </c>
      <c r="L2405">
        <v>0</v>
      </c>
      <c r="M2405">
        <f t="shared" si="364"/>
        <v>5</v>
      </c>
      <c r="N2405" t="str">
        <f>TEXT(MTDRejection[[#This Row],[RejectionDate]],"dddd")</f>
        <v>Thursday</v>
      </c>
    </row>
    <row r="2406" spans="1:14">
      <c r="A2406" t="s">
        <v>211</v>
      </c>
      <c r="B2406" t="s">
        <v>4833</v>
      </c>
      <c r="C2406" t="s">
        <v>12</v>
      </c>
      <c r="D2406" t="s">
        <v>38</v>
      </c>
      <c r="E2406" s="7">
        <v>45629</v>
      </c>
      <c r="F2406" t="s">
        <v>39</v>
      </c>
      <c r="G2406">
        <v>14</v>
      </c>
      <c r="H2406" t="s">
        <v>42</v>
      </c>
      <c r="I2406" t="s">
        <v>16</v>
      </c>
      <c r="J2406" t="s">
        <v>16</v>
      </c>
      <c r="K2406" t="str">
        <f>VLOOKUP(C2406,CheckName!A:B,2,0)</f>
        <v>Emp</v>
      </c>
      <c r="L2406">
        <v>0</v>
      </c>
      <c r="M2406">
        <f t="shared" si="364"/>
        <v>3</v>
      </c>
      <c r="N2406" t="str">
        <f>TEXT(MTDRejection[[#This Row],[RejectionDate]],"dddd")</f>
        <v>Tuesday</v>
      </c>
    </row>
    <row r="2407" spans="1:14">
      <c r="A2407" t="s">
        <v>432</v>
      </c>
      <c r="B2407" t="s">
        <v>4834</v>
      </c>
      <c r="C2407" t="s">
        <v>36</v>
      </c>
      <c r="D2407" t="s">
        <v>13</v>
      </c>
      <c r="E2407" s="7">
        <v>45644</v>
      </c>
      <c r="F2407" t="s">
        <v>33</v>
      </c>
      <c r="G2407">
        <v>0</v>
      </c>
      <c r="H2407" t="s">
        <v>15</v>
      </c>
      <c r="I2407" t="s">
        <v>16</v>
      </c>
      <c r="J2407" t="s">
        <v>16</v>
      </c>
      <c r="K2407" t="str">
        <f>VLOOKUP(C2407,CheckName!A:B,2,0)</f>
        <v>Emp</v>
      </c>
      <c r="L2407">
        <v>0</v>
      </c>
      <c r="M2407">
        <f t="shared" ref="M2407:M2417" si="365">DAY(E2407)</f>
        <v>18</v>
      </c>
      <c r="N2407" t="str">
        <f>TEXT(MTDRejection[[#This Row],[RejectionDate]],"dddd")</f>
        <v>Wednesday</v>
      </c>
    </row>
    <row r="2408" spans="1:14">
      <c r="A2408" t="s">
        <v>432</v>
      </c>
      <c r="B2408" t="s">
        <v>2617</v>
      </c>
      <c r="C2408" t="s">
        <v>125</v>
      </c>
      <c r="D2408" t="s">
        <v>13</v>
      </c>
      <c r="E2408" s="7">
        <v>45644</v>
      </c>
      <c r="F2408" t="s">
        <v>33</v>
      </c>
      <c r="G2408">
        <v>0</v>
      </c>
      <c r="H2408" t="s">
        <v>15</v>
      </c>
      <c r="I2408" t="s">
        <v>16</v>
      </c>
      <c r="J2408" t="s">
        <v>16</v>
      </c>
      <c r="K2408" t="str">
        <f>VLOOKUP(C2408,CheckName!A:B,2,0)</f>
        <v>Emp</v>
      </c>
      <c r="L2408">
        <v>0</v>
      </c>
      <c r="M2408">
        <f t="shared" si="365"/>
        <v>18</v>
      </c>
      <c r="N2408" t="str">
        <f>TEXT(MTDRejection[[#This Row],[RejectionDate]],"dddd")</f>
        <v>Wednesday</v>
      </c>
    </row>
    <row r="2409" spans="1:14">
      <c r="A2409" t="s">
        <v>1887</v>
      </c>
      <c r="B2409" t="s">
        <v>4835</v>
      </c>
      <c r="C2409" t="s">
        <v>12</v>
      </c>
      <c r="D2409" t="s">
        <v>51</v>
      </c>
      <c r="E2409" s="7">
        <v>45644</v>
      </c>
      <c r="F2409" t="s">
        <v>2349</v>
      </c>
      <c r="G2409">
        <v>0</v>
      </c>
      <c r="H2409" t="s">
        <v>53</v>
      </c>
      <c r="I2409" t="s">
        <v>16</v>
      </c>
      <c r="J2409" t="s">
        <v>16</v>
      </c>
      <c r="K2409" t="str">
        <f>VLOOKUP(C2409,CheckName!A:B,2,0)</f>
        <v>Emp</v>
      </c>
      <c r="L2409">
        <v>0</v>
      </c>
      <c r="M2409">
        <f t="shared" si="365"/>
        <v>18</v>
      </c>
      <c r="N2409" t="str">
        <f>TEXT(MTDRejection[[#This Row],[RejectionDate]],"dddd")</f>
        <v>Wednesday</v>
      </c>
    </row>
    <row r="2410" spans="1:14">
      <c r="A2410" t="s">
        <v>1959</v>
      </c>
      <c r="B2410" t="s">
        <v>4836</v>
      </c>
      <c r="C2410" t="s">
        <v>106</v>
      </c>
      <c r="D2410" t="s">
        <v>51</v>
      </c>
      <c r="E2410" s="7">
        <v>45644</v>
      </c>
      <c r="F2410" t="s">
        <v>52</v>
      </c>
      <c r="G2410">
        <v>0</v>
      </c>
      <c r="H2410" t="s">
        <v>53</v>
      </c>
      <c r="I2410" t="s">
        <v>16</v>
      </c>
      <c r="J2410" t="s">
        <v>16</v>
      </c>
      <c r="K2410" t="str">
        <f>VLOOKUP(C2410,CheckName!A:B,2,0)</f>
        <v>Ref</v>
      </c>
      <c r="L2410">
        <v>0</v>
      </c>
      <c r="M2410">
        <f t="shared" si="365"/>
        <v>18</v>
      </c>
      <c r="N2410" t="str">
        <f>TEXT(MTDRejection[[#This Row],[RejectionDate]],"dddd")</f>
        <v>Wednesday</v>
      </c>
    </row>
    <row r="2411" spans="1:14">
      <c r="A2411" t="s">
        <v>1959</v>
      </c>
      <c r="B2411" t="s">
        <v>4837</v>
      </c>
      <c r="C2411" t="s">
        <v>12</v>
      </c>
      <c r="D2411" t="s">
        <v>51</v>
      </c>
      <c r="E2411" s="7">
        <v>45644</v>
      </c>
      <c r="F2411" t="s">
        <v>52</v>
      </c>
      <c r="G2411">
        <v>0</v>
      </c>
      <c r="H2411" t="s">
        <v>53</v>
      </c>
      <c r="I2411" t="s">
        <v>16</v>
      </c>
      <c r="J2411" t="s">
        <v>16</v>
      </c>
      <c r="K2411" t="str">
        <f>VLOOKUP(C2411,CheckName!A:B,2,0)</f>
        <v>Emp</v>
      </c>
      <c r="L2411">
        <v>0</v>
      </c>
      <c r="M2411">
        <f t="shared" si="365"/>
        <v>18</v>
      </c>
      <c r="N2411" t="str">
        <f>TEXT(MTDRejection[[#This Row],[RejectionDate]],"dddd")</f>
        <v>Wednesday</v>
      </c>
    </row>
    <row r="2412" spans="1:14">
      <c r="A2412" t="s">
        <v>1959</v>
      </c>
      <c r="B2412" t="s">
        <v>4838</v>
      </c>
      <c r="C2412" t="s">
        <v>220</v>
      </c>
      <c r="D2412" t="s">
        <v>51</v>
      </c>
      <c r="E2412" s="7">
        <v>45644</v>
      </c>
      <c r="F2412" t="s">
        <v>52</v>
      </c>
      <c r="G2412">
        <v>0</v>
      </c>
      <c r="H2412" t="s">
        <v>53</v>
      </c>
      <c r="I2412" t="s">
        <v>16</v>
      </c>
      <c r="J2412" t="s">
        <v>16</v>
      </c>
      <c r="K2412" t="str">
        <f>VLOOKUP(C2412,CheckName!A:B,2,0)</f>
        <v>Ref</v>
      </c>
      <c r="L2412">
        <v>0</v>
      </c>
      <c r="M2412">
        <f t="shared" si="365"/>
        <v>18</v>
      </c>
      <c r="N2412" t="str">
        <f>TEXT(MTDRejection[[#This Row],[RejectionDate]],"dddd")</f>
        <v>Wednesday</v>
      </c>
    </row>
    <row r="2413" spans="1:14">
      <c r="A2413" t="s">
        <v>142</v>
      </c>
      <c r="B2413" t="s">
        <v>4839</v>
      </c>
      <c r="C2413" t="s">
        <v>54</v>
      </c>
      <c r="D2413" t="s">
        <v>38</v>
      </c>
      <c r="E2413" s="7">
        <v>45644</v>
      </c>
      <c r="F2413" t="s">
        <v>1776</v>
      </c>
      <c r="G2413">
        <v>0</v>
      </c>
      <c r="H2413" t="s">
        <v>42</v>
      </c>
      <c r="I2413" t="s">
        <v>16</v>
      </c>
      <c r="J2413" t="s">
        <v>16</v>
      </c>
      <c r="K2413" t="str">
        <f>VLOOKUP(C2413,CheckName!A:B,2,0)</f>
        <v>Edu</v>
      </c>
      <c r="L2413">
        <v>0</v>
      </c>
      <c r="M2413">
        <f t="shared" si="365"/>
        <v>18</v>
      </c>
      <c r="N2413" t="str">
        <f>TEXT(MTDRejection[[#This Row],[RejectionDate]],"dddd")</f>
        <v>Wednesday</v>
      </c>
    </row>
    <row r="2414" spans="1:14">
      <c r="A2414" t="s">
        <v>1886</v>
      </c>
      <c r="B2414" t="s">
        <v>4840</v>
      </c>
      <c r="C2414" t="s">
        <v>54</v>
      </c>
      <c r="D2414" t="s">
        <v>13</v>
      </c>
      <c r="E2414" s="7">
        <v>45644</v>
      </c>
      <c r="F2414" t="s">
        <v>107</v>
      </c>
      <c r="G2414">
        <v>0</v>
      </c>
      <c r="H2414" t="s">
        <v>15</v>
      </c>
      <c r="I2414" t="s">
        <v>16</v>
      </c>
      <c r="J2414" t="s">
        <v>16</v>
      </c>
      <c r="K2414" t="str">
        <f>VLOOKUP(C2414,CheckName!A:B,2,0)</f>
        <v>Edu</v>
      </c>
      <c r="L2414">
        <v>0</v>
      </c>
      <c r="M2414">
        <f t="shared" si="365"/>
        <v>18</v>
      </c>
      <c r="N2414" t="str">
        <f>TEXT(MTDRejection[[#This Row],[RejectionDate]],"dddd")</f>
        <v>Wednesday</v>
      </c>
    </row>
    <row r="2415" spans="1:14">
      <c r="A2415" t="s">
        <v>245</v>
      </c>
      <c r="B2415" t="s">
        <v>4841</v>
      </c>
      <c r="C2415" t="s">
        <v>54</v>
      </c>
      <c r="D2415" t="s">
        <v>13</v>
      </c>
      <c r="E2415" s="7">
        <v>45643</v>
      </c>
      <c r="F2415" t="s">
        <v>107</v>
      </c>
      <c r="G2415">
        <v>1</v>
      </c>
      <c r="H2415" t="s">
        <v>15</v>
      </c>
      <c r="I2415" t="s">
        <v>16</v>
      </c>
      <c r="J2415" t="s">
        <v>16</v>
      </c>
      <c r="K2415" t="str">
        <f>VLOOKUP(C2415,CheckName!A:B,2,0)</f>
        <v>Edu</v>
      </c>
      <c r="L2415">
        <v>0</v>
      </c>
      <c r="M2415">
        <f t="shared" si="365"/>
        <v>17</v>
      </c>
      <c r="N2415" t="str">
        <f>TEXT(MTDRejection[[#This Row],[RejectionDate]],"dddd")</f>
        <v>Tuesday</v>
      </c>
    </row>
    <row r="2416" spans="1:14">
      <c r="A2416" t="s">
        <v>64</v>
      </c>
      <c r="B2416" t="s">
        <v>4842</v>
      </c>
      <c r="C2416" t="s">
        <v>54</v>
      </c>
      <c r="D2416" t="s">
        <v>51</v>
      </c>
      <c r="E2416" s="7">
        <v>45643</v>
      </c>
      <c r="F2416" t="s">
        <v>2331</v>
      </c>
      <c r="G2416">
        <v>1</v>
      </c>
      <c r="H2416" t="s">
        <v>53</v>
      </c>
      <c r="I2416" t="s">
        <v>16</v>
      </c>
      <c r="J2416" t="s">
        <v>16</v>
      </c>
      <c r="K2416" t="str">
        <f>VLOOKUP(C2416,CheckName!A:B,2,0)</f>
        <v>Edu</v>
      </c>
      <c r="L2416">
        <v>0</v>
      </c>
      <c r="M2416">
        <f t="shared" si="365"/>
        <v>17</v>
      </c>
      <c r="N2416" t="str">
        <f>TEXT(MTDRejection[[#This Row],[RejectionDate]],"dddd")</f>
        <v>Tuesday</v>
      </c>
    </row>
    <row r="2417" spans="1:14">
      <c r="A2417" t="s">
        <v>517</v>
      </c>
      <c r="B2417" t="s">
        <v>4843</v>
      </c>
      <c r="C2417" t="s">
        <v>54</v>
      </c>
      <c r="D2417" t="s">
        <v>13</v>
      </c>
      <c r="E2417" s="7">
        <v>45643</v>
      </c>
      <c r="F2417" t="s">
        <v>819</v>
      </c>
      <c r="G2417">
        <v>1</v>
      </c>
      <c r="H2417" t="s">
        <v>15</v>
      </c>
      <c r="I2417" t="s">
        <v>16</v>
      </c>
      <c r="J2417" t="s">
        <v>16</v>
      </c>
      <c r="K2417" t="str">
        <f>VLOOKUP(C2417,CheckName!A:B,2,0)</f>
        <v>Edu</v>
      </c>
      <c r="L2417">
        <v>0</v>
      </c>
      <c r="M2417">
        <f t="shared" si="365"/>
        <v>17</v>
      </c>
      <c r="N2417" t="str">
        <f>TEXT(MTDRejection[[#This Row],[RejectionDate]],"dddd")</f>
        <v>Tuesday</v>
      </c>
    </row>
    <row r="2418" spans="1:14">
      <c r="A2418" t="s">
        <v>216</v>
      </c>
      <c r="B2418" t="s">
        <v>4844</v>
      </c>
      <c r="C2418" t="s">
        <v>71</v>
      </c>
      <c r="D2418" t="s">
        <v>38</v>
      </c>
      <c r="E2418" s="7">
        <v>45643</v>
      </c>
      <c r="F2418" t="s">
        <v>108</v>
      </c>
      <c r="G2418">
        <v>1</v>
      </c>
      <c r="H2418" t="s">
        <v>27</v>
      </c>
      <c r="I2418" t="s">
        <v>16</v>
      </c>
      <c r="J2418" t="s">
        <v>16</v>
      </c>
      <c r="K2418" t="str">
        <f>VLOOKUP(C2418,CheckName!A:B,2,0)</f>
        <v>CRC</v>
      </c>
      <c r="L2418">
        <v>0</v>
      </c>
      <c r="M2418">
        <f>DAY(E2418)</f>
        <v>17</v>
      </c>
      <c r="N2418" t="str">
        <f>TEXT(MTDRejection[[#This Row],[RejectionDate]],"dddd")</f>
        <v>Tuesday</v>
      </c>
    </row>
    <row r="2419" spans="1:14">
      <c r="A2419" t="s">
        <v>100</v>
      </c>
      <c r="B2419" t="s">
        <v>4845</v>
      </c>
      <c r="C2419" t="s">
        <v>359</v>
      </c>
      <c r="D2419" t="s">
        <v>13</v>
      </c>
      <c r="E2419" s="7">
        <v>45643</v>
      </c>
      <c r="F2419" t="s">
        <v>90</v>
      </c>
      <c r="G2419">
        <v>1</v>
      </c>
      <c r="H2419" t="s">
        <v>15</v>
      </c>
      <c r="I2419" t="s">
        <v>16</v>
      </c>
      <c r="J2419" t="s">
        <v>16</v>
      </c>
      <c r="K2419" t="str">
        <f>VLOOKUP(C2419,CheckName!A:B,2,0)</f>
        <v>Emp</v>
      </c>
      <c r="L2419">
        <v>0</v>
      </c>
      <c r="M2419">
        <f t="shared" ref="M2419:M2424" si="366">DAY(E2419)</f>
        <v>17</v>
      </c>
      <c r="N2419" t="str">
        <f>TEXT(MTDRejection[[#This Row],[RejectionDate]],"dddd")</f>
        <v>Tuesday</v>
      </c>
    </row>
    <row r="2420" spans="1:14">
      <c r="A2420" t="s">
        <v>100</v>
      </c>
      <c r="B2420" t="s">
        <v>2618</v>
      </c>
      <c r="C2420" t="s">
        <v>516</v>
      </c>
      <c r="D2420" t="s">
        <v>13</v>
      </c>
      <c r="E2420" s="7">
        <v>45643</v>
      </c>
      <c r="F2420" t="s">
        <v>90</v>
      </c>
      <c r="G2420">
        <v>1</v>
      </c>
      <c r="H2420" t="s">
        <v>15</v>
      </c>
      <c r="I2420" t="s">
        <v>16</v>
      </c>
      <c r="J2420" t="s">
        <v>16</v>
      </c>
      <c r="K2420" t="str">
        <f>VLOOKUP(C2420,CheckName!A:B,2,0)</f>
        <v>Emp</v>
      </c>
      <c r="L2420">
        <v>0</v>
      </c>
      <c r="M2420">
        <f t="shared" si="366"/>
        <v>17</v>
      </c>
      <c r="N2420" t="str">
        <f>TEXT(MTDRejection[[#This Row],[RejectionDate]],"dddd")</f>
        <v>Tuesday</v>
      </c>
    </row>
    <row r="2421" spans="1:14">
      <c r="A2421" t="s">
        <v>100</v>
      </c>
      <c r="B2421" t="s">
        <v>4846</v>
      </c>
      <c r="C2421" t="s">
        <v>775</v>
      </c>
      <c r="D2421" t="s">
        <v>13</v>
      </c>
      <c r="E2421" s="7">
        <v>45643</v>
      </c>
      <c r="F2421" t="s">
        <v>90</v>
      </c>
      <c r="G2421">
        <v>1</v>
      </c>
      <c r="H2421" t="s">
        <v>15</v>
      </c>
      <c r="I2421" t="s">
        <v>16</v>
      </c>
      <c r="J2421" t="s">
        <v>16</v>
      </c>
      <c r="K2421" t="str">
        <f>VLOOKUP(C2421,CheckName!A:B,2,0)</f>
        <v>Emp</v>
      </c>
      <c r="L2421">
        <v>0</v>
      </c>
      <c r="M2421">
        <f t="shared" si="366"/>
        <v>17</v>
      </c>
      <c r="N2421" t="str">
        <f>TEXT(MTDRejection[[#This Row],[RejectionDate]],"dddd")</f>
        <v>Tuesday</v>
      </c>
    </row>
    <row r="2422" spans="1:14">
      <c r="A2422" t="s">
        <v>100</v>
      </c>
      <c r="B2422" t="s">
        <v>2618</v>
      </c>
      <c r="C2422" t="s">
        <v>1335</v>
      </c>
      <c r="D2422" t="s">
        <v>13</v>
      </c>
      <c r="E2422" s="7">
        <v>45643</v>
      </c>
      <c r="F2422" t="s">
        <v>90</v>
      </c>
      <c r="G2422">
        <v>1</v>
      </c>
      <c r="H2422" t="s">
        <v>15</v>
      </c>
      <c r="I2422" t="s">
        <v>16</v>
      </c>
      <c r="J2422" t="s">
        <v>16</v>
      </c>
      <c r="K2422" t="str">
        <f>VLOOKUP(C2422,CheckName!A:B,2,0)</f>
        <v>CRC</v>
      </c>
      <c r="L2422">
        <v>0</v>
      </c>
      <c r="M2422">
        <f t="shared" si="366"/>
        <v>17</v>
      </c>
      <c r="N2422" t="str">
        <f>TEXT(MTDRejection[[#This Row],[RejectionDate]],"dddd")</f>
        <v>Tuesday</v>
      </c>
    </row>
    <row r="2423" spans="1:14">
      <c r="A2423" t="s">
        <v>100</v>
      </c>
      <c r="B2423" t="s">
        <v>4847</v>
      </c>
      <c r="C2423" t="s">
        <v>357</v>
      </c>
      <c r="D2423" t="s">
        <v>13</v>
      </c>
      <c r="E2423" s="7">
        <v>45643</v>
      </c>
      <c r="F2423" t="s">
        <v>90</v>
      </c>
      <c r="G2423">
        <v>1</v>
      </c>
      <c r="H2423" t="s">
        <v>15</v>
      </c>
      <c r="I2423" t="s">
        <v>16</v>
      </c>
      <c r="J2423" t="s">
        <v>16</v>
      </c>
      <c r="K2423" t="str">
        <f>VLOOKUP(C2423,CheckName!A:B,2,0)</f>
        <v>Emp</v>
      </c>
      <c r="L2423">
        <v>0</v>
      </c>
      <c r="M2423">
        <f t="shared" si="366"/>
        <v>17</v>
      </c>
      <c r="N2423" t="str">
        <f>TEXT(MTDRejection[[#This Row],[RejectionDate]],"dddd")</f>
        <v>Tuesday</v>
      </c>
    </row>
    <row r="2424" spans="1:14">
      <c r="A2424" t="s">
        <v>100</v>
      </c>
      <c r="B2424" t="s">
        <v>4848</v>
      </c>
      <c r="C2424" t="s">
        <v>102</v>
      </c>
      <c r="D2424" t="s">
        <v>13</v>
      </c>
      <c r="E2424" s="7">
        <v>45643</v>
      </c>
      <c r="F2424" t="s">
        <v>90</v>
      </c>
      <c r="G2424">
        <v>1</v>
      </c>
      <c r="H2424" t="s">
        <v>15</v>
      </c>
      <c r="I2424" t="s">
        <v>16</v>
      </c>
      <c r="J2424" t="s">
        <v>16</v>
      </c>
      <c r="K2424" t="str">
        <f>VLOOKUP(C2424,CheckName!A:B,2,0)</f>
        <v>Edu</v>
      </c>
      <c r="L2424">
        <v>0</v>
      </c>
      <c r="M2424">
        <f t="shared" si="366"/>
        <v>17</v>
      </c>
      <c r="N2424" t="str">
        <f>TEXT(MTDRejection[[#This Row],[RejectionDate]],"dddd")</f>
        <v>Tuesday</v>
      </c>
    </row>
    <row r="2425" spans="1:14">
      <c r="A2425" t="s">
        <v>10</v>
      </c>
      <c r="B2425" t="s">
        <v>4849</v>
      </c>
      <c r="C2425" t="s">
        <v>1869</v>
      </c>
      <c r="D2425" t="s">
        <v>38</v>
      </c>
      <c r="E2425" s="7">
        <v>45643</v>
      </c>
      <c r="F2425" t="s">
        <v>118</v>
      </c>
      <c r="G2425">
        <v>1</v>
      </c>
      <c r="H2425" t="s">
        <v>42</v>
      </c>
      <c r="I2425" t="s">
        <v>16</v>
      </c>
      <c r="J2425" t="s">
        <v>16</v>
      </c>
      <c r="K2425" t="str">
        <f>VLOOKUP(C2425,CheckName!A:B,2,0)</f>
        <v>Special Check</v>
      </c>
      <c r="L2425">
        <v>1</v>
      </c>
      <c r="M2425">
        <f t="shared" ref="M2425:M2430" si="367">DAY(E2425)</f>
        <v>17</v>
      </c>
      <c r="N2425" t="str">
        <f>TEXT(MTDRejection[[#This Row],[RejectionDate]],"dddd")</f>
        <v>Tuesday</v>
      </c>
    </row>
    <row r="2426" spans="1:14">
      <c r="A2426" t="s">
        <v>84</v>
      </c>
      <c r="B2426" t="s">
        <v>4850</v>
      </c>
      <c r="C2426" t="s">
        <v>49</v>
      </c>
      <c r="D2426" t="s">
        <v>13</v>
      </c>
      <c r="E2426" s="7">
        <v>45643</v>
      </c>
      <c r="F2426" t="s">
        <v>1861</v>
      </c>
      <c r="G2426">
        <v>1</v>
      </c>
      <c r="H2426" t="s">
        <v>15</v>
      </c>
      <c r="I2426" t="s">
        <v>16</v>
      </c>
      <c r="J2426" t="s">
        <v>16</v>
      </c>
      <c r="K2426" t="str">
        <f>VLOOKUP(C2426,CheckName!A:B,2,0)</f>
        <v>CRC</v>
      </c>
      <c r="L2426">
        <v>0</v>
      </c>
      <c r="M2426">
        <f t="shared" si="367"/>
        <v>17</v>
      </c>
      <c r="N2426" t="str">
        <f>TEXT(MTDRejection[[#This Row],[RejectionDate]],"dddd")</f>
        <v>Tuesday</v>
      </c>
    </row>
    <row r="2427" spans="1:14">
      <c r="A2427" t="s">
        <v>84</v>
      </c>
      <c r="B2427" t="s">
        <v>4851</v>
      </c>
      <c r="C2427" t="s">
        <v>54</v>
      </c>
      <c r="D2427" t="s">
        <v>13</v>
      </c>
      <c r="E2427" s="7">
        <v>45643</v>
      </c>
      <c r="F2427" t="s">
        <v>1861</v>
      </c>
      <c r="G2427">
        <v>1</v>
      </c>
      <c r="H2427" t="s">
        <v>15</v>
      </c>
      <c r="I2427" t="s">
        <v>16</v>
      </c>
      <c r="J2427" t="s">
        <v>16</v>
      </c>
      <c r="K2427" t="str">
        <f>VLOOKUP(C2427,CheckName!A:B,2,0)</f>
        <v>Edu</v>
      </c>
      <c r="L2427">
        <v>0</v>
      </c>
      <c r="M2427">
        <f t="shared" si="367"/>
        <v>17</v>
      </c>
      <c r="N2427" t="str">
        <f>TEXT(MTDRejection[[#This Row],[RejectionDate]],"dddd")</f>
        <v>Tuesday</v>
      </c>
    </row>
    <row r="2428" spans="1:14">
      <c r="A2428" t="s">
        <v>84</v>
      </c>
      <c r="B2428" t="s">
        <v>4852</v>
      </c>
      <c r="C2428" t="s">
        <v>125</v>
      </c>
      <c r="D2428" t="s">
        <v>13</v>
      </c>
      <c r="E2428" s="7">
        <v>45643</v>
      </c>
      <c r="F2428" t="s">
        <v>1861</v>
      </c>
      <c r="G2428">
        <v>1</v>
      </c>
      <c r="H2428" t="s">
        <v>15</v>
      </c>
      <c r="I2428" t="s">
        <v>16</v>
      </c>
      <c r="J2428" t="s">
        <v>16</v>
      </c>
      <c r="K2428" t="str">
        <f>VLOOKUP(C2428,CheckName!A:B,2,0)</f>
        <v>Emp</v>
      </c>
      <c r="L2428">
        <v>0</v>
      </c>
      <c r="M2428">
        <f t="shared" si="367"/>
        <v>17</v>
      </c>
      <c r="N2428" t="str">
        <f>TEXT(MTDRejection[[#This Row],[RejectionDate]],"dddd")</f>
        <v>Tuesday</v>
      </c>
    </row>
    <row r="2429" spans="1:14">
      <c r="A2429" t="s">
        <v>84</v>
      </c>
      <c r="B2429" t="s">
        <v>4853</v>
      </c>
      <c r="C2429" t="s">
        <v>467</v>
      </c>
      <c r="D2429" t="s">
        <v>13</v>
      </c>
      <c r="E2429" s="7">
        <v>45643</v>
      </c>
      <c r="F2429" t="s">
        <v>1861</v>
      </c>
      <c r="G2429">
        <v>1</v>
      </c>
      <c r="H2429" t="s">
        <v>15</v>
      </c>
      <c r="I2429" t="s">
        <v>16</v>
      </c>
      <c r="J2429" t="s">
        <v>16</v>
      </c>
      <c r="K2429" t="str">
        <f>VLOOKUP(C2429,CheckName!A:B,2,0)</f>
        <v>Special Check</v>
      </c>
      <c r="L2429">
        <v>0</v>
      </c>
      <c r="M2429">
        <f t="shared" si="367"/>
        <v>17</v>
      </c>
      <c r="N2429" t="str">
        <f>TEXT(MTDRejection[[#This Row],[RejectionDate]],"dddd")</f>
        <v>Tuesday</v>
      </c>
    </row>
    <row r="2430" spans="1:14">
      <c r="A2430" t="s">
        <v>84</v>
      </c>
      <c r="B2430" t="s">
        <v>4854</v>
      </c>
      <c r="C2430" t="s">
        <v>1347</v>
      </c>
      <c r="D2430" t="s">
        <v>13</v>
      </c>
      <c r="E2430" s="7">
        <v>45643</v>
      </c>
      <c r="F2430" t="s">
        <v>1861</v>
      </c>
      <c r="G2430">
        <v>1</v>
      </c>
      <c r="H2430" t="s">
        <v>15</v>
      </c>
      <c r="I2430" t="s">
        <v>16</v>
      </c>
      <c r="J2430" t="s">
        <v>16</v>
      </c>
      <c r="K2430" t="str">
        <f>VLOOKUP(C2430,CheckName!A:B,2,0)</f>
        <v>CRC</v>
      </c>
      <c r="L2430">
        <v>0</v>
      </c>
      <c r="M2430">
        <f t="shared" si="367"/>
        <v>17</v>
      </c>
      <c r="N2430" t="str">
        <f>TEXT(MTDRejection[[#This Row],[RejectionDate]],"dddd")</f>
        <v>Tuesday</v>
      </c>
    </row>
    <row r="2431" spans="1:14">
      <c r="A2431" t="s">
        <v>1945</v>
      </c>
      <c r="B2431" t="s">
        <v>4855</v>
      </c>
      <c r="C2431" t="s">
        <v>36</v>
      </c>
      <c r="D2431" t="s">
        <v>26</v>
      </c>
      <c r="E2431" s="7">
        <v>45643</v>
      </c>
      <c r="F2431" t="s">
        <v>83</v>
      </c>
      <c r="G2431">
        <v>1</v>
      </c>
      <c r="H2431" t="s">
        <v>27</v>
      </c>
      <c r="I2431" t="s">
        <v>16</v>
      </c>
      <c r="J2431" t="s">
        <v>16</v>
      </c>
      <c r="K2431" t="str">
        <f>VLOOKUP(C2431,CheckName!A:B,2,0)</f>
        <v>Emp</v>
      </c>
      <c r="L2431">
        <v>0</v>
      </c>
      <c r="M2431">
        <f t="shared" ref="M2431:M2432" si="368">DAY(E2431)</f>
        <v>17</v>
      </c>
      <c r="N2431" t="str">
        <f>TEXT(MTDRejection[[#This Row],[RejectionDate]],"dddd")</f>
        <v>Tuesday</v>
      </c>
    </row>
    <row r="2432" spans="1:14">
      <c r="A2432" t="s">
        <v>186</v>
      </c>
      <c r="B2432" t="s">
        <v>4856</v>
      </c>
      <c r="C2432" t="s">
        <v>125</v>
      </c>
      <c r="D2432" t="s">
        <v>26</v>
      </c>
      <c r="E2432" s="7">
        <v>45643</v>
      </c>
      <c r="F2432" t="s">
        <v>83</v>
      </c>
      <c r="G2432">
        <v>1</v>
      </c>
      <c r="H2432" t="s">
        <v>27</v>
      </c>
      <c r="I2432" t="s">
        <v>16</v>
      </c>
      <c r="J2432" t="s">
        <v>16</v>
      </c>
      <c r="K2432" t="str">
        <f>VLOOKUP(C2432,CheckName!A:B,2,0)</f>
        <v>Emp</v>
      </c>
      <c r="L2432">
        <v>0</v>
      </c>
      <c r="M2432">
        <f t="shared" si="368"/>
        <v>17</v>
      </c>
      <c r="N2432" t="str">
        <f>TEXT(MTDRejection[[#This Row],[RejectionDate]],"dddd")</f>
        <v>Tuesday</v>
      </c>
    </row>
    <row r="2433" spans="1:14">
      <c r="A2433" t="s">
        <v>133</v>
      </c>
      <c r="B2433" t="s">
        <v>4857</v>
      </c>
      <c r="C2433" t="s">
        <v>36</v>
      </c>
      <c r="D2433" t="s">
        <v>26</v>
      </c>
      <c r="E2433" s="7">
        <v>45643</v>
      </c>
      <c r="F2433" t="s">
        <v>83</v>
      </c>
      <c r="G2433">
        <v>1</v>
      </c>
      <c r="H2433" t="s">
        <v>27</v>
      </c>
      <c r="I2433" t="s">
        <v>16</v>
      </c>
      <c r="J2433" t="s">
        <v>16</v>
      </c>
      <c r="K2433" t="str">
        <f>VLOOKUP(C2433,CheckName!A:B,2,0)</f>
        <v>Emp</v>
      </c>
      <c r="L2433">
        <v>0</v>
      </c>
      <c r="M2433">
        <f>DAY(E2433)</f>
        <v>17</v>
      </c>
      <c r="N2433" t="str">
        <f>TEXT(MTDRejection[[#This Row],[RejectionDate]],"dddd")</f>
        <v>Tuesday</v>
      </c>
    </row>
    <row r="2434" spans="1:14">
      <c r="A2434" t="s">
        <v>84</v>
      </c>
      <c r="B2434" t="s">
        <v>4858</v>
      </c>
      <c r="C2434" t="s">
        <v>125</v>
      </c>
      <c r="D2434" t="s">
        <v>38</v>
      </c>
      <c r="E2434" s="7">
        <v>45643</v>
      </c>
      <c r="F2434" t="s">
        <v>39</v>
      </c>
      <c r="G2434">
        <v>1</v>
      </c>
      <c r="H2434" t="s">
        <v>42</v>
      </c>
      <c r="I2434" t="s">
        <v>16</v>
      </c>
      <c r="J2434" t="s">
        <v>16</v>
      </c>
      <c r="K2434" t="str">
        <f>VLOOKUP(C2434,CheckName!A:B,2,0)</f>
        <v>Emp</v>
      </c>
      <c r="L2434">
        <v>0</v>
      </c>
      <c r="M2434">
        <f>DAY(E2434)</f>
        <v>17</v>
      </c>
      <c r="N2434" t="str">
        <f>TEXT(MTDRejection[[#This Row],[RejectionDate]],"dddd")</f>
        <v>Tuesday</v>
      </c>
    </row>
    <row r="2435" spans="1:14">
      <c r="A2435" t="s">
        <v>572</v>
      </c>
      <c r="B2435" t="s">
        <v>4859</v>
      </c>
      <c r="C2435" t="s">
        <v>12</v>
      </c>
      <c r="D2435" t="s">
        <v>26</v>
      </c>
      <c r="E2435" s="7">
        <v>45642</v>
      </c>
      <c r="F2435" t="s">
        <v>2335</v>
      </c>
      <c r="G2435">
        <v>2</v>
      </c>
      <c r="H2435" t="s">
        <v>95</v>
      </c>
      <c r="I2435" t="s">
        <v>16</v>
      </c>
      <c r="J2435" t="s">
        <v>16</v>
      </c>
      <c r="K2435" t="str">
        <f>VLOOKUP(C2435,CheckName!A:B,2,0)</f>
        <v>Emp</v>
      </c>
      <c r="L2435">
        <v>0</v>
      </c>
      <c r="M2435">
        <f>DAY(E2435)</f>
        <v>16</v>
      </c>
      <c r="N2435" t="str">
        <f>TEXT(MTDRejection[[#This Row],[RejectionDate]],"dddd")</f>
        <v>Monday</v>
      </c>
    </row>
    <row r="2436" spans="1:14">
      <c r="A2436" t="s">
        <v>1959</v>
      </c>
      <c r="B2436" t="s">
        <v>4860</v>
      </c>
      <c r="C2436" t="s">
        <v>25</v>
      </c>
      <c r="D2436" t="s">
        <v>13</v>
      </c>
      <c r="E2436" s="7">
        <v>45644</v>
      </c>
      <c r="F2436" t="s">
        <v>2326</v>
      </c>
      <c r="G2436">
        <v>0</v>
      </c>
      <c r="H2436" t="s">
        <v>53</v>
      </c>
      <c r="I2436" t="s">
        <v>16</v>
      </c>
      <c r="J2436" t="s">
        <v>16</v>
      </c>
      <c r="K2436" t="str">
        <f>VLOOKUP(C2436,CheckName!A:B,2,0)</f>
        <v>Add</v>
      </c>
      <c r="L2436">
        <v>0</v>
      </c>
      <c r="M2436">
        <f t="shared" ref="M2436:M2441" si="369">DAY(E2436)</f>
        <v>18</v>
      </c>
      <c r="N2436" t="str">
        <f>TEXT(MTDRejection[[#This Row],[RejectionDate]],"dddd")</f>
        <v>Wednesday</v>
      </c>
    </row>
    <row r="2437" spans="1:14">
      <c r="A2437" t="s">
        <v>1959</v>
      </c>
      <c r="B2437" t="s">
        <v>2619</v>
      </c>
      <c r="C2437" t="s">
        <v>71</v>
      </c>
      <c r="D2437" t="s">
        <v>13</v>
      </c>
      <c r="E2437" s="7">
        <v>45644</v>
      </c>
      <c r="F2437" t="s">
        <v>2326</v>
      </c>
      <c r="G2437">
        <v>0</v>
      </c>
      <c r="H2437" t="s">
        <v>53</v>
      </c>
      <c r="I2437" t="s">
        <v>16</v>
      </c>
      <c r="J2437" t="s">
        <v>16</v>
      </c>
      <c r="K2437" t="str">
        <f>VLOOKUP(C2437,CheckName!A:B,2,0)</f>
        <v>CRC</v>
      </c>
      <c r="L2437">
        <v>0</v>
      </c>
      <c r="M2437">
        <f t="shared" si="369"/>
        <v>18</v>
      </c>
      <c r="N2437" t="str">
        <f>TEXT(MTDRejection[[#This Row],[RejectionDate]],"dddd")</f>
        <v>Wednesday</v>
      </c>
    </row>
    <row r="2438" spans="1:14">
      <c r="A2438" t="s">
        <v>1959</v>
      </c>
      <c r="B2438" t="s">
        <v>4861</v>
      </c>
      <c r="C2438" t="s">
        <v>54</v>
      </c>
      <c r="D2438" t="s">
        <v>13</v>
      </c>
      <c r="E2438" s="7">
        <v>45644</v>
      </c>
      <c r="F2438" t="s">
        <v>2326</v>
      </c>
      <c r="G2438">
        <v>0</v>
      </c>
      <c r="H2438" t="s">
        <v>53</v>
      </c>
      <c r="I2438" t="s">
        <v>16</v>
      </c>
      <c r="J2438" t="s">
        <v>16</v>
      </c>
      <c r="K2438" t="str">
        <f>VLOOKUP(C2438,CheckName!A:B,2,0)</f>
        <v>Edu</v>
      </c>
      <c r="L2438">
        <v>0</v>
      </c>
      <c r="M2438">
        <f t="shared" si="369"/>
        <v>18</v>
      </c>
      <c r="N2438" t="str">
        <f>TEXT(MTDRejection[[#This Row],[RejectionDate]],"dddd")</f>
        <v>Wednesday</v>
      </c>
    </row>
    <row r="2439" spans="1:14">
      <c r="A2439" t="s">
        <v>1960</v>
      </c>
      <c r="B2439" t="s">
        <v>4862</v>
      </c>
      <c r="C2439" t="s">
        <v>123</v>
      </c>
      <c r="D2439" t="s">
        <v>13</v>
      </c>
      <c r="E2439" s="7">
        <v>45644</v>
      </c>
      <c r="F2439" t="s">
        <v>2343</v>
      </c>
      <c r="G2439">
        <v>0</v>
      </c>
      <c r="H2439" t="s">
        <v>505</v>
      </c>
      <c r="I2439" t="s">
        <v>16</v>
      </c>
      <c r="J2439" t="s">
        <v>16</v>
      </c>
      <c r="K2439" t="str">
        <f>VLOOKUP(C2439,CheckName!A:B,2,0)</f>
        <v>Special Check</v>
      </c>
      <c r="L2439">
        <v>0</v>
      </c>
      <c r="M2439">
        <f t="shared" si="369"/>
        <v>18</v>
      </c>
      <c r="N2439" t="str">
        <f>TEXT(MTDRejection[[#This Row],[RejectionDate]],"dddd")</f>
        <v>Wednesday</v>
      </c>
    </row>
    <row r="2440" spans="1:14">
      <c r="A2440" t="s">
        <v>116</v>
      </c>
      <c r="B2440" t="s">
        <v>4863</v>
      </c>
      <c r="C2440" t="s">
        <v>1730</v>
      </c>
      <c r="D2440" t="s">
        <v>13</v>
      </c>
      <c r="E2440" s="7">
        <v>45644</v>
      </c>
      <c r="F2440" t="s">
        <v>2343</v>
      </c>
      <c r="G2440">
        <v>0</v>
      </c>
      <c r="H2440" t="s">
        <v>30</v>
      </c>
      <c r="I2440" t="s">
        <v>16</v>
      </c>
      <c r="J2440" t="s">
        <v>16</v>
      </c>
      <c r="K2440" t="str">
        <f>VLOOKUP(C2440,CheckName!A:B,2,0)</f>
        <v>Special Check</v>
      </c>
      <c r="L2440">
        <v>0</v>
      </c>
      <c r="M2440">
        <f t="shared" si="369"/>
        <v>18</v>
      </c>
      <c r="N2440" t="str">
        <f>TEXT(MTDRejection[[#This Row],[RejectionDate]],"dddd")</f>
        <v>Wednesday</v>
      </c>
    </row>
    <row r="2441" spans="1:14">
      <c r="A2441" t="s">
        <v>45</v>
      </c>
      <c r="B2441" t="s">
        <v>1948</v>
      </c>
      <c r="C2441" t="s">
        <v>19</v>
      </c>
      <c r="D2441" t="s">
        <v>20</v>
      </c>
      <c r="E2441" s="7">
        <v>45644</v>
      </c>
      <c r="F2441" t="s">
        <v>2327</v>
      </c>
      <c r="G2441">
        <v>0</v>
      </c>
      <c r="H2441" t="s">
        <v>22</v>
      </c>
      <c r="I2441" t="s">
        <v>16</v>
      </c>
      <c r="J2441" t="s">
        <v>16</v>
      </c>
      <c r="K2441" t="str">
        <f>VLOOKUP(C2441,CheckName!A:B,2,0)</f>
        <v>Add</v>
      </c>
      <c r="L2441">
        <v>0</v>
      </c>
      <c r="M2441">
        <f t="shared" si="369"/>
        <v>18</v>
      </c>
      <c r="N2441" t="str">
        <f>TEXT(MTDRejection[[#This Row],[RejectionDate]],"dddd")</f>
        <v>Wednesday</v>
      </c>
    </row>
    <row r="2442" spans="1:14">
      <c r="A2442" t="s">
        <v>88</v>
      </c>
      <c r="B2442" t="s">
        <v>4864</v>
      </c>
      <c r="C2442" t="s">
        <v>25</v>
      </c>
      <c r="D2442" t="s">
        <v>26</v>
      </c>
      <c r="E2442" s="7">
        <v>45644</v>
      </c>
      <c r="F2442" t="s">
        <v>66</v>
      </c>
      <c r="G2442">
        <v>0</v>
      </c>
      <c r="H2442" t="s">
        <v>425</v>
      </c>
      <c r="I2442" t="s">
        <v>16</v>
      </c>
      <c r="J2442" t="s">
        <v>16</v>
      </c>
      <c r="K2442" t="str">
        <f>VLOOKUP(C2442,CheckName!A:B,2,0)</f>
        <v>Add</v>
      </c>
      <c r="L2442">
        <v>0</v>
      </c>
      <c r="M2442">
        <f t="shared" ref="M2442:M2449" si="370">DAY(E2442)</f>
        <v>18</v>
      </c>
      <c r="N2442" t="str">
        <f>TEXT(MTDRejection[[#This Row],[RejectionDate]],"dddd")</f>
        <v>Wednesday</v>
      </c>
    </row>
    <row r="2443" spans="1:14">
      <c r="A2443" t="s">
        <v>627</v>
      </c>
      <c r="B2443" t="s">
        <v>4865</v>
      </c>
      <c r="C2443" t="s">
        <v>25</v>
      </c>
      <c r="D2443" t="s">
        <v>26</v>
      </c>
      <c r="E2443" s="7">
        <v>45644</v>
      </c>
      <c r="F2443" t="s">
        <v>66</v>
      </c>
      <c r="G2443">
        <v>0</v>
      </c>
      <c r="H2443" t="s">
        <v>22</v>
      </c>
      <c r="I2443" t="s">
        <v>16</v>
      </c>
      <c r="J2443" t="s">
        <v>16</v>
      </c>
      <c r="K2443" t="str">
        <f>VLOOKUP(C2443,CheckName!A:B,2,0)</f>
        <v>Add</v>
      </c>
      <c r="L2443">
        <v>0</v>
      </c>
      <c r="M2443">
        <f t="shared" si="370"/>
        <v>18</v>
      </c>
      <c r="N2443" t="str">
        <f>TEXT(MTDRejection[[#This Row],[RejectionDate]],"dddd")</f>
        <v>Wednesday</v>
      </c>
    </row>
    <row r="2444" spans="1:14">
      <c r="A2444" t="s">
        <v>362</v>
      </c>
      <c r="B2444" t="s">
        <v>4866</v>
      </c>
      <c r="C2444" t="s">
        <v>25</v>
      </c>
      <c r="D2444" t="s">
        <v>26</v>
      </c>
      <c r="E2444" s="7">
        <v>45644</v>
      </c>
      <c r="F2444" t="s">
        <v>66</v>
      </c>
      <c r="G2444">
        <v>0</v>
      </c>
      <c r="H2444" t="s">
        <v>22</v>
      </c>
      <c r="I2444" t="s">
        <v>16</v>
      </c>
      <c r="J2444" t="s">
        <v>16</v>
      </c>
      <c r="K2444" t="str">
        <f>VLOOKUP(C2444,CheckName!A:B,2,0)</f>
        <v>Add</v>
      </c>
      <c r="L2444">
        <v>0</v>
      </c>
      <c r="M2444">
        <f t="shared" si="370"/>
        <v>18</v>
      </c>
      <c r="N2444" t="str">
        <f>TEXT(MTDRejection[[#This Row],[RejectionDate]],"dddd")</f>
        <v>Wednesday</v>
      </c>
    </row>
    <row r="2445" spans="1:14">
      <c r="A2445" t="s">
        <v>362</v>
      </c>
      <c r="B2445" t="s">
        <v>4867</v>
      </c>
      <c r="C2445" t="s">
        <v>25</v>
      </c>
      <c r="D2445" t="s">
        <v>26</v>
      </c>
      <c r="E2445" s="7">
        <v>45644</v>
      </c>
      <c r="F2445" t="s">
        <v>66</v>
      </c>
      <c r="G2445">
        <v>0</v>
      </c>
      <c r="H2445" t="s">
        <v>22</v>
      </c>
      <c r="I2445" t="s">
        <v>16</v>
      </c>
      <c r="J2445" t="s">
        <v>16</v>
      </c>
      <c r="K2445" t="str">
        <f>VLOOKUP(C2445,CheckName!A:B,2,0)</f>
        <v>Add</v>
      </c>
      <c r="L2445">
        <v>0</v>
      </c>
      <c r="M2445">
        <f t="shared" si="370"/>
        <v>18</v>
      </c>
      <c r="N2445" t="str">
        <f>TEXT(MTDRejection[[#This Row],[RejectionDate]],"dddd")</f>
        <v>Wednesday</v>
      </c>
    </row>
    <row r="2446" spans="1:14">
      <c r="A2446" t="s">
        <v>91</v>
      </c>
      <c r="B2446" t="s">
        <v>4868</v>
      </c>
      <c r="C2446" t="s">
        <v>93</v>
      </c>
      <c r="D2446" t="s">
        <v>26</v>
      </c>
      <c r="E2446" s="7">
        <v>45644</v>
      </c>
      <c r="F2446" t="s">
        <v>63</v>
      </c>
      <c r="G2446">
        <v>0</v>
      </c>
      <c r="H2446" t="s">
        <v>27</v>
      </c>
      <c r="I2446" t="s">
        <v>16</v>
      </c>
      <c r="J2446" t="s">
        <v>16</v>
      </c>
      <c r="K2446" t="str">
        <f>VLOOKUP(C2446,CheckName!A:B,2,0)</f>
        <v>Edu</v>
      </c>
      <c r="L2446">
        <v>0</v>
      </c>
      <c r="M2446">
        <f t="shared" si="370"/>
        <v>18</v>
      </c>
      <c r="N2446" t="str">
        <f>TEXT(MTDRejection[[#This Row],[RejectionDate]],"dddd")</f>
        <v>Wednesday</v>
      </c>
    </row>
    <row r="2447" spans="1:14">
      <c r="A2447" t="s">
        <v>45</v>
      </c>
      <c r="B2447" t="s">
        <v>2079</v>
      </c>
      <c r="C2447" t="s">
        <v>19</v>
      </c>
      <c r="D2447" t="s">
        <v>20</v>
      </c>
      <c r="E2447" s="7">
        <v>45644</v>
      </c>
      <c r="F2447" t="s">
        <v>2348</v>
      </c>
      <c r="G2447">
        <v>0</v>
      </c>
      <c r="H2447" t="s">
        <v>22</v>
      </c>
      <c r="I2447" t="s">
        <v>16</v>
      </c>
      <c r="J2447" t="s">
        <v>16</v>
      </c>
      <c r="K2447" t="str">
        <f>VLOOKUP(C2447,CheckName!A:B,2,0)</f>
        <v>Add</v>
      </c>
      <c r="L2447">
        <v>0</v>
      </c>
      <c r="M2447">
        <f t="shared" si="370"/>
        <v>18</v>
      </c>
      <c r="N2447" t="str">
        <f>TEXT(MTDRejection[[#This Row],[RejectionDate]],"dddd")</f>
        <v>Wednesday</v>
      </c>
    </row>
    <row r="2448" spans="1:14">
      <c r="A2448" t="s">
        <v>45</v>
      </c>
      <c r="B2448" t="s">
        <v>4869</v>
      </c>
      <c r="C2448" t="s">
        <v>19</v>
      </c>
      <c r="D2448" t="s">
        <v>20</v>
      </c>
      <c r="E2448" s="7">
        <v>45644</v>
      </c>
      <c r="F2448" t="s">
        <v>2348</v>
      </c>
      <c r="G2448">
        <v>0</v>
      </c>
      <c r="H2448" t="s">
        <v>22</v>
      </c>
      <c r="I2448" t="s">
        <v>16</v>
      </c>
      <c r="J2448" t="s">
        <v>16</v>
      </c>
      <c r="K2448" t="str">
        <f>VLOOKUP(C2448,CheckName!A:B,2,0)</f>
        <v>Add</v>
      </c>
      <c r="L2448">
        <v>0</v>
      </c>
      <c r="M2448">
        <f t="shared" si="370"/>
        <v>18</v>
      </c>
      <c r="N2448" t="str">
        <f>TEXT(MTDRejection[[#This Row],[RejectionDate]],"dddd")</f>
        <v>Wednesday</v>
      </c>
    </row>
    <row r="2449" spans="1:14">
      <c r="A2449" t="s">
        <v>45</v>
      </c>
      <c r="B2449" t="s">
        <v>4870</v>
      </c>
      <c r="C2449" t="s">
        <v>25</v>
      </c>
      <c r="D2449" t="s">
        <v>20</v>
      </c>
      <c r="E2449" s="7">
        <v>45644</v>
      </c>
      <c r="F2449" t="s">
        <v>2348</v>
      </c>
      <c r="G2449">
        <v>0</v>
      </c>
      <c r="H2449" t="s">
        <v>22</v>
      </c>
      <c r="I2449" t="s">
        <v>16</v>
      </c>
      <c r="J2449" t="s">
        <v>16</v>
      </c>
      <c r="K2449" t="str">
        <f>VLOOKUP(C2449,CheckName!A:B,2,0)</f>
        <v>Add</v>
      </c>
      <c r="L2449">
        <v>0</v>
      </c>
      <c r="M2449">
        <f t="shared" si="370"/>
        <v>18</v>
      </c>
      <c r="N2449" t="str">
        <f>TEXT(MTDRejection[[#This Row],[RejectionDate]],"dddd")</f>
        <v>Wednesday</v>
      </c>
    </row>
    <row r="2450" spans="1:14">
      <c r="A2450" t="s">
        <v>81</v>
      </c>
      <c r="B2450" t="s">
        <v>4871</v>
      </c>
      <c r="C2450" t="s">
        <v>12</v>
      </c>
      <c r="D2450" t="s">
        <v>38</v>
      </c>
      <c r="E2450" s="7">
        <v>45644</v>
      </c>
      <c r="F2450" t="s">
        <v>39</v>
      </c>
      <c r="G2450">
        <v>0</v>
      </c>
      <c r="H2450" t="s">
        <v>42</v>
      </c>
      <c r="I2450" t="s">
        <v>16</v>
      </c>
      <c r="J2450" t="s">
        <v>16</v>
      </c>
      <c r="K2450" t="str">
        <f>VLOOKUP(C2450,CheckName!A:B,2,0)</f>
        <v>Emp</v>
      </c>
      <c r="L2450">
        <v>0</v>
      </c>
      <c r="M2450">
        <f t="shared" ref="M2450:M2464" si="371">DAY(E2450)</f>
        <v>18</v>
      </c>
      <c r="N2450" t="str">
        <f>TEXT(MTDRejection[[#This Row],[RejectionDate]],"dddd")</f>
        <v>Wednesday</v>
      </c>
    </row>
    <row r="2451" spans="1:14">
      <c r="A2451" t="s">
        <v>81</v>
      </c>
      <c r="B2451" t="s">
        <v>4872</v>
      </c>
      <c r="C2451" t="s">
        <v>12</v>
      </c>
      <c r="D2451" t="s">
        <v>38</v>
      </c>
      <c r="E2451" s="7">
        <v>45644</v>
      </c>
      <c r="F2451" t="s">
        <v>39</v>
      </c>
      <c r="G2451">
        <v>0</v>
      </c>
      <c r="H2451" t="s">
        <v>42</v>
      </c>
      <c r="I2451" t="s">
        <v>16</v>
      </c>
      <c r="J2451" t="s">
        <v>16</v>
      </c>
      <c r="K2451" t="str">
        <f>VLOOKUP(C2451,CheckName!A:B,2,0)</f>
        <v>Emp</v>
      </c>
      <c r="L2451">
        <v>0</v>
      </c>
      <c r="M2451">
        <f t="shared" si="371"/>
        <v>18</v>
      </c>
      <c r="N2451" t="str">
        <f>TEXT(MTDRejection[[#This Row],[RejectionDate]],"dddd")</f>
        <v>Wednesday</v>
      </c>
    </row>
    <row r="2452" spans="1:14">
      <c r="A2452" t="s">
        <v>116</v>
      </c>
      <c r="B2452" t="s">
        <v>4873</v>
      </c>
      <c r="C2452" t="s">
        <v>1730</v>
      </c>
      <c r="D2452" t="s">
        <v>13</v>
      </c>
      <c r="E2452" s="7">
        <v>45644</v>
      </c>
      <c r="F2452" t="s">
        <v>2345</v>
      </c>
      <c r="G2452">
        <v>0</v>
      </c>
      <c r="H2452" t="s">
        <v>15</v>
      </c>
      <c r="I2452" t="s">
        <v>16</v>
      </c>
      <c r="J2452" t="s">
        <v>16</v>
      </c>
      <c r="K2452" t="str">
        <f>VLOOKUP(C2452,CheckName!A:B,2,0)</f>
        <v>Special Check</v>
      </c>
      <c r="L2452">
        <v>0</v>
      </c>
      <c r="M2452">
        <f t="shared" si="371"/>
        <v>18</v>
      </c>
      <c r="N2452" t="str">
        <f>TEXT(MTDRejection[[#This Row],[RejectionDate]],"dddd")</f>
        <v>Wednesday</v>
      </c>
    </row>
    <row r="2453" spans="1:14">
      <c r="A2453" t="s">
        <v>45</v>
      </c>
      <c r="B2453" t="s">
        <v>4874</v>
      </c>
      <c r="C2453" t="s">
        <v>112</v>
      </c>
      <c r="D2453" t="s">
        <v>13</v>
      </c>
      <c r="E2453" s="7">
        <v>45644</v>
      </c>
      <c r="F2453" t="s">
        <v>2345</v>
      </c>
      <c r="G2453">
        <v>0</v>
      </c>
      <c r="H2453" t="s">
        <v>15</v>
      </c>
      <c r="I2453" t="s">
        <v>16</v>
      </c>
      <c r="J2453" t="s">
        <v>16</v>
      </c>
      <c r="K2453" t="str">
        <f>VLOOKUP(C2453,CheckName!A:B,2,0)</f>
        <v>Emp</v>
      </c>
      <c r="L2453">
        <v>0</v>
      </c>
      <c r="M2453">
        <f t="shared" si="371"/>
        <v>18</v>
      </c>
      <c r="N2453" t="str">
        <f>TEXT(MTDRejection[[#This Row],[RejectionDate]],"dddd")</f>
        <v>Wednesday</v>
      </c>
    </row>
    <row r="2454" spans="1:14">
      <c r="A2454" t="s">
        <v>45</v>
      </c>
      <c r="B2454" t="s">
        <v>4875</v>
      </c>
      <c r="C2454" t="s">
        <v>49</v>
      </c>
      <c r="D2454" t="s">
        <v>13</v>
      </c>
      <c r="E2454" s="7">
        <v>45644</v>
      </c>
      <c r="F2454" t="s">
        <v>2345</v>
      </c>
      <c r="G2454">
        <v>0</v>
      </c>
      <c r="H2454" t="s">
        <v>15</v>
      </c>
      <c r="I2454" t="s">
        <v>16</v>
      </c>
      <c r="J2454" t="s">
        <v>16</v>
      </c>
      <c r="K2454" t="str">
        <f>VLOOKUP(C2454,CheckName!A:B,2,0)</f>
        <v>CRC</v>
      </c>
      <c r="L2454">
        <v>0</v>
      </c>
      <c r="M2454">
        <f t="shared" si="371"/>
        <v>18</v>
      </c>
      <c r="N2454" t="str">
        <f>TEXT(MTDRejection[[#This Row],[RejectionDate]],"dddd")</f>
        <v>Wednesday</v>
      </c>
    </row>
    <row r="2455" spans="1:14">
      <c r="A2455" t="s">
        <v>45</v>
      </c>
      <c r="B2455" t="s">
        <v>4876</v>
      </c>
      <c r="C2455" t="s">
        <v>54</v>
      </c>
      <c r="D2455" t="s">
        <v>13</v>
      </c>
      <c r="E2455" s="7">
        <v>45644</v>
      </c>
      <c r="F2455" t="s">
        <v>2345</v>
      </c>
      <c r="G2455">
        <v>0</v>
      </c>
      <c r="H2455" t="s">
        <v>15</v>
      </c>
      <c r="I2455" t="s">
        <v>16</v>
      </c>
      <c r="J2455" t="s">
        <v>16</v>
      </c>
      <c r="K2455" t="str">
        <f>VLOOKUP(C2455,CheckName!A:B,2,0)</f>
        <v>Edu</v>
      </c>
      <c r="L2455">
        <v>0</v>
      </c>
      <c r="M2455">
        <f t="shared" si="371"/>
        <v>18</v>
      </c>
      <c r="N2455" t="str">
        <f>TEXT(MTDRejection[[#This Row],[RejectionDate]],"dddd")</f>
        <v>Wednesday</v>
      </c>
    </row>
    <row r="2456" spans="1:14">
      <c r="A2456" t="s">
        <v>45</v>
      </c>
      <c r="B2456" t="s">
        <v>4877</v>
      </c>
      <c r="C2456" t="s">
        <v>1723</v>
      </c>
      <c r="D2456" t="s">
        <v>13</v>
      </c>
      <c r="E2456" s="7">
        <v>45644</v>
      </c>
      <c r="F2456" t="s">
        <v>2345</v>
      </c>
      <c r="G2456">
        <v>0</v>
      </c>
      <c r="H2456" t="s">
        <v>15</v>
      </c>
      <c r="I2456" t="s">
        <v>16</v>
      </c>
      <c r="J2456" t="s">
        <v>16</v>
      </c>
      <c r="K2456" t="str">
        <f>VLOOKUP(C2456,CheckName!A:B,2,0)</f>
        <v>Special Check</v>
      </c>
      <c r="L2456">
        <v>0</v>
      </c>
      <c r="M2456">
        <f t="shared" si="371"/>
        <v>18</v>
      </c>
      <c r="N2456" t="str">
        <f>TEXT(MTDRejection[[#This Row],[RejectionDate]],"dddd")</f>
        <v>Wednesday</v>
      </c>
    </row>
    <row r="2457" spans="1:14">
      <c r="A2457" t="s">
        <v>45</v>
      </c>
      <c r="B2457" t="s">
        <v>4878</v>
      </c>
      <c r="C2457" t="s">
        <v>36</v>
      </c>
      <c r="D2457" t="s">
        <v>13</v>
      </c>
      <c r="E2457" s="7">
        <v>45644</v>
      </c>
      <c r="F2457" t="s">
        <v>2345</v>
      </c>
      <c r="G2457">
        <v>0</v>
      </c>
      <c r="H2457" t="s">
        <v>15</v>
      </c>
      <c r="I2457" t="s">
        <v>16</v>
      </c>
      <c r="J2457" t="s">
        <v>16</v>
      </c>
      <c r="K2457" t="str">
        <f>VLOOKUP(C2457,CheckName!A:B,2,0)</f>
        <v>Emp</v>
      </c>
      <c r="L2457">
        <v>0</v>
      </c>
      <c r="M2457">
        <f t="shared" si="371"/>
        <v>18</v>
      </c>
      <c r="N2457" t="str">
        <f>TEXT(MTDRejection[[#This Row],[RejectionDate]],"dddd")</f>
        <v>Wednesday</v>
      </c>
    </row>
    <row r="2458" spans="1:14">
      <c r="A2458" t="s">
        <v>45</v>
      </c>
      <c r="B2458" t="s">
        <v>4876</v>
      </c>
      <c r="C2458" t="s">
        <v>59</v>
      </c>
      <c r="D2458" t="s">
        <v>13</v>
      </c>
      <c r="E2458" s="7">
        <v>45644</v>
      </c>
      <c r="F2458" t="s">
        <v>2345</v>
      </c>
      <c r="G2458">
        <v>0</v>
      </c>
      <c r="H2458" t="s">
        <v>15</v>
      </c>
      <c r="I2458" t="s">
        <v>16</v>
      </c>
      <c r="J2458" t="s">
        <v>16</v>
      </c>
      <c r="K2458" t="str">
        <f>VLOOKUP(C2458,CheckName!A:B,2,0)</f>
        <v>Special Check</v>
      </c>
      <c r="L2458">
        <v>0</v>
      </c>
      <c r="M2458">
        <f t="shared" si="371"/>
        <v>18</v>
      </c>
      <c r="N2458" t="str">
        <f>TEXT(MTDRejection[[#This Row],[RejectionDate]],"dddd")</f>
        <v>Wednesday</v>
      </c>
    </row>
    <row r="2459" spans="1:14">
      <c r="A2459" t="s">
        <v>45</v>
      </c>
      <c r="B2459" t="s">
        <v>4879</v>
      </c>
      <c r="C2459" t="s">
        <v>19</v>
      </c>
      <c r="D2459" t="s">
        <v>13</v>
      </c>
      <c r="E2459" s="7">
        <v>45644</v>
      </c>
      <c r="F2459" t="s">
        <v>2345</v>
      </c>
      <c r="G2459">
        <v>0</v>
      </c>
      <c r="H2459" t="s">
        <v>15</v>
      </c>
      <c r="I2459" t="s">
        <v>16</v>
      </c>
      <c r="J2459" t="s">
        <v>16</v>
      </c>
      <c r="K2459" t="str">
        <f>VLOOKUP(C2459,CheckName!A:B,2,0)</f>
        <v>Add</v>
      </c>
      <c r="L2459">
        <v>0</v>
      </c>
      <c r="M2459">
        <f t="shared" si="371"/>
        <v>18</v>
      </c>
      <c r="N2459" t="str">
        <f>TEXT(MTDRejection[[#This Row],[RejectionDate]],"dddd")</f>
        <v>Wednesday</v>
      </c>
    </row>
    <row r="2460" spans="1:14">
      <c r="A2460" t="s">
        <v>45</v>
      </c>
      <c r="B2460" t="s">
        <v>4880</v>
      </c>
      <c r="C2460" t="s">
        <v>125</v>
      </c>
      <c r="D2460" t="s">
        <v>13</v>
      </c>
      <c r="E2460" s="7">
        <v>45644</v>
      </c>
      <c r="F2460" t="s">
        <v>2345</v>
      </c>
      <c r="G2460">
        <v>0</v>
      </c>
      <c r="H2460" t="s">
        <v>15</v>
      </c>
      <c r="I2460" t="s">
        <v>16</v>
      </c>
      <c r="J2460" t="s">
        <v>16</v>
      </c>
      <c r="K2460" t="str">
        <f>VLOOKUP(C2460,CheckName!A:B,2,0)</f>
        <v>Emp</v>
      </c>
      <c r="L2460">
        <v>0</v>
      </c>
      <c r="M2460">
        <f t="shared" si="371"/>
        <v>18</v>
      </c>
      <c r="N2460" t="str">
        <f>TEXT(MTDRejection[[#This Row],[RejectionDate]],"dddd")</f>
        <v>Wednesday</v>
      </c>
    </row>
    <row r="2461" spans="1:14">
      <c r="A2461" t="s">
        <v>45</v>
      </c>
      <c r="B2461" t="s">
        <v>4881</v>
      </c>
      <c r="C2461" t="s">
        <v>1068</v>
      </c>
      <c r="D2461" t="s">
        <v>13</v>
      </c>
      <c r="E2461" s="7">
        <v>45644</v>
      </c>
      <c r="F2461" t="s">
        <v>2345</v>
      </c>
      <c r="G2461">
        <v>0</v>
      </c>
      <c r="H2461" t="s">
        <v>15</v>
      </c>
      <c r="I2461" t="s">
        <v>16</v>
      </c>
      <c r="J2461" t="s">
        <v>16</v>
      </c>
      <c r="K2461" t="str">
        <f>VLOOKUP(C2461,CheckName!A:B,2,0)</f>
        <v>Special Check</v>
      </c>
      <c r="L2461">
        <v>0</v>
      </c>
      <c r="M2461">
        <f t="shared" si="371"/>
        <v>18</v>
      </c>
      <c r="N2461" t="str">
        <f>TEXT(MTDRejection[[#This Row],[RejectionDate]],"dddd")</f>
        <v>Wednesday</v>
      </c>
    </row>
    <row r="2462" spans="1:14">
      <c r="A2462" t="s">
        <v>1961</v>
      </c>
      <c r="B2462" t="s">
        <v>4882</v>
      </c>
      <c r="C2462" t="s">
        <v>689</v>
      </c>
      <c r="D2462" t="s">
        <v>38</v>
      </c>
      <c r="E2462" s="7">
        <v>45644</v>
      </c>
      <c r="F2462" t="s">
        <v>118</v>
      </c>
      <c r="G2462">
        <v>0</v>
      </c>
      <c r="H2462" t="s">
        <v>42</v>
      </c>
      <c r="I2462" t="s">
        <v>16</v>
      </c>
      <c r="J2462" t="s">
        <v>16</v>
      </c>
      <c r="K2462" t="str">
        <f>VLOOKUP(C2462,CheckName!A:B,2,0)</f>
        <v>Special Check</v>
      </c>
      <c r="L2462">
        <v>0</v>
      </c>
      <c r="M2462">
        <f t="shared" si="371"/>
        <v>18</v>
      </c>
      <c r="N2462" t="str">
        <f>TEXT(MTDRejection[[#This Row],[RejectionDate]],"dddd")</f>
        <v>Wednesday</v>
      </c>
    </row>
    <row r="2463" spans="1:14">
      <c r="A2463" t="s">
        <v>281</v>
      </c>
      <c r="B2463" t="s">
        <v>4883</v>
      </c>
      <c r="C2463" t="s">
        <v>54</v>
      </c>
      <c r="D2463" t="s">
        <v>38</v>
      </c>
      <c r="E2463" s="7">
        <v>45644</v>
      </c>
      <c r="F2463" t="s">
        <v>1776</v>
      </c>
      <c r="G2463">
        <v>0</v>
      </c>
      <c r="H2463" t="s">
        <v>42</v>
      </c>
      <c r="I2463" t="s">
        <v>16</v>
      </c>
      <c r="J2463" t="s">
        <v>16</v>
      </c>
      <c r="K2463" t="str">
        <f>VLOOKUP(C2463,CheckName!A:B,2,0)</f>
        <v>Edu</v>
      </c>
      <c r="L2463">
        <v>0</v>
      </c>
      <c r="M2463">
        <f t="shared" si="371"/>
        <v>18</v>
      </c>
      <c r="N2463" t="str">
        <f>TEXT(MTDRejection[[#This Row],[RejectionDate]],"dddd")</f>
        <v>Wednesday</v>
      </c>
    </row>
    <row r="2464" spans="1:14">
      <c r="A2464" t="s">
        <v>133</v>
      </c>
      <c r="B2464" t="s">
        <v>4884</v>
      </c>
      <c r="C2464" t="s">
        <v>36</v>
      </c>
      <c r="D2464" t="s">
        <v>38</v>
      </c>
      <c r="E2464" s="7">
        <v>45644</v>
      </c>
      <c r="F2464" t="s">
        <v>39</v>
      </c>
      <c r="G2464">
        <v>0</v>
      </c>
      <c r="H2464" t="s">
        <v>42</v>
      </c>
      <c r="I2464" t="s">
        <v>16</v>
      </c>
      <c r="J2464" t="s">
        <v>16</v>
      </c>
      <c r="K2464" t="str">
        <f>VLOOKUP(C2464,CheckName!A:B,2,0)</f>
        <v>Emp</v>
      </c>
      <c r="L2464">
        <v>0</v>
      </c>
      <c r="M2464">
        <f t="shared" si="371"/>
        <v>18</v>
      </c>
      <c r="N2464" t="str">
        <f>TEXT(MTDRejection[[#This Row],[RejectionDate]],"dddd")</f>
        <v>Wednesday</v>
      </c>
    </row>
    <row r="2465" spans="1:14">
      <c r="A2465" t="s">
        <v>84</v>
      </c>
      <c r="B2465" t="s">
        <v>4885</v>
      </c>
      <c r="C2465" t="s">
        <v>36</v>
      </c>
      <c r="D2465" t="s">
        <v>26</v>
      </c>
      <c r="E2465" s="7">
        <v>45644</v>
      </c>
      <c r="F2465" t="s">
        <v>2333</v>
      </c>
      <c r="G2465">
        <v>0</v>
      </c>
      <c r="H2465" t="s">
        <v>30</v>
      </c>
      <c r="I2465" t="s">
        <v>16</v>
      </c>
      <c r="J2465" t="s">
        <v>16</v>
      </c>
      <c r="K2465" t="str">
        <f>VLOOKUP(C2465,CheckName!A:B,2,0)</f>
        <v>Emp</v>
      </c>
      <c r="L2465">
        <v>0</v>
      </c>
      <c r="M2465">
        <f>DAY(E2465)</f>
        <v>18</v>
      </c>
      <c r="N2465" t="str">
        <f>TEXT(MTDRejection[[#This Row],[RejectionDate]],"dddd")</f>
        <v>Wednesday</v>
      </c>
    </row>
    <row r="2466" spans="1:14">
      <c r="A2466" t="s">
        <v>144</v>
      </c>
      <c r="B2466" t="s">
        <v>4886</v>
      </c>
      <c r="C2466" t="s">
        <v>36</v>
      </c>
      <c r="D2466" t="s">
        <v>38</v>
      </c>
      <c r="E2466" s="7">
        <v>45644</v>
      </c>
      <c r="F2466" t="s">
        <v>39</v>
      </c>
      <c r="G2466">
        <v>0</v>
      </c>
      <c r="H2466" t="s">
        <v>42</v>
      </c>
      <c r="I2466" t="s">
        <v>16</v>
      </c>
      <c r="J2466" t="s">
        <v>16</v>
      </c>
      <c r="K2466" t="str">
        <f>VLOOKUP(C2466,CheckName!A:B,2,0)</f>
        <v>Emp</v>
      </c>
      <c r="L2466">
        <v>0</v>
      </c>
      <c r="M2466">
        <f t="shared" ref="M2466:M2469" si="372">DAY(E2466)</f>
        <v>18</v>
      </c>
      <c r="N2466" t="str">
        <f>TEXT(MTDRejection[[#This Row],[RejectionDate]],"dddd")</f>
        <v>Wednesday</v>
      </c>
    </row>
    <row r="2467" spans="1:14">
      <c r="A2467" t="s">
        <v>137</v>
      </c>
      <c r="B2467" t="s">
        <v>2076</v>
      </c>
      <c r="C2467" t="s">
        <v>12</v>
      </c>
      <c r="D2467" t="s">
        <v>26</v>
      </c>
      <c r="E2467" s="7">
        <v>45644</v>
      </c>
      <c r="F2467" t="s">
        <v>115</v>
      </c>
      <c r="G2467">
        <v>0</v>
      </c>
      <c r="H2467" t="s">
        <v>27</v>
      </c>
      <c r="I2467" t="s">
        <v>16</v>
      </c>
      <c r="J2467" t="s">
        <v>16</v>
      </c>
      <c r="K2467" t="str">
        <f>VLOOKUP(C2467,CheckName!A:B,2,0)</f>
        <v>Emp</v>
      </c>
      <c r="L2467">
        <v>0</v>
      </c>
      <c r="M2467">
        <f t="shared" si="372"/>
        <v>18</v>
      </c>
      <c r="N2467" t="str">
        <f>TEXT(MTDRejection[[#This Row],[RejectionDate]],"dddd")</f>
        <v>Wednesday</v>
      </c>
    </row>
    <row r="2468" spans="1:14">
      <c r="A2468" t="s">
        <v>160</v>
      </c>
      <c r="B2468" t="s">
        <v>4887</v>
      </c>
      <c r="C2468" t="s">
        <v>36</v>
      </c>
      <c r="D2468" t="s">
        <v>26</v>
      </c>
      <c r="E2468" s="7">
        <v>45644</v>
      </c>
      <c r="F2468" t="s">
        <v>115</v>
      </c>
      <c r="G2468">
        <v>0</v>
      </c>
      <c r="H2468" t="s">
        <v>27</v>
      </c>
      <c r="I2468" t="s">
        <v>16</v>
      </c>
      <c r="J2468" t="s">
        <v>16</v>
      </c>
      <c r="K2468" t="str">
        <f>VLOOKUP(C2468,CheckName!A:B,2,0)</f>
        <v>Emp</v>
      </c>
      <c r="L2468">
        <v>0</v>
      </c>
      <c r="M2468">
        <f t="shared" si="372"/>
        <v>18</v>
      </c>
      <c r="N2468" t="str">
        <f>TEXT(MTDRejection[[#This Row],[RejectionDate]],"dddd")</f>
        <v>Wednesday</v>
      </c>
    </row>
    <row r="2469" spans="1:14">
      <c r="A2469" t="s">
        <v>977</v>
      </c>
      <c r="B2469" t="s">
        <v>4888</v>
      </c>
      <c r="C2469" t="s">
        <v>12</v>
      </c>
      <c r="D2469" t="s">
        <v>38</v>
      </c>
      <c r="E2469" s="7">
        <v>45644</v>
      </c>
      <c r="F2469" t="s">
        <v>39</v>
      </c>
      <c r="G2469">
        <v>0</v>
      </c>
      <c r="H2469" t="s">
        <v>95</v>
      </c>
      <c r="I2469" t="s">
        <v>16</v>
      </c>
      <c r="J2469" t="s">
        <v>16</v>
      </c>
      <c r="K2469" t="str">
        <f>VLOOKUP(C2469,CheckName!A:B,2,0)</f>
        <v>Emp</v>
      </c>
      <c r="L2469">
        <v>0</v>
      </c>
      <c r="M2469">
        <f t="shared" si="372"/>
        <v>18</v>
      </c>
      <c r="N2469" t="str">
        <f>TEXT(MTDRejection[[#This Row],[RejectionDate]],"dddd")</f>
        <v>Wednesday</v>
      </c>
    </row>
    <row r="2470" spans="1:14">
      <c r="A2470" t="s">
        <v>996</v>
      </c>
      <c r="B2470" t="s">
        <v>4889</v>
      </c>
      <c r="C2470" t="s">
        <v>12</v>
      </c>
      <c r="D2470" t="s">
        <v>26</v>
      </c>
      <c r="E2470" s="7">
        <v>45642</v>
      </c>
      <c r="F2470" t="s">
        <v>37</v>
      </c>
      <c r="G2470">
        <v>2</v>
      </c>
      <c r="H2470" t="s">
        <v>27</v>
      </c>
      <c r="I2470" t="s">
        <v>16</v>
      </c>
      <c r="J2470" t="s">
        <v>16</v>
      </c>
      <c r="K2470" t="str">
        <f>VLOOKUP(C2470,CheckName!A:B,2,0)</f>
        <v>Emp</v>
      </c>
      <c r="L2470">
        <v>0</v>
      </c>
      <c r="M2470">
        <f>DAY(E2470)</f>
        <v>16</v>
      </c>
      <c r="N2470" t="str">
        <f>TEXT(MTDRejection[[#This Row],[RejectionDate]],"dddd")</f>
        <v>Monday</v>
      </c>
    </row>
    <row r="2471" spans="1:14">
      <c r="A2471" t="s">
        <v>84</v>
      </c>
      <c r="B2471" t="s">
        <v>4890</v>
      </c>
      <c r="C2471" t="s">
        <v>12</v>
      </c>
      <c r="D2471" t="s">
        <v>26</v>
      </c>
      <c r="E2471" s="7">
        <v>45639</v>
      </c>
      <c r="F2471" t="s">
        <v>83</v>
      </c>
      <c r="G2471">
        <v>5</v>
      </c>
      <c r="H2471" t="s">
        <v>22</v>
      </c>
      <c r="I2471" t="s">
        <v>16</v>
      </c>
      <c r="J2471" t="s">
        <v>16</v>
      </c>
      <c r="K2471" t="str">
        <f>VLOOKUP(C2471,CheckName!A:B,2,0)</f>
        <v>Emp</v>
      </c>
      <c r="L2471">
        <v>0</v>
      </c>
      <c r="M2471">
        <f>DAY(E2471)</f>
        <v>13</v>
      </c>
      <c r="N2471" t="str">
        <f>TEXT(MTDRejection[[#This Row],[RejectionDate]],"dddd")</f>
        <v>Friday</v>
      </c>
    </row>
    <row r="2472" spans="1:14">
      <c r="A2472" t="s">
        <v>239</v>
      </c>
      <c r="B2472" t="s">
        <v>2513</v>
      </c>
      <c r="C2472" t="s">
        <v>19</v>
      </c>
      <c r="D2472" t="s">
        <v>20</v>
      </c>
      <c r="E2472" s="7">
        <v>45644</v>
      </c>
      <c r="F2472" t="s">
        <v>273</v>
      </c>
      <c r="G2472">
        <v>0</v>
      </c>
      <c r="H2472" t="s">
        <v>22</v>
      </c>
      <c r="I2472" t="s">
        <v>16</v>
      </c>
      <c r="J2472" t="s">
        <v>16</v>
      </c>
      <c r="K2472" t="str">
        <f>VLOOKUP(C2472,CheckName!A:B,2,0)</f>
        <v>Add</v>
      </c>
      <c r="L2472">
        <v>0</v>
      </c>
      <c r="M2472">
        <f t="shared" ref="M2472:M2476" si="373">DAY(E2472)</f>
        <v>18</v>
      </c>
      <c r="N2472" t="str">
        <f>TEXT(MTDRejection[[#This Row],[RejectionDate]],"dddd")</f>
        <v>Wednesday</v>
      </c>
    </row>
    <row r="2473" spans="1:14">
      <c r="A2473" t="s">
        <v>119</v>
      </c>
      <c r="B2473" t="s">
        <v>4891</v>
      </c>
      <c r="C2473" t="s">
        <v>25</v>
      </c>
      <c r="D2473" t="s">
        <v>20</v>
      </c>
      <c r="E2473" s="7">
        <v>45644</v>
      </c>
      <c r="F2473" t="s">
        <v>273</v>
      </c>
      <c r="G2473">
        <v>0</v>
      </c>
      <c r="H2473" t="s">
        <v>27</v>
      </c>
      <c r="I2473" t="s">
        <v>16</v>
      </c>
      <c r="J2473" t="s">
        <v>16</v>
      </c>
      <c r="K2473" t="str">
        <f>VLOOKUP(C2473,CheckName!A:B,2,0)</f>
        <v>Add</v>
      </c>
      <c r="L2473">
        <v>0</v>
      </c>
      <c r="M2473">
        <f t="shared" si="373"/>
        <v>18</v>
      </c>
      <c r="N2473" t="str">
        <f>TEXT(MTDRejection[[#This Row],[RejectionDate]],"dddd")</f>
        <v>Wednesday</v>
      </c>
    </row>
    <row r="2474" spans="1:14">
      <c r="A2474" t="s">
        <v>45</v>
      </c>
      <c r="B2474" t="s">
        <v>4892</v>
      </c>
      <c r="C2474" t="s">
        <v>25</v>
      </c>
      <c r="D2474" t="s">
        <v>20</v>
      </c>
      <c r="E2474" s="7">
        <v>45644</v>
      </c>
      <c r="F2474" t="s">
        <v>2327</v>
      </c>
      <c r="G2474">
        <v>0</v>
      </c>
      <c r="H2474" t="s">
        <v>22</v>
      </c>
      <c r="I2474" t="s">
        <v>16</v>
      </c>
      <c r="J2474" t="s">
        <v>16</v>
      </c>
      <c r="K2474" t="str">
        <f>VLOOKUP(C2474,CheckName!A:B,2,0)</f>
        <v>Add</v>
      </c>
      <c r="L2474">
        <v>0</v>
      </c>
      <c r="M2474">
        <f t="shared" si="373"/>
        <v>18</v>
      </c>
      <c r="N2474" t="str">
        <f>TEXT(MTDRejection[[#This Row],[RejectionDate]],"dddd")</f>
        <v>Wednesday</v>
      </c>
    </row>
    <row r="2475" spans="1:14">
      <c r="A2475" t="s">
        <v>45</v>
      </c>
      <c r="B2475" t="s">
        <v>4893</v>
      </c>
      <c r="C2475" t="s">
        <v>19</v>
      </c>
      <c r="D2475" t="s">
        <v>20</v>
      </c>
      <c r="E2475" s="7">
        <v>45644</v>
      </c>
      <c r="F2475" t="s">
        <v>2327</v>
      </c>
      <c r="G2475">
        <v>0</v>
      </c>
      <c r="H2475" t="s">
        <v>22</v>
      </c>
      <c r="I2475" t="s">
        <v>16</v>
      </c>
      <c r="J2475" t="s">
        <v>16</v>
      </c>
      <c r="K2475" t="str">
        <f>VLOOKUP(C2475,CheckName!A:B,2,0)</f>
        <v>Add</v>
      </c>
      <c r="L2475">
        <v>0</v>
      </c>
      <c r="M2475">
        <f t="shared" si="373"/>
        <v>18</v>
      </c>
      <c r="N2475" t="str">
        <f>TEXT(MTDRejection[[#This Row],[RejectionDate]],"dddd")</f>
        <v>Wednesday</v>
      </c>
    </row>
    <row r="2476" spans="1:14">
      <c r="A2476" t="s">
        <v>1962</v>
      </c>
      <c r="B2476" t="s">
        <v>4894</v>
      </c>
      <c r="C2476" t="s">
        <v>805</v>
      </c>
      <c r="D2476" t="s">
        <v>13</v>
      </c>
      <c r="E2476" s="7">
        <v>45644</v>
      </c>
      <c r="F2476" t="s">
        <v>230</v>
      </c>
      <c r="G2476">
        <v>0</v>
      </c>
      <c r="H2476" t="s">
        <v>15</v>
      </c>
      <c r="I2476" t="s">
        <v>16</v>
      </c>
      <c r="J2476" t="s">
        <v>16</v>
      </c>
      <c r="K2476" t="str">
        <f>VLOOKUP(C2476,CheckName!A:B,2,0)</f>
        <v>Edu</v>
      </c>
      <c r="L2476">
        <v>0</v>
      </c>
      <c r="M2476">
        <f t="shared" si="373"/>
        <v>18</v>
      </c>
      <c r="N2476" t="str">
        <f>TEXT(MTDRejection[[#This Row],[RejectionDate]],"dddd")</f>
        <v>Wednesday</v>
      </c>
    </row>
    <row r="2477" spans="1:14">
      <c r="A2477" t="s">
        <v>45</v>
      </c>
      <c r="B2477" t="s">
        <v>4895</v>
      </c>
      <c r="C2477" t="s">
        <v>12</v>
      </c>
      <c r="D2477" t="s">
        <v>38</v>
      </c>
      <c r="E2477" s="7">
        <v>45644</v>
      </c>
      <c r="F2477" t="s">
        <v>39</v>
      </c>
      <c r="G2477">
        <v>0</v>
      </c>
      <c r="H2477" t="s">
        <v>42</v>
      </c>
      <c r="I2477" t="s">
        <v>16</v>
      </c>
      <c r="J2477" t="s">
        <v>16</v>
      </c>
      <c r="K2477" t="str">
        <f>VLOOKUP(C2477,CheckName!A:B,2,0)</f>
        <v>Emp</v>
      </c>
      <c r="L2477">
        <v>0</v>
      </c>
      <c r="M2477">
        <f t="shared" ref="M2477:M2478" si="374">DAY(E2477)</f>
        <v>18</v>
      </c>
      <c r="N2477" t="str">
        <f>TEXT(MTDRejection[[#This Row],[RejectionDate]],"dddd")</f>
        <v>Wednesday</v>
      </c>
    </row>
    <row r="2478" spans="1:14">
      <c r="A2478" t="s">
        <v>45</v>
      </c>
      <c r="B2478" t="s">
        <v>4892</v>
      </c>
      <c r="C2478" t="s">
        <v>59</v>
      </c>
      <c r="D2478" t="s">
        <v>38</v>
      </c>
      <c r="E2478" s="7">
        <v>45644</v>
      </c>
      <c r="F2478" t="s">
        <v>118</v>
      </c>
      <c r="G2478">
        <v>0</v>
      </c>
      <c r="H2478" t="s">
        <v>22</v>
      </c>
      <c r="I2478" t="s">
        <v>16</v>
      </c>
      <c r="J2478" t="s">
        <v>16</v>
      </c>
      <c r="K2478" t="str">
        <f>VLOOKUP(C2478,CheckName!A:B,2,0)</f>
        <v>Special Check</v>
      </c>
      <c r="L2478">
        <v>0</v>
      </c>
      <c r="M2478">
        <f t="shared" si="374"/>
        <v>18</v>
      </c>
      <c r="N2478" t="str">
        <f>TEXT(MTDRejection[[#This Row],[RejectionDate]],"dddd")</f>
        <v>Wednesday</v>
      </c>
    </row>
    <row r="2479" spans="1:14">
      <c r="A2479" t="s">
        <v>139</v>
      </c>
      <c r="B2479" t="s">
        <v>2620</v>
      </c>
      <c r="C2479" t="s">
        <v>54</v>
      </c>
      <c r="D2479" t="s">
        <v>13</v>
      </c>
      <c r="E2479" s="7">
        <v>45644</v>
      </c>
      <c r="F2479" t="s">
        <v>72</v>
      </c>
      <c r="G2479">
        <v>0</v>
      </c>
      <c r="H2479" t="s">
        <v>15</v>
      </c>
      <c r="I2479" t="s">
        <v>16</v>
      </c>
      <c r="J2479" t="s">
        <v>16</v>
      </c>
      <c r="K2479" t="str">
        <f>VLOOKUP(C2479,CheckName!A:B,2,0)</f>
        <v>Edu</v>
      </c>
      <c r="L2479">
        <v>0</v>
      </c>
      <c r="M2479">
        <f>DAY(E2479)</f>
        <v>18</v>
      </c>
      <c r="N2479" t="str">
        <f>TEXT(MTDRejection[[#This Row],[RejectionDate]],"dddd")</f>
        <v>Wednesday</v>
      </c>
    </row>
    <row r="2480" spans="1:14">
      <c r="A2480" t="s">
        <v>43</v>
      </c>
      <c r="B2480" t="s">
        <v>4896</v>
      </c>
      <c r="C2480" t="s">
        <v>12</v>
      </c>
      <c r="D2480" t="s">
        <v>26</v>
      </c>
      <c r="E2480" s="7">
        <v>45644</v>
      </c>
      <c r="F2480" t="s">
        <v>2341</v>
      </c>
      <c r="G2480">
        <v>0</v>
      </c>
      <c r="H2480" t="s">
        <v>27</v>
      </c>
      <c r="I2480" t="s">
        <v>16</v>
      </c>
      <c r="J2480" t="s">
        <v>16</v>
      </c>
      <c r="K2480" t="str">
        <f>VLOOKUP(C2480,CheckName!A:B,2,0)</f>
        <v>Emp</v>
      </c>
      <c r="L2480">
        <v>0</v>
      </c>
      <c r="M2480">
        <f>DAY(E2480)</f>
        <v>18</v>
      </c>
      <c r="N2480" t="str">
        <f>TEXT(MTDRejection[[#This Row],[RejectionDate]],"dddd")</f>
        <v>Wednesday</v>
      </c>
    </row>
    <row r="2481" spans="1:14">
      <c r="A2481" t="s">
        <v>1573</v>
      </c>
      <c r="B2481" t="s">
        <v>4897</v>
      </c>
      <c r="C2481" t="s">
        <v>12</v>
      </c>
      <c r="D2481" t="s">
        <v>26</v>
      </c>
      <c r="E2481" s="7">
        <v>45644</v>
      </c>
      <c r="F2481" t="s">
        <v>380</v>
      </c>
      <c r="G2481">
        <v>0</v>
      </c>
      <c r="H2481" t="s">
        <v>27</v>
      </c>
      <c r="I2481" t="s">
        <v>16</v>
      </c>
      <c r="J2481" t="s">
        <v>16</v>
      </c>
      <c r="K2481" t="str">
        <f>VLOOKUP(C2481,CheckName!A:B,2,0)</f>
        <v>Emp</v>
      </c>
      <c r="L2481">
        <v>0</v>
      </c>
      <c r="M2481">
        <f t="shared" ref="M2481:M2482" si="375">DAY(E2481)</f>
        <v>18</v>
      </c>
      <c r="N2481" t="str">
        <f>TEXT(MTDRejection[[#This Row],[RejectionDate]],"dddd")</f>
        <v>Wednesday</v>
      </c>
    </row>
    <row r="2482" spans="1:14">
      <c r="A2482" t="s">
        <v>299</v>
      </c>
      <c r="B2482" t="s">
        <v>4898</v>
      </c>
      <c r="C2482" t="s">
        <v>12</v>
      </c>
      <c r="D2482" t="s">
        <v>26</v>
      </c>
      <c r="E2482" s="7">
        <v>45644</v>
      </c>
      <c r="F2482" t="s">
        <v>380</v>
      </c>
      <c r="G2482">
        <v>0</v>
      </c>
      <c r="H2482" t="s">
        <v>27</v>
      </c>
      <c r="I2482" t="s">
        <v>16</v>
      </c>
      <c r="J2482" t="s">
        <v>16</v>
      </c>
      <c r="K2482" t="str">
        <f>VLOOKUP(C2482,CheckName!A:B,2,0)</f>
        <v>Emp</v>
      </c>
      <c r="L2482">
        <v>0</v>
      </c>
      <c r="M2482">
        <f t="shared" si="375"/>
        <v>18</v>
      </c>
      <c r="N2482" t="str">
        <f>TEXT(MTDRejection[[#This Row],[RejectionDate]],"dddd")</f>
        <v>Wednesday</v>
      </c>
    </row>
    <row r="2483" spans="1:14">
      <c r="A2483" t="s">
        <v>131</v>
      </c>
      <c r="B2483" t="s">
        <v>2042</v>
      </c>
      <c r="C2483" t="s">
        <v>54</v>
      </c>
      <c r="D2483" t="s">
        <v>26</v>
      </c>
      <c r="E2483" s="7">
        <v>45644</v>
      </c>
      <c r="F2483" t="s">
        <v>103</v>
      </c>
      <c r="G2483">
        <v>0</v>
      </c>
      <c r="H2483" t="s">
        <v>27</v>
      </c>
      <c r="I2483" t="s">
        <v>16</v>
      </c>
      <c r="J2483" t="s">
        <v>16</v>
      </c>
      <c r="K2483" t="str">
        <f>VLOOKUP(C2483,CheckName!A:B,2,0)</f>
        <v>Edu</v>
      </c>
      <c r="L2483">
        <v>0</v>
      </c>
      <c r="M2483">
        <f t="shared" ref="M2483:M2486" si="376">DAY(E2483)</f>
        <v>18</v>
      </c>
      <c r="N2483" t="str">
        <f>TEXT(MTDRejection[[#This Row],[RejectionDate]],"dddd")</f>
        <v>Wednesday</v>
      </c>
    </row>
    <row r="2484" spans="1:14">
      <c r="A2484" t="s">
        <v>131</v>
      </c>
      <c r="B2484" t="s">
        <v>4899</v>
      </c>
      <c r="C2484" t="s">
        <v>54</v>
      </c>
      <c r="D2484" t="s">
        <v>26</v>
      </c>
      <c r="E2484" s="7">
        <v>45644</v>
      </c>
      <c r="F2484" t="s">
        <v>103</v>
      </c>
      <c r="G2484">
        <v>0</v>
      </c>
      <c r="H2484" t="s">
        <v>27</v>
      </c>
      <c r="I2484" t="s">
        <v>16</v>
      </c>
      <c r="J2484" t="s">
        <v>16</v>
      </c>
      <c r="K2484" t="str">
        <f>VLOOKUP(C2484,CheckName!A:B,2,0)</f>
        <v>Edu</v>
      </c>
      <c r="L2484">
        <v>0</v>
      </c>
      <c r="M2484">
        <f t="shared" si="376"/>
        <v>18</v>
      </c>
      <c r="N2484" t="str">
        <f>TEXT(MTDRejection[[#This Row],[RejectionDate]],"dddd")</f>
        <v>Wednesday</v>
      </c>
    </row>
    <row r="2485" spans="1:14">
      <c r="A2485" t="s">
        <v>189</v>
      </c>
      <c r="B2485" t="s">
        <v>2621</v>
      </c>
      <c r="C2485" t="s">
        <v>12</v>
      </c>
      <c r="D2485" t="s">
        <v>38</v>
      </c>
      <c r="E2485" s="7">
        <v>45644</v>
      </c>
      <c r="F2485" t="s">
        <v>39</v>
      </c>
      <c r="G2485">
        <v>0</v>
      </c>
      <c r="H2485" t="s">
        <v>42</v>
      </c>
      <c r="I2485" t="s">
        <v>16</v>
      </c>
      <c r="J2485" t="s">
        <v>16</v>
      </c>
      <c r="K2485" t="str">
        <f>VLOOKUP(C2485,CheckName!A:B,2,0)</f>
        <v>Emp</v>
      </c>
      <c r="L2485">
        <v>0</v>
      </c>
      <c r="M2485">
        <f t="shared" si="376"/>
        <v>18</v>
      </c>
      <c r="N2485" t="str">
        <f>TEXT(MTDRejection[[#This Row],[RejectionDate]],"dddd")</f>
        <v>Wednesday</v>
      </c>
    </row>
    <row r="2486" spans="1:14">
      <c r="A2486" t="s">
        <v>96</v>
      </c>
      <c r="B2486" t="s">
        <v>4900</v>
      </c>
      <c r="C2486" t="s">
        <v>56</v>
      </c>
      <c r="D2486" t="s">
        <v>13</v>
      </c>
      <c r="E2486" s="7">
        <v>45644</v>
      </c>
      <c r="F2486" t="s">
        <v>819</v>
      </c>
      <c r="G2486">
        <v>0</v>
      </c>
      <c r="H2486" t="s">
        <v>505</v>
      </c>
      <c r="I2486" t="s">
        <v>16</v>
      </c>
      <c r="J2486" t="s">
        <v>16</v>
      </c>
      <c r="K2486" t="str">
        <f>VLOOKUP(C2486,CheckName!A:B,2,0)</f>
        <v>Special Check</v>
      </c>
      <c r="L2486">
        <v>0</v>
      </c>
      <c r="M2486">
        <f t="shared" si="376"/>
        <v>18</v>
      </c>
      <c r="N2486" t="str">
        <f>TEXT(MTDRejection[[#This Row],[RejectionDate]],"dddd")</f>
        <v>Wednesday</v>
      </c>
    </row>
    <row r="2487" spans="1:14">
      <c r="A2487" t="s">
        <v>81</v>
      </c>
      <c r="B2487" t="s">
        <v>4901</v>
      </c>
      <c r="C2487" t="s">
        <v>36</v>
      </c>
      <c r="D2487" t="s">
        <v>26</v>
      </c>
      <c r="E2487" s="7">
        <v>45644</v>
      </c>
      <c r="F2487" t="s">
        <v>2335</v>
      </c>
      <c r="G2487">
        <v>0</v>
      </c>
      <c r="H2487" t="s">
        <v>27</v>
      </c>
      <c r="I2487" t="s">
        <v>16</v>
      </c>
      <c r="J2487" t="s">
        <v>16</v>
      </c>
      <c r="K2487" t="str">
        <f>VLOOKUP(C2487,CheckName!A:B,2,0)</f>
        <v>Emp</v>
      </c>
      <c r="L2487">
        <v>0</v>
      </c>
      <c r="M2487">
        <f t="shared" ref="M2487:M2494" si="377">DAY(E2487)</f>
        <v>18</v>
      </c>
      <c r="N2487" t="str">
        <f>TEXT(MTDRejection[[#This Row],[RejectionDate]],"dddd")</f>
        <v>Wednesday</v>
      </c>
    </row>
    <row r="2488" spans="1:14">
      <c r="A2488" t="s">
        <v>1581</v>
      </c>
      <c r="B2488" t="s">
        <v>4902</v>
      </c>
      <c r="C2488" t="s">
        <v>106</v>
      </c>
      <c r="D2488" t="s">
        <v>13</v>
      </c>
      <c r="E2488" s="7">
        <v>45644</v>
      </c>
      <c r="F2488" t="s">
        <v>540</v>
      </c>
      <c r="G2488">
        <v>0</v>
      </c>
      <c r="H2488" t="s">
        <v>15</v>
      </c>
      <c r="I2488" t="s">
        <v>16</v>
      </c>
      <c r="J2488" t="s">
        <v>16</v>
      </c>
      <c r="K2488" t="str">
        <f>VLOOKUP(C2488,CheckName!A:B,2,0)</f>
        <v>Ref</v>
      </c>
      <c r="L2488">
        <v>0</v>
      </c>
      <c r="M2488">
        <f t="shared" si="377"/>
        <v>18</v>
      </c>
      <c r="N2488" t="str">
        <f>TEXT(MTDRejection[[#This Row],[RejectionDate]],"dddd")</f>
        <v>Wednesday</v>
      </c>
    </row>
    <row r="2489" spans="1:14">
      <c r="A2489" t="s">
        <v>1581</v>
      </c>
      <c r="B2489" t="s">
        <v>4903</v>
      </c>
      <c r="C2489" t="s">
        <v>71</v>
      </c>
      <c r="D2489" t="s">
        <v>13</v>
      </c>
      <c r="E2489" s="7">
        <v>45644</v>
      </c>
      <c r="F2489" t="s">
        <v>540</v>
      </c>
      <c r="G2489">
        <v>0</v>
      </c>
      <c r="H2489" t="s">
        <v>15</v>
      </c>
      <c r="I2489" t="s">
        <v>16</v>
      </c>
      <c r="J2489" t="s">
        <v>16</v>
      </c>
      <c r="K2489" t="str">
        <f>VLOOKUP(C2489,CheckName!A:B,2,0)</f>
        <v>CRC</v>
      </c>
      <c r="L2489">
        <v>0</v>
      </c>
      <c r="M2489">
        <f t="shared" si="377"/>
        <v>18</v>
      </c>
      <c r="N2489" t="str">
        <f>TEXT(MTDRejection[[#This Row],[RejectionDate]],"dddd")</f>
        <v>Wednesday</v>
      </c>
    </row>
    <row r="2490" spans="1:14">
      <c r="A2490" t="s">
        <v>1581</v>
      </c>
      <c r="B2490" t="s">
        <v>1963</v>
      </c>
      <c r="C2490" t="s">
        <v>25</v>
      </c>
      <c r="D2490" t="s">
        <v>13</v>
      </c>
      <c r="E2490" s="7">
        <v>45644</v>
      </c>
      <c r="F2490" t="s">
        <v>540</v>
      </c>
      <c r="G2490">
        <v>0</v>
      </c>
      <c r="H2490" t="s">
        <v>15</v>
      </c>
      <c r="I2490" t="s">
        <v>16</v>
      </c>
      <c r="J2490" t="s">
        <v>16</v>
      </c>
      <c r="K2490" t="str">
        <f>VLOOKUP(C2490,CheckName!A:B,2,0)</f>
        <v>Add</v>
      </c>
      <c r="L2490">
        <v>0</v>
      </c>
      <c r="M2490">
        <f t="shared" si="377"/>
        <v>18</v>
      </c>
      <c r="N2490" t="str">
        <f>TEXT(MTDRejection[[#This Row],[RejectionDate]],"dddd")</f>
        <v>Wednesday</v>
      </c>
    </row>
    <row r="2491" spans="1:14">
      <c r="A2491" t="s">
        <v>1581</v>
      </c>
      <c r="B2491" t="s">
        <v>4904</v>
      </c>
      <c r="C2491" t="s">
        <v>54</v>
      </c>
      <c r="D2491" t="s">
        <v>13</v>
      </c>
      <c r="E2491" s="7">
        <v>45644</v>
      </c>
      <c r="F2491" t="s">
        <v>540</v>
      </c>
      <c r="G2491">
        <v>0</v>
      </c>
      <c r="H2491" t="s">
        <v>15</v>
      </c>
      <c r="I2491" t="s">
        <v>16</v>
      </c>
      <c r="J2491" t="s">
        <v>16</v>
      </c>
      <c r="K2491" t="str">
        <f>VLOOKUP(C2491,CheckName!A:B,2,0)</f>
        <v>Edu</v>
      </c>
      <c r="L2491">
        <v>0</v>
      </c>
      <c r="M2491">
        <f t="shared" si="377"/>
        <v>18</v>
      </c>
      <c r="N2491" t="str">
        <f>TEXT(MTDRejection[[#This Row],[RejectionDate]],"dddd")</f>
        <v>Wednesday</v>
      </c>
    </row>
    <row r="2492" spans="1:14">
      <c r="A2492" t="s">
        <v>1581</v>
      </c>
      <c r="B2492" t="s">
        <v>4905</v>
      </c>
      <c r="C2492" t="s">
        <v>220</v>
      </c>
      <c r="D2492" t="s">
        <v>13</v>
      </c>
      <c r="E2492" s="7">
        <v>45644</v>
      </c>
      <c r="F2492" t="s">
        <v>540</v>
      </c>
      <c r="G2492">
        <v>0</v>
      </c>
      <c r="H2492" t="s">
        <v>15</v>
      </c>
      <c r="I2492" t="s">
        <v>16</v>
      </c>
      <c r="J2492" t="s">
        <v>16</v>
      </c>
      <c r="K2492" t="str">
        <f>VLOOKUP(C2492,CheckName!A:B,2,0)</f>
        <v>Ref</v>
      </c>
      <c r="L2492">
        <v>0</v>
      </c>
      <c r="M2492">
        <f t="shared" si="377"/>
        <v>18</v>
      </c>
      <c r="N2492" t="str">
        <f>TEXT(MTDRejection[[#This Row],[RejectionDate]],"dddd")</f>
        <v>Wednesday</v>
      </c>
    </row>
    <row r="2493" spans="1:14">
      <c r="A2493" t="s">
        <v>1581</v>
      </c>
      <c r="B2493" t="s">
        <v>4906</v>
      </c>
      <c r="C2493" t="s">
        <v>59</v>
      </c>
      <c r="D2493" t="s">
        <v>13</v>
      </c>
      <c r="E2493" s="7">
        <v>45644</v>
      </c>
      <c r="F2493" t="s">
        <v>540</v>
      </c>
      <c r="G2493">
        <v>0</v>
      </c>
      <c r="H2493" t="s">
        <v>15</v>
      </c>
      <c r="I2493" t="s">
        <v>16</v>
      </c>
      <c r="J2493" t="s">
        <v>16</v>
      </c>
      <c r="K2493" t="str">
        <f>VLOOKUP(C2493,CheckName!A:B,2,0)</f>
        <v>Special Check</v>
      </c>
      <c r="L2493">
        <v>0</v>
      </c>
      <c r="M2493">
        <f t="shared" si="377"/>
        <v>18</v>
      </c>
      <c r="N2493" t="str">
        <f>TEXT(MTDRejection[[#This Row],[RejectionDate]],"dddd")</f>
        <v>Wednesday</v>
      </c>
    </row>
    <row r="2494" spans="1:14">
      <c r="A2494" t="s">
        <v>1552</v>
      </c>
      <c r="B2494" t="s">
        <v>4907</v>
      </c>
      <c r="C2494" t="s">
        <v>1686</v>
      </c>
      <c r="D2494" t="s">
        <v>26</v>
      </c>
      <c r="E2494" s="7">
        <v>45644</v>
      </c>
      <c r="F2494" t="s">
        <v>118</v>
      </c>
      <c r="G2494">
        <v>0</v>
      </c>
      <c r="H2494" t="s">
        <v>27</v>
      </c>
      <c r="I2494" t="s">
        <v>16</v>
      </c>
      <c r="J2494" t="s">
        <v>16</v>
      </c>
      <c r="K2494" t="str">
        <f>VLOOKUP(C2494,CheckName!A:B,2,0)</f>
        <v>CRC</v>
      </c>
      <c r="L2494">
        <v>0</v>
      </c>
      <c r="M2494">
        <f t="shared" si="377"/>
        <v>18</v>
      </c>
      <c r="N2494" t="str">
        <f>TEXT(MTDRejection[[#This Row],[RejectionDate]],"dddd")</f>
        <v>Wednesday</v>
      </c>
    </row>
    <row r="2495" spans="1:14">
      <c r="A2495" t="s">
        <v>977</v>
      </c>
      <c r="B2495" t="s">
        <v>4908</v>
      </c>
      <c r="C2495" t="s">
        <v>12</v>
      </c>
      <c r="D2495" t="s">
        <v>38</v>
      </c>
      <c r="E2495" s="7">
        <v>45644</v>
      </c>
      <c r="F2495" t="s">
        <v>39</v>
      </c>
      <c r="G2495">
        <v>0</v>
      </c>
      <c r="H2495" t="s">
        <v>27</v>
      </c>
      <c r="I2495" t="s">
        <v>16</v>
      </c>
      <c r="J2495" t="s">
        <v>16</v>
      </c>
      <c r="K2495" t="str">
        <f>VLOOKUP(C2495,CheckName!A:B,2,0)</f>
        <v>Emp</v>
      </c>
      <c r="L2495">
        <v>0</v>
      </c>
      <c r="M2495">
        <f t="shared" ref="M2495:M2498" si="378">DAY(E2495)</f>
        <v>18</v>
      </c>
      <c r="N2495" t="str">
        <f>TEXT(MTDRejection[[#This Row],[RejectionDate]],"dddd")</f>
        <v>Wednesday</v>
      </c>
    </row>
    <row r="2496" spans="1:14">
      <c r="A2496" t="s">
        <v>977</v>
      </c>
      <c r="B2496" t="s">
        <v>4909</v>
      </c>
      <c r="C2496" t="s">
        <v>1964</v>
      </c>
      <c r="D2496" t="s">
        <v>38</v>
      </c>
      <c r="E2496" s="7">
        <v>45644</v>
      </c>
      <c r="F2496" t="s">
        <v>118</v>
      </c>
      <c r="G2496">
        <v>0</v>
      </c>
      <c r="H2496" t="s">
        <v>27</v>
      </c>
      <c r="I2496" t="s">
        <v>16</v>
      </c>
      <c r="J2496" t="s">
        <v>16</v>
      </c>
      <c r="K2496" t="str">
        <f>VLOOKUP(C2496,CheckName!A:B,2,0)</f>
        <v>Special Check</v>
      </c>
      <c r="L2496">
        <v>0</v>
      </c>
      <c r="M2496">
        <f t="shared" si="378"/>
        <v>18</v>
      </c>
      <c r="N2496" t="str">
        <f>TEXT(MTDRejection[[#This Row],[RejectionDate]],"dddd")</f>
        <v>Wednesday</v>
      </c>
    </row>
    <row r="2497" spans="1:14">
      <c r="A2497" t="s">
        <v>977</v>
      </c>
      <c r="B2497" t="s">
        <v>4910</v>
      </c>
      <c r="C2497" t="s">
        <v>1964</v>
      </c>
      <c r="D2497" t="s">
        <v>38</v>
      </c>
      <c r="E2497" s="7">
        <v>45644</v>
      </c>
      <c r="F2497" t="s">
        <v>118</v>
      </c>
      <c r="G2497">
        <v>0</v>
      </c>
      <c r="H2497" t="s">
        <v>27</v>
      </c>
      <c r="I2497" t="s">
        <v>16</v>
      </c>
      <c r="J2497" t="s">
        <v>16</v>
      </c>
      <c r="K2497" t="str">
        <f>VLOOKUP(C2497,CheckName!A:B,2,0)</f>
        <v>Special Check</v>
      </c>
      <c r="L2497">
        <v>0</v>
      </c>
      <c r="M2497">
        <f t="shared" si="378"/>
        <v>18</v>
      </c>
      <c r="N2497" t="str">
        <f>TEXT(MTDRejection[[#This Row],[RejectionDate]],"dddd")</f>
        <v>Wednesday</v>
      </c>
    </row>
    <row r="2498" spans="1:14">
      <c r="A2498" t="s">
        <v>977</v>
      </c>
      <c r="B2498" t="s">
        <v>4911</v>
      </c>
      <c r="C2498" t="s">
        <v>59</v>
      </c>
      <c r="D2498" t="s">
        <v>38</v>
      </c>
      <c r="E2498" s="7">
        <v>45644</v>
      </c>
      <c r="F2498" t="s">
        <v>118</v>
      </c>
      <c r="G2498">
        <v>0</v>
      </c>
      <c r="H2498" t="s">
        <v>27</v>
      </c>
      <c r="I2498" t="s">
        <v>16</v>
      </c>
      <c r="J2498" t="s">
        <v>16</v>
      </c>
      <c r="K2498" t="str">
        <f>VLOOKUP(C2498,CheckName!A:B,2,0)</f>
        <v>Special Check</v>
      </c>
      <c r="L2498">
        <v>0</v>
      </c>
      <c r="M2498">
        <f t="shared" si="378"/>
        <v>18</v>
      </c>
      <c r="N2498" t="str">
        <f>TEXT(MTDRejection[[#This Row],[RejectionDate]],"dddd")</f>
        <v>Wednesday</v>
      </c>
    </row>
    <row r="2499" spans="1:14">
      <c r="A2499" t="s">
        <v>96</v>
      </c>
      <c r="B2499" t="s">
        <v>4912</v>
      </c>
      <c r="C2499" t="s">
        <v>54</v>
      </c>
      <c r="D2499" t="s">
        <v>26</v>
      </c>
      <c r="E2499" s="7">
        <v>45644</v>
      </c>
      <c r="F2499" t="s">
        <v>458</v>
      </c>
      <c r="G2499">
        <v>0</v>
      </c>
      <c r="H2499" t="s">
        <v>22</v>
      </c>
      <c r="I2499" t="s">
        <v>16</v>
      </c>
      <c r="J2499" t="s">
        <v>16</v>
      </c>
      <c r="K2499" t="str">
        <f>VLOOKUP(C2499,CheckName!A:B,2,0)</f>
        <v>Edu</v>
      </c>
      <c r="L2499">
        <v>0</v>
      </c>
      <c r="M2499">
        <f t="shared" ref="M2499:M2500" si="379">DAY(E2499)</f>
        <v>18</v>
      </c>
      <c r="N2499" t="str">
        <f>TEXT(MTDRejection[[#This Row],[RejectionDate]],"dddd")</f>
        <v>Wednesday</v>
      </c>
    </row>
    <row r="2500" spans="1:14">
      <c r="A2500" t="s">
        <v>1204</v>
      </c>
      <c r="B2500" t="s">
        <v>2622</v>
      </c>
      <c r="C2500" t="s">
        <v>54</v>
      </c>
      <c r="D2500" t="s">
        <v>26</v>
      </c>
      <c r="E2500" s="7">
        <v>45644</v>
      </c>
      <c r="F2500" t="s">
        <v>1798</v>
      </c>
      <c r="G2500">
        <v>0</v>
      </c>
      <c r="H2500" t="s">
        <v>22</v>
      </c>
      <c r="I2500" t="s">
        <v>16</v>
      </c>
      <c r="J2500" t="s">
        <v>16</v>
      </c>
      <c r="K2500" t="str">
        <f>VLOOKUP(C2500,CheckName!A:B,2,0)</f>
        <v>Edu</v>
      </c>
      <c r="L2500">
        <v>0</v>
      </c>
      <c r="M2500">
        <f t="shared" si="379"/>
        <v>18</v>
      </c>
      <c r="N2500" t="str">
        <f>TEXT(MTDRejection[[#This Row],[RejectionDate]],"dddd")</f>
        <v>Wednesday</v>
      </c>
    </row>
    <row r="2501" spans="1:14">
      <c r="A2501" t="s">
        <v>45</v>
      </c>
      <c r="B2501" t="s">
        <v>4913</v>
      </c>
      <c r="C2501" t="s">
        <v>112</v>
      </c>
      <c r="D2501" t="s">
        <v>38</v>
      </c>
      <c r="E2501" s="7">
        <v>45644</v>
      </c>
      <c r="F2501" t="s">
        <v>39</v>
      </c>
      <c r="G2501">
        <v>0</v>
      </c>
      <c r="H2501" t="s">
        <v>42</v>
      </c>
      <c r="I2501" t="s">
        <v>16</v>
      </c>
      <c r="J2501" t="s">
        <v>16</v>
      </c>
      <c r="K2501" t="str">
        <f>VLOOKUP(C2501,CheckName!A:B,2,0)</f>
        <v>Emp</v>
      </c>
      <c r="L2501">
        <v>0</v>
      </c>
      <c r="M2501">
        <f>DAY(E2501)</f>
        <v>18</v>
      </c>
      <c r="N2501" t="str">
        <f>TEXT(MTDRejection[[#This Row],[RejectionDate]],"dddd")</f>
        <v>Wednesday</v>
      </c>
    </row>
    <row r="2502" spans="1:14">
      <c r="A2502" t="s">
        <v>45</v>
      </c>
      <c r="B2502" t="s">
        <v>4914</v>
      </c>
      <c r="C2502" t="s">
        <v>12</v>
      </c>
      <c r="D2502" t="s">
        <v>38</v>
      </c>
      <c r="E2502" s="7">
        <v>45644</v>
      </c>
      <c r="F2502" t="s">
        <v>39</v>
      </c>
      <c r="G2502">
        <v>0</v>
      </c>
      <c r="H2502" t="s">
        <v>42</v>
      </c>
      <c r="I2502" t="s">
        <v>16</v>
      </c>
      <c r="J2502" t="s">
        <v>16</v>
      </c>
      <c r="K2502" t="str">
        <f>VLOOKUP(C2502,CheckName!A:B,2,0)</f>
        <v>Emp</v>
      </c>
      <c r="L2502">
        <v>0</v>
      </c>
      <c r="M2502">
        <f t="shared" ref="M2502:M2504" si="380">DAY(E2502)</f>
        <v>18</v>
      </c>
      <c r="N2502" t="str">
        <f>TEXT(MTDRejection[[#This Row],[RejectionDate]],"dddd")</f>
        <v>Wednesday</v>
      </c>
    </row>
    <row r="2503" spans="1:14">
      <c r="A2503" t="s">
        <v>45</v>
      </c>
      <c r="B2503" t="s">
        <v>4915</v>
      </c>
      <c r="C2503" t="s">
        <v>1103</v>
      </c>
      <c r="D2503" t="s">
        <v>38</v>
      </c>
      <c r="E2503" s="7">
        <v>45644</v>
      </c>
      <c r="F2503" t="s">
        <v>108</v>
      </c>
      <c r="G2503">
        <v>0</v>
      </c>
      <c r="H2503" t="s">
        <v>42</v>
      </c>
      <c r="I2503" t="s">
        <v>16</v>
      </c>
      <c r="J2503" t="s">
        <v>16</v>
      </c>
      <c r="K2503" t="str">
        <f>VLOOKUP(C2503,CheckName!A:B,2,0)</f>
        <v>CRC</v>
      </c>
      <c r="L2503">
        <v>0</v>
      </c>
      <c r="M2503">
        <f t="shared" si="380"/>
        <v>18</v>
      </c>
      <c r="N2503" t="str">
        <f>TEXT(MTDRejection[[#This Row],[RejectionDate]],"dddd")</f>
        <v>Wednesday</v>
      </c>
    </row>
    <row r="2504" spans="1:14">
      <c r="A2504" t="s">
        <v>133</v>
      </c>
      <c r="B2504" t="s">
        <v>4916</v>
      </c>
      <c r="C2504" t="s">
        <v>25</v>
      </c>
      <c r="D2504" t="s">
        <v>20</v>
      </c>
      <c r="E2504" s="7">
        <v>45644</v>
      </c>
      <c r="F2504" t="s">
        <v>2330</v>
      </c>
      <c r="G2504">
        <v>0</v>
      </c>
      <c r="H2504" t="s">
        <v>22</v>
      </c>
      <c r="I2504" t="s">
        <v>16</v>
      </c>
      <c r="J2504" t="s">
        <v>16</v>
      </c>
      <c r="K2504" t="str">
        <f>VLOOKUP(C2504,CheckName!A:B,2,0)</f>
        <v>Add</v>
      </c>
      <c r="L2504">
        <v>0</v>
      </c>
      <c r="M2504">
        <f t="shared" si="380"/>
        <v>18</v>
      </c>
      <c r="N2504" t="str">
        <f>TEXT(MTDRejection[[#This Row],[RejectionDate]],"dddd")</f>
        <v>Wednesday</v>
      </c>
    </row>
    <row r="2505" spans="1:14">
      <c r="A2505" t="s">
        <v>461</v>
      </c>
      <c r="B2505" t="s">
        <v>2623</v>
      </c>
      <c r="C2505" t="s">
        <v>54</v>
      </c>
      <c r="D2505" t="s">
        <v>26</v>
      </c>
      <c r="E2505" s="7">
        <v>45644</v>
      </c>
      <c r="F2505" t="s">
        <v>188</v>
      </c>
      <c r="G2505">
        <v>0</v>
      </c>
      <c r="H2505" t="s">
        <v>27</v>
      </c>
      <c r="I2505" t="s">
        <v>16</v>
      </c>
      <c r="J2505" t="s">
        <v>16</v>
      </c>
      <c r="K2505" t="str">
        <f>VLOOKUP(C2505,CheckName!A:B,2,0)</f>
        <v>Edu</v>
      </c>
      <c r="L2505">
        <v>0</v>
      </c>
      <c r="M2505">
        <f>DAY(E2505)</f>
        <v>18</v>
      </c>
      <c r="N2505" t="str">
        <f>TEXT(MTDRejection[[#This Row],[RejectionDate]],"dddd")</f>
        <v>Wednesday</v>
      </c>
    </row>
    <row r="2506" spans="1:14">
      <c r="A2506" t="s">
        <v>100</v>
      </c>
      <c r="B2506" t="s">
        <v>4917</v>
      </c>
      <c r="C2506" t="s">
        <v>1333</v>
      </c>
      <c r="D2506" t="s">
        <v>13</v>
      </c>
      <c r="E2506" s="7">
        <v>45644</v>
      </c>
      <c r="F2506" t="s">
        <v>1861</v>
      </c>
      <c r="G2506">
        <v>0</v>
      </c>
      <c r="H2506" t="s">
        <v>15</v>
      </c>
      <c r="I2506" t="s">
        <v>16</v>
      </c>
      <c r="J2506" t="s">
        <v>16</v>
      </c>
      <c r="K2506" t="str">
        <f>VLOOKUP(C2506,CheckName!A:B,2,0)</f>
        <v>CRC</v>
      </c>
      <c r="L2506">
        <v>0</v>
      </c>
      <c r="M2506">
        <f t="shared" ref="M2506:M2507" si="381">DAY(E2506)</f>
        <v>18</v>
      </c>
      <c r="N2506" t="str">
        <f>TEXT(MTDRejection[[#This Row],[RejectionDate]],"dddd")</f>
        <v>Wednesday</v>
      </c>
    </row>
    <row r="2507" spans="1:14">
      <c r="A2507" t="s">
        <v>100</v>
      </c>
      <c r="B2507" t="s">
        <v>4918</v>
      </c>
      <c r="C2507" t="s">
        <v>1334</v>
      </c>
      <c r="D2507" t="s">
        <v>13</v>
      </c>
      <c r="E2507" s="7">
        <v>45644</v>
      </c>
      <c r="F2507" t="s">
        <v>1861</v>
      </c>
      <c r="G2507">
        <v>0</v>
      </c>
      <c r="H2507" t="s">
        <v>15</v>
      </c>
      <c r="I2507" t="s">
        <v>16</v>
      </c>
      <c r="J2507" t="s">
        <v>16</v>
      </c>
      <c r="K2507" t="str">
        <f>VLOOKUP(C2507,CheckName!A:B,2,0)</f>
        <v>CRC</v>
      </c>
      <c r="L2507">
        <v>0</v>
      </c>
      <c r="M2507">
        <f t="shared" si="381"/>
        <v>18</v>
      </c>
      <c r="N2507" t="str">
        <f>TEXT(MTDRejection[[#This Row],[RejectionDate]],"dddd")</f>
        <v>Wednesday</v>
      </c>
    </row>
    <row r="2508" spans="1:14">
      <c r="A2508" t="s">
        <v>281</v>
      </c>
      <c r="B2508" t="s">
        <v>4919</v>
      </c>
      <c r="C2508" t="s">
        <v>36</v>
      </c>
      <c r="D2508" t="s">
        <v>51</v>
      </c>
      <c r="E2508" s="7">
        <v>45644</v>
      </c>
      <c r="F2508" t="s">
        <v>2349</v>
      </c>
      <c r="G2508">
        <v>0</v>
      </c>
      <c r="H2508" t="s">
        <v>53</v>
      </c>
      <c r="I2508" t="s">
        <v>16</v>
      </c>
      <c r="J2508" t="s">
        <v>16</v>
      </c>
      <c r="K2508" t="str">
        <f>VLOOKUP(C2508,CheckName!A:B,2,0)</f>
        <v>Emp</v>
      </c>
      <c r="L2508">
        <v>0</v>
      </c>
      <c r="M2508">
        <f t="shared" ref="M2508:M2510" si="382">DAY(E2508)</f>
        <v>18</v>
      </c>
      <c r="N2508" t="str">
        <f>TEXT(MTDRejection[[#This Row],[RejectionDate]],"dddd")</f>
        <v>Wednesday</v>
      </c>
    </row>
    <row r="2509" spans="1:14">
      <c r="A2509" t="s">
        <v>306</v>
      </c>
      <c r="B2509" t="s">
        <v>1966</v>
      </c>
      <c r="C2509" t="s">
        <v>1730</v>
      </c>
      <c r="D2509" t="s">
        <v>13</v>
      </c>
      <c r="E2509" s="7">
        <v>45644</v>
      </c>
      <c r="F2509" t="s">
        <v>844</v>
      </c>
      <c r="G2509">
        <v>0</v>
      </c>
      <c r="H2509" t="s">
        <v>15</v>
      </c>
      <c r="I2509" t="s">
        <v>16</v>
      </c>
      <c r="J2509" t="s">
        <v>16</v>
      </c>
      <c r="K2509" t="str">
        <f>VLOOKUP(C2509,CheckName!A:B,2,0)</f>
        <v>Special Check</v>
      </c>
      <c r="L2509">
        <v>0</v>
      </c>
      <c r="M2509">
        <f t="shared" si="382"/>
        <v>18</v>
      </c>
      <c r="N2509" t="str">
        <f>TEXT(MTDRejection[[#This Row],[RejectionDate]],"dddd")</f>
        <v>Wednesday</v>
      </c>
    </row>
    <row r="2510" spans="1:14">
      <c r="A2510" t="s">
        <v>306</v>
      </c>
      <c r="B2510" t="s">
        <v>4920</v>
      </c>
      <c r="C2510" t="s">
        <v>56</v>
      </c>
      <c r="D2510" t="s">
        <v>13</v>
      </c>
      <c r="E2510" s="7">
        <v>45644</v>
      </c>
      <c r="F2510" t="s">
        <v>844</v>
      </c>
      <c r="G2510">
        <v>0</v>
      </c>
      <c r="H2510" t="s">
        <v>15</v>
      </c>
      <c r="I2510" t="s">
        <v>16</v>
      </c>
      <c r="J2510" t="s">
        <v>16</v>
      </c>
      <c r="K2510" t="str">
        <f>VLOOKUP(C2510,CheckName!A:B,2,0)</f>
        <v>Special Check</v>
      </c>
      <c r="L2510">
        <v>0</v>
      </c>
      <c r="M2510">
        <f t="shared" si="382"/>
        <v>18</v>
      </c>
      <c r="N2510" t="str">
        <f>TEXT(MTDRejection[[#This Row],[RejectionDate]],"dddd")</f>
        <v>Wednesday</v>
      </c>
    </row>
    <row r="2511" spans="1:14">
      <c r="A2511" t="s">
        <v>362</v>
      </c>
      <c r="B2511" t="s">
        <v>4921</v>
      </c>
      <c r="C2511" t="s">
        <v>12</v>
      </c>
      <c r="D2511" t="s">
        <v>26</v>
      </c>
      <c r="E2511" s="7">
        <v>45644</v>
      </c>
      <c r="F2511" t="s">
        <v>169</v>
      </c>
      <c r="G2511">
        <v>0</v>
      </c>
      <c r="H2511" t="s">
        <v>27</v>
      </c>
      <c r="I2511" t="s">
        <v>16</v>
      </c>
      <c r="J2511" t="s">
        <v>16</v>
      </c>
      <c r="K2511" t="str">
        <f>VLOOKUP(C2511,CheckName!A:B,2,0)</f>
        <v>Emp</v>
      </c>
      <c r="L2511">
        <v>0</v>
      </c>
      <c r="M2511">
        <f>DAY(E2511)</f>
        <v>18</v>
      </c>
      <c r="N2511" t="str">
        <f>TEXT(MTDRejection[[#This Row],[RejectionDate]],"dddd")</f>
        <v>Wednesday</v>
      </c>
    </row>
    <row r="2512" spans="1:14">
      <c r="A2512" t="s">
        <v>306</v>
      </c>
      <c r="B2512" t="s">
        <v>4922</v>
      </c>
      <c r="C2512" t="s">
        <v>12</v>
      </c>
      <c r="D2512" t="s">
        <v>51</v>
      </c>
      <c r="E2512" s="7">
        <v>45644</v>
      </c>
      <c r="F2512" t="s">
        <v>2349</v>
      </c>
      <c r="G2512">
        <v>0</v>
      </c>
      <c r="H2512" t="s">
        <v>53</v>
      </c>
      <c r="I2512" t="s">
        <v>16</v>
      </c>
      <c r="J2512" t="s">
        <v>16</v>
      </c>
      <c r="K2512" t="str">
        <f>VLOOKUP(C2512,CheckName!A:B,2,0)</f>
        <v>Emp</v>
      </c>
      <c r="L2512">
        <v>0</v>
      </c>
      <c r="M2512">
        <f>DAY(E2512)</f>
        <v>18</v>
      </c>
      <c r="N2512" t="str">
        <f>TEXT(MTDRejection[[#This Row],[RejectionDate]],"dddd")</f>
        <v>Wednesday</v>
      </c>
    </row>
    <row r="2513" spans="1:14">
      <c r="A2513" t="s">
        <v>845</v>
      </c>
      <c r="B2513" t="s">
        <v>4923</v>
      </c>
      <c r="C2513" t="s">
        <v>467</v>
      </c>
      <c r="D2513" t="s">
        <v>26</v>
      </c>
      <c r="E2513" s="7">
        <v>45643</v>
      </c>
      <c r="F2513" t="s">
        <v>236</v>
      </c>
      <c r="G2513">
        <v>1</v>
      </c>
      <c r="H2513" t="s">
        <v>27</v>
      </c>
      <c r="I2513" t="s">
        <v>16</v>
      </c>
      <c r="J2513" t="s">
        <v>16</v>
      </c>
      <c r="K2513" t="str">
        <f>VLOOKUP(C2513,CheckName!A:B,2,0)</f>
        <v>Special Check</v>
      </c>
      <c r="L2513">
        <v>1</v>
      </c>
      <c r="M2513">
        <f>DAY(E2513)</f>
        <v>17</v>
      </c>
      <c r="N2513" t="str">
        <f>TEXT(MTDRejection[[#This Row],[RejectionDate]],"dddd")</f>
        <v>Tuesday</v>
      </c>
    </row>
    <row r="2514" spans="1:14">
      <c r="A2514" t="s">
        <v>1316</v>
      </c>
      <c r="B2514" t="s">
        <v>2624</v>
      </c>
      <c r="C2514" t="s">
        <v>12</v>
      </c>
      <c r="D2514" t="s">
        <v>26</v>
      </c>
      <c r="E2514" s="7">
        <v>45629</v>
      </c>
      <c r="F2514" t="s">
        <v>83</v>
      </c>
      <c r="G2514">
        <v>15</v>
      </c>
      <c r="H2514" t="s">
        <v>27</v>
      </c>
      <c r="I2514" t="s">
        <v>16</v>
      </c>
      <c r="J2514" t="s">
        <v>16</v>
      </c>
      <c r="K2514" t="str">
        <f>VLOOKUP(C2514,CheckName!A:B,2,0)</f>
        <v>Emp</v>
      </c>
      <c r="L2514">
        <v>0</v>
      </c>
      <c r="M2514">
        <f>DAY(E2514)</f>
        <v>3</v>
      </c>
      <c r="N2514" t="str">
        <f>TEXT(MTDRejection[[#This Row],[RejectionDate]],"dddd")</f>
        <v>Tuesday</v>
      </c>
    </row>
    <row r="2515" spans="1:14">
      <c r="A2515" t="s">
        <v>1573</v>
      </c>
      <c r="B2515" t="s">
        <v>4924</v>
      </c>
      <c r="C2515" t="s">
        <v>71</v>
      </c>
      <c r="D2515" t="s">
        <v>13</v>
      </c>
      <c r="E2515" s="7">
        <v>45644</v>
      </c>
      <c r="F2515" t="s">
        <v>2334</v>
      </c>
      <c r="G2515">
        <v>0</v>
      </c>
      <c r="H2515" t="s">
        <v>30</v>
      </c>
      <c r="I2515" t="s">
        <v>16</v>
      </c>
      <c r="J2515" t="s">
        <v>16</v>
      </c>
      <c r="K2515" t="str">
        <f>VLOOKUP(C2515,CheckName!A:B,2,0)</f>
        <v>CRC</v>
      </c>
      <c r="L2515">
        <v>0</v>
      </c>
      <c r="M2515">
        <f t="shared" ref="M2515:M2517" si="383">DAY(E2515)</f>
        <v>18</v>
      </c>
      <c r="N2515" t="str">
        <f>TEXT(MTDRejection[[#This Row],[RejectionDate]],"dddd")</f>
        <v>Wednesday</v>
      </c>
    </row>
    <row r="2516" spans="1:14">
      <c r="A2516" t="s">
        <v>858</v>
      </c>
      <c r="B2516" t="s">
        <v>4925</v>
      </c>
      <c r="C2516" t="s">
        <v>54</v>
      </c>
      <c r="D2516" t="s">
        <v>13</v>
      </c>
      <c r="E2516" s="7">
        <v>45644</v>
      </c>
      <c r="F2516" t="s">
        <v>107</v>
      </c>
      <c r="G2516">
        <v>0</v>
      </c>
      <c r="H2516" t="s">
        <v>15</v>
      </c>
      <c r="I2516" t="s">
        <v>16</v>
      </c>
      <c r="J2516" t="s">
        <v>16</v>
      </c>
      <c r="K2516" t="str">
        <f>VLOOKUP(C2516,CheckName!A:B,2,0)</f>
        <v>Edu</v>
      </c>
      <c r="L2516">
        <v>0</v>
      </c>
      <c r="M2516">
        <f t="shared" si="383"/>
        <v>18</v>
      </c>
      <c r="N2516" t="str">
        <f>TEXT(MTDRejection[[#This Row],[RejectionDate]],"dddd")</f>
        <v>Wednesday</v>
      </c>
    </row>
    <row r="2517" spans="1:14">
      <c r="A2517" t="s">
        <v>1886</v>
      </c>
      <c r="B2517" t="s">
        <v>4926</v>
      </c>
      <c r="C2517" t="s">
        <v>71</v>
      </c>
      <c r="D2517" t="s">
        <v>13</v>
      </c>
      <c r="E2517" s="7">
        <v>45644</v>
      </c>
      <c r="F2517" t="s">
        <v>107</v>
      </c>
      <c r="G2517">
        <v>0</v>
      </c>
      <c r="H2517" t="s">
        <v>15</v>
      </c>
      <c r="I2517" t="s">
        <v>16</v>
      </c>
      <c r="J2517" t="s">
        <v>16</v>
      </c>
      <c r="K2517" t="str">
        <f>VLOOKUP(C2517,CheckName!A:B,2,0)</f>
        <v>CRC</v>
      </c>
      <c r="L2517">
        <v>0</v>
      </c>
      <c r="M2517">
        <f t="shared" si="383"/>
        <v>18</v>
      </c>
      <c r="N2517" t="str">
        <f>TEXT(MTDRejection[[#This Row],[RejectionDate]],"dddd")</f>
        <v>Wednesday</v>
      </c>
    </row>
    <row r="2518" spans="1:14">
      <c r="A2518" t="s">
        <v>391</v>
      </c>
      <c r="B2518" t="s">
        <v>4927</v>
      </c>
      <c r="C2518" t="s">
        <v>71</v>
      </c>
      <c r="D2518" t="s">
        <v>13</v>
      </c>
      <c r="E2518" s="7">
        <v>45644</v>
      </c>
      <c r="F2518" t="s">
        <v>579</v>
      </c>
      <c r="G2518">
        <v>0</v>
      </c>
      <c r="H2518" t="s">
        <v>15</v>
      </c>
      <c r="I2518" t="s">
        <v>16</v>
      </c>
      <c r="J2518" t="s">
        <v>16</v>
      </c>
      <c r="K2518" t="str">
        <f>VLOOKUP(C2518,CheckName!A:B,2,0)</f>
        <v>CRC</v>
      </c>
      <c r="L2518">
        <v>0</v>
      </c>
      <c r="M2518">
        <f>DAY(E2518)</f>
        <v>18</v>
      </c>
      <c r="N2518" t="str">
        <f>TEXT(MTDRejection[[#This Row],[RejectionDate]],"dddd")</f>
        <v>Wednesday</v>
      </c>
    </row>
    <row r="2519" spans="1:14">
      <c r="A2519" t="s">
        <v>1016</v>
      </c>
      <c r="B2519" t="s">
        <v>4928</v>
      </c>
      <c r="C2519" t="s">
        <v>56</v>
      </c>
      <c r="D2519" t="s">
        <v>13</v>
      </c>
      <c r="E2519" s="7">
        <v>45644</v>
      </c>
      <c r="F2519" t="s">
        <v>574</v>
      </c>
      <c r="G2519">
        <v>0</v>
      </c>
      <c r="H2519" t="s">
        <v>15</v>
      </c>
      <c r="I2519" t="s">
        <v>16</v>
      </c>
      <c r="J2519" t="s">
        <v>16</v>
      </c>
      <c r="K2519" t="str">
        <f>VLOOKUP(C2519,CheckName!A:B,2,0)</f>
        <v>Special Check</v>
      </c>
      <c r="L2519">
        <v>0</v>
      </c>
      <c r="M2519">
        <f>DAY(E2519)</f>
        <v>18</v>
      </c>
      <c r="N2519" t="str">
        <f>TEXT(MTDRejection[[#This Row],[RejectionDate]],"dddd")</f>
        <v>Wednesday</v>
      </c>
    </row>
    <row r="2520" spans="1:14">
      <c r="A2520" t="s">
        <v>250</v>
      </c>
      <c r="B2520" t="s">
        <v>4929</v>
      </c>
      <c r="C2520" t="s">
        <v>36</v>
      </c>
      <c r="D2520" t="s">
        <v>13</v>
      </c>
      <c r="E2520" s="7">
        <v>45644</v>
      </c>
      <c r="F2520" t="s">
        <v>1861</v>
      </c>
      <c r="G2520">
        <v>0</v>
      </c>
      <c r="H2520" t="s">
        <v>15</v>
      </c>
      <c r="I2520" t="s">
        <v>16</v>
      </c>
      <c r="J2520" t="s">
        <v>16</v>
      </c>
      <c r="K2520" t="str">
        <f>VLOOKUP(C2520,CheckName!A:B,2,0)</f>
        <v>Emp</v>
      </c>
      <c r="L2520">
        <v>0</v>
      </c>
      <c r="M2520">
        <f t="shared" ref="M2520:M2521" si="384">DAY(E2520)</f>
        <v>18</v>
      </c>
      <c r="N2520" t="str">
        <f>TEXT(MTDRejection[[#This Row],[RejectionDate]],"dddd")</f>
        <v>Wednesday</v>
      </c>
    </row>
    <row r="2521" spans="1:14">
      <c r="A2521" t="s">
        <v>250</v>
      </c>
      <c r="B2521" t="s">
        <v>4930</v>
      </c>
      <c r="C2521" t="s">
        <v>125</v>
      </c>
      <c r="D2521" t="s">
        <v>13</v>
      </c>
      <c r="E2521" s="7">
        <v>45644</v>
      </c>
      <c r="F2521" t="s">
        <v>1861</v>
      </c>
      <c r="G2521">
        <v>0</v>
      </c>
      <c r="H2521" t="s">
        <v>15</v>
      </c>
      <c r="I2521" t="s">
        <v>16</v>
      </c>
      <c r="J2521" t="s">
        <v>16</v>
      </c>
      <c r="K2521" t="str">
        <f>VLOOKUP(C2521,CheckName!A:B,2,0)</f>
        <v>Emp</v>
      </c>
      <c r="L2521">
        <v>0</v>
      </c>
      <c r="M2521">
        <f t="shared" si="384"/>
        <v>18</v>
      </c>
      <c r="N2521" t="str">
        <f>TEXT(MTDRejection[[#This Row],[RejectionDate]],"dddd")</f>
        <v>Wednesday</v>
      </c>
    </row>
    <row r="2522" spans="1:14">
      <c r="A2522" t="s">
        <v>245</v>
      </c>
      <c r="B2522" t="s">
        <v>4931</v>
      </c>
      <c r="C2522" t="s">
        <v>19</v>
      </c>
      <c r="D2522" t="s">
        <v>20</v>
      </c>
      <c r="E2522" s="7">
        <v>45644</v>
      </c>
      <c r="F2522" t="s">
        <v>2330</v>
      </c>
      <c r="G2522">
        <v>0</v>
      </c>
      <c r="H2522" t="s">
        <v>22</v>
      </c>
      <c r="I2522" t="s">
        <v>16</v>
      </c>
      <c r="J2522" t="s">
        <v>16</v>
      </c>
      <c r="K2522" t="str">
        <f>VLOOKUP(C2522,CheckName!A:B,2,0)</f>
        <v>Add</v>
      </c>
      <c r="L2522">
        <v>1</v>
      </c>
      <c r="M2522">
        <f>DAY(E2522)</f>
        <v>18</v>
      </c>
      <c r="N2522" t="str">
        <f>TEXT(MTDRejection[[#This Row],[RejectionDate]],"dddd")</f>
        <v>Wednesday</v>
      </c>
    </row>
    <row r="2523" spans="1:14">
      <c r="A2523" t="s">
        <v>1802</v>
      </c>
      <c r="B2523" t="s">
        <v>4932</v>
      </c>
      <c r="C2523" t="s">
        <v>54</v>
      </c>
      <c r="D2523" t="s">
        <v>26</v>
      </c>
      <c r="E2523" s="7">
        <v>45644</v>
      </c>
      <c r="F2523" t="s">
        <v>604</v>
      </c>
      <c r="G2523">
        <v>0</v>
      </c>
      <c r="H2523" t="s">
        <v>130</v>
      </c>
      <c r="I2523" t="s">
        <v>16</v>
      </c>
      <c r="J2523" t="s">
        <v>16</v>
      </c>
      <c r="K2523" t="str">
        <f>VLOOKUP(C2523,CheckName!A:B,2,0)</f>
        <v>Edu</v>
      </c>
      <c r="L2523">
        <v>0</v>
      </c>
      <c r="M2523">
        <f t="shared" ref="M2523:M2527" si="385">DAY(E2523)</f>
        <v>18</v>
      </c>
      <c r="N2523" t="str">
        <f>TEXT(MTDRejection[[#This Row],[RejectionDate]],"dddd")</f>
        <v>Wednesday</v>
      </c>
    </row>
    <row r="2524" spans="1:14">
      <c r="A2524" t="s">
        <v>160</v>
      </c>
      <c r="B2524" t="s">
        <v>4933</v>
      </c>
      <c r="C2524" t="s">
        <v>19</v>
      </c>
      <c r="D2524" t="s">
        <v>20</v>
      </c>
      <c r="E2524" s="7">
        <v>45644</v>
      </c>
      <c r="F2524" t="s">
        <v>2327</v>
      </c>
      <c r="G2524">
        <v>0</v>
      </c>
      <c r="H2524" t="s">
        <v>27</v>
      </c>
      <c r="I2524" t="s">
        <v>16</v>
      </c>
      <c r="J2524" t="s">
        <v>16</v>
      </c>
      <c r="K2524" t="str">
        <f>VLOOKUP(C2524,CheckName!A:B,2,0)</f>
        <v>Add</v>
      </c>
      <c r="L2524">
        <v>0</v>
      </c>
      <c r="M2524">
        <f t="shared" si="385"/>
        <v>18</v>
      </c>
      <c r="N2524" t="str">
        <f>TEXT(MTDRejection[[#This Row],[RejectionDate]],"dddd")</f>
        <v>Wednesday</v>
      </c>
    </row>
    <row r="2525" spans="1:14">
      <c r="A2525" t="s">
        <v>160</v>
      </c>
      <c r="B2525" t="s">
        <v>4934</v>
      </c>
      <c r="C2525" t="s">
        <v>19</v>
      </c>
      <c r="D2525" t="s">
        <v>20</v>
      </c>
      <c r="E2525" s="7">
        <v>45644</v>
      </c>
      <c r="F2525" t="s">
        <v>2327</v>
      </c>
      <c r="G2525">
        <v>0</v>
      </c>
      <c r="H2525" t="s">
        <v>130</v>
      </c>
      <c r="I2525" t="s">
        <v>16</v>
      </c>
      <c r="J2525" t="s">
        <v>16</v>
      </c>
      <c r="K2525" t="str">
        <f>VLOOKUP(C2525,CheckName!A:B,2,0)</f>
        <v>Add</v>
      </c>
      <c r="L2525">
        <v>0</v>
      </c>
      <c r="M2525">
        <f t="shared" si="385"/>
        <v>18</v>
      </c>
      <c r="N2525" t="str">
        <f>TEXT(MTDRejection[[#This Row],[RejectionDate]],"dddd")</f>
        <v>Wednesday</v>
      </c>
    </row>
    <row r="2526" spans="1:14">
      <c r="A2526" t="s">
        <v>73</v>
      </c>
      <c r="B2526" t="s">
        <v>4935</v>
      </c>
      <c r="C2526" t="s">
        <v>54</v>
      </c>
      <c r="D2526" t="s">
        <v>26</v>
      </c>
      <c r="E2526" s="7">
        <v>45644</v>
      </c>
      <c r="F2526" t="s">
        <v>297</v>
      </c>
      <c r="G2526">
        <v>0</v>
      </c>
      <c r="H2526" t="s">
        <v>425</v>
      </c>
      <c r="I2526" t="s">
        <v>16</v>
      </c>
      <c r="J2526" t="s">
        <v>16</v>
      </c>
      <c r="K2526" t="str">
        <f>VLOOKUP(C2526,CheckName!A:B,2,0)</f>
        <v>Edu</v>
      </c>
      <c r="L2526">
        <v>0</v>
      </c>
      <c r="M2526">
        <f t="shared" si="385"/>
        <v>18</v>
      </c>
      <c r="N2526" t="str">
        <f>TEXT(MTDRejection[[#This Row],[RejectionDate]],"dddd")</f>
        <v>Wednesday</v>
      </c>
    </row>
    <row r="2527" spans="1:14">
      <c r="A2527" t="s">
        <v>45</v>
      </c>
      <c r="B2527" t="s">
        <v>4936</v>
      </c>
      <c r="C2527" t="s">
        <v>54</v>
      </c>
      <c r="D2527" t="s">
        <v>26</v>
      </c>
      <c r="E2527" s="7">
        <v>45644</v>
      </c>
      <c r="F2527" t="s">
        <v>1304</v>
      </c>
      <c r="G2527">
        <v>0</v>
      </c>
      <c r="H2527" t="s">
        <v>425</v>
      </c>
      <c r="I2527" t="s">
        <v>16</v>
      </c>
      <c r="J2527" t="s">
        <v>16</v>
      </c>
      <c r="K2527" t="str">
        <f>VLOOKUP(C2527,CheckName!A:B,2,0)</f>
        <v>Edu</v>
      </c>
      <c r="L2527">
        <v>0</v>
      </c>
      <c r="M2527">
        <f t="shared" si="385"/>
        <v>18</v>
      </c>
      <c r="N2527" t="str">
        <f>TEXT(MTDRejection[[#This Row],[RejectionDate]],"dddd")</f>
        <v>Wednesday</v>
      </c>
    </row>
    <row r="2528" spans="1:14">
      <c r="A2528" t="s">
        <v>84</v>
      </c>
      <c r="B2528" t="s">
        <v>4937</v>
      </c>
      <c r="C2528" t="s">
        <v>12</v>
      </c>
      <c r="D2528" t="s">
        <v>26</v>
      </c>
      <c r="E2528" s="7">
        <v>45644</v>
      </c>
      <c r="F2528" t="s">
        <v>151</v>
      </c>
      <c r="G2528">
        <v>0</v>
      </c>
      <c r="H2528" t="s">
        <v>27</v>
      </c>
      <c r="I2528" t="s">
        <v>16</v>
      </c>
      <c r="J2528" t="s">
        <v>16</v>
      </c>
      <c r="K2528" t="str">
        <f>VLOOKUP(C2528,CheckName!A:B,2,0)</f>
        <v>Emp</v>
      </c>
      <c r="L2528">
        <v>0</v>
      </c>
      <c r="M2528">
        <f>DAY(E2528)</f>
        <v>18</v>
      </c>
      <c r="N2528" t="str">
        <f>TEXT(MTDRejection[[#This Row],[RejectionDate]],"dddd")</f>
        <v>Wednesday</v>
      </c>
    </row>
    <row r="2529" spans="1:14">
      <c r="A2529" t="s">
        <v>499</v>
      </c>
      <c r="B2529" t="s">
        <v>4938</v>
      </c>
      <c r="C2529" t="s">
        <v>12</v>
      </c>
      <c r="D2529" t="s">
        <v>26</v>
      </c>
      <c r="E2529" s="7">
        <v>45644</v>
      </c>
      <c r="F2529" t="s">
        <v>2335</v>
      </c>
      <c r="G2529">
        <v>0</v>
      </c>
      <c r="H2529" t="s">
        <v>15</v>
      </c>
      <c r="I2529" t="s">
        <v>16</v>
      </c>
      <c r="J2529" t="s">
        <v>16</v>
      </c>
      <c r="K2529" t="str">
        <f>VLOOKUP(C2529,CheckName!A:B,2,0)</f>
        <v>Emp</v>
      </c>
      <c r="L2529">
        <v>0</v>
      </c>
      <c r="M2529">
        <f t="shared" ref="M2529:M2531" si="386">DAY(E2529)</f>
        <v>18</v>
      </c>
      <c r="N2529" t="str">
        <f>TEXT(MTDRejection[[#This Row],[RejectionDate]],"dddd")</f>
        <v>Wednesday</v>
      </c>
    </row>
    <row r="2530" spans="1:14">
      <c r="A2530" t="s">
        <v>1031</v>
      </c>
      <c r="B2530" t="s">
        <v>4939</v>
      </c>
      <c r="C2530" t="s">
        <v>36</v>
      </c>
      <c r="D2530" t="s">
        <v>26</v>
      </c>
      <c r="E2530" s="7">
        <v>45644</v>
      </c>
      <c r="F2530" t="s">
        <v>2335</v>
      </c>
      <c r="G2530">
        <v>0</v>
      </c>
      <c r="H2530" t="s">
        <v>27</v>
      </c>
      <c r="I2530" t="s">
        <v>16</v>
      </c>
      <c r="J2530" t="s">
        <v>16</v>
      </c>
      <c r="K2530" t="str">
        <f>VLOOKUP(C2530,CheckName!A:B,2,0)</f>
        <v>Emp</v>
      </c>
      <c r="L2530">
        <v>0</v>
      </c>
      <c r="M2530">
        <f t="shared" si="386"/>
        <v>18</v>
      </c>
      <c r="N2530" t="str">
        <f>TEXT(MTDRejection[[#This Row],[RejectionDate]],"dddd")</f>
        <v>Wednesday</v>
      </c>
    </row>
    <row r="2531" spans="1:14">
      <c r="A2531" t="s">
        <v>1131</v>
      </c>
      <c r="B2531" t="s">
        <v>4940</v>
      </c>
      <c r="C2531" t="s">
        <v>12</v>
      </c>
      <c r="D2531" t="s">
        <v>26</v>
      </c>
      <c r="E2531" s="7">
        <v>45644</v>
      </c>
      <c r="F2531" t="s">
        <v>2335</v>
      </c>
      <c r="G2531">
        <v>0</v>
      </c>
      <c r="H2531" t="s">
        <v>22</v>
      </c>
      <c r="I2531" t="s">
        <v>16</v>
      </c>
      <c r="J2531" t="s">
        <v>16</v>
      </c>
      <c r="K2531" t="str">
        <f>VLOOKUP(C2531,CheckName!A:B,2,0)</f>
        <v>Emp</v>
      </c>
      <c r="L2531">
        <v>0</v>
      </c>
      <c r="M2531">
        <f t="shared" si="386"/>
        <v>18</v>
      </c>
      <c r="N2531" t="str">
        <f>TEXT(MTDRejection[[#This Row],[RejectionDate]],"dddd")</f>
        <v>Wednesday</v>
      </c>
    </row>
    <row r="2532" spans="1:14">
      <c r="A2532" t="s">
        <v>45</v>
      </c>
      <c r="B2532" t="s">
        <v>2443</v>
      </c>
      <c r="C2532" t="s">
        <v>36</v>
      </c>
      <c r="D2532" t="s">
        <v>26</v>
      </c>
      <c r="E2532" s="7">
        <v>45644</v>
      </c>
      <c r="F2532" t="s">
        <v>179</v>
      </c>
      <c r="G2532">
        <v>0</v>
      </c>
      <c r="H2532" t="s">
        <v>27</v>
      </c>
      <c r="I2532" t="s">
        <v>16</v>
      </c>
      <c r="J2532" t="s">
        <v>16</v>
      </c>
      <c r="K2532" t="str">
        <f>VLOOKUP(C2532,CheckName!A:B,2,0)</f>
        <v>Emp</v>
      </c>
      <c r="L2532">
        <v>0</v>
      </c>
      <c r="M2532">
        <f t="shared" ref="M2532:M2533" si="387">DAY(E2532)</f>
        <v>18</v>
      </c>
      <c r="N2532" t="str">
        <f>TEXT(MTDRejection[[#This Row],[RejectionDate]],"dddd")</f>
        <v>Wednesday</v>
      </c>
    </row>
    <row r="2533" spans="1:14">
      <c r="A2533" t="s">
        <v>45</v>
      </c>
      <c r="B2533" t="s">
        <v>4941</v>
      </c>
      <c r="C2533" t="s">
        <v>125</v>
      </c>
      <c r="D2533" t="s">
        <v>26</v>
      </c>
      <c r="E2533" s="7">
        <v>45644</v>
      </c>
      <c r="F2533" t="s">
        <v>179</v>
      </c>
      <c r="G2533">
        <v>0</v>
      </c>
      <c r="H2533" t="s">
        <v>27</v>
      </c>
      <c r="I2533" t="s">
        <v>16</v>
      </c>
      <c r="J2533" t="s">
        <v>16</v>
      </c>
      <c r="K2533" t="str">
        <f>VLOOKUP(C2533,CheckName!A:B,2,0)</f>
        <v>Emp</v>
      </c>
      <c r="L2533">
        <v>0</v>
      </c>
      <c r="M2533">
        <f t="shared" si="387"/>
        <v>18</v>
      </c>
      <c r="N2533" t="str">
        <f>TEXT(MTDRejection[[#This Row],[RejectionDate]],"dddd")</f>
        <v>Wednesday</v>
      </c>
    </row>
    <row r="2534" spans="1:14">
      <c r="A2534" t="s">
        <v>180</v>
      </c>
      <c r="B2534" t="s">
        <v>4942</v>
      </c>
      <c r="C2534" t="s">
        <v>54</v>
      </c>
      <c r="D2534" t="s">
        <v>26</v>
      </c>
      <c r="E2534" s="7">
        <v>45644</v>
      </c>
      <c r="F2534" t="s">
        <v>94</v>
      </c>
      <c r="G2534">
        <v>0</v>
      </c>
      <c r="H2534" t="s">
        <v>30</v>
      </c>
      <c r="I2534" t="s">
        <v>16</v>
      </c>
      <c r="J2534" t="s">
        <v>16</v>
      </c>
      <c r="K2534" t="str">
        <f>VLOOKUP(C2534,CheckName!A:B,2,0)</f>
        <v>Edu</v>
      </c>
      <c r="L2534">
        <v>0</v>
      </c>
      <c r="M2534">
        <f>DAY(E2534)</f>
        <v>18</v>
      </c>
      <c r="N2534" t="str">
        <f>TEXT(MTDRejection[[#This Row],[RejectionDate]],"dddd")</f>
        <v>Wednesday</v>
      </c>
    </row>
    <row r="2535" spans="1:14">
      <c r="A2535" t="s">
        <v>45</v>
      </c>
      <c r="B2535" t="s">
        <v>4943</v>
      </c>
      <c r="C2535" t="s">
        <v>12</v>
      </c>
      <c r="D2535" t="s">
        <v>26</v>
      </c>
      <c r="E2535" s="7">
        <v>45644</v>
      </c>
      <c r="F2535" t="s">
        <v>222</v>
      </c>
      <c r="G2535">
        <v>0</v>
      </c>
      <c r="H2535" t="s">
        <v>27</v>
      </c>
      <c r="I2535" t="s">
        <v>16</v>
      </c>
      <c r="J2535" t="s">
        <v>16</v>
      </c>
      <c r="K2535" t="str">
        <f>VLOOKUP(C2535,CheckName!A:B,2,0)</f>
        <v>Emp</v>
      </c>
      <c r="L2535">
        <v>0</v>
      </c>
      <c r="M2535">
        <f t="shared" ref="M2535:M2537" si="388">DAY(E2535)</f>
        <v>18</v>
      </c>
      <c r="N2535" t="str">
        <f>TEXT(MTDRejection[[#This Row],[RejectionDate]],"dddd")</f>
        <v>Wednesday</v>
      </c>
    </row>
    <row r="2536" spans="1:14">
      <c r="A2536" t="s">
        <v>45</v>
      </c>
      <c r="B2536" t="s">
        <v>2625</v>
      </c>
      <c r="C2536" t="s">
        <v>12</v>
      </c>
      <c r="D2536" t="s">
        <v>26</v>
      </c>
      <c r="E2536" s="7">
        <v>45644</v>
      </c>
      <c r="F2536" t="s">
        <v>222</v>
      </c>
      <c r="G2536">
        <v>0</v>
      </c>
      <c r="H2536" t="s">
        <v>22</v>
      </c>
      <c r="I2536" t="s">
        <v>16</v>
      </c>
      <c r="J2536" t="s">
        <v>16</v>
      </c>
      <c r="K2536" t="str">
        <f>VLOOKUP(C2536,CheckName!A:B,2,0)</f>
        <v>Emp</v>
      </c>
      <c r="L2536">
        <v>0</v>
      </c>
      <c r="M2536">
        <f t="shared" si="388"/>
        <v>18</v>
      </c>
      <c r="N2536" t="str">
        <f>TEXT(MTDRejection[[#This Row],[RejectionDate]],"dddd")</f>
        <v>Wednesday</v>
      </c>
    </row>
    <row r="2537" spans="1:14">
      <c r="A2537" t="s">
        <v>360</v>
      </c>
      <c r="B2537" t="s">
        <v>2027</v>
      </c>
      <c r="C2537" t="s">
        <v>36</v>
      </c>
      <c r="D2537" t="s">
        <v>26</v>
      </c>
      <c r="E2537" s="7">
        <v>45644</v>
      </c>
      <c r="F2537" t="s">
        <v>325</v>
      </c>
      <c r="G2537">
        <v>0</v>
      </c>
      <c r="H2537" t="s">
        <v>22</v>
      </c>
      <c r="I2537" t="s">
        <v>16</v>
      </c>
      <c r="J2537" t="s">
        <v>16</v>
      </c>
      <c r="K2537" t="str">
        <f>VLOOKUP(C2537,CheckName!A:B,2,0)</f>
        <v>Emp</v>
      </c>
      <c r="L2537">
        <v>0</v>
      </c>
      <c r="M2537">
        <f t="shared" si="388"/>
        <v>18</v>
      </c>
      <c r="N2537" t="str">
        <f>TEXT(MTDRejection[[#This Row],[RejectionDate]],"dddd")</f>
        <v>Wednesday</v>
      </c>
    </row>
    <row r="2538" spans="1:14">
      <c r="A2538" t="s">
        <v>517</v>
      </c>
      <c r="B2538" t="s">
        <v>3535</v>
      </c>
      <c r="C2538" t="s">
        <v>220</v>
      </c>
      <c r="D2538" t="s">
        <v>38</v>
      </c>
      <c r="E2538" s="7">
        <v>45644</v>
      </c>
      <c r="F2538" t="s">
        <v>39</v>
      </c>
      <c r="G2538">
        <v>0</v>
      </c>
      <c r="H2538" t="s">
        <v>42</v>
      </c>
      <c r="I2538" t="s">
        <v>16</v>
      </c>
      <c r="J2538" t="s">
        <v>16</v>
      </c>
      <c r="K2538" t="str">
        <f>VLOOKUP(C2538,CheckName!A:B,2,0)</f>
        <v>Ref</v>
      </c>
      <c r="L2538">
        <v>0</v>
      </c>
      <c r="M2538">
        <f t="shared" ref="M2538:M2539" si="389">DAY(E2538)</f>
        <v>18</v>
      </c>
      <c r="N2538" t="str">
        <f>TEXT(MTDRejection[[#This Row],[RejectionDate]],"dddd")</f>
        <v>Wednesday</v>
      </c>
    </row>
    <row r="2539" spans="1:14">
      <c r="A2539" t="s">
        <v>160</v>
      </c>
      <c r="B2539" t="s">
        <v>4944</v>
      </c>
      <c r="C2539" t="s">
        <v>125</v>
      </c>
      <c r="D2539" t="s">
        <v>38</v>
      </c>
      <c r="E2539" s="7">
        <v>45644</v>
      </c>
      <c r="F2539" t="s">
        <v>39</v>
      </c>
      <c r="G2539">
        <v>0</v>
      </c>
      <c r="H2539" t="s">
        <v>42</v>
      </c>
      <c r="I2539" t="s">
        <v>16</v>
      </c>
      <c r="J2539" t="s">
        <v>16</v>
      </c>
      <c r="K2539" t="str">
        <f>VLOOKUP(C2539,CheckName!A:B,2,0)</f>
        <v>Emp</v>
      </c>
      <c r="L2539">
        <v>0</v>
      </c>
      <c r="M2539">
        <f t="shared" si="389"/>
        <v>18</v>
      </c>
      <c r="N2539" t="str">
        <f>TEXT(MTDRejection[[#This Row],[RejectionDate]],"dddd")</f>
        <v>Wednesday</v>
      </c>
    </row>
    <row r="2540" spans="1:14">
      <c r="A2540" t="s">
        <v>45</v>
      </c>
      <c r="B2540" t="s">
        <v>4945</v>
      </c>
      <c r="C2540" t="s">
        <v>12</v>
      </c>
      <c r="D2540" t="s">
        <v>38</v>
      </c>
      <c r="E2540" s="7">
        <v>45643</v>
      </c>
      <c r="F2540" t="s">
        <v>39</v>
      </c>
      <c r="G2540">
        <v>1</v>
      </c>
      <c r="H2540" t="s">
        <v>42</v>
      </c>
      <c r="I2540" t="s">
        <v>16</v>
      </c>
      <c r="J2540" t="s">
        <v>16</v>
      </c>
      <c r="K2540" t="str">
        <f>VLOOKUP(C2540,CheckName!A:B,2,0)</f>
        <v>Emp</v>
      </c>
      <c r="L2540">
        <v>0</v>
      </c>
      <c r="M2540">
        <f t="shared" ref="M2540:M2545" si="390">DAY(E2540)</f>
        <v>17</v>
      </c>
      <c r="N2540" t="str">
        <f>TEXT(MTDRejection[[#This Row],[RejectionDate]],"dddd")</f>
        <v>Tuesday</v>
      </c>
    </row>
    <row r="2541" spans="1:14">
      <c r="A2541" t="s">
        <v>189</v>
      </c>
      <c r="B2541" t="s">
        <v>4946</v>
      </c>
      <c r="C2541" t="s">
        <v>36</v>
      </c>
      <c r="D2541" t="s">
        <v>26</v>
      </c>
      <c r="E2541" s="7">
        <v>45637</v>
      </c>
      <c r="F2541" t="s">
        <v>169</v>
      </c>
      <c r="G2541">
        <v>7</v>
      </c>
      <c r="H2541" t="s">
        <v>27</v>
      </c>
      <c r="I2541" t="s">
        <v>16</v>
      </c>
      <c r="J2541" t="s">
        <v>16</v>
      </c>
      <c r="K2541" t="str">
        <f>VLOOKUP(C2541,CheckName!A:B,2,0)</f>
        <v>Emp</v>
      </c>
      <c r="L2541">
        <v>0</v>
      </c>
      <c r="M2541">
        <f t="shared" si="390"/>
        <v>11</v>
      </c>
      <c r="N2541" t="str">
        <f>TEXT(MTDRejection[[#This Row],[RejectionDate]],"dddd")</f>
        <v>Wednesday</v>
      </c>
    </row>
    <row r="2542" spans="1:14">
      <c r="A2542" t="s">
        <v>517</v>
      </c>
      <c r="B2542" t="s">
        <v>4947</v>
      </c>
      <c r="C2542" t="s">
        <v>36</v>
      </c>
      <c r="D2542" t="s">
        <v>26</v>
      </c>
      <c r="E2542" s="7">
        <v>45636</v>
      </c>
      <c r="F2542" t="s">
        <v>182</v>
      </c>
      <c r="G2542">
        <v>8</v>
      </c>
      <c r="H2542" t="s">
        <v>27</v>
      </c>
      <c r="I2542" t="s">
        <v>16</v>
      </c>
      <c r="J2542" t="s">
        <v>16</v>
      </c>
      <c r="K2542" t="str">
        <f>VLOOKUP(C2542,CheckName!A:B,2,0)</f>
        <v>Emp</v>
      </c>
      <c r="L2542">
        <v>0</v>
      </c>
      <c r="M2542">
        <f t="shared" si="390"/>
        <v>10</v>
      </c>
      <c r="N2542" t="str">
        <f>TEXT(MTDRejection[[#This Row],[RejectionDate]],"dddd")</f>
        <v>Tuesday</v>
      </c>
    </row>
    <row r="2543" spans="1:14">
      <c r="A2543" t="s">
        <v>45</v>
      </c>
      <c r="B2543" t="s">
        <v>4948</v>
      </c>
      <c r="C2543" t="s">
        <v>19</v>
      </c>
      <c r="D2543" t="s">
        <v>20</v>
      </c>
      <c r="E2543" s="7">
        <v>45644</v>
      </c>
      <c r="F2543" t="s">
        <v>2327</v>
      </c>
      <c r="G2543">
        <v>0</v>
      </c>
      <c r="H2543" t="s">
        <v>22</v>
      </c>
      <c r="I2543" t="s">
        <v>16</v>
      </c>
      <c r="J2543" t="s">
        <v>16</v>
      </c>
      <c r="K2543" t="str">
        <f>VLOOKUP(C2543,CheckName!A:B,2,0)</f>
        <v>Add</v>
      </c>
      <c r="L2543">
        <v>0</v>
      </c>
      <c r="M2543">
        <f t="shared" si="390"/>
        <v>18</v>
      </c>
      <c r="N2543" t="str">
        <f>TEXT(MTDRejection[[#This Row],[RejectionDate]],"dddd")</f>
        <v>Wednesday</v>
      </c>
    </row>
    <row r="2544" spans="1:14">
      <c r="A2544" t="s">
        <v>1092</v>
      </c>
      <c r="B2544" t="s">
        <v>4949</v>
      </c>
      <c r="C2544" t="s">
        <v>12</v>
      </c>
      <c r="D2544" t="s">
        <v>26</v>
      </c>
      <c r="E2544" s="7">
        <v>45644</v>
      </c>
      <c r="F2544" t="s">
        <v>222</v>
      </c>
      <c r="G2544">
        <v>0</v>
      </c>
      <c r="H2544" t="s">
        <v>27</v>
      </c>
      <c r="I2544" t="s">
        <v>16</v>
      </c>
      <c r="J2544" t="s">
        <v>16</v>
      </c>
      <c r="K2544" t="str">
        <f>VLOOKUP(C2544,CheckName!A:B,2,0)</f>
        <v>Emp</v>
      </c>
      <c r="L2544">
        <v>0</v>
      </c>
      <c r="M2544">
        <f t="shared" si="390"/>
        <v>18</v>
      </c>
      <c r="N2544" t="str">
        <f>TEXT(MTDRejection[[#This Row],[RejectionDate]],"dddd")</f>
        <v>Wednesday</v>
      </c>
    </row>
    <row r="2545" spans="1:14">
      <c r="A2545" t="s">
        <v>119</v>
      </c>
      <c r="B2545" t="s">
        <v>4950</v>
      </c>
      <c r="C2545" t="s">
        <v>25</v>
      </c>
      <c r="D2545" t="s">
        <v>20</v>
      </c>
      <c r="E2545" s="7">
        <v>45644</v>
      </c>
      <c r="F2545" t="s">
        <v>2330</v>
      </c>
      <c r="G2545">
        <v>0</v>
      </c>
      <c r="H2545" t="s">
        <v>27</v>
      </c>
      <c r="I2545" t="s">
        <v>16</v>
      </c>
      <c r="J2545" t="s">
        <v>16</v>
      </c>
      <c r="K2545" t="str">
        <f>VLOOKUP(C2545,CheckName!A:B,2,0)</f>
        <v>Add</v>
      </c>
      <c r="L2545">
        <v>0</v>
      </c>
      <c r="M2545">
        <f t="shared" si="390"/>
        <v>18</v>
      </c>
      <c r="N2545" t="str">
        <f>TEXT(MTDRejection[[#This Row],[RejectionDate]],"dddd")</f>
        <v>Wednesday</v>
      </c>
    </row>
    <row r="2546" spans="1:14">
      <c r="A2546" t="s">
        <v>281</v>
      </c>
      <c r="B2546" t="s">
        <v>4951</v>
      </c>
      <c r="C2546" t="s">
        <v>36</v>
      </c>
      <c r="D2546" t="s">
        <v>26</v>
      </c>
      <c r="E2546" s="7">
        <v>45644</v>
      </c>
      <c r="F2546" t="s">
        <v>2341</v>
      </c>
      <c r="G2546">
        <v>0</v>
      </c>
      <c r="H2546" t="s">
        <v>27</v>
      </c>
      <c r="I2546" t="s">
        <v>16</v>
      </c>
      <c r="J2546" t="s">
        <v>16</v>
      </c>
      <c r="K2546" t="str">
        <f>VLOOKUP(C2546,CheckName!A:B,2,0)</f>
        <v>Emp</v>
      </c>
      <c r="L2546">
        <v>0</v>
      </c>
      <c r="M2546">
        <f t="shared" ref="M2546:M2548" si="391">DAY(E2546)</f>
        <v>18</v>
      </c>
      <c r="N2546" t="str">
        <f>TEXT(MTDRejection[[#This Row],[RejectionDate]],"dddd")</f>
        <v>Wednesday</v>
      </c>
    </row>
    <row r="2547" spans="1:14">
      <c r="A2547" t="s">
        <v>281</v>
      </c>
      <c r="B2547" t="s">
        <v>4952</v>
      </c>
      <c r="C2547" t="s">
        <v>36</v>
      </c>
      <c r="D2547" t="s">
        <v>26</v>
      </c>
      <c r="E2547" s="7">
        <v>45644</v>
      </c>
      <c r="F2547" t="s">
        <v>2341</v>
      </c>
      <c r="G2547">
        <v>0</v>
      </c>
      <c r="H2547" t="s">
        <v>27</v>
      </c>
      <c r="I2547" t="s">
        <v>16</v>
      </c>
      <c r="J2547" t="s">
        <v>16</v>
      </c>
      <c r="K2547" t="str">
        <f>VLOOKUP(C2547,CheckName!A:B,2,0)</f>
        <v>Emp</v>
      </c>
      <c r="L2547">
        <v>0</v>
      </c>
      <c r="M2547">
        <f t="shared" si="391"/>
        <v>18</v>
      </c>
      <c r="N2547" t="str">
        <f>TEXT(MTDRejection[[#This Row],[RejectionDate]],"dddd")</f>
        <v>Wednesday</v>
      </c>
    </row>
    <row r="2548" spans="1:14">
      <c r="A2548" t="s">
        <v>281</v>
      </c>
      <c r="B2548" t="s">
        <v>2626</v>
      </c>
      <c r="C2548" t="s">
        <v>125</v>
      </c>
      <c r="D2548" t="s">
        <v>26</v>
      </c>
      <c r="E2548" s="7">
        <v>45644</v>
      </c>
      <c r="F2548" t="s">
        <v>2341</v>
      </c>
      <c r="G2548">
        <v>0</v>
      </c>
      <c r="H2548" t="s">
        <v>27</v>
      </c>
      <c r="I2548" t="s">
        <v>16</v>
      </c>
      <c r="J2548" t="s">
        <v>16</v>
      </c>
      <c r="K2548" t="str">
        <f>VLOOKUP(C2548,CheckName!A:B,2,0)</f>
        <v>Emp</v>
      </c>
      <c r="L2548">
        <v>0</v>
      </c>
      <c r="M2548">
        <f t="shared" si="391"/>
        <v>18</v>
      </c>
      <c r="N2548" t="str">
        <f>TEXT(MTDRejection[[#This Row],[RejectionDate]],"dddd")</f>
        <v>Wednesday</v>
      </c>
    </row>
    <row r="2549" spans="1:14">
      <c r="A2549" t="s">
        <v>360</v>
      </c>
      <c r="B2549" t="s">
        <v>4953</v>
      </c>
      <c r="C2549" t="s">
        <v>59</v>
      </c>
      <c r="D2549" t="s">
        <v>13</v>
      </c>
      <c r="E2549" s="7">
        <v>45644</v>
      </c>
      <c r="F2549" t="s">
        <v>107</v>
      </c>
      <c r="G2549">
        <v>0</v>
      </c>
      <c r="H2549" t="s">
        <v>15</v>
      </c>
      <c r="I2549" t="s">
        <v>16</v>
      </c>
      <c r="J2549" t="s">
        <v>16</v>
      </c>
      <c r="K2549" t="str">
        <f>VLOOKUP(C2549,CheckName!A:B,2,0)</f>
        <v>Special Check</v>
      </c>
      <c r="L2549">
        <v>0</v>
      </c>
      <c r="M2549">
        <f t="shared" ref="M2549:M2551" si="392">DAY(E2549)</f>
        <v>18</v>
      </c>
      <c r="N2549" t="str">
        <f>TEXT(MTDRejection[[#This Row],[RejectionDate]],"dddd")</f>
        <v>Wednesday</v>
      </c>
    </row>
    <row r="2550" spans="1:14">
      <c r="A2550" t="s">
        <v>360</v>
      </c>
      <c r="B2550" t="s">
        <v>4954</v>
      </c>
      <c r="C2550" t="s">
        <v>1629</v>
      </c>
      <c r="D2550" t="s">
        <v>13</v>
      </c>
      <c r="E2550" s="7">
        <v>45644</v>
      </c>
      <c r="F2550" t="s">
        <v>107</v>
      </c>
      <c r="G2550">
        <v>0</v>
      </c>
      <c r="H2550" t="s">
        <v>15</v>
      </c>
      <c r="I2550" t="s">
        <v>16</v>
      </c>
      <c r="J2550" t="s">
        <v>16</v>
      </c>
      <c r="K2550" t="str">
        <f>VLOOKUP(C2550,CheckName!A:B,2,0)</f>
        <v>CRC</v>
      </c>
      <c r="L2550">
        <v>0</v>
      </c>
      <c r="M2550">
        <f t="shared" si="392"/>
        <v>18</v>
      </c>
      <c r="N2550" t="str">
        <f>TEXT(MTDRejection[[#This Row],[RejectionDate]],"dddd")</f>
        <v>Wednesday</v>
      </c>
    </row>
    <row r="2551" spans="1:14">
      <c r="A2551" t="s">
        <v>360</v>
      </c>
      <c r="B2551" t="s">
        <v>4955</v>
      </c>
      <c r="C2551" t="s">
        <v>1103</v>
      </c>
      <c r="D2551" t="s">
        <v>13</v>
      </c>
      <c r="E2551" s="7">
        <v>45644</v>
      </c>
      <c r="F2551" t="s">
        <v>107</v>
      </c>
      <c r="G2551">
        <v>0</v>
      </c>
      <c r="H2551" t="s">
        <v>15</v>
      </c>
      <c r="I2551" t="s">
        <v>16</v>
      </c>
      <c r="J2551" t="s">
        <v>16</v>
      </c>
      <c r="K2551" t="str">
        <f>VLOOKUP(C2551,CheckName!A:B,2,0)</f>
        <v>CRC</v>
      </c>
      <c r="L2551">
        <v>0</v>
      </c>
      <c r="M2551">
        <f t="shared" si="392"/>
        <v>18</v>
      </c>
      <c r="N2551" t="str">
        <f>TEXT(MTDRejection[[#This Row],[RejectionDate]],"dddd")</f>
        <v>Wednesday</v>
      </c>
    </row>
    <row r="2552" spans="1:14">
      <c r="A2552" t="s">
        <v>100</v>
      </c>
      <c r="B2552" t="s">
        <v>4956</v>
      </c>
      <c r="C2552" t="s">
        <v>929</v>
      </c>
      <c r="D2552" t="s">
        <v>38</v>
      </c>
      <c r="E2552" s="7">
        <v>45644</v>
      </c>
      <c r="F2552" t="s">
        <v>118</v>
      </c>
      <c r="G2552">
        <v>0</v>
      </c>
      <c r="H2552" t="s">
        <v>22</v>
      </c>
      <c r="I2552" t="s">
        <v>16</v>
      </c>
      <c r="J2552" t="s">
        <v>16</v>
      </c>
      <c r="K2552" t="str">
        <f>VLOOKUP(C2552,CheckName!A:B,2,0)</f>
        <v>Investigation</v>
      </c>
      <c r="L2552">
        <v>0</v>
      </c>
      <c r="M2552">
        <f>DAY(E2552)</f>
        <v>18</v>
      </c>
      <c r="N2552" t="str">
        <f>TEXT(MTDRejection[[#This Row],[RejectionDate]],"dddd")</f>
        <v>Wednesday</v>
      </c>
    </row>
    <row r="2553" spans="1:14">
      <c r="A2553" t="s">
        <v>1879</v>
      </c>
      <c r="B2553" t="s">
        <v>4957</v>
      </c>
      <c r="C2553" t="s">
        <v>1686</v>
      </c>
      <c r="D2553" t="s">
        <v>26</v>
      </c>
      <c r="E2553" s="7">
        <v>45644</v>
      </c>
      <c r="F2553" t="s">
        <v>118</v>
      </c>
      <c r="G2553">
        <v>0</v>
      </c>
      <c r="H2553" t="s">
        <v>27</v>
      </c>
      <c r="I2553" t="s">
        <v>16</v>
      </c>
      <c r="J2553" t="s">
        <v>16</v>
      </c>
      <c r="K2553" t="str">
        <f>VLOOKUP(C2553,CheckName!A:B,2,0)</f>
        <v>CRC</v>
      </c>
      <c r="L2553">
        <v>0</v>
      </c>
      <c r="M2553">
        <f t="shared" ref="M2553:M2616" si="393">DAY(E2553)</f>
        <v>18</v>
      </c>
      <c r="N2553" t="str">
        <f>TEXT(MTDRejection[[#This Row],[RejectionDate]],"dddd")</f>
        <v>Wednesday</v>
      </c>
    </row>
    <row r="2554" spans="1:14">
      <c r="A2554" t="s">
        <v>1879</v>
      </c>
      <c r="B2554" t="s">
        <v>4958</v>
      </c>
      <c r="C2554" t="s">
        <v>1686</v>
      </c>
      <c r="D2554" t="s">
        <v>26</v>
      </c>
      <c r="E2554" s="7">
        <v>45644</v>
      </c>
      <c r="F2554" t="s">
        <v>118</v>
      </c>
      <c r="G2554">
        <v>0</v>
      </c>
      <c r="H2554" t="s">
        <v>27</v>
      </c>
      <c r="I2554" t="s">
        <v>16</v>
      </c>
      <c r="J2554" t="s">
        <v>16</v>
      </c>
      <c r="K2554" t="str">
        <f>VLOOKUP(C2554,CheckName!A:B,2,0)</f>
        <v>CRC</v>
      </c>
      <c r="L2554">
        <v>0</v>
      </c>
      <c r="M2554">
        <f t="shared" si="393"/>
        <v>18</v>
      </c>
      <c r="N2554" t="str">
        <f>TEXT(MTDRejection[[#This Row],[RejectionDate]],"dddd")</f>
        <v>Wednesday</v>
      </c>
    </row>
    <row r="2555" spans="1:14">
      <c r="A2555" t="s">
        <v>1879</v>
      </c>
      <c r="B2555" t="s">
        <v>2627</v>
      </c>
      <c r="C2555" t="s">
        <v>1686</v>
      </c>
      <c r="D2555" t="s">
        <v>26</v>
      </c>
      <c r="E2555" s="7">
        <v>45644</v>
      </c>
      <c r="F2555" t="s">
        <v>118</v>
      </c>
      <c r="G2555">
        <v>0</v>
      </c>
      <c r="H2555" t="s">
        <v>27</v>
      </c>
      <c r="I2555" t="s">
        <v>16</v>
      </c>
      <c r="J2555" t="s">
        <v>16</v>
      </c>
      <c r="K2555" t="str">
        <f>VLOOKUP(C2555,CheckName!A:B,2,0)</f>
        <v>CRC</v>
      </c>
      <c r="L2555">
        <v>0</v>
      </c>
      <c r="M2555">
        <f t="shared" si="393"/>
        <v>18</v>
      </c>
      <c r="N2555" t="str">
        <f>TEXT(MTDRejection[[#This Row],[RejectionDate]],"dddd")</f>
        <v>Wednesday</v>
      </c>
    </row>
    <row r="2556" spans="1:14">
      <c r="A2556" t="s">
        <v>1879</v>
      </c>
      <c r="B2556" t="s">
        <v>2628</v>
      </c>
      <c r="C2556" t="s">
        <v>1686</v>
      </c>
      <c r="D2556" t="s">
        <v>26</v>
      </c>
      <c r="E2556" s="7">
        <v>45644</v>
      </c>
      <c r="F2556" t="s">
        <v>118</v>
      </c>
      <c r="G2556">
        <v>0</v>
      </c>
      <c r="H2556" t="s">
        <v>27</v>
      </c>
      <c r="I2556" t="s">
        <v>16</v>
      </c>
      <c r="J2556" t="s">
        <v>16</v>
      </c>
      <c r="K2556" t="str">
        <f>VLOOKUP(C2556,CheckName!A:B,2,0)</f>
        <v>CRC</v>
      </c>
      <c r="L2556">
        <v>0</v>
      </c>
      <c r="M2556">
        <f t="shared" si="393"/>
        <v>18</v>
      </c>
      <c r="N2556" t="str">
        <f>TEXT(MTDRejection[[#This Row],[RejectionDate]],"dddd")</f>
        <v>Wednesday</v>
      </c>
    </row>
    <row r="2557" spans="1:14">
      <c r="A2557" t="s">
        <v>1879</v>
      </c>
      <c r="B2557" t="s">
        <v>4959</v>
      </c>
      <c r="C2557" t="s">
        <v>1686</v>
      </c>
      <c r="D2557" t="s">
        <v>26</v>
      </c>
      <c r="E2557" s="7">
        <v>45644</v>
      </c>
      <c r="F2557" t="s">
        <v>118</v>
      </c>
      <c r="G2557">
        <v>0</v>
      </c>
      <c r="H2557" t="s">
        <v>27</v>
      </c>
      <c r="I2557" t="s">
        <v>16</v>
      </c>
      <c r="J2557" t="s">
        <v>16</v>
      </c>
      <c r="K2557" t="str">
        <f>VLOOKUP(C2557,CheckName!A:B,2,0)</f>
        <v>CRC</v>
      </c>
      <c r="L2557">
        <v>0</v>
      </c>
      <c r="M2557">
        <f t="shared" si="393"/>
        <v>18</v>
      </c>
      <c r="N2557" t="str">
        <f>TEXT(MTDRejection[[#This Row],[RejectionDate]],"dddd")</f>
        <v>Wednesday</v>
      </c>
    </row>
    <row r="2558" spans="1:14">
      <c r="A2558" t="s">
        <v>1879</v>
      </c>
      <c r="B2558" t="s">
        <v>4960</v>
      </c>
      <c r="C2558" t="s">
        <v>1686</v>
      </c>
      <c r="D2558" t="s">
        <v>26</v>
      </c>
      <c r="E2558" s="7">
        <v>45644</v>
      </c>
      <c r="F2558" t="s">
        <v>118</v>
      </c>
      <c r="G2558">
        <v>0</v>
      </c>
      <c r="H2558" t="s">
        <v>27</v>
      </c>
      <c r="I2558" t="s">
        <v>16</v>
      </c>
      <c r="J2558" t="s">
        <v>16</v>
      </c>
      <c r="K2558" t="str">
        <f>VLOOKUP(C2558,CheckName!A:B,2,0)</f>
        <v>CRC</v>
      </c>
      <c r="L2558">
        <v>0</v>
      </c>
      <c r="M2558">
        <f t="shared" si="393"/>
        <v>18</v>
      </c>
      <c r="N2558" t="str">
        <f>TEXT(MTDRejection[[#This Row],[RejectionDate]],"dddd")</f>
        <v>Wednesday</v>
      </c>
    </row>
    <row r="2559" spans="1:14">
      <c r="A2559" t="s">
        <v>1879</v>
      </c>
      <c r="B2559" t="s">
        <v>4961</v>
      </c>
      <c r="C2559" t="s">
        <v>1686</v>
      </c>
      <c r="D2559" t="s">
        <v>26</v>
      </c>
      <c r="E2559" s="7">
        <v>45644</v>
      </c>
      <c r="F2559" t="s">
        <v>118</v>
      </c>
      <c r="G2559">
        <v>0</v>
      </c>
      <c r="H2559" t="s">
        <v>27</v>
      </c>
      <c r="I2559" t="s">
        <v>16</v>
      </c>
      <c r="J2559" t="s">
        <v>16</v>
      </c>
      <c r="K2559" t="str">
        <f>VLOOKUP(C2559,CheckName!A:B,2,0)</f>
        <v>CRC</v>
      </c>
      <c r="L2559">
        <v>0</v>
      </c>
      <c r="M2559">
        <f t="shared" si="393"/>
        <v>18</v>
      </c>
      <c r="N2559" t="str">
        <f>TEXT(MTDRejection[[#This Row],[RejectionDate]],"dddd")</f>
        <v>Wednesday</v>
      </c>
    </row>
    <row r="2560" spans="1:14">
      <c r="A2560" t="s">
        <v>1879</v>
      </c>
      <c r="B2560" t="s">
        <v>4962</v>
      </c>
      <c r="C2560" t="s">
        <v>1686</v>
      </c>
      <c r="D2560" t="s">
        <v>26</v>
      </c>
      <c r="E2560" s="7">
        <v>45644</v>
      </c>
      <c r="F2560" t="s">
        <v>118</v>
      </c>
      <c r="G2560">
        <v>0</v>
      </c>
      <c r="H2560" t="s">
        <v>27</v>
      </c>
      <c r="I2560" t="s">
        <v>16</v>
      </c>
      <c r="J2560" t="s">
        <v>16</v>
      </c>
      <c r="K2560" t="str">
        <f>VLOOKUP(C2560,CheckName!A:B,2,0)</f>
        <v>CRC</v>
      </c>
      <c r="L2560">
        <v>0</v>
      </c>
      <c r="M2560">
        <f t="shared" si="393"/>
        <v>18</v>
      </c>
      <c r="N2560" t="str">
        <f>TEXT(MTDRejection[[#This Row],[RejectionDate]],"dddd")</f>
        <v>Wednesday</v>
      </c>
    </row>
    <row r="2561" spans="1:14">
      <c r="A2561" t="s">
        <v>1879</v>
      </c>
      <c r="B2561" t="s">
        <v>4963</v>
      </c>
      <c r="C2561" t="s">
        <v>1686</v>
      </c>
      <c r="D2561" t="s">
        <v>26</v>
      </c>
      <c r="E2561" s="7">
        <v>45644</v>
      </c>
      <c r="F2561" t="s">
        <v>118</v>
      </c>
      <c r="G2561">
        <v>0</v>
      </c>
      <c r="H2561" t="s">
        <v>27</v>
      </c>
      <c r="I2561" t="s">
        <v>16</v>
      </c>
      <c r="J2561" t="s">
        <v>16</v>
      </c>
      <c r="K2561" t="str">
        <f>VLOOKUP(C2561,CheckName!A:B,2,0)</f>
        <v>CRC</v>
      </c>
      <c r="L2561">
        <v>0</v>
      </c>
      <c r="M2561">
        <f t="shared" si="393"/>
        <v>18</v>
      </c>
      <c r="N2561" t="str">
        <f>TEXT(MTDRejection[[#This Row],[RejectionDate]],"dddd")</f>
        <v>Wednesday</v>
      </c>
    </row>
    <row r="2562" spans="1:14">
      <c r="A2562" t="s">
        <v>1879</v>
      </c>
      <c r="B2562" t="s">
        <v>4964</v>
      </c>
      <c r="C2562" t="s">
        <v>1686</v>
      </c>
      <c r="D2562" t="s">
        <v>26</v>
      </c>
      <c r="E2562" s="7">
        <v>45644</v>
      </c>
      <c r="F2562" t="s">
        <v>118</v>
      </c>
      <c r="G2562">
        <v>0</v>
      </c>
      <c r="H2562" t="s">
        <v>27</v>
      </c>
      <c r="I2562" t="s">
        <v>16</v>
      </c>
      <c r="J2562" t="s">
        <v>16</v>
      </c>
      <c r="K2562" t="str">
        <f>VLOOKUP(C2562,CheckName!A:B,2,0)</f>
        <v>CRC</v>
      </c>
      <c r="L2562">
        <v>0</v>
      </c>
      <c r="M2562">
        <f t="shared" si="393"/>
        <v>18</v>
      </c>
      <c r="N2562" t="str">
        <f>TEXT(MTDRejection[[#This Row],[RejectionDate]],"dddd")</f>
        <v>Wednesday</v>
      </c>
    </row>
    <row r="2563" spans="1:14">
      <c r="A2563" t="s">
        <v>1879</v>
      </c>
      <c r="B2563" t="s">
        <v>2629</v>
      </c>
      <c r="C2563" t="s">
        <v>1686</v>
      </c>
      <c r="D2563" t="s">
        <v>26</v>
      </c>
      <c r="E2563" s="7">
        <v>45644</v>
      </c>
      <c r="F2563" t="s">
        <v>118</v>
      </c>
      <c r="G2563">
        <v>0</v>
      </c>
      <c r="H2563" t="s">
        <v>27</v>
      </c>
      <c r="I2563" t="s">
        <v>16</v>
      </c>
      <c r="J2563" t="s">
        <v>16</v>
      </c>
      <c r="K2563" t="str">
        <f>VLOOKUP(C2563,CheckName!A:B,2,0)</f>
        <v>CRC</v>
      </c>
      <c r="L2563">
        <v>0</v>
      </c>
      <c r="M2563">
        <f t="shared" si="393"/>
        <v>18</v>
      </c>
      <c r="N2563" t="str">
        <f>TEXT(MTDRejection[[#This Row],[RejectionDate]],"dddd")</f>
        <v>Wednesday</v>
      </c>
    </row>
    <row r="2564" spans="1:14">
      <c r="A2564" t="s">
        <v>1879</v>
      </c>
      <c r="B2564" t="s">
        <v>4965</v>
      </c>
      <c r="C2564" t="s">
        <v>1686</v>
      </c>
      <c r="D2564" t="s">
        <v>26</v>
      </c>
      <c r="E2564" s="7">
        <v>45644</v>
      </c>
      <c r="F2564" t="s">
        <v>118</v>
      </c>
      <c r="G2564">
        <v>0</v>
      </c>
      <c r="H2564" t="s">
        <v>27</v>
      </c>
      <c r="I2564" t="s">
        <v>16</v>
      </c>
      <c r="J2564" t="s">
        <v>16</v>
      </c>
      <c r="K2564" t="str">
        <f>VLOOKUP(C2564,CheckName!A:B,2,0)</f>
        <v>CRC</v>
      </c>
      <c r="L2564">
        <v>0</v>
      </c>
      <c r="M2564">
        <f t="shared" si="393"/>
        <v>18</v>
      </c>
      <c r="N2564" t="str">
        <f>TEXT(MTDRejection[[#This Row],[RejectionDate]],"dddd")</f>
        <v>Wednesday</v>
      </c>
    </row>
    <row r="2565" spans="1:14">
      <c r="A2565" t="s">
        <v>1879</v>
      </c>
      <c r="B2565" t="s">
        <v>4966</v>
      </c>
      <c r="C2565" t="s">
        <v>1686</v>
      </c>
      <c r="D2565" t="s">
        <v>26</v>
      </c>
      <c r="E2565" s="7">
        <v>45644</v>
      </c>
      <c r="F2565" t="s">
        <v>118</v>
      </c>
      <c r="G2565">
        <v>0</v>
      </c>
      <c r="H2565" t="s">
        <v>27</v>
      </c>
      <c r="I2565" t="s">
        <v>16</v>
      </c>
      <c r="J2565" t="s">
        <v>16</v>
      </c>
      <c r="K2565" t="str">
        <f>VLOOKUP(C2565,CheckName!A:B,2,0)</f>
        <v>CRC</v>
      </c>
      <c r="L2565">
        <v>0</v>
      </c>
      <c r="M2565">
        <f t="shared" si="393"/>
        <v>18</v>
      </c>
      <c r="N2565" t="str">
        <f>TEXT(MTDRejection[[#This Row],[RejectionDate]],"dddd")</f>
        <v>Wednesday</v>
      </c>
    </row>
    <row r="2566" spans="1:14">
      <c r="A2566" t="s">
        <v>1879</v>
      </c>
      <c r="B2566" t="s">
        <v>2638</v>
      </c>
      <c r="C2566" t="s">
        <v>1686</v>
      </c>
      <c r="D2566" t="s">
        <v>26</v>
      </c>
      <c r="E2566" s="7">
        <v>45644</v>
      </c>
      <c r="F2566" t="s">
        <v>118</v>
      </c>
      <c r="G2566">
        <v>0</v>
      </c>
      <c r="H2566" t="s">
        <v>27</v>
      </c>
      <c r="I2566" t="s">
        <v>16</v>
      </c>
      <c r="J2566" t="s">
        <v>16</v>
      </c>
      <c r="K2566" t="str">
        <f>VLOOKUP(C2566,CheckName!A:B,2,0)</f>
        <v>CRC</v>
      </c>
      <c r="L2566">
        <v>0</v>
      </c>
      <c r="M2566">
        <f t="shared" si="393"/>
        <v>18</v>
      </c>
      <c r="N2566" t="str">
        <f>TEXT(MTDRejection[[#This Row],[RejectionDate]],"dddd")</f>
        <v>Wednesday</v>
      </c>
    </row>
    <row r="2567" spans="1:14">
      <c r="A2567" t="s">
        <v>1879</v>
      </c>
      <c r="B2567" t="s">
        <v>4967</v>
      </c>
      <c r="C2567" t="s">
        <v>1686</v>
      </c>
      <c r="D2567" t="s">
        <v>26</v>
      </c>
      <c r="E2567" s="7">
        <v>45644</v>
      </c>
      <c r="F2567" t="s">
        <v>118</v>
      </c>
      <c r="G2567">
        <v>0</v>
      </c>
      <c r="H2567" t="s">
        <v>27</v>
      </c>
      <c r="I2567" t="s">
        <v>16</v>
      </c>
      <c r="J2567" t="s">
        <v>16</v>
      </c>
      <c r="K2567" t="str">
        <f>VLOOKUP(C2567,CheckName!A:B,2,0)</f>
        <v>CRC</v>
      </c>
      <c r="L2567">
        <v>0</v>
      </c>
      <c r="M2567">
        <f t="shared" si="393"/>
        <v>18</v>
      </c>
      <c r="N2567" t="str">
        <f>TEXT(MTDRejection[[#This Row],[RejectionDate]],"dddd")</f>
        <v>Wednesday</v>
      </c>
    </row>
    <row r="2568" spans="1:14">
      <c r="A2568" t="s">
        <v>1879</v>
      </c>
      <c r="B2568" t="s">
        <v>4968</v>
      </c>
      <c r="C2568" t="s">
        <v>1686</v>
      </c>
      <c r="D2568" t="s">
        <v>26</v>
      </c>
      <c r="E2568" s="7">
        <v>45644</v>
      </c>
      <c r="F2568" t="s">
        <v>118</v>
      </c>
      <c r="G2568">
        <v>0</v>
      </c>
      <c r="H2568" t="s">
        <v>27</v>
      </c>
      <c r="I2568" t="s">
        <v>16</v>
      </c>
      <c r="J2568" t="s">
        <v>16</v>
      </c>
      <c r="K2568" t="str">
        <f>VLOOKUP(C2568,CheckName!A:B,2,0)</f>
        <v>CRC</v>
      </c>
      <c r="L2568">
        <v>0</v>
      </c>
      <c r="M2568">
        <f t="shared" si="393"/>
        <v>18</v>
      </c>
      <c r="N2568" t="str">
        <f>TEXT(MTDRejection[[#This Row],[RejectionDate]],"dddd")</f>
        <v>Wednesday</v>
      </c>
    </row>
    <row r="2569" spans="1:14">
      <c r="A2569" t="s">
        <v>1879</v>
      </c>
      <c r="B2569" t="s">
        <v>4969</v>
      </c>
      <c r="C2569" t="s">
        <v>1686</v>
      </c>
      <c r="D2569" t="s">
        <v>26</v>
      </c>
      <c r="E2569" s="7">
        <v>45644</v>
      </c>
      <c r="F2569" t="s">
        <v>118</v>
      </c>
      <c r="G2569">
        <v>0</v>
      </c>
      <c r="H2569" t="s">
        <v>27</v>
      </c>
      <c r="I2569" t="s">
        <v>16</v>
      </c>
      <c r="J2569" t="s">
        <v>16</v>
      </c>
      <c r="K2569" t="str">
        <f>VLOOKUP(C2569,CheckName!A:B,2,0)</f>
        <v>CRC</v>
      </c>
      <c r="L2569">
        <v>0</v>
      </c>
      <c r="M2569">
        <f t="shared" si="393"/>
        <v>18</v>
      </c>
      <c r="N2569" t="str">
        <f>TEXT(MTDRejection[[#This Row],[RejectionDate]],"dddd")</f>
        <v>Wednesday</v>
      </c>
    </row>
    <row r="2570" spans="1:14">
      <c r="A2570" t="s">
        <v>1879</v>
      </c>
      <c r="B2570" t="s">
        <v>4970</v>
      </c>
      <c r="C2570" t="s">
        <v>1686</v>
      </c>
      <c r="D2570" t="s">
        <v>26</v>
      </c>
      <c r="E2570" s="7">
        <v>45644</v>
      </c>
      <c r="F2570" t="s">
        <v>118</v>
      </c>
      <c r="G2570">
        <v>0</v>
      </c>
      <c r="H2570" t="s">
        <v>27</v>
      </c>
      <c r="I2570" t="s">
        <v>16</v>
      </c>
      <c r="J2570" t="s">
        <v>16</v>
      </c>
      <c r="K2570" t="str">
        <f>VLOOKUP(C2570,CheckName!A:B,2,0)</f>
        <v>CRC</v>
      </c>
      <c r="L2570">
        <v>0</v>
      </c>
      <c r="M2570">
        <f t="shared" si="393"/>
        <v>18</v>
      </c>
      <c r="N2570" t="str">
        <f>TEXT(MTDRejection[[#This Row],[RejectionDate]],"dddd")</f>
        <v>Wednesday</v>
      </c>
    </row>
    <row r="2571" spans="1:14">
      <c r="A2571" t="s">
        <v>1879</v>
      </c>
      <c r="B2571" t="s">
        <v>4971</v>
      </c>
      <c r="C2571" t="s">
        <v>1686</v>
      </c>
      <c r="D2571" t="s">
        <v>26</v>
      </c>
      <c r="E2571" s="7">
        <v>45644</v>
      </c>
      <c r="F2571" t="s">
        <v>118</v>
      </c>
      <c r="G2571">
        <v>0</v>
      </c>
      <c r="H2571" t="s">
        <v>27</v>
      </c>
      <c r="I2571" t="s">
        <v>16</v>
      </c>
      <c r="J2571" t="s">
        <v>16</v>
      </c>
      <c r="K2571" t="str">
        <f>VLOOKUP(C2571,CheckName!A:B,2,0)</f>
        <v>CRC</v>
      </c>
      <c r="L2571">
        <v>0</v>
      </c>
      <c r="M2571">
        <f t="shared" si="393"/>
        <v>18</v>
      </c>
      <c r="N2571" t="str">
        <f>TEXT(MTDRejection[[#This Row],[RejectionDate]],"dddd")</f>
        <v>Wednesday</v>
      </c>
    </row>
    <row r="2572" spans="1:14">
      <c r="A2572" t="s">
        <v>1879</v>
      </c>
      <c r="B2572" t="s">
        <v>4972</v>
      </c>
      <c r="C2572" t="s">
        <v>1686</v>
      </c>
      <c r="D2572" t="s">
        <v>26</v>
      </c>
      <c r="E2572" s="7">
        <v>45644</v>
      </c>
      <c r="F2572" t="s">
        <v>118</v>
      </c>
      <c r="G2572">
        <v>0</v>
      </c>
      <c r="H2572" t="s">
        <v>27</v>
      </c>
      <c r="I2572" t="s">
        <v>16</v>
      </c>
      <c r="J2572" t="s">
        <v>16</v>
      </c>
      <c r="K2572" t="str">
        <f>VLOOKUP(C2572,CheckName!A:B,2,0)</f>
        <v>CRC</v>
      </c>
      <c r="L2572">
        <v>0</v>
      </c>
      <c r="M2572">
        <f t="shared" si="393"/>
        <v>18</v>
      </c>
      <c r="N2572" t="str">
        <f>TEXT(MTDRejection[[#This Row],[RejectionDate]],"dddd")</f>
        <v>Wednesday</v>
      </c>
    </row>
    <row r="2573" spans="1:14">
      <c r="A2573" t="s">
        <v>1879</v>
      </c>
      <c r="B2573" t="s">
        <v>4973</v>
      </c>
      <c r="C2573" t="s">
        <v>1686</v>
      </c>
      <c r="D2573" t="s">
        <v>26</v>
      </c>
      <c r="E2573" s="7">
        <v>45644</v>
      </c>
      <c r="F2573" t="s">
        <v>118</v>
      </c>
      <c r="G2573">
        <v>0</v>
      </c>
      <c r="H2573" t="s">
        <v>27</v>
      </c>
      <c r="I2573" t="s">
        <v>16</v>
      </c>
      <c r="J2573" t="s">
        <v>16</v>
      </c>
      <c r="K2573" t="str">
        <f>VLOOKUP(C2573,CheckName!A:B,2,0)</f>
        <v>CRC</v>
      </c>
      <c r="L2573">
        <v>0</v>
      </c>
      <c r="M2573">
        <f t="shared" si="393"/>
        <v>18</v>
      </c>
      <c r="N2573" t="str">
        <f>TEXT(MTDRejection[[#This Row],[RejectionDate]],"dddd")</f>
        <v>Wednesday</v>
      </c>
    </row>
    <row r="2574" spans="1:14">
      <c r="A2574" t="s">
        <v>1879</v>
      </c>
      <c r="B2574" t="s">
        <v>4974</v>
      </c>
      <c r="C2574" t="s">
        <v>1686</v>
      </c>
      <c r="D2574" t="s">
        <v>26</v>
      </c>
      <c r="E2574" s="7">
        <v>45644</v>
      </c>
      <c r="F2574" t="s">
        <v>118</v>
      </c>
      <c r="G2574">
        <v>0</v>
      </c>
      <c r="H2574" t="s">
        <v>27</v>
      </c>
      <c r="I2574" t="s">
        <v>16</v>
      </c>
      <c r="J2574" t="s">
        <v>16</v>
      </c>
      <c r="K2574" t="str">
        <f>VLOOKUP(C2574,CheckName!A:B,2,0)</f>
        <v>CRC</v>
      </c>
      <c r="L2574">
        <v>0</v>
      </c>
      <c r="M2574">
        <f t="shared" si="393"/>
        <v>18</v>
      </c>
      <c r="N2574" t="str">
        <f>TEXT(MTDRejection[[#This Row],[RejectionDate]],"dddd")</f>
        <v>Wednesday</v>
      </c>
    </row>
    <row r="2575" spans="1:14">
      <c r="A2575" t="s">
        <v>1879</v>
      </c>
      <c r="B2575" t="s">
        <v>4975</v>
      </c>
      <c r="C2575" t="s">
        <v>1686</v>
      </c>
      <c r="D2575" t="s">
        <v>26</v>
      </c>
      <c r="E2575" s="7">
        <v>45644</v>
      </c>
      <c r="F2575" t="s">
        <v>118</v>
      </c>
      <c r="G2575">
        <v>0</v>
      </c>
      <c r="H2575" t="s">
        <v>27</v>
      </c>
      <c r="I2575" t="s">
        <v>16</v>
      </c>
      <c r="J2575" t="s">
        <v>16</v>
      </c>
      <c r="K2575" t="str">
        <f>VLOOKUP(C2575,CheckName!A:B,2,0)</f>
        <v>CRC</v>
      </c>
      <c r="L2575">
        <v>0</v>
      </c>
      <c r="M2575">
        <f t="shared" si="393"/>
        <v>18</v>
      </c>
      <c r="N2575" t="str">
        <f>TEXT(MTDRejection[[#This Row],[RejectionDate]],"dddd")</f>
        <v>Wednesday</v>
      </c>
    </row>
    <row r="2576" spans="1:14">
      <c r="A2576" t="s">
        <v>1879</v>
      </c>
      <c r="B2576" t="s">
        <v>4976</v>
      </c>
      <c r="C2576" t="s">
        <v>1686</v>
      </c>
      <c r="D2576" t="s">
        <v>26</v>
      </c>
      <c r="E2576" s="7">
        <v>45644</v>
      </c>
      <c r="F2576" t="s">
        <v>118</v>
      </c>
      <c r="G2576">
        <v>0</v>
      </c>
      <c r="H2576" t="s">
        <v>27</v>
      </c>
      <c r="I2576" t="s">
        <v>16</v>
      </c>
      <c r="J2576" t="s">
        <v>16</v>
      </c>
      <c r="K2576" t="str">
        <f>VLOOKUP(C2576,CheckName!A:B,2,0)</f>
        <v>CRC</v>
      </c>
      <c r="L2576">
        <v>0</v>
      </c>
      <c r="M2576">
        <f t="shared" si="393"/>
        <v>18</v>
      </c>
      <c r="N2576" t="str">
        <f>TEXT(MTDRejection[[#This Row],[RejectionDate]],"dddd")</f>
        <v>Wednesday</v>
      </c>
    </row>
    <row r="2577" spans="1:14">
      <c r="A2577" t="s">
        <v>1879</v>
      </c>
      <c r="B2577" t="s">
        <v>4977</v>
      </c>
      <c r="C2577" t="s">
        <v>1686</v>
      </c>
      <c r="D2577" t="s">
        <v>26</v>
      </c>
      <c r="E2577" s="7">
        <v>45644</v>
      </c>
      <c r="F2577" t="s">
        <v>118</v>
      </c>
      <c r="G2577">
        <v>0</v>
      </c>
      <c r="H2577" t="s">
        <v>27</v>
      </c>
      <c r="I2577" t="s">
        <v>16</v>
      </c>
      <c r="J2577" t="s">
        <v>16</v>
      </c>
      <c r="K2577" t="str">
        <f>VLOOKUP(C2577,CheckName!A:B,2,0)</f>
        <v>CRC</v>
      </c>
      <c r="L2577">
        <v>0</v>
      </c>
      <c r="M2577">
        <f t="shared" si="393"/>
        <v>18</v>
      </c>
      <c r="N2577" t="str">
        <f>TEXT(MTDRejection[[#This Row],[RejectionDate]],"dddd")</f>
        <v>Wednesday</v>
      </c>
    </row>
    <row r="2578" spans="1:14">
      <c r="A2578" t="s">
        <v>1879</v>
      </c>
      <c r="B2578" t="s">
        <v>2020</v>
      </c>
      <c r="C2578" t="s">
        <v>1686</v>
      </c>
      <c r="D2578" t="s">
        <v>26</v>
      </c>
      <c r="E2578" s="7">
        <v>45644</v>
      </c>
      <c r="F2578" t="s">
        <v>118</v>
      </c>
      <c r="G2578">
        <v>0</v>
      </c>
      <c r="H2578" t="s">
        <v>27</v>
      </c>
      <c r="I2578" t="s">
        <v>16</v>
      </c>
      <c r="J2578" t="s">
        <v>16</v>
      </c>
      <c r="K2578" t="str">
        <f>VLOOKUP(C2578,CheckName!A:B,2,0)</f>
        <v>CRC</v>
      </c>
      <c r="L2578">
        <v>0</v>
      </c>
      <c r="M2578">
        <f t="shared" si="393"/>
        <v>18</v>
      </c>
      <c r="N2578" t="str">
        <f>TEXT(MTDRejection[[#This Row],[RejectionDate]],"dddd")</f>
        <v>Wednesday</v>
      </c>
    </row>
    <row r="2579" spans="1:14">
      <c r="A2579" t="s">
        <v>1879</v>
      </c>
      <c r="B2579" t="s">
        <v>4978</v>
      </c>
      <c r="C2579" t="s">
        <v>1686</v>
      </c>
      <c r="D2579" t="s">
        <v>26</v>
      </c>
      <c r="E2579" s="7">
        <v>45644</v>
      </c>
      <c r="F2579" t="s">
        <v>118</v>
      </c>
      <c r="G2579">
        <v>0</v>
      </c>
      <c r="H2579" t="s">
        <v>27</v>
      </c>
      <c r="I2579" t="s">
        <v>16</v>
      </c>
      <c r="J2579" t="s">
        <v>16</v>
      </c>
      <c r="K2579" t="str">
        <f>VLOOKUP(C2579,CheckName!A:B,2,0)</f>
        <v>CRC</v>
      </c>
      <c r="L2579">
        <v>0</v>
      </c>
      <c r="M2579">
        <f t="shared" si="393"/>
        <v>18</v>
      </c>
      <c r="N2579" t="str">
        <f>TEXT(MTDRejection[[#This Row],[RejectionDate]],"dddd")</f>
        <v>Wednesday</v>
      </c>
    </row>
    <row r="2580" spans="1:14">
      <c r="A2580" t="s">
        <v>1879</v>
      </c>
      <c r="B2580" t="s">
        <v>2015</v>
      </c>
      <c r="C2580" t="s">
        <v>1686</v>
      </c>
      <c r="D2580" t="s">
        <v>26</v>
      </c>
      <c r="E2580" s="7">
        <v>45644</v>
      </c>
      <c r="F2580" t="s">
        <v>118</v>
      </c>
      <c r="G2580">
        <v>0</v>
      </c>
      <c r="H2580" t="s">
        <v>27</v>
      </c>
      <c r="I2580" t="s">
        <v>16</v>
      </c>
      <c r="J2580" t="s">
        <v>16</v>
      </c>
      <c r="K2580" t="str">
        <f>VLOOKUP(C2580,CheckName!A:B,2,0)</f>
        <v>CRC</v>
      </c>
      <c r="L2580">
        <v>0</v>
      </c>
      <c r="M2580">
        <f t="shared" si="393"/>
        <v>18</v>
      </c>
      <c r="N2580" t="str">
        <f>TEXT(MTDRejection[[#This Row],[RejectionDate]],"dddd")</f>
        <v>Wednesday</v>
      </c>
    </row>
    <row r="2581" spans="1:14">
      <c r="A2581" t="s">
        <v>1879</v>
      </c>
      <c r="B2581" t="s">
        <v>4979</v>
      </c>
      <c r="C2581" t="s">
        <v>1686</v>
      </c>
      <c r="D2581" t="s">
        <v>26</v>
      </c>
      <c r="E2581" s="7">
        <v>45644</v>
      </c>
      <c r="F2581" t="s">
        <v>118</v>
      </c>
      <c r="G2581">
        <v>0</v>
      </c>
      <c r="H2581" t="s">
        <v>27</v>
      </c>
      <c r="I2581" t="s">
        <v>16</v>
      </c>
      <c r="J2581" t="s">
        <v>16</v>
      </c>
      <c r="K2581" t="str">
        <f>VLOOKUP(C2581,CheckName!A:B,2,0)</f>
        <v>CRC</v>
      </c>
      <c r="L2581">
        <v>0</v>
      </c>
      <c r="M2581">
        <f t="shared" si="393"/>
        <v>18</v>
      </c>
      <c r="N2581" t="str">
        <f>TEXT(MTDRejection[[#This Row],[RejectionDate]],"dddd")</f>
        <v>Wednesday</v>
      </c>
    </row>
    <row r="2582" spans="1:14">
      <c r="A2582" t="s">
        <v>1879</v>
      </c>
      <c r="B2582" t="s">
        <v>4980</v>
      </c>
      <c r="C2582" t="s">
        <v>1686</v>
      </c>
      <c r="D2582" t="s">
        <v>26</v>
      </c>
      <c r="E2582" s="7">
        <v>45644</v>
      </c>
      <c r="F2582" t="s">
        <v>118</v>
      </c>
      <c r="G2582">
        <v>0</v>
      </c>
      <c r="H2582" t="s">
        <v>27</v>
      </c>
      <c r="I2582" t="s">
        <v>16</v>
      </c>
      <c r="J2582" t="s">
        <v>16</v>
      </c>
      <c r="K2582" t="str">
        <f>VLOOKUP(C2582,CheckName!A:B,2,0)</f>
        <v>CRC</v>
      </c>
      <c r="L2582">
        <v>0</v>
      </c>
      <c r="M2582">
        <f t="shared" si="393"/>
        <v>18</v>
      </c>
      <c r="N2582" t="str">
        <f>TEXT(MTDRejection[[#This Row],[RejectionDate]],"dddd")</f>
        <v>Wednesday</v>
      </c>
    </row>
    <row r="2583" spans="1:14">
      <c r="A2583" t="s">
        <v>1879</v>
      </c>
      <c r="B2583" t="s">
        <v>4981</v>
      </c>
      <c r="C2583" t="s">
        <v>1686</v>
      </c>
      <c r="D2583" t="s">
        <v>26</v>
      </c>
      <c r="E2583" s="7">
        <v>45644</v>
      </c>
      <c r="F2583" t="s">
        <v>118</v>
      </c>
      <c r="G2583">
        <v>0</v>
      </c>
      <c r="H2583" t="s">
        <v>27</v>
      </c>
      <c r="I2583" t="s">
        <v>16</v>
      </c>
      <c r="J2583" t="s">
        <v>16</v>
      </c>
      <c r="K2583" t="str">
        <f>VLOOKUP(C2583,CheckName!A:B,2,0)</f>
        <v>CRC</v>
      </c>
      <c r="L2583">
        <v>0</v>
      </c>
      <c r="M2583">
        <f t="shared" si="393"/>
        <v>18</v>
      </c>
      <c r="N2583" t="str">
        <f>TEXT(MTDRejection[[#This Row],[RejectionDate]],"dddd")</f>
        <v>Wednesday</v>
      </c>
    </row>
    <row r="2584" spans="1:14">
      <c r="A2584" t="s">
        <v>1879</v>
      </c>
      <c r="B2584" t="s">
        <v>4982</v>
      </c>
      <c r="C2584" t="s">
        <v>1686</v>
      </c>
      <c r="D2584" t="s">
        <v>26</v>
      </c>
      <c r="E2584" s="7">
        <v>45644</v>
      </c>
      <c r="F2584" t="s">
        <v>118</v>
      </c>
      <c r="G2584">
        <v>0</v>
      </c>
      <c r="H2584" t="s">
        <v>27</v>
      </c>
      <c r="I2584" t="s">
        <v>16</v>
      </c>
      <c r="J2584" t="s">
        <v>16</v>
      </c>
      <c r="K2584" t="str">
        <f>VLOOKUP(C2584,CheckName!A:B,2,0)</f>
        <v>CRC</v>
      </c>
      <c r="L2584">
        <v>0</v>
      </c>
      <c r="M2584">
        <f t="shared" si="393"/>
        <v>18</v>
      </c>
      <c r="N2584" t="str">
        <f>TEXT(MTDRejection[[#This Row],[RejectionDate]],"dddd")</f>
        <v>Wednesday</v>
      </c>
    </row>
    <row r="2585" spans="1:14">
      <c r="A2585" t="s">
        <v>1879</v>
      </c>
      <c r="B2585" t="s">
        <v>4983</v>
      </c>
      <c r="C2585" t="s">
        <v>1686</v>
      </c>
      <c r="D2585" t="s">
        <v>26</v>
      </c>
      <c r="E2585" s="7">
        <v>45644</v>
      </c>
      <c r="F2585" t="s">
        <v>118</v>
      </c>
      <c r="G2585">
        <v>0</v>
      </c>
      <c r="H2585" t="s">
        <v>27</v>
      </c>
      <c r="I2585" t="s">
        <v>16</v>
      </c>
      <c r="J2585" t="s">
        <v>16</v>
      </c>
      <c r="K2585" t="str">
        <f>VLOOKUP(C2585,CheckName!A:B,2,0)</f>
        <v>CRC</v>
      </c>
      <c r="L2585">
        <v>0</v>
      </c>
      <c r="M2585">
        <f t="shared" si="393"/>
        <v>18</v>
      </c>
      <c r="N2585" t="str">
        <f>TEXT(MTDRejection[[#This Row],[RejectionDate]],"dddd")</f>
        <v>Wednesday</v>
      </c>
    </row>
    <row r="2586" spans="1:14">
      <c r="A2586" t="s">
        <v>1879</v>
      </c>
      <c r="B2586" t="s">
        <v>4984</v>
      </c>
      <c r="C2586" t="s">
        <v>1686</v>
      </c>
      <c r="D2586" t="s">
        <v>26</v>
      </c>
      <c r="E2586" s="7">
        <v>45644</v>
      </c>
      <c r="F2586" t="s">
        <v>118</v>
      </c>
      <c r="G2586">
        <v>0</v>
      </c>
      <c r="H2586" t="s">
        <v>27</v>
      </c>
      <c r="I2586" t="s">
        <v>16</v>
      </c>
      <c r="J2586" t="s">
        <v>16</v>
      </c>
      <c r="K2586" t="str">
        <f>VLOOKUP(C2586,CheckName!A:B,2,0)</f>
        <v>CRC</v>
      </c>
      <c r="L2586">
        <v>0</v>
      </c>
      <c r="M2586">
        <f t="shared" si="393"/>
        <v>18</v>
      </c>
      <c r="N2586" t="str">
        <f>TEXT(MTDRejection[[#This Row],[RejectionDate]],"dddd")</f>
        <v>Wednesday</v>
      </c>
    </row>
    <row r="2587" spans="1:14">
      <c r="A2587" t="s">
        <v>1879</v>
      </c>
      <c r="B2587" t="s">
        <v>2673</v>
      </c>
      <c r="C2587" t="s">
        <v>1686</v>
      </c>
      <c r="D2587" t="s">
        <v>26</v>
      </c>
      <c r="E2587" s="7">
        <v>45644</v>
      </c>
      <c r="F2587" t="s">
        <v>118</v>
      </c>
      <c r="G2587">
        <v>0</v>
      </c>
      <c r="H2587" t="s">
        <v>27</v>
      </c>
      <c r="I2587" t="s">
        <v>16</v>
      </c>
      <c r="J2587" t="s">
        <v>16</v>
      </c>
      <c r="K2587" t="str">
        <f>VLOOKUP(C2587,CheckName!A:B,2,0)</f>
        <v>CRC</v>
      </c>
      <c r="L2587">
        <v>0</v>
      </c>
      <c r="M2587">
        <f t="shared" si="393"/>
        <v>18</v>
      </c>
      <c r="N2587" t="str">
        <f>TEXT(MTDRejection[[#This Row],[RejectionDate]],"dddd")</f>
        <v>Wednesday</v>
      </c>
    </row>
    <row r="2588" spans="1:14">
      <c r="A2588" t="s">
        <v>1879</v>
      </c>
      <c r="B2588" t="s">
        <v>4985</v>
      </c>
      <c r="C2588" t="s">
        <v>1686</v>
      </c>
      <c r="D2588" t="s">
        <v>26</v>
      </c>
      <c r="E2588" s="7">
        <v>45644</v>
      </c>
      <c r="F2588" t="s">
        <v>118</v>
      </c>
      <c r="G2588">
        <v>0</v>
      </c>
      <c r="H2588" t="s">
        <v>27</v>
      </c>
      <c r="I2588" t="s">
        <v>16</v>
      </c>
      <c r="J2588" t="s">
        <v>16</v>
      </c>
      <c r="K2588" t="str">
        <f>VLOOKUP(C2588,CheckName!A:B,2,0)</f>
        <v>CRC</v>
      </c>
      <c r="L2588">
        <v>0</v>
      </c>
      <c r="M2588">
        <f t="shared" si="393"/>
        <v>18</v>
      </c>
      <c r="N2588" t="str">
        <f>TEXT(MTDRejection[[#This Row],[RejectionDate]],"dddd")</f>
        <v>Wednesday</v>
      </c>
    </row>
    <row r="2589" spans="1:14">
      <c r="A2589" t="s">
        <v>1879</v>
      </c>
      <c r="B2589" t="s">
        <v>2661</v>
      </c>
      <c r="C2589" t="s">
        <v>1686</v>
      </c>
      <c r="D2589" t="s">
        <v>26</v>
      </c>
      <c r="E2589" s="7">
        <v>45644</v>
      </c>
      <c r="F2589" t="s">
        <v>118</v>
      </c>
      <c r="G2589">
        <v>0</v>
      </c>
      <c r="H2589" t="s">
        <v>27</v>
      </c>
      <c r="I2589" t="s">
        <v>16</v>
      </c>
      <c r="J2589" t="s">
        <v>16</v>
      </c>
      <c r="K2589" t="str">
        <f>VLOOKUP(C2589,CheckName!A:B,2,0)</f>
        <v>CRC</v>
      </c>
      <c r="L2589">
        <v>0</v>
      </c>
      <c r="M2589">
        <f t="shared" si="393"/>
        <v>18</v>
      </c>
      <c r="N2589" t="str">
        <f>TEXT(MTDRejection[[#This Row],[RejectionDate]],"dddd")</f>
        <v>Wednesday</v>
      </c>
    </row>
    <row r="2590" spans="1:14">
      <c r="A2590" t="s">
        <v>1879</v>
      </c>
      <c r="B2590" t="s">
        <v>2634</v>
      </c>
      <c r="C2590" t="s">
        <v>1686</v>
      </c>
      <c r="D2590" t="s">
        <v>26</v>
      </c>
      <c r="E2590" s="7">
        <v>45644</v>
      </c>
      <c r="F2590" t="s">
        <v>118</v>
      </c>
      <c r="G2590">
        <v>0</v>
      </c>
      <c r="H2590" t="s">
        <v>27</v>
      </c>
      <c r="I2590" t="s">
        <v>16</v>
      </c>
      <c r="J2590" t="s">
        <v>16</v>
      </c>
      <c r="K2590" t="str">
        <f>VLOOKUP(C2590,CheckName!A:B,2,0)</f>
        <v>CRC</v>
      </c>
      <c r="L2590">
        <v>0</v>
      </c>
      <c r="M2590">
        <f t="shared" si="393"/>
        <v>18</v>
      </c>
      <c r="N2590" t="str">
        <f>TEXT(MTDRejection[[#This Row],[RejectionDate]],"dddd")</f>
        <v>Wednesday</v>
      </c>
    </row>
    <row r="2591" spans="1:14">
      <c r="A2591" t="s">
        <v>1879</v>
      </c>
      <c r="B2591" t="s">
        <v>4986</v>
      </c>
      <c r="C2591" t="s">
        <v>1686</v>
      </c>
      <c r="D2591" t="s">
        <v>26</v>
      </c>
      <c r="E2591" s="7">
        <v>45644</v>
      </c>
      <c r="F2591" t="s">
        <v>118</v>
      </c>
      <c r="G2591">
        <v>0</v>
      </c>
      <c r="H2591" t="s">
        <v>27</v>
      </c>
      <c r="I2591" t="s">
        <v>16</v>
      </c>
      <c r="J2591" t="s">
        <v>16</v>
      </c>
      <c r="K2591" t="str">
        <f>VLOOKUP(C2591,CheckName!A:B,2,0)</f>
        <v>CRC</v>
      </c>
      <c r="L2591">
        <v>0</v>
      </c>
      <c r="M2591">
        <f t="shared" si="393"/>
        <v>18</v>
      </c>
      <c r="N2591" t="str">
        <f>TEXT(MTDRejection[[#This Row],[RejectionDate]],"dddd")</f>
        <v>Wednesday</v>
      </c>
    </row>
    <row r="2592" spans="1:14">
      <c r="A2592" t="s">
        <v>1879</v>
      </c>
      <c r="B2592" t="s">
        <v>4987</v>
      </c>
      <c r="C2592" t="s">
        <v>1686</v>
      </c>
      <c r="D2592" t="s">
        <v>26</v>
      </c>
      <c r="E2592" s="7">
        <v>45644</v>
      </c>
      <c r="F2592" t="s">
        <v>118</v>
      </c>
      <c r="G2592">
        <v>0</v>
      </c>
      <c r="H2592" t="s">
        <v>27</v>
      </c>
      <c r="I2592" t="s">
        <v>16</v>
      </c>
      <c r="J2592" t="s">
        <v>16</v>
      </c>
      <c r="K2592" t="str">
        <f>VLOOKUP(C2592,CheckName!A:B,2,0)</f>
        <v>CRC</v>
      </c>
      <c r="L2592">
        <v>0</v>
      </c>
      <c r="M2592">
        <f t="shared" si="393"/>
        <v>18</v>
      </c>
      <c r="N2592" t="str">
        <f>TEXT(MTDRejection[[#This Row],[RejectionDate]],"dddd")</f>
        <v>Wednesday</v>
      </c>
    </row>
    <row r="2593" spans="1:14">
      <c r="A2593" t="s">
        <v>1879</v>
      </c>
      <c r="B2593" t="s">
        <v>4987</v>
      </c>
      <c r="C2593" t="s">
        <v>1686</v>
      </c>
      <c r="D2593" t="s">
        <v>26</v>
      </c>
      <c r="E2593" s="7">
        <v>45644</v>
      </c>
      <c r="F2593" t="s">
        <v>118</v>
      </c>
      <c r="G2593">
        <v>0</v>
      </c>
      <c r="H2593" t="s">
        <v>27</v>
      </c>
      <c r="I2593" t="s">
        <v>16</v>
      </c>
      <c r="J2593" t="s">
        <v>16</v>
      </c>
      <c r="K2593" t="str">
        <f>VLOOKUP(C2593,CheckName!A:B,2,0)</f>
        <v>CRC</v>
      </c>
      <c r="L2593">
        <v>0</v>
      </c>
      <c r="M2593">
        <f t="shared" si="393"/>
        <v>18</v>
      </c>
      <c r="N2593" t="str">
        <f>TEXT(MTDRejection[[#This Row],[RejectionDate]],"dddd")</f>
        <v>Wednesday</v>
      </c>
    </row>
    <row r="2594" spans="1:14">
      <c r="A2594" t="s">
        <v>1879</v>
      </c>
      <c r="B2594" t="s">
        <v>4988</v>
      </c>
      <c r="C2594" t="s">
        <v>1686</v>
      </c>
      <c r="D2594" t="s">
        <v>26</v>
      </c>
      <c r="E2594" s="7">
        <v>45644</v>
      </c>
      <c r="F2594" t="s">
        <v>118</v>
      </c>
      <c r="G2594">
        <v>0</v>
      </c>
      <c r="H2594" t="s">
        <v>27</v>
      </c>
      <c r="I2594" t="s">
        <v>16</v>
      </c>
      <c r="J2594" t="s">
        <v>16</v>
      </c>
      <c r="K2594" t="str">
        <f>VLOOKUP(C2594,CheckName!A:B,2,0)</f>
        <v>CRC</v>
      </c>
      <c r="L2594">
        <v>0</v>
      </c>
      <c r="M2594">
        <f t="shared" si="393"/>
        <v>18</v>
      </c>
      <c r="N2594" t="str">
        <f>TEXT(MTDRejection[[#This Row],[RejectionDate]],"dddd")</f>
        <v>Wednesday</v>
      </c>
    </row>
    <row r="2595" spans="1:14">
      <c r="A2595" t="s">
        <v>1879</v>
      </c>
      <c r="B2595" t="s">
        <v>2635</v>
      </c>
      <c r="C2595" t="s">
        <v>1686</v>
      </c>
      <c r="D2595" t="s">
        <v>26</v>
      </c>
      <c r="E2595" s="7">
        <v>45644</v>
      </c>
      <c r="F2595" t="s">
        <v>118</v>
      </c>
      <c r="G2595">
        <v>0</v>
      </c>
      <c r="H2595" t="s">
        <v>27</v>
      </c>
      <c r="I2595" t="s">
        <v>16</v>
      </c>
      <c r="J2595" t="s">
        <v>16</v>
      </c>
      <c r="K2595" t="str">
        <f>VLOOKUP(C2595,CheckName!A:B,2,0)</f>
        <v>CRC</v>
      </c>
      <c r="L2595">
        <v>0</v>
      </c>
      <c r="M2595">
        <f t="shared" si="393"/>
        <v>18</v>
      </c>
      <c r="N2595" t="str">
        <f>TEXT(MTDRejection[[#This Row],[RejectionDate]],"dddd")</f>
        <v>Wednesday</v>
      </c>
    </row>
    <row r="2596" spans="1:14">
      <c r="A2596" t="s">
        <v>1879</v>
      </c>
      <c r="B2596" t="s">
        <v>2012</v>
      </c>
      <c r="C2596" t="s">
        <v>1686</v>
      </c>
      <c r="D2596" t="s">
        <v>26</v>
      </c>
      <c r="E2596" s="7">
        <v>45644</v>
      </c>
      <c r="F2596" t="s">
        <v>118</v>
      </c>
      <c r="G2596">
        <v>0</v>
      </c>
      <c r="H2596" t="s">
        <v>27</v>
      </c>
      <c r="I2596" t="s">
        <v>16</v>
      </c>
      <c r="J2596" t="s">
        <v>16</v>
      </c>
      <c r="K2596" t="str">
        <f>VLOOKUP(C2596,CheckName!A:B,2,0)</f>
        <v>CRC</v>
      </c>
      <c r="L2596">
        <v>0</v>
      </c>
      <c r="M2596">
        <f t="shared" si="393"/>
        <v>18</v>
      </c>
      <c r="N2596" t="str">
        <f>TEXT(MTDRejection[[#This Row],[RejectionDate]],"dddd")</f>
        <v>Wednesday</v>
      </c>
    </row>
    <row r="2597" spans="1:14">
      <c r="A2597" t="s">
        <v>1879</v>
      </c>
      <c r="B2597" t="s">
        <v>1990</v>
      </c>
      <c r="C2597" t="s">
        <v>1686</v>
      </c>
      <c r="D2597" t="s">
        <v>26</v>
      </c>
      <c r="E2597" s="7">
        <v>45644</v>
      </c>
      <c r="F2597" t="s">
        <v>118</v>
      </c>
      <c r="G2597">
        <v>0</v>
      </c>
      <c r="H2597" t="s">
        <v>27</v>
      </c>
      <c r="I2597" t="s">
        <v>16</v>
      </c>
      <c r="J2597" t="s">
        <v>16</v>
      </c>
      <c r="K2597" t="str">
        <f>VLOOKUP(C2597,CheckName!A:B,2,0)</f>
        <v>CRC</v>
      </c>
      <c r="L2597">
        <v>0</v>
      </c>
      <c r="M2597">
        <f t="shared" si="393"/>
        <v>18</v>
      </c>
      <c r="N2597" t="str">
        <f>TEXT(MTDRejection[[#This Row],[RejectionDate]],"dddd")</f>
        <v>Wednesday</v>
      </c>
    </row>
    <row r="2598" spans="1:14">
      <c r="A2598" t="s">
        <v>1879</v>
      </c>
      <c r="B2598" t="s">
        <v>4989</v>
      </c>
      <c r="C2598" t="s">
        <v>1686</v>
      </c>
      <c r="D2598" t="s">
        <v>26</v>
      </c>
      <c r="E2598" s="7">
        <v>45644</v>
      </c>
      <c r="F2598" t="s">
        <v>118</v>
      </c>
      <c r="G2598">
        <v>0</v>
      </c>
      <c r="H2598" t="s">
        <v>27</v>
      </c>
      <c r="I2598" t="s">
        <v>16</v>
      </c>
      <c r="J2598" t="s">
        <v>16</v>
      </c>
      <c r="K2598" t="str">
        <f>VLOOKUP(C2598,CheckName!A:B,2,0)</f>
        <v>CRC</v>
      </c>
      <c r="L2598">
        <v>0</v>
      </c>
      <c r="M2598">
        <f t="shared" si="393"/>
        <v>18</v>
      </c>
      <c r="N2598" t="str">
        <f>TEXT(MTDRejection[[#This Row],[RejectionDate]],"dddd")</f>
        <v>Wednesday</v>
      </c>
    </row>
    <row r="2599" spans="1:14">
      <c r="A2599" t="s">
        <v>1879</v>
      </c>
      <c r="B2599" t="s">
        <v>2768</v>
      </c>
      <c r="C2599" t="s">
        <v>1686</v>
      </c>
      <c r="D2599" t="s">
        <v>26</v>
      </c>
      <c r="E2599" s="7">
        <v>45644</v>
      </c>
      <c r="F2599" t="s">
        <v>118</v>
      </c>
      <c r="G2599">
        <v>0</v>
      </c>
      <c r="H2599" t="s">
        <v>27</v>
      </c>
      <c r="I2599" t="s">
        <v>16</v>
      </c>
      <c r="J2599" t="s">
        <v>16</v>
      </c>
      <c r="K2599" t="str">
        <f>VLOOKUP(C2599,CheckName!A:B,2,0)</f>
        <v>CRC</v>
      </c>
      <c r="L2599">
        <v>0</v>
      </c>
      <c r="M2599">
        <f t="shared" si="393"/>
        <v>18</v>
      </c>
      <c r="N2599" t="str">
        <f>TEXT(MTDRejection[[#This Row],[RejectionDate]],"dddd")</f>
        <v>Wednesday</v>
      </c>
    </row>
    <row r="2600" spans="1:14">
      <c r="A2600" t="s">
        <v>1879</v>
      </c>
      <c r="B2600" t="s">
        <v>4990</v>
      </c>
      <c r="C2600" t="s">
        <v>1686</v>
      </c>
      <c r="D2600" t="s">
        <v>26</v>
      </c>
      <c r="E2600" s="7">
        <v>45644</v>
      </c>
      <c r="F2600" t="s">
        <v>118</v>
      </c>
      <c r="G2600">
        <v>0</v>
      </c>
      <c r="H2600" t="s">
        <v>27</v>
      </c>
      <c r="I2600" t="s">
        <v>16</v>
      </c>
      <c r="J2600" t="s">
        <v>16</v>
      </c>
      <c r="K2600" t="str">
        <f>VLOOKUP(C2600,CheckName!A:B,2,0)</f>
        <v>CRC</v>
      </c>
      <c r="L2600">
        <v>0</v>
      </c>
      <c r="M2600">
        <f t="shared" si="393"/>
        <v>18</v>
      </c>
      <c r="N2600" t="str">
        <f>TEXT(MTDRejection[[#This Row],[RejectionDate]],"dddd")</f>
        <v>Wednesday</v>
      </c>
    </row>
    <row r="2601" spans="1:14">
      <c r="A2601" t="s">
        <v>1879</v>
      </c>
      <c r="B2601" t="s">
        <v>1989</v>
      </c>
      <c r="C2601" t="s">
        <v>1686</v>
      </c>
      <c r="D2601" t="s">
        <v>26</v>
      </c>
      <c r="E2601" s="7">
        <v>45644</v>
      </c>
      <c r="F2601" t="s">
        <v>118</v>
      </c>
      <c r="G2601">
        <v>0</v>
      </c>
      <c r="H2601" t="s">
        <v>27</v>
      </c>
      <c r="I2601" t="s">
        <v>16</v>
      </c>
      <c r="J2601" t="s">
        <v>16</v>
      </c>
      <c r="K2601" t="str">
        <f>VLOOKUP(C2601,CheckName!A:B,2,0)</f>
        <v>CRC</v>
      </c>
      <c r="L2601">
        <v>0</v>
      </c>
      <c r="M2601">
        <f t="shared" si="393"/>
        <v>18</v>
      </c>
      <c r="N2601" t="str">
        <f>TEXT(MTDRejection[[#This Row],[RejectionDate]],"dddd")</f>
        <v>Wednesday</v>
      </c>
    </row>
    <row r="2602" spans="1:14">
      <c r="A2602" t="s">
        <v>1879</v>
      </c>
      <c r="B2602" t="s">
        <v>4991</v>
      </c>
      <c r="C2602" t="s">
        <v>1686</v>
      </c>
      <c r="D2602" t="s">
        <v>26</v>
      </c>
      <c r="E2602" s="7">
        <v>45644</v>
      </c>
      <c r="F2602" t="s">
        <v>118</v>
      </c>
      <c r="G2602">
        <v>0</v>
      </c>
      <c r="H2602" t="s">
        <v>27</v>
      </c>
      <c r="I2602" t="s">
        <v>16</v>
      </c>
      <c r="J2602" t="s">
        <v>16</v>
      </c>
      <c r="K2602" t="str">
        <f>VLOOKUP(C2602,CheckName!A:B,2,0)</f>
        <v>CRC</v>
      </c>
      <c r="L2602">
        <v>0</v>
      </c>
      <c r="M2602">
        <f t="shared" si="393"/>
        <v>18</v>
      </c>
      <c r="N2602" t="str">
        <f>TEXT(MTDRejection[[#This Row],[RejectionDate]],"dddd")</f>
        <v>Wednesday</v>
      </c>
    </row>
    <row r="2603" spans="1:14">
      <c r="A2603" t="s">
        <v>1879</v>
      </c>
      <c r="B2603" t="s">
        <v>4992</v>
      </c>
      <c r="C2603" t="s">
        <v>1686</v>
      </c>
      <c r="D2603" t="s">
        <v>26</v>
      </c>
      <c r="E2603" s="7">
        <v>45644</v>
      </c>
      <c r="F2603" t="s">
        <v>118</v>
      </c>
      <c r="G2603">
        <v>0</v>
      </c>
      <c r="H2603" t="s">
        <v>27</v>
      </c>
      <c r="I2603" t="s">
        <v>16</v>
      </c>
      <c r="J2603" t="s">
        <v>16</v>
      </c>
      <c r="K2603" t="str">
        <f>VLOOKUP(C2603,CheckName!A:B,2,0)</f>
        <v>CRC</v>
      </c>
      <c r="L2603">
        <v>0</v>
      </c>
      <c r="M2603">
        <f t="shared" si="393"/>
        <v>18</v>
      </c>
      <c r="N2603" t="str">
        <f>TEXT(MTDRejection[[#This Row],[RejectionDate]],"dddd")</f>
        <v>Wednesday</v>
      </c>
    </row>
    <row r="2604" spans="1:14">
      <c r="A2604" t="s">
        <v>1879</v>
      </c>
      <c r="B2604" t="s">
        <v>4993</v>
      </c>
      <c r="C2604" t="s">
        <v>1686</v>
      </c>
      <c r="D2604" t="s">
        <v>26</v>
      </c>
      <c r="E2604" s="7">
        <v>45644</v>
      </c>
      <c r="F2604" t="s">
        <v>118</v>
      </c>
      <c r="G2604">
        <v>0</v>
      </c>
      <c r="H2604" t="s">
        <v>27</v>
      </c>
      <c r="I2604" t="s">
        <v>16</v>
      </c>
      <c r="J2604" t="s">
        <v>16</v>
      </c>
      <c r="K2604" t="str">
        <f>VLOOKUP(C2604,CheckName!A:B,2,0)</f>
        <v>CRC</v>
      </c>
      <c r="L2604">
        <v>0</v>
      </c>
      <c r="M2604">
        <f t="shared" si="393"/>
        <v>18</v>
      </c>
      <c r="N2604" t="str">
        <f>TEXT(MTDRejection[[#This Row],[RejectionDate]],"dddd")</f>
        <v>Wednesday</v>
      </c>
    </row>
    <row r="2605" spans="1:14">
      <c r="A2605" t="s">
        <v>1879</v>
      </c>
      <c r="B2605" t="s">
        <v>1983</v>
      </c>
      <c r="C2605" t="s">
        <v>1686</v>
      </c>
      <c r="D2605" t="s">
        <v>26</v>
      </c>
      <c r="E2605" s="7">
        <v>45644</v>
      </c>
      <c r="F2605" t="s">
        <v>118</v>
      </c>
      <c r="G2605">
        <v>0</v>
      </c>
      <c r="H2605" t="s">
        <v>27</v>
      </c>
      <c r="I2605" t="s">
        <v>16</v>
      </c>
      <c r="J2605" t="s">
        <v>16</v>
      </c>
      <c r="K2605" t="str">
        <f>VLOOKUP(C2605,CheckName!A:B,2,0)</f>
        <v>CRC</v>
      </c>
      <c r="L2605">
        <v>0</v>
      </c>
      <c r="M2605">
        <f t="shared" si="393"/>
        <v>18</v>
      </c>
      <c r="N2605" t="str">
        <f>TEXT(MTDRejection[[#This Row],[RejectionDate]],"dddd")</f>
        <v>Wednesday</v>
      </c>
    </row>
    <row r="2606" spans="1:14">
      <c r="A2606" t="s">
        <v>1879</v>
      </c>
      <c r="B2606" t="s">
        <v>4994</v>
      </c>
      <c r="C2606" t="s">
        <v>1686</v>
      </c>
      <c r="D2606" t="s">
        <v>26</v>
      </c>
      <c r="E2606" s="7">
        <v>45644</v>
      </c>
      <c r="F2606" t="s">
        <v>118</v>
      </c>
      <c r="G2606">
        <v>0</v>
      </c>
      <c r="H2606" t="s">
        <v>27</v>
      </c>
      <c r="I2606" t="s">
        <v>16</v>
      </c>
      <c r="J2606" t="s">
        <v>16</v>
      </c>
      <c r="K2606" t="str">
        <f>VLOOKUP(C2606,CheckName!A:B,2,0)</f>
        <v>CRC</v>
      </c>
      <c r="L2606">
        <v>0</v>
      </c>
      <c r="M2606">
        <f t="shared" si="393"/>
        <v>18</v>
      </c>
      <c r="N2606" t="str">
        <f>TEXT(MTDRejection[[#This Row],[RejectionDate]],"dddd")</f>
        <v>Wednesday</v>
      </c>
    </row>
    <row r="2607" spans="1:14">
      <c r="A2607" t="s">
        <v>1879</v>
      </c>
      <c r="B2607" t="s">
        <v>4995</v>
      </c>
      <c r="C2607" t="s">
        <v>1686</v>
      </c>
      <c r="D2607" t="s">
        <v>26</v>
      </c>
      <c r="E2607" s="7">
        <v>45644</v>
      </c>
      <c r="F2607" t="s">
        <v>118</v>
      </c>
      <c r="G2607">
        <v>0</v>
      </c>
      <c r="H2607" t="s">
        <v>27</v>
      </c>
      <c r="I2607" t="s">
        <v>16</v>
      </c>
      <c r="J2607" t="s">
        <v>16</v>
      </c>
      <c r="K2607" t="str">
        <f>VLOOKUP(C2607,CheckName!A:B,2,0)</f>
        <v>CRC</v>
      </c>
      <c r="L2607">
        <v>0</v>
      </c>
      <c r="M2607">
        <f t="shared" si="393"/>
        <v>18</v>
      </c>
      <c r="N2607" t="str">
        <f>TEXT(MTDRejection[[#This Row],[RejectionDate]],"dddd")</f>
        <v>Wednesday</v>
      </c>
    </row>
    <row r="2608" spans="1:14">
      <c r="A2608" t="s">
        <v>1879</v>
      </c>
      <c r="B2608" t="s">
        <v>2631</v>
      </c>
      <c r="C2608" t="s">
        <v>1686</v>
      </c>
      <c r="D2608" t="s">
        <v>26</v>
      </c>
      <c r="E2608" s="7">
        <v>45644</v>
      </c>
      <c r="F2608" t="s">
        <v>118</v>
      </c>
      <c r="G2608">
        <v>0</v>
      </c>
      <c r="H2608" t="s">
        <v>27</v>
      </c>
      <c r="I2608" t="s">
        <v>16</v>
      </c>
      <c r="J2608" t="s">
        <v>16</v>
      </c>
      <c r="K2608" t="str">
        <f>VLOOKUP(C2608,CheckName!A:B,2,0)</f>
        <v>CRC</v>
      </c>
      <c r="L2608">
        <v>0</v>
      </c>
      <c r="M2608">
        <f t="shared" si="393"/>
        <v>18</v>
      </c>
      <c r="N2608" t="str">
        <f>TEXT(MTDRejection[[#This Row],[RejectionDate]],"dddd")</f>
        <v>Wednesday</v>
      </c>
    </row>
    <row r="2609" spans="1:14">
      <c r="A2609" t="s">
        <v>1879</v>
      </c>
      <c r="B2609" t="s">
        <v>1979</v>
      </c>
      <c r="C2609" t="s">
        <v>1686</v>
      </c>
      <c r="D2609" t="s">
        <v>26</v>
      </c>
      <c r="E2609" s="7">
        <v>45644</v>
      </c>
      <c r="F2609" t="s">
        <v>118</v>
      </c>
      <c r="G2609">
        <v>0</v>
      </c>
      <c r="H2609" t="s">
        <v>27</v>
      </c>
      <c r="I2609" t="s">
        <v>16</v>
      </c>
      <c r="J2609" t="s">
        <v>16</v>
      </c>
      <c r="K2609" t="str">
        <f>VLOOKUP(C2609,CheckName!A:B,2,0)</f>
        <v>CRC</v>
      </c>
      <c r="L2609">
        <v>0</v>
      </c>
      <c r="M2609">
        <f t="shared" si="393"/>
        <v>18</v>
      </c>
      <c r="N2609" t="str">
        <f>TEXT(MTDRejection[[#This Row],[RejectionDate]],"dddd")</f>
        <v>Wednesday</v>
      </c>
    </row>
    <row r="2610" spans="1:14">
      <c r="A2610" t="s">
        <v>1879</v>
      </c>
      <c r="B2610" t="s">
        <v>4996</v>
      </c>
      <c r="C2610" t="s">
        <v>1686</v>
      </c>
      <c r="D2610" t="s">
        <v>26</v>
      </c>
      <c r="E2610" s="7">
        <v>45644</v>
      </c>
      <c r="F2610" t="s">
        <v>118</v>
      </c>
      <c r="G2610">
        <v>0</v>
      </c>
      <c r="H2610" t="s">
        <v>27</v>
      </c>
      <c r="I2610" t="s">
        <v>16</v>
      </c>
      <c r="J2610" t="s">
        <v>16</v>
      </c>
      <c r="K2610" t="str">
        <f>VLOOKUP(C2610,CheckName!A:B,2,0)</f>
        <v>CRC</v>
      </c>
      <c r="L2610">
        <v>0</v>
      </c>
      <c r="M2610">
        <f t="shared" si="393"/>
        <v>18</v>
      </c>
      <c r="N2610" t="str">
        <f>TEXT(MTDRejection[[#This Row],[RejectionDate]],"dddd")</f>
        <v>Wednesday</v>
      </c>
    </row>
    <row r="2611" spans="1:14">
      <c r="A2611" t="s">
        <v>1879</v>
      </c>
      <c r="B2611" t="s">
        <v>4997</v>
      </c>
      <c r="C2611" t="s">
        <v>1686</v>
      </c>
      <c r="D2611" t="s">
        <v>26</v>
      </c>
      <c r="E2611" s="7">
        <v>45644</v>
      </c>
      <c r="F2611" t="s">
        <v>118</v>
      </c>
      <c r="G2611">
        <v>0</v>
      </c>
      <c r="H2611" t="s">
        <v>27</v>
      </c>
      <c r="I2611" t="s">
        <v>16</v>
      </c>
      <c r="J2611" t="s">
        <v>16</v>
      </c>
      <c r="K2611" t="str">
        <f>VLOOKUP(C2611,CheckName!A:B,2,0)</f>
        <v>CRC</v>
      </c>
      <c r="L2611">
        <v>0</v>
      </c>
      <c r="M2611">
        <f t="shared" si="393"/>
        <v>18</v>
      </c>
      <c r="N2611" t="str">
        <f>TEXT(MTDRejection[[#This Row],[RejectionDate]],"dddd")</f>
        <v>Wednesday</v>
      </c>
    </row>
    <row r="2612" spans="1:14">
      <c r="A2612" t="s">
        <v>1879</v>
      </c>
      <c r="B2612" t="s">
        <v>4998</v>
      </c>
      <c r="C2612" t="s">
        <v>1686</v>
      </c>
      <c r="D2612" t="s">
        <v>26</v>
      </c>
      <c r="E2612" s="7">
        <v>45644</v>
      </c>
      <c r="F2612" t="s">
        <v>118</v>
      </c>
      <c r="G2612">
        <v>0</v>
      </c>
      <c r="H2612" t="s">
        <v>27</v>
      </c>
      <c r="I2612" t="s">
        <v>16</v>
      </c>
      <c r="J2612" t="s">
        <v>16</v>
      </c>
      <c r="K2612" t="str">
        <f>VLOOKUP(C2612,CheckName!A:B,2,0)</f>
        <v>CRC</v>
      </c>
      <c r="L2612">
        <v>0</v>
      </c>
      <c r="M2612">
        <f t="shared" si="393"/>
        <v>18</v>
      </c>
      <c r="N2612" t="str">
        <f>TEXT(MTDRejection[[#This Row],[RejectionDate]],"dddd")</f>
        <v>Wednesday</v>
      </c>
    </row>
    <row r="2613" spans="1:14">
      <c r="A2613" t="s">
        <v>1879</v>
      </c>
      <c r="B2613" t="s">
        <v>4999</v>
      </c>
      <c r="C2613" t="s">
        <v>1686</v>
      </c>
      <c r="D2613" t="s">
        <v>26</v>
      </c>
      <c r="E2613" s="7">
        <v>45644</v>
      </c>
      <c r="F2613" t="s">
        <v>118</v>
      </c>
      <c r="G2613">
        <v>0</v>
      </c>
      <c r="H2613" t="s">
        <v>27</v>
      </c>
      <c r="I2613" t="s">
        <v>16</v>
      </c>
      <c r="J2613" t="s">
        <v>16</v>
      </c>
      <c r="K2613" t="str">
        <f>VLOOKUP(C2613,CheckName!A:B,2,0)</f>
        <v>CRC</v>
      </c>
      <c r="L2613">
        <v>0</v>
      </c>
      <c r="M2613">
        <f t="shared" si="393"/>
        <v>18</v>
      </c>
      <c r="N2613" t="str">
        <f>TEXT(MTDRejection[[#This Row],[RejectionDate]],"dddd")</f>
        <v>Wednesday</v>
      </c>
    </row>
    <row r="2614" spans="1:14">
      <c r="A2614" t="s">
        <v>1879</v>
      </c>
      <c r="B2614" t="s">
        <v>5000</v>
      </c>
      <c r="C2614" t="s">
        <v>1686</v>
      </c>
      <c r="D2614" t="s">
        <v>26</v>
      </c>
      <c r="E2614" s="7">
        <v>45644</v>
      </c>
      <c r="F2614" t="s">
        <v>118</v>
      </c>
      <c r="G2614">
        <v>0</v>
      </c>
      <c r="H2614" t="s">
        <v>27</v>
      </c>
      <c r="I2614" t="s">
        <v>16</v>
      </c>
      <c r="J2614" t="s">
        <v>16</v>
      </c>
      <c r="K2614" t="str">
        <f>VLOOKUP(C2614,CheckName!A:B,2,0)</f>
        <v>CRC</v>
      </c>
      <c r="L2614">
        <v>0</v>
      </c>
      <c r="M2614">
        <f t="shared" si="393"/>
        <v>18</v>
      </c>
      <c r="N2614" t="str">
        <f>TEXT(MTDRejection[[#This Row],[RejectionDate]],"dddd")</f>
        <v>Wednesday</v>
      </c>
    </row>
    <row r="2615" spans="1:14">
      <c r="A2615" t="s">
        <v>1879</v>
      </c>
      <c r="B2615" t="s">
        <v>2004</v>
      </c>
      <c r="C2615" t="s">
        <v>1686</v>
      </c>
      <c r="D2615" t="s">
        <v>26</v>
      </c>
      <c r="E2615" s="7">
        <v>45644</v>
      </c>
      <c r="F2615" t="s">
        <v>118</v>
      </c>
      <c r="G2615">
        <v>0</v>
      </c>
      <c r="H2615" t="s">
        <v>27</v>
      </c>
      <c r="I2615" t="s">
        <v>16</v>
      </c>
      <c r="J2615" t="s">
        <v>16</v>
      </c>
      <c r="K2615" t="str">
        <f>VLOOKUP(C2615,CheckName!A:B,2,0)</f>
        <v>CRC</v>
      </c>
      <c r="L2615">
        <v>0</v>
      </c>
      <c r="M2615">
        <f t="shared" si="393"/>
        <v>18</v>
      </c>
      <c r="N2615" t="str">
        <f>TEXT(MTDRejection[[#This Row],[RejectionDate]],"dddd")</f>
        <v>Wednesday</v>
      </c>
    </row>
    <row r="2616" spans="1:14">
      <c r="A2616" t="s">
        <v>1879</v>
      </c>
      <c r="B2616" t="s">
        <v>2673</v>
      </c>
      <c r="C2616" t="s">
        <v>1686</v>
      </c>
      <c r="D2616" t="s">
        <v>26</v>
      </c>
      <c r="E2616" s="7">
        <v>45644</v>
      </c>
      <c r="F2616" t="s">
        <v>118</v>
      </c>
      <c r="G2616">
        <v>0</v>
      </c>
      <c r="H2616" t="s">
        <v>27</v>
      </c>
      <c r="I2616" t="s">
        <v>16</v>
      </c>
      <c r="J2616" t="s">
        <v>16</v>
      </c>
      <c r="K2616" t="str">
        <f>VLOOKUP(C2616,CheckName!A:B,2,0)</f>
        <v>CRC</v>
      </c>
      <c r="L2616">
        <v>0</v>
      </c>
      <c r="M2616">
        <f t="shared" si="393"/>
        <v>18</v>
      </c>
      <c r="N2616" t="str">
        <f>TEXT(MTDRejection[[#This Row],[RejectionDate]],"dddd")</f>
        <v>Wednesday</v>
      </c>
    </row>
    <row r="2617" spans="1:14">
      <c r="A2617" t="s">
        <v>1879</v>
      </c>
      <c r="B2617" t="s">
        <v>5001</v>
      </c>
      <c r="C2617" t="s">
        <v>1686</v>
      </c>
      <c r="D2617" t="s">
        <v>26</v>
      </c>
      <c r="E2617" s="7">
        <v>45644</v>
      </c>
      <c r="F2617" t="s">
        <v>118</v>
      </c>
      <c r="G2617">
        <v>0</v>
      </c>
      <c r="H2617" t="s">
        <v>27</v>
      </c>
      <c r="I2617" t="s">
        <v>16</v>
      </c>
      <c r="J2617" t="s">
        <v>16</v>
      </c>
      <c r="K2617" t="str">
        <f>VLOOKUP(C2617,CheckName!A:B,2,0)</f>
        <v>CRC</v>
      </c>
      <c r="L2617">
        <v>0</v>
      </c>
      <c r="M2617">
        <f t="shared" ref="M2617:M2680" si="394">DAY(E2617)</f>
        <v>18</v>
      </c>
      <c r="N2617" t="str">
        <f>TEXT(MTDRejection[[#This Row],[RejectionDate]],"dddd")</f>
        <v>Wednesday</v>
      </c>
    </row>
    <row r="2618" spans="1:14">
      <c r="A2618" t="s">
        <v>1879</v>
      </c>
      <c r="B2618" t="s">
        <v>5002</v>
      </c>
      <c r="C2618" t="s">
        <v>1686</v>
      </c>
      <c r="D2618" t="s">
        <v>26</v>
      </c>
      <c r="E2618" s="7">
        <v>45644</v>
      </c>
      <c r="F2618" t="s">
        <v>118</v>
      </c>
      <c r="G2618">
        <v>0</v>
      </c>
      <c r="H2618" t="s">
        <v>27</v>
      </c>
      <c r="I2618" t="s">
        <v>16</v>
      </c>
      <c r="J2618" t="s">
        <v>16</v>
      </c>
      <c r="K2618" t="str">
        <f>VLOOKUP(C2618,CheckName!A:B,2,0)</f>
        <v>CRC</v>
      </c>
      <c r="L2618">
        <v>0</v>
      </c>
      <c r="M2618">
        <f t="shared" si="394"/>
        <v>18</v>
      </c>
      <c r="N2618" t="str">
        <f>TEXT(MTDRejection[[#This Row],[RejectionDate]],"dddd")</f>
        <v>Wednesday</v>
      </c>
    </row>
    <row r="2619" spans="1:14">
      <c r="A2619" t="s">
        <v>1879</v>
      </c>
      <c r="B2619" t="s">
        <v>1970</v>
      </c>
      <c r="C2619" t="s">
        <v>1686</v>
      </c>
      <c r="D2619" t="s">
        <v>26</v>
      </c>
      <c r="E2619" s="7">
        <v>45644</v>
      </c>
      <c r="F2619" t="s">
        <v>118</v>
      </c>
      <c r="G2619">
        <v>0</v>
      </c>
      <c r="H2619" t="s">
        <v>27</v>
      </c>
      <c r="I2619" t="s">
        <v>16</v>
      </c>
      <c r="J2619" t="s">
        <v>16</v>
      </c>
      <c r="K2619" t="str">
        <f>VLOOKUP(C2619,CheckName!A:B,2,0)</f>
        <v>CRC</v>
      </c>
      <c r="L2619">
        <v>0</v>
      </c>
      <c r="M2619">
        <f t="shared" si="394"/>
        <v>18</v>
      </c>
      <c r="N2619" t="str">
        <f>TEXT(MTDRejection[[#This Row],[RejectionDate]],"dddd")</f>
        <v>Wednesday</v>
      </c>
    </row>
    <row r="2620" spans="1:14">
      <c r="A2620" t="s">
        <v>1879</v>
      </c>
      <c r="B2620" t="s">
        <v>5003</v>
      </c>
      <c r="C2620" t="s">
        <v>1686</v>
      </c>
      <c r="D2620" t="s">
        <v>26</v>
      </c>
      <c r="E2620" s="7">
        <v>45644</v>
      </c>
      <c r="F2620" t="s">
        <v>118</v>
      </c>
      <c r="G2620">
        <v>0</v>
      </c>
      <c r="H2620" t="s">
        <v>27</v>
      </c>
      <c r="I2620" t="s">
        <v>16</v>
      </c>
      <c r="J2620" t="s">
        <v>16</v>
      </c>
      <c r="K2620" t="str">
        <f>VLOOKUP(C2620,CheckName!A:B,2,0)</f>
        <v>CRC</v>
      </c>
      <c r="L2620">
        <v>0</v>
      </c>
      <c r="M2620">
        <f t="shared" si="394"/>
        <v>18</v>
      </c>
      <c r="N2620" t="str">
        <f>TEXT(MTDRejection[[#This Row],[RejectionDate]],"dddd")</f>
        <v>Wednesday</v>
      </c>
    </row>
    <row r="2621" spans="1:14">
      <c r="A2621" t="s">
        <v>1879</v>
      </c>
      <c r="B2621" t="s">
        <v>2639</v>
      </c>
      <c r="C2621" t="s">
        <v>1686</v>
      </c>
      <c r="D2621" t="s">
        <v>26</v>
      </c>
      <c r="E2621" s="7">
        <v>45644</v>
      </c>
      <c r="F2621" t="s">
        <v>118</v>
      </c>
      <c r="G2621">
        <v>0</v>
      </c>
      <c r="H2621" t="s">
        <v>27</v>
      </c>
      <c r="I2621" t="s">
        <v>16</v>
      </c>
      <c r="J2621" t="s">
        <v>16</v>
      </c>
      <c r="K2621" t="str">
        <f>VLOOKUP(C2621,CheckName!A:B,2,0)</f>
        <v>CRC</v>
      </c>
      <c r="L2621">
        <v>0</v>
      </c>
      <c r="M2621">
        <f t="shared" si="394"/>
        <v>18</v>
      </c>
      <c r="N2621" t="str">
        <f>TEXT(MTDRejection[[#This Row],[RejectionDate]],"dddd")</f>
        <v>Wednesday</v>
      </c>
    </row>
    <row r="2622" spans="1:14">
      <c r="A2622" t="s">
        <v>1879</v>
      </c>
      <c r="B2622" t="s">
        <v>5004</v>
      </c>
      <c r="C2622" t="s">
        <v>1686</v>
      </c>
      <c r="D2622" t="s">
        <v>26</v>
      </c>
      <c r="E2622" s="7">
        <v>45644</v>
      </c>
      <c r="F2622" t="s">
        <v>118</v>
      </c>
      <c r="G2622">
        <v>0</v>
      </c>
      <c r="H2622" t="s">
        <v>27</v>
      </c>
      <c r="I2622" t="s">
        <v>16</v>
      </c>
      <c r="J2622" t="s">
        <v>16</v>
      </c>
      <c r="K2622" t="str">
        <f>VLOOKUP(C2622,CheckName!A:B,2,0)</f>
        <v>CRC</v>
      </c>
      <c r="L2622">
        <v>0</v>
      </c>
      <c r="M2622">
        <f t="shared" si="394"/>
        <v>18</v>
      </c>
      <c r="N2622" t="str">
        <f>TEXT(MTDRejection[[#This Row],[RejectionDate]],"dddd")</f>
        <v>Wednesday</v>
      </c>
    </row>
    <row r="2623" spans="1:14">
      <c r="A2623" t="s">
        <v>1879</v>
      </c>
      <c r="B2623" t="s">
        <v>1997</v>
      </c>
      <c r="C2623" t="s">
        <v>1686</v>
      </c>
      <c r="D2623" t="s">
        <v>26</v>
      </c>
      <c r="E2623" s="7">
        <v>45644</v>
      </c>
      <c r="F2623" t="s">
        <v>118</v>
      </c>
      <c r="G2623">
        <v>0</v>
      </c>
      <c r="H2623" t="s">
        <v>27</v>
      </c>
      <c r="I2623" t="s">
        <v>16</v>
      </c>
      <c r="J2623" t="s">
        <v>16</v>
      </c>
      <c r="K2623" t="str">
        <f>VLOOKUP(C2623,CheckName!A:B,2,0)</f>
        <v>CRC</v>
      </c>
      <c r="L2623">
        <v>0</v>
      </c>
      <c r="M2623">
        <f t="shared" si="394"/>
        <v>18</v>
      </c>
      <c r="N2623" t="str">
        <f>TEXT(MTDRejection[[#This Row],[RejectionDate]],"dddd")</f>
        <v>Wednesday</v>
      </c>
    </row>
    <row r="2624" spans="1:14">
      <c r="A2624" t="s">
        <v>1879</v>
      </c>
      <c r="B2624" t="s">
        <v>2679</v>
      </c>
      <c r="C2624" t="s">
        <v>1686</v>
      </c>
      <c r="D2624" t="s">
        <v>26</v>
      </c>
      <c r="E2624" s="7">
        <v>45644</v>
      </c>
      <c r="F2624" t="s">
        <v>118</v>
      </c>
      <c r="G2624">
        <v>0</v>
      </c>
      <c r="H2624" t="s">
        <v>27</v>
      </c>
      <c r="I2624" t="s">
        <v>16</v>
      </c>
      <c r="J2624" t="s">
        <v>16</v>
      </c>
      <c r="K2624" t="str">
        <f>VLOOKUP(C2624,CheckName!A:B,2,0)</f>
        <v>CRC</v>
      </c>
      <c r="L2624">
        <v>0</v>
      </c>
      <c r="M2624">
        <f t="shared" si="394"/>
        <v>18</v>
      </c>
      <c r="N2624" t="str">
        <f>TEXT(MTDRejection[[#This Row],[RejectionDate]],"dddd")</f>
        <v>Wednesday</v>
      </c>
    </row>
    <row r="2625" spans="1:14">
      <c r="A2625" t="s">
        <v>1879</v>
      </c>
      <c r="B2625" t="s">
        <v>5005</v>
      </c>
      <c r="C2625" t="s">
        <v>1686</v>
      </c>
      <c r="D2625" t="s">
        <v>26</v>
      </c>
      <c r="E2625" s="7">
        <v>45644</v>
      </c>
      <c r="F2625" t="s">
        <v>118</v>
      </c>
      <c r="G2625">
        <v>0</v>
      </c>
      <c r="H2625" t="s">
        <v>27</v>
      </c>
      <c r="I2625" t="s">
        <v>16</v>
      </c>
      <c r="J2625" t="s">
        <v>16</v>
      </c>
      <c r="K2625" t="str">
        <f>VLOOKUP(C2625,CheckName!A:B,2,0)</f>
        <v>CRC</v>
      </c>
      <c r="L2625">
        <v>0</v>
      </c>
      <c r="M2625">
        <f t="shared" si="394"/>
        <v>18</v>
      </c>
      <c r="N2625" t="str">
        <f>TEXT(MTDRejection[[#This Row],[RejectionDate]],"dddd")</f>
        <v>Wednesday</v>
      </c>
    </row>
    <row r="2626" spans="1:14">
      <c r="A2626" t="s">
        <v>1879</v>
      </c>
      <c r="B2626" t="s">
        <v>2640</v>
      </c>
      <c r="C2626" t="s">
        <v>1686</v>
      </c>
      <c r="D2626" t="s">
        <v>26</v>
      </c>
      <c r="E2626" s="7">
        <v>45644</v>
      </c>
      <c r="F2626" t="s">
        <v>118</v>
      </c>
      <c r="G2626">
        <v>0</v>
      </c>
      <c r="H2626" t="s">
        <v>27</v>
      </c>
      <c r="I2626" t="s">
        <v>16</v>
      </c>
      <c r="J2626" t="s">
        <v>16</v>
      </c>
      <c r="K2626" t="str">
        <f>VLOOKUP(C2626,CheckName!A:B,2,0)</f>
        <v>CRC</v>
      </c>
      <c r="L2626">
        <v>0</v>
      </c>
      <c r="M2626">
        <f t="shared" si="394"/>
        <v>18</v>
      </c>
      <c r="N2626" t="str">
        <f>TEXT(MTDRejection[[#This Row],[RejectionDate]],"dddd")</f>
        <v>Wednesday</v>
      </c>
    </row>
    <row r="2627" spans="1:14">
      <c r="A2627" t="s">
        <v>1879</v>
      </c>
      <c r="B2627" t="s">
        <v>5006</v>
      </c>
      <c r="C2627" t="s">
        <v>1686</v>
      </c>
      <c r="D2627" t="s">
        <v>26</v>
      </c>
      <c r="E2627" s="7">
        <v>45644</v>
      </c>
      <c r="F2627" t="s">
        <v>118</v>
      </c>
      <c r="G2627">
        <v>0</v>
      </c>
      <c r="H2627" t="s">
        <v>27</v>
      </c>
      <c r="I2627" t="s">
        <v>16</v>
      </c>
      <c r="J2627" t="s">
        <v>16</v>
      </c>
      <c r="K2627" t="str">
        <f>VLOOKUP(C2627,CheckName!A:B,2,0)</f>
        <v>CRC</v>
      </c>
      <c r="L2627">
        <v>0</v>
      </c>
      <c r="M2627">
        <f t="shared" si="394"/>
        <v>18</v>
      </c>
      <c r="N2627" t="str">
        <f>TEXT(MTDRejection[[#This Row],[RejectionDate]],"dddd")</f>
        <v>Wednesday</v>
      </c>
    </row>
    <row r="2628" spans="1:14">
      <c r="A2628" t="s">
        <v>1879</v>
      </c>
      <c r="B2628" t="s">
        <v>5007</v>
      </c>
      <c r="C2628" t="s">
        <v>1686</v>
      </c>
      <c r="D2628" t="s">
        <v>26</v>
      </c>
      <c r="E2628" s="7">
        <v>45644</v>
      </c>
      <c r="F2628" t="s">
        <v>118</v>
      </c>
      <c r="G2628">
        <v>0</v>
      </c>
      <c r="H2628" t="s">
        <v>27</v>
      </c>
      <c r="I2628" t="s">
        <v>16</v>
      </c>
      <c r="J2628" t="s">
        <v>16</v>
      </c>
      <c r="K2628" t="str">
        <f>VLOOKUP(C2628,CheckName!A:B,2,0)</f>
        <v>CRC</v>
      </c>
      <c r="L2628">
        <v>0</v>
      </c>
      <c r="M2628">
        <f t="shared" si="394"/>
        <v>18</v>
      </c>
      <c r="N2628" t="str">
        <f>TEXT(MTDRejection[[#This Row],[RejectionDate]],"dddd")</f>
        <v>Wednesday</v>
      </c>
    </row>
    <row r="2629" spans="1:14">
      <c r="A2629" t="s">
        <v>1879</v>
      </c>
      <c r="B2629" t="s">
        <v>2641</v>
      </c>
      <c r="C2629" t="s">
        <v>1686</v>
      </c>
      <c r="D2629" t="s">
        <v>26</v>
      </c>
      <c r="E2629" s="7">
        <v>45644</v>
      </c>
      <c r="F2629" t="s">
        <v>118</v>
      </c>
      <c r="G2629">
        <v>0</v>
      </c>
      <c r="H2629" t="s">
        <v>27</v>
      </c>
      <c r="I2629" t="s">
        <v>16</v>
      </c>
      <c r="J2629" t="s">
        <v>16</v>
      </c>
      <c r="K2629" t="str">
        <f>VLOOKUP(C2629,CheckName!A:B,2,0)</f>
        <v>CRC</v>
      </c>
      <c r="L2629">
        <v>0</v>
      </c>
      <c r="M2629">
        <f t="shared" si="394"/>
        <v>18</v>
      </c>
      <c r="N2629" t="str">
        <f>TEXT(MTDRejection[[#This Row],[RejectionDate]],"dddd")</f>
        <v>Wednesday</v>
      </c>
    </row>
    <row r="2630" spans="1:14">
      <c r="A2630" t="s">
        <v>1879</v>
      </c>
      <c r="B2630" t="s">
        <v>5008</v>
      </c>
      <c r="C2630" t="s">
        <v>1686</v>
      </c>
      <c r="D2630" t="s">
        <v>26</v>
      </c>
      <c r="E2630" s="7">
        <v>45644</v>
      </c>
      <c r="F2630" t="s">
        <v>118</v>
      </c>
      <c r="G2630">
        <v>0</v>
      </c>
      <c r="H2630" t="s">
        <v>27</v>
      </c>
      <c r="I2630" t="s">
        <v>16</v>
      </c>
      <c r="J2630" t="s">
        <v>16</v>
      </c>
      <c r="K2630" t="str">
        <f>VLOOKUP(C2630,CheckName!A:B,2,0)</f>
        <v>CRC</v>
      </c>
      <c r="L2630">
        <v>0</v>
      </c>
      <c r="M2630">
        <f t="shared" si="394"/>
        <v>18</v>
      </c>
      <c r="N2630" t="str">
        <f>TEXT(MTDRejection[[#This Row],[RejectionDate]],"dddd")</f>
        <v>Wednesday</v>
      </c>
    </row>
    <row r="2631" spans="1:14">
      <c r="A2631" t="s">
        <v>1879</v>
      </c>
      <c r="B2631" t="s">
        <v>1974</v>
      </c>
      <c r="C2631" t="s">
        <v>1686</v>
      </c>
      <c r="D2631" t="s">
        <v>26</v>
      </c>
      <c r="E2631" s="7">
        <v>45644</v>
      </c>
      <c r="F2631" t="s">
        <v>118</v>
      </c>
      <c r="G2631">
        <v>0</v>
      </c>
      <c r="H2631" t="s">
        <v>27</v>
      </c>
      <c r="I2631" t="s">
        <v>16</v>
      </c>
      <c r="J2631" t="s">
        <v>16</v>
      </c>
      <c r="K2631" t="str">
        <f>VLOOKUP(C2631,CheckName!A:B,2,0)</f>
        <v>CRC</v>
      </c>
      <c r="L2631">
        <v>0</v>
      </c>
      <c r="M2631">
        <f t="shared" si="394"/>
        <v>18</v>
      </c>
      <c r="N2631" t="str">
        <f>TEXT(MTDRejection[[#This Row],[RejectionDate]],"dddd")</f>
        <v>Wednesday</v>
      </c>
    </row>
    <row r="2632" spans="1:14">
      <c r="A2632" t="s">
        <v>1879</v>
      </c>
      <c r="B2632" t="s">
        <v>5009</v>
      </c>
      <c r="C2632" t="s">
        <v>1686</v>
      </c>
      <c r="D2632" t="s">
        <v>26</v>
      </c>
      <c r="E2632" s="7">
        <v>45644</v>
      </c>
      <c r="F2632" t="s">
        <v>118</v>
      </c>
      <c r="G2632">
        <v>0</v>
      </c>
      <c r="H2632" t="s">
        <v>27</v>
      </c>
      <c r="I2632" t="s">
        <v>16</v>
      </c>
      <c r="J2632" t="s">
        <v>16</v>
      </c>
      <c r="K2632" t="str">
        <f>VLOOKUP(C2632,CheckName!A:B,2,0)</f>
        <v>CRC</v>
      </c>
      <c r="L2632">
        <v>0</v>
      </c>
      <c r="M2632">
        <f t="shared" si="394"/>
        <v>18</v>
      </c>
      <c r="N2632" t="str">
        <f>TEXT(MTDRejection[[#This Row],[RejectionDate]],"dddd")</f>
        <v>Wednesday</v>
      </c>
    </row>
    <row r="2633" spans="1:14">
      <c r="A2633" t="s">
        <v>1879</v>
      </c>
      <c r="B2633" t="s">
        <v>5010</v>
      </c>
      <c r="C2633" t="s">
        <v>1686</v>
      </c>
      <c r="D2633" t="s">
        <v>26</v>
      </c>
      <c r="E2633" s="7">
        <v>45644</v>
      </c>
      <c r="F2633" t="s">
        <v>118</v>
      </c>
      <c r="G2633">
        <v>0</v>
      </c>
      <c r="H2633" t="s">
        <v>27</v>
      </c>
      <c r="I2633" t="s">
        <v>16</v>
      </c>
      <c r="J2633" t="s">
        <v>16</v>
      </c>
      <c r="K2633" t="str">
        <f>VLOOKUP(C2633,CheckName!A:B,2,0)</f>
        <v>CRC</v>
      </c>
      <c r="L2633">
        <v>0</v>
      </c>
      <c r="M2633">
        <f t="shared" si="394"/>
        <v>18</v>
      </c>
      <c r="N2633" t="str">
        <f>TEXT(MTDRejection[[#This Row],[RejectionDate]],"dddd")</f>
        <v>Wednesday</v>
      </c>
    </row>
    <row r="2634" spans="1:14">
      <c r="A2634" t="s">
        <v>1879</v>
      </c>
      <c r="B2634" t="s">
        <v>5011</v>
      </c>
      <c r="C2634" t="s">
        <v>1686</v>
      </c>
      <c r="D2634" t="s">
        <v>26</v>
      </c>
      <c r="E2634" s="7">
        <v>45644</v>
      </c>
      <c r="F2634" t="s">
        <v>118</v>
      </c>
      <c r="G2634">
        <v>0</v>
      </c>
      <c r="H2634" t="s">
        <v>27</v>
      </c>
      <c r="I2634" t="s">
        <v>16</v>
      </c>
      <c r="J2634" t="s">
        <v>16</v>
      </c>
      <c r="K2634" t="str">
        <f>VLOOKUP(C2634,CheckName!A:B,2,0)</f>
        <v>CRC</v>
      </c>
      <c r="L2634">
        <v>0</v>
      </c>
      <c r="M2634">
        <f t="shared" si="394"/>
        <v>18</v>
      </c>
      <c r="N2634" t="str">
        <f>TEXT(MTDRejection[[#This Row],[RejectionDate]],"dddd")</f>
        <v>Wednesday</v>
      </c>
    </row>
    <row r="2635" spans="1:14">
      <c r="A2635" t="s">
        <v>1879</v>
      </c>
      <c r="B2635" t="s">
        <v>5012</v>
      </c>
      <c r="C2635" t="s">
        <v>1686</v>
      </c>
      <c r="D2635" t="s">
        <v>26</v>
      </c>
      <c r="E2635" s="7">
        <v>45644</v>
      </c>
      <c r="F2635" t="s">
        <v>118</v>
      </c>
      <c r="G2635">
        <v>0</v>
      </c>
      <c r="H2635" t="s">
        <v>27</v>
      </c>
      <c r="I2635" t="s">
        <v>16</v>
      </c>
      <c r="J2635" t="s">
        <v>16</v>
      </c>
      <c r="K2635" t="str">
        <f>VLOOKUP(C2635,CheckName!A:B,2,0)</f>
        <v>CRC</v>
      </c>
      <c r="L2635">
        <v>0</v>
      </c>
      <c r="M2635">
        <f t="shared" si="394"/>
        <v>18</v>
      </c>
      <c r="N2635" t="str">
        <f>TEXT(MTDRejection[[#This Row],[RejectionDate]],"dddd")</f>
        <v>Wednesday</v>
      </c>
    </row>
    <row r="2636" spans="1:14">
      <c r="A2636" t="s">
        <v>1879</v>
      </c>
      <c r="B2636" t="s">
        <v>5013</v>
      </c>
      <c r="C2636" t="s">
        <v>1686</v>
      </c>
      <c r="D2636" t="s">
        <v>26</v>
      </c>
      <c r="E2636" s="7">
        <v>45644</v>
      </c>
      <c r="F2636" t="s">
        <v>118</v>
      </c>
      <c r="G2636">
        <v>0</v>
      </c>
      <c r="H2636" t="s">
        <v>27</v>
      </c>
      <c r="I2636" t="s">
        <v>16</v>
      </c>
      <c r="J2636" t="s">
        <v>16</v>
      </c>
      <c r="K2636" t="str">
        <f>VLOOKUP(C2636,CheckName!A:B,2,0)</f>
        <v>CRC</v>
      </c>
      <c r="L2636">
        <v>0</v>
      </c>
      <c r="M2636">
        <f t="shared" si="394"/>
        <v>18</v>
      </c>
      <c r="N2636" t="str">
        <f>TEXT(MTDRejection[[#This Row],[RejectionDate]],"dddd")</f>
        <v>Wednesday</v>
      </c>
    </row>
    <row r="2637" spans="1:14">
      <c r="A2637" t="s">
        <v>1879</v>
      </c>
      <c r="B2637" t="s">
        <v>5014</v>
      </c>
      <c r="C2637" t="s">
        <v>1686</v>
      </c>
      <c r="D2637" t="s">
        <v>26</v>
      </c>
      <c r="E2637" s="7">
        <v>45644</v>
      </c>
      <c r="F2637" t="s">
        <v>118</v>
      </c>
      <c r="G2637">
        <v>0</v>
      </c>
      <c r="H2637" t="s">
        <v>27</v>
      </c>
      <c r="I2637" t="s">
        <v>16</v>
      </c>
      <c r="J2637" t="s">
        <v>16</v>
      </c>
      <c r="K2637" t="str">
        <f>VLOOKUP(C2637,CheckName!A:B,2,0)</f>
        <v>CRC</v>
      </c>
      <c r="L2637">
        <v>0</v>
      </c>
      <c r="M2637">
        <f t="shared" si="394"/>
        <v>18</v>
      </c>
      <c r="N2637" t="str">
        <f>TEXT(MTDRejection[[#This Row],[RejectionDate]],"dddd")</f>
        <v>Wednesday</v>
      </c>
    </row>
    <row r="2638" spans="1:14">
      <c r="A2638" t="s">
        <v>1879</v>
      </c>
      <c r="B2638" t="s">
        <v>5015</v>
      </c>
      <c r="C2638" t="s">
        <v>1686</v>
      </c>
      <c r="D2638" t="s">
        <v>26</v>
      </c>
      <c r="E2638" s="7">
        <v>45644</v>
      </c>
      <c r="F2638" t="s">
        <v>118</v>
      </c>
      <c r="G2638">
        <v>0</v>
      </c>
      <c r="H2638" t="s">
        <v>27</v>
      </c>
      <c r="I2638" t="s">
        <v>16</v>
      </c>
      <c r="J2638" t="s">
        <v>16</v>
      </c>
      <c r="K2638" t="str">
        <f>VLOOKUP(C2638,CheckName!A:B,2,0)</f>
        <v>CRC</v>
      </c>
      <c r="L2638">
        <v>0</v>
      </c>
      <c r="M2638">
        <f t="shared" si="394"/>
        <v>18</v>
      </c>
      <c r="N2638" t="str">
        <f>TEXT(MTDRejection[[#This Row],[RejectionDate]],"dddd")</f>
        <v>Wednesday</v>
      </c>
    </row>
    <row r="2639" spans="1:14">
      <c r="A2639" t="s">
        <v>1879</v>
      </c>
      <c r="B2639" t="s">
        <v>5016</v>
      </c>
      <c r="C2639" t="s">
        <v>1686</v>
      </c>
      <c r="D2639" t="s">
        <v>26</v>
      </c>
      <c r="E2639" s="7">
        <v>45644</v>
      </c>
      <c r="F2639" t="s">
        <v>118</v>
      </c>
      <c r="G2639">
        <v>0</v>
      </c>
      <c r="H2639" t="s">
        <v>27</v>
      </c>
      <c r="I2639" t="s">
        <v>16</v>
      </c>
      <c r="J2639" t="s">
        <v>16</v>
      </c>
      <c r="K2639" t="str">
        <f>VLOOKUP(C2639,CheckName!A:B,2,0)</f>
        <v>CRC</v>
      </c>
      <c r="L2639">
        <v>0</v>
      </c>
      <c r="M2639">
        <f t="shared" si="394"/>
        <v>18</v>
      </c>
      <c r="N2639" t="str">
        <f>TEXT(MTDRejection[[#This Row],[RejectionDate]],"dddd")</f>
        <v>Wednesday</v>
      </c>
    </row>
    <row r="2640" spans="1:14">
      <c r="A2640" t="s">
        <v>1879</v>
      </c>
      <c r="B2640" t="s">
        <v>5017</v>
      </c>
      <c r="C2640" t="s">
        <v>1686</v>
      </c>
      <c r="D2640" t="s">
        <v>26</v>
      </c>
      <c r="E2640" s="7">
        <v>45644</v>
      </c>
      <c r="F2640" t="s">
        <v>118</v>
      </c>
      <c r="G2640">
        <v>0</v>
      </c>
      <c r="H2640" t="s">
        <v>27</v>
      </c>
      <c r="I2640" t="s">
        <v>16</v>
      </c>
      <c r="J2640" t="s">
        <v>16</v>
      </c>
      <c r="K2640" t="str">
        <f>VLOOKUP(C2640,CheckName!A:B,2,0)</f>
        <v>CRC</v>
      </c>
      <c r="L2640">
        <v>0</v>
      </c>
      <c r="M2640">
        <f t="shared" si="394"/>
        <v>18</v>
      </c>
      <c r="N2640" t="str">
        <f>TEXT(MTDRejection[[#This Row],[RejectionDate]],"dddd")</f>
        <v>Wednesday</v>
      </c>
    </row>
    <row r="2641" spans="1:14">
      <c r="A2641" t="s">
        <v>1879</v>
      </c>
      <c r="B2641" t="s">
        <v>5018</v>
      </c>
      <c r="C2641" t="s">
        <v>1686</v>
      </c>
      <c r="D2641" t="s">
        <v>26</v>
      </c>
      <c r="E2641" s="7">
        <v>45644</v>
      </c>
      <c r="F2641" t="s">
        <v>118</v>
      </c>
      <c r="G2641">
        <v>0</v>
      </c>
      <c r="H2641" t="s">
        <v>27</v>
      </c>
      <c r="I2641" t="s">
        <v>16</v>
      </c>
      <c r="J2641" t="s">
        <v>16</v>
      </c>
      <c r="K2641" t="str">
        <f>VLOOKUP(C2641,CheckName!A:B,2,0)</f>
        <v>CRC</v>
      </c>
      <c r="L2641">
        <v>0</v>
      </c>
      <c r="M2641">
        <f t="shared" si="394"/>
        <v>18</v>
      </c>
      <c r="N2641" t="str">
        <f>TEXT(MTDRejection[[#This Row],[RejectionDate]],"dddd")</f>
        <v>Wednesday</v>
      </c>
    </row>
    <row r="2642" spans="1:14">
      <c r="A2642" t="s">
        <v>1879</v>
      </c>
      <c r="B2642" t="s">
        <v>5019</v>
      </c>
      <c r="C2642" t="s">
        <v>1686</v>
      </c>
      <c r="D2642" t="s">
        <v>26</v>
      </c>
      <c r="E2642" s="7">
        <v>45644</v>
      </c>
      <c r="F2642" t="s">
        <v>118</v>
      </c>
      <c r="G2642">
        <v>0</v>
      </c>
      <c r="H2642" t="s">
        <v>27</v>
      </c>
      <c r="I2642" t="s">
        <v>16</v>
      </c>
      <c r="J2642" t="s">
        <v>16</v>
      </c>
      <c r="K2642" t="str">
        <f>VLOOKUP(C2642,CheckName!A:B,2,0)</f>
        <v>CRC</v>
      </c>
      <c r="L2642">
        <v>0</v>
      </c>
      <c r="M2642">
        <f t="shared" si="394"/>
        <v>18</v>
      </c>
      <c r="N2642" t="str">
        <f>TEXT(MTDRejection[[#This Row],[RejectionDate]],"dddd")</f>
        <v>Wednesday</v>
      </c>
    </row>
    <row r="2643" spans="1:14">
      <c r="A2643" t="s">
        <v>1879</v>
      </c>
      <c r="B2643" t="s">
        <v>2658</v>
      </c>
      <c r="C2643" t="s">
        <v>1686</v>
      </c>
      <c r="D2643" t="s">
        <v>26</v>
      </c>
      <c r="E2643" s="7">
        <v>45644</v>
      </c>
      <c r="F2643" t="s">
        <v>118</v>
      </c>
      <c r="G2643">
        <v>0</v>
      </c>
      <c r="H2643" t="s">
        <v>27</v>
      </c>
      <c r="I2643" t="s">
        <v>16</v>
      </c>
      <c r="J2643" t="s">
        <v>16</v>
      </c>
      <c r="K2643" t="str">
        <f>VLOOKUP(C2643,CheckName!A:B,2,0)</f>
        <v>CRC</v>
      </c>
      <c r="L2643">
        <v>0</v>
      </c>
      <c r="M2643">
        <f t="shared" si="394"/>
        <v>18</v>
      </c>
      <c r="N2643" t="str">
        <f>TEXT(MTDRejection[[#This Row],[RejectionDate]],"dddd")</f>
        <v>Wednesday</v>
      </c>
    </row>
    <row r="2644" spans="1:14">
      <c r="A2644" t="s">
        <v>1879</v>
      </c>
      <c r="B2644" t="s">
        <v>1976</v>
      </c>
      <c r="C2644" t="s">
        <v>1686</v>
      </c>
      <c r="D2644" t="s">
        <v>26</v>
      </c>
      <c r="E2644" s="7">
        <v>45644</v>
      </c>
      <c r="F2644" t="s">
        <v>118</v>
      </c>
      <c r="G2644">
        <v>0</v>
      </c>
      <c r="H2644" t="s">
        <v>27</v>
      </c>
      <c r="I2644" t="s">
        <v>16</v>
      </c>
      <c r="J2644" t="s">
        <v>16</v>
      </c>
      <c r="K2644" t="str">
        <f>VLOOKUP(C2644,CheckName!A:B,2,0)</f>
        <v>CRC</v>
      </c>
      <c r="L2644">
        <v>0</v>
      </c>
      <c r="M2644">
        <f t="shared" si="394"/>
        <v>18</v>
      </c>
      <c r="N2644" t="str">
        <f>TEXT(MTDRejection[[#This Row],[RejectionDate]],"dddd")</f>
        <v>Wednesday</v>
      </c>
    </row>
    <row r="2645" spans="1:14">
      <c r="A2645" t="s">
        <v>1879</v>
      </c>
      <c r="B2645" t="s">
        <v>2645</v>
      </c>
      <c r="C2645" t="s">
        <v>1686</v>
      </c>
      <c r="D2645" t="s">
        <v>26</v>
      </c>
      <c r="E2645" s="7">
        <v>45644</v>
      </c>
      <c r="F2645" t="s">
        <v>118</v>
      </c>
      <c r="G2645">
        <v>0</v>
      </c>
      <c r="H2645" t="s">
        <v>27</v>
      </c>
      <c r="I2645" t="s">
        <v>16</v>
      </c>
      <c r="J2645" t="s">
        <v>16</v>
      </c>
      <c r="K2645" t="str">
        <f>VLOOKUP(C2645,CheckName!A:B,2,0)</f>
        <v>CRC</v>
      </c>
      <c r="L2645">
        <v>0</v>
      </c>
      <c r="M2645">
        <f t="shared" si="394"/>
        <v>18</v>
      </c>
      <c r="N2645" t="str">
        <f>TEXT(MTDRejection[[#This Row],[RejectionDate]],"dddd")</f>
        <v>Wednesday</v>
      </c>
    </row>
    <row r="2646" spans="1:14">
      <c r="A2646" t="s">
        <v>1879</v>
      </c>
      <c r="B2646" t="s">
        <v>5020</v>
      </c>
      <c r="C2646" t="s">
        <v>1686</v>
      </c>
      <c r="D2646" t="s">
        <v>26</v>
      </c>
      <c r="E2646" s="7">
        <v>45644</v>
      </c>
      <c r="F2646" t="s">
        <v>118</v>
      </c>
      <c r="G2646">
        <v>0</v>
      </c>
      <c r="H2646" t="s">
        <v>27</v>
      </c>
      <c r="I2646" t="s">
        <v>16</v>
      </c>
      <c r="J2646" t="s">
        <v>16</v>
      </c>
      <c r="K2646" t="str">
        <f>VLOOKUP(C2646,CheckName!A:B,2,0)</f>
        <v>CRC</v>
      </c>
      <c r="L2646">
        <v>0</v>
      </c>
      <c r="M2646">
        <f t="shared" si="394"/>
        <v>18</v>
      </c>
      <c r="N2646" t="str">
        <f>TEXT(MTDRejection[[#This Row],[RejectionDate]],"dddd")</f>
        <v>Wednesday</v>
      </c>
    </row>
    <row r="2647" spans="1:14">
      <c r="A2647" t="s">
        <v>1879</v>
      </c>
      <c r="B2647" t="s">
        <v>2023</v>
      </c>
      <c r="C2647" t="s">
        <v>1686</v>
      </c>
      <c r="D2647" t="s">
        <v>26</v>
      </c>
      <c r="E2647" s="7">
        <v>45644</v>
      </c>
      <c r="F2647" t="s">
        <v>118</v>
      </c>
      <c r="G2647">
        <v>0</v>
      </c>
      <c r="H2647" t="s">
        <v>27</v>
      </c>
      <c r="I2647" t="s">
        <v>16</v>
      </c>
      <c r="J2647" t="s">
        <v>16</v>
      </c>
      <c r="K2647" t="str">
        <f>VLOOKUP(C2647,CheckName!A:B,2,0)</f>
        <v>CRC</v>
      </c>
      <c r="L2647">
        <v>0</v>
      </c>
      <c r="M2647">
        <f t="shared" si="394"/>
        <v>18</v>
      </c>
      <c r="N2647" t="str">
        <f>TEXT(MTDRejection[[#This Row],[RejectionDate]],"dddd")</f>
        <v>Wednesday</v>
      </c>
    </row>
    <row r="2648" spans="1:14">
      <c r="A2648" t="s">
        <v>1879</v>
      </c>
      <c r="B2648" t="s">
        <v>2024</v>
      </c>
      <c r="C2648" t="s">
        <v>1686</v>
      </c>
      <c r="D2648" t="s">
        <v>26</v>
      </c>
      <c r="E2648" s="7">
        <v>45644</v>
      </c>
      <c r="F2648" t="s">
        <v>118</v>
      </c>
      <c r="G2648">
        <v>0</v>
      </c>
      <c r="H2648" t="s">
        <v>27</v>
      </c>
      <c r="I2648" t="s">
        <v>16</v>
      </c>
      <c r="J2648" t="s">
        <v>16</v>
      </c>
      <c r="K2648" t="str">
        <f>VLOOKUP(C2648,CheckName!A:B,2,0)</f>
        <v>CRC</v>
      </c>
      <c r="L2648">
        <v>0</v>
      </c>
      <c r="M2648">
        <f t="shared" si="394"/>
        <v>18</v>
      </c>
      <c r="N2648" t="str">
        <f>TEXT(MTDRejection[[#This Row],[RejectionDate]],"dddd")</f>
        <v>Wednesday</v>
      </c>
    </row>
    <row r="2649" spans="1:14">
      <c r="A2649" t="s">
        <v>1879</v>
      </c>
      <c r="B2649" t="s">
        <v>5021</v>
      </c>
      <c r="C2649" t="s">
        <v>1686</v>
      </c>
      <c r="D2649" t="s">
        <v>26</v>
      </c>
      <c r="E2649" s="7">
        <v>45644</v>
      </c>
      <c r="F2649" t="s">
        <v>118</v>
      </c>
      <c r="G2649">
        <v>0</v>
      </c>
      <c r="H2649" t="s">
        <v>27</v>
      </c>
      <c r="I2649" t="s">
        <v>16</v>
      </c>
      <c r="J2649" t="s">
        <v>16</v>
      </c>
      <c r="K2649" t="str">
        <f>VLOOKUP(C2649,CheckName!A:B,2,0)</f>
        <v>CRC</v>
      </c>
      <c r="L2649">
        <v>0</v>
      </c>
      <c r="M2649">
        <f t="shared" si="394"/>
        <v>18</v>
      </c>
      <c r="N2649" t="str">
        <f>TEXT(MTDRejection[[#This Row],[RejectionDate]],"dddd")</f>
        <v>Wednesday</v>
      </c>
    </row>
    <row r="2650" spans="1:14">
      <c r="A2650" t="s">
        <v>1879</v>
      </c>
      <c r="B2650" t="s">
        <v>5022</v>
      </c>
      <c r="C2650" t="s">
        <v>1686</v>
      </c>
      <c r="D2650" t="s">
        <v>26</v>
      </c>
      <c r="E2650" s="7">
        <v>45644</v>
      </c>
      <c r="F2650" t="s">
        <v>118</v>
      </c>
      <c r="G2650">
        <v>0</v>
      </c>
      <c r="H2650" t="s">
        <v>27</v>
      </c>
      <c r="I2650" t="s">
        <v>16</v>
      </c>
      <c r="J2650" t="s">
        <v>16</v>
      </c>
      <c r="K2650" t="str">
        <f>VLOOKUP(C2650,CheckName!A:B,2,0)</f>
        <v>CRC</v>
      </c>
      <c r="L2650">
        <v>0</v>
      </c>
      <c r="M2650">
        <f t="shared" si="394"/>
        <v>18</v>
      </c>
      <c r="N2650" t="str">
        <f>TEXT(MTDRejection[[#This Row],[RejectionDate]],"dddd")</f>
        <v>Wednesday</v>
      </c>
    </row>
    <row r="2651" spans="1:14">
      <c r="A2651" t="s">
        <v>1879</v>
      </c>
      <c r="B2651" t="s">
        <v>5023</v>
      </c>
      <c r="C2651" t="s">
        <v>1686</v>
      </c>
      <c r="D2651" t="s">
        <v>26</v>
      </c>
      <c r="E2651" s="7">
        <v>45644</v>
      </c>
      <c r="F2651" t="s">
        <v>118</v>
      </c>
      <c r="G2651">
        <v>0</v>
      </c>
      <c r="H2651" t="s">
        <v>27</v>
      </c>
      <c r="I2651" t="s">
        <v>16</v>
      </c>
      <c r="J2651" t="s">
        <v>16</v>
      </c>
      <c r="K2651" t="str">
        <f>VLOOKUP(C2651,CheckName!A:B,2,0)</f>
        <v>CRC</v>
      </c>
      <c r="L2651">
        <v>0</v>
      </c>
      <c r="M2651">
        <f t="shared" si="394"/>
        <v>18</v>
      </c>
      <c r="N2651" t="str">
        <f>TEXT(MTDRejection[[#This Row],[RejectionDate]],"dddd")</f>
        <v>Wednesday</v>
      </c>
    </row>
    <row r="2652" spans="1:14">
      <c r="A2652" t="s">
        <v>1879</v>
      </c>
      <c r="B2652" t="s">
        <v>5024</v>
      </c>
      <c r="C2652" t="s">
        <v>1686</v>
      </c>
      <c r="D2652" t="s">
        <v>26</v>
      </c>
      <c r="E2652" s="7">
        <v>45644</v>
      </c>
      <c r="F2652" t="s">
        <v>118</v>
      </c>
      <c r="G2652">
        <v>0</v>
      </c>
      <c r="H2652" t="s">
        <v>27</v>
      </c>
      <c r="I2652" t="s">
        <v>16</v>
      </c>
      <c r="J2652" t="s">
        <v>16</v>
      </c>
      <c r="K2652" t="str">
        <f>VLOOKUP(C2652,CheckName!A:B,2,0)</f>
        <v>CRC</v>
      </c>
      <c r="L2652">
        <v>0</v>
      </c>
      <c r="M2652">
        <f t="shared" si="394"/>
        <v>18</v>
      </c>
      <c r="N2652" t="str">
        <f>TEXT(MTDRejection[[#This Row],[RejectionDate]],"dddd")</f>
        <v>Wednesday</v>
      </c>
    </row>
    <row r="2653" spans="1:14">
      <c r="A2653" t="s">
        <v>1879</v>
      </c>
      <c r="B2653" t="s">
        <v>5025</v>
      </c>
      <c r="C2653" t="s">
        <v>1686</v>
      </c>
      <c r="D2653" t="s">
        <v>26</v>
      </c>
      <c r="E2653" s="7">
        <v>45644</v>
      </c>
      <c r="F2653" t="s">
        <v>118</v>
      </c>
      <c r="G2653">
        <v>0</v>
      </c>
      <c r="H2653" t="s">
        <v>27</v>
      </c>
      <c r="I2653" t="s">
        <v>16</v>
      </c>
      <c r="J2653" t="s">
        <v>16</v>
      </c>
      <c r="K2653" t="str">
        <f>VLOOKUP(C2653,CheckName!A:B,2,0)</f>
        <v>CRC</v>
      </c>
      <c r="L2653">
        <v>0</v>
      </c>
      <c r="M2653">
        <f t="shared" si="394"/>
        <v>18</v>
      </c>
      <c r="N2653" t="str">
        <f>TEXT(MTDRejection[[#This Row],[RejectionDate]],"dddd")</f>
        <v>Wednesday</v>
      </c>
    </row>
    <row r="2654" spans="1:14">
      <c r="A2654" t="s">
        <v>1879</v>
      </c>
      <c r="B2654" t="s">
        <v>1971</v>
      </c>
      <c r="C2654" t="s">
        <v>1686</v>
      </c>
      <c r="D2654" t="s">
        <v>26</v>
      </c>
      <c r="E2654" s="7">
        <v>45644</v>
      </c>
      <c r="F2654" t="s">
        <v>118</v>
      </c>
      <c r="G2654">
        <v>0</v>
      </c>
      <c r="H2654" t="s">
        <v>27</v>
      </c>
      <c r="I2654" t="s">
        <v>16</v>
      </c>
      <c r="J2654" t="s">
        <v>16</v>
      </c>
      <c r="K2654" t="str">
        <f>VLOOKUP(C2654,CheckName!A:B,2,0)</f>
        <v>CRC</v>
      </c>
      <c r="L2654">
        <v>0</v>
      </c>
      <c r="M2654">
        <f t="shared" si="394"/>
        <v>18</v>
      </c>
      <c r="N2654" t="str">
        <f>TEXT(MTDRejection[[#This Row],[RejectionDate]],"dddd")</f>
        <v>Wednesday</v>
      </c>
    </row>
    <row r="2655" spans="1:14">
      <c r="A2655" t="s">
        <v>1879</v>
      </c>
      <c r="B2655" t="s">
        <v>2664</v>
      </c>
      <c r="C2655" t="s">
        <v>1686</v>
      </c>
      <c r="D2655" t="s">
        <v>26</v>
      </c>
      <c r="E2655" s="7">
        <v>45644</v>
      </c>
      <c r="F2655" t="s">
        <v>118</v>
      </c>
      <c r="G2655">
        <v>0</v>
      </c>
      <c r="H2655" t="s">
        <v>27</v>
      </c>
      <c r="I2655" t="s">
        <v>16</v>
      </c>
      <c r="J2655" t="s">
        <v>16</v>
      </c>
      <c r="K2655" t="str">
        <f>VLOOKUP(C2655,CheckName!A:B,2,0)</f>
        <v>CRC</v>
      </c>
      <c r="L2655">
        <v>0</v>
      </c>
      <c r="M2655">
        <f t="shared" si="394"/>
        <v>18</v>
      </c>
      <c r="N2655" t="str">
        <f>TEXT(MTDRejection[[#This Row],[RejectionDate]],"dddd")</f>
        <v>Wednesday</v>
      </c>
    </row>
    <row r="2656" spans="1:14">
      <c r="A2656" t="s">
        <v>1879</v>
      </c>
      <c r="B2656" t="s">
        <v>1993</v>
      </c>
      <c r="C2656" t="s">
        <v>1686</v>
      </c>
      <c r="D2656" t="s">
        <v>26</v>
      </c>
      <c r="E2656" s="7">
        <v>45644</v>
      </c>
      <c r="F2656" t="s">
        <v>118</v>
      </c>
      <c r="G2656">
        <v>0</v>
      </c>
      <c r="H2656" t="s">
        <v>27</v>
      </c>
      <c r="I2656" t="s">
        <v>16</v>
      </c>
      <c r="J2656" t="s">
        <v>16</v>
      </c>
      <c r="K2656" t="str">
        <f>VLOOKUP(C2656,CheckName!A:B,2,0)</f>
        <v>CRC</v>
      </c>
      <c r="L2656">
        <v>0</v>
      </c>
      <c r="M2656">
        <f t="shared" si="394"/>
        <v>18</v>
      </c>
      <c r="N2656" t="str">
        <f>TEXT(MTDRejection[[#This Row],[RejectionDate]],"dddd")</f>
        <v>Wednesday</v>
      </c>
    </row>
    <row r="2657" spans="1:14">
      <c r="A2657" t="s">
        <v>1879</v>
      </c>
      <c r="B2657" t="s">
        <v>2674</v>
      </c>
      <c r="C2657" t="s">
        <v>1686</v>
      </c>
      <c r="D2657" t="s">
        <v>26</v>
      </c>
      <c r="E2657" s="7">
        <v>45644</v>
      </c>
      <c r="F2657" t="s">
        <v>118</v>
      </c>
      <c r="G2657">
        <v>0</v>
      </c>
      <c r="H2657" t="s">
        <v>27</v>
      </c>
      <c r="I2657" t="s">
        <v>16</v>
      </c>
      <c r="J2657" t="s">
        <v>16</v>
      </c>
      <c r="K2657" t="str">
        <f>VLOOKUP(C2657,CheckName!A:B,2,0)</f>
        <v>CRC</v>
      </c>
      <c r="L2657">
        <v>0</v>
      </c>
      <c r="M2657">
        <f t="shared" si="394"/>
        <v>18</v>
      </c>
      <c r="N2657" t="str">
        <f>TEXT(MTDRejection[[#This Row],[RejectionDate]],"dddd")</f>
        <v>Wednesday</v>
      </c>
    </row>
    <row r="2658" spans="1:14">
      <c r="A2658" t="s">
        <v>1879</v>
      </c>
      <c r="B2658" t="s">
        <v>5026</v>
      </c>
      <c r="C2658" t="s">
        <v>1686</v>
      </c>
      <c r="D2658" t="s">
        <v>26</v>
      </c>
      <c r="E2658" s="7">
        <v>45644</v>
      </c>
      <c r="F2658" t="s">
        <v>118</v>
      </c>
      <c r="G2658">
        <v>0</v>
      </c>
      <c r="H2658" t="s">
        <v>27</v>
      </c>
      <c r="I2658" t="s">
        <v>16</v>
      </c>
      <c r="J2658" t="s">
        <v>16</v>
      </c>
      <c r="K2658" t="str">
        <f>VLOOKUP(C2658,CheckName!A:B,2,0)</f>
        <v>CRC</v>
      </c>
      <c r="L2658">
        <v>0</v>
      </c>
      <c r="M2658">
        <f t="shared" si="394"/>
        <v>18</v>
      </c>
      <c r="N2658" t="str">
        <f>TEXT(MTDRejection[[#This Row],[RejectionDate]],"dddd")</f>
        <v>Wednesday</v>
      </c>
    </row>
    <row r="2659" spans="1:14">
      <c r="A2659" t="s">
        <v>1879</v>
      </c>
      <c r="B2659" t="s">
        <v>2636</v>
      </c>
      <c r="C2659" t="s">
        <v>1686</v>
      </c>
      <c r="D2659" t="s">
        <v>26</v>
      </c>
      <c r="E2659" s="7">
        <v>45644</v>
      </c>
      <c r="F2659" t="s">
        <v>118</v>
      </c>
      <c r="G2659">
        <v>0</v>
      </c>
      <c r="H2659" t="s">
        <v>27</v>
      </c>
      <c r="I2659" t="s">
        <v>16</v>
      </c>
      <c r="J2659" t="s">
        <v>16</v>
      </c>
      <c r="K2659" t="str">
        <f>VLOOKUP(C2659,CheckName!A:B,2,0)</f>
        <v>CRC</v>
      </c>
      <c r="L2659">
        <v>0</v>
      </c>
      <c r="M2659">
        <f t="shared" si="394"/>
        <v>18</v>
      </c>
      <c r="N2659" t="str">
        <f>TEXT(MTDRejection[[#This Row],[RejectionDate]],"dddd")</f>
        <v>Wednesday</v>
      </c>
    </row>
    <row r="2660" spans="1:14">
      <c r="A2660" t="s">
        <v>1879</v>
      </c>
      <c r="B2660" t="s">
        <v>2669</v>
      </c>
      <c r="C2660" t="s">
        <v>1686</v>
      </c>
      <c r="D2660" t="s">
        <v>26</v>
      </c>
      <c r="E2660" s="7">
        <v>45644</v>
      </c>
      <c r="F2660" t="s">
        <v>118</v>
      </c>
      <c r="G2660">
        <v>0</v>
      </c>
      <c r="H2660" t="s">
        <v>27</v>
      </c>
      <c r="I2660" t="s">
        <v>16</v>
      </c>
      <c r="J2660" t="s">
        <v>16</v>
      </c>
      <c r="K2660" t="str">
        <f>VLOOKUP(C2660,CheckName!A:B,2,0)</f>
        <v>CRC</v>
      </c>
      <c r="L2660">
        <v>0</v>
      </c>
      <c r="M2660">
        <f t="shared" si="394"/>
        <v>18</v>
      </c>
      <c r="N2660" t="str">
        <f>TEXT(MTDRejection[[#This Row],[RejectionDate]],"dddd")</f>
        <v>Wednesday</v>
      </c>
    </row>
    <row r="2661" spans="1:14">
      <c r="A2661" t="s">
        <v>1879</v>
      </c>
      <c r="B2661" t="s">
        <v>5027</v>
      </c>
      <c r="C2661" t="s">
        <v>1686</v>
      </c>
      <c r="D2661" t="s">
        <v>26</v>
      </c>
      <c r="E2661" s="7">
        <v>45644</v>
      </c>
      <c r="F2661" t="s">
        <v>118</v>
      </c>
      <c r="G2661">
        <v>0</v>
      </c>
      <c r="H2661" t="s">
        <v>27</v>
      </c>
      <c r="I2661" t="s">
        <v>16</v>
      </c>
      <c r="J2661" t="s">
        <v>16</v>
      </c>
      <c r="K2661" t="str">
        <f>VLOOKUP(C2661,CheckName!A:B,2,0)</f>
        <v>CRC</v>
      </c>
      <c r="L2661">
        <v>0</v>
      </c>
      <c r="M2661">
        <f t="shared" si="394"/>
        <v>18</v>
      </c>
      <c r="N2661" t="str">
        <f>TEXT(MTDRejection[[#This Row],[RejectionDate]],"dddd")</f>
        <v>Wednesday</v>
      </c>
    </row>
    <row r="2662" spans="1:14">
      <c r="A2662" t="s">
        <v>1879</v>
      </c>
      <c r="B2662" t="s">
        <v>5028</v>
      </c>
      <c r="C2662" t="s">
        <v>1686</v>
      </c>
      <c r="D2662" t="s">
        <v>26</v>
      </c>
      <c r="E2662" s="7">
        <v>45644</v>
      </c>
      <c r="F2662" t="s">
        <v>118</v>
      </c>
      <c r="G2662">
        <v>0</v>
      </c>
      <c r="H2662" t="s">
        <v>27</v>
      </c>
      <c r="I2662" t="s">
        <v>16</v>
      </c>
      <c r="J2662" t="s">
        <v>16</v>
      </c>
      <c r="K2662" t="str">
        <f>VLOOKUP(C2662,CheckName!A:B,2,0)</f>
        <v>CRC</v>
      </c>
      <c r="L2662">
        <v>0</v>
      </c>
      <c r="M2662">
        <f t="shared" si="394"/>
        <v>18</v>
      </c>
      <c r="N2662" t="str">
        <f>TEXT(MTDRejection[[#This Row],[RejectionDate]],"dddd")</f>
        <v>Wednesday</v>
      </c>
    </row>
    <row r="2663" spans="1:14">
      <c r="A2663" t="s">
        <v>1879</v>
      </c>
      <c r="B2663" t="s">
        <v>5029</v>
      </c>
      <c r="C2663" t="s">
        <v>1686</v>
      </c>
      <c r="D2663" t="s">
        <v>26</v>
      </c>
      <c r="E2663" s="7">
        <v>45644</v>
      </c>
      <c r="F2663" t="s">
        <v>118</v>
      </c>
      <c r="G2663">
        <v>0</v>
      </c>
      <c r="H2663" t="s">
        <v>27</v>
      </c>
      <c r="I2663" t="s">
        <v>16</v>
      </c>
      <c r="J2663" t="s">
        <v>16</v>
      </c>
      <c r="K2663" t="str">
        <f>VLOOKUP(C2663,CheckName!A:B,2,0)</f>
        <v>CRC</v>
      </c>
      <c r="L2663">
        <v>0</v>
      </c>
      <c r="M2663">
        <f t="shared" si="394"/>
        <v>18</v>
      </c>
      <c r="N2663" t="str">
        <f>TEXT(MTDRejection[[#This Row],[RejectionDate]],"dddd")</f>
        <v>Wednesday</v>
      </c>
    </row>
    <row r="2664" spans="1:14">
      <c r="A2664" t="s">
        <v>1879</v>
      </c>
      <c r="B2664" t="s">
        <v>5030</v>
      </c>
      <c r="C2664" t="s">
        <v>1686</v>
      </c>
      <c r="D2664" t="s">
        <v>26</v>
      </c>
      <c r="E2664" s="7">
        <v>45644</v>
      </c>
      <c r="F2664" t="s">
        <v>118</v>
      </c>
      <c r="G2664">
        <v>0</v>
      </c>
      <c r="H2664" t="s">
        <v>27</v>
      </c>
      <c r="I2664" t="s">
        <v>16</v>
      </c>
      <c r="J2664" t="s">
        <v>16</v>
      </c>
      <c r="K2664" t="str">
        <f>VLOOKUP(C2664,CheckName!A:B,2,0)</f>
        <v>CRC</v>
      </c>
      <c r="L2664">
        <v>0</v>
      </c>
      <c r="M2664">
        <f t="shared" si="394"/>
        <v>18</v>
      </c>
      <c r="N2664" t="str">
        <f>TEXT(MTDRejection[[#This Row],[RejectionDate]],"dddd")</f>
        <v>Wednesday</v>
      </c>
    </row>
    <row r="2665" spans="1:14">
      <c r="A2665" t="s">
        <v>1879</v>
      </c>
      <c r="B2665" t="s">
        <v>2014</v>
      </c>
      <c r="C2665" t="s">
        <v>1686</v>
      </c>
      <c r="D2665" t="s">
        <v>26</v>
      </c>
      <c r="E2665" s="7">
        <v>45644</v>
      </c>
      <c r="F2665" t="s">
        <v>118</v>
      </c>
      <c r="G2665">
        <v>0</v>
      </c>
      <c r="H2665" t="s">
        <v>27</v>
      </c>
      <c r="I2665" t="s">
        <v>16</v>
      </c>
      <c r="J2665" t="s">
        <v>16</v>
      </c>
      <c r="K2665" t="str">
        <f>VLOOKUP(C2665,CheckName!A:B,2,0)</f>
        <v>CRC</v>
      </c>
      <c r="L2665">
        <v>0</v>
      </c>
      <c r="M2665">
        <f t="shared" si="394"/>
        <v>18</v>
      </c>
      <c r="N2665" t="str">
        <f>TEXT(MTDRejection[[#This Row],[RejectionDate]],"dddd")</f>
        <v>Wednesday</v>
      </c>
    </row>
    <row r="2666" spans="1:14">
      <c r="A2666" t="s">
        <v>1879</v>
      </c>
      <c r="B2666" t="s">
        <v>1991</v>
      </c>
      <c r="C2666" t="s">
        <v>1686</v>
      </c>
      <c r="D2666" t="s">
        <v>26</v>
      </c>
      <c r="E2666" s="7">
        <v>45644</v>
      </c>
      <c r="F2666" t="s">
        <v>118</v>
      </c>
      <c r="G2666">
        <v>0</v>
      </c>
      <c r="H2666" t="s">
        <v>27</v>
      </c>
      <c r="I2666" t="s">
        <v>16</v>
      </c>
      <c r="J2666" t="s">
        <v>16</v>
      </c>
      <c r="K2666" t="str">
        <f>VLOOKUP(C2666,CheckName!A:B,2,0)</f>
        <v>CRC</v>
      </c>
      <c r="L2666">
        <v>0</v>
      </c>
      <c r="M2666">
        <f t="shared" si="394"/>
        <v>18</v>
      </c>
      <c r="N2666" t="str">
        <f>TEXT(MTDRejection[[#This Row],[RejectionDate]],"dddd")</f>
        <v>Wednesday</v>
      </c>
    </row>
    <row r="2667" spans="1:14">
      <c r="A2667" t="s">
        <v>1879</v>
      </c>
      <c r="B2667" t="s">
        <v>5031</v>
      </c>
      <c r="C2667" t="s">
        <v>1686</v>
      </c>
      <c r="D2667" t="s">
        <v>26</v>
      </c>
      <c r="E2667" s="7">
        <v>45644</v>
      </c>
      <c r="F2667" t="s">
        <v>118</v>
      </c>
      <c r="G2667">
        <v>0</v>
      </c>
      <c r="H2667" t="s">
        <v>27</v>
      </c>
      <c r="I2667" t="s">
        <v>16</v>
      </c>
      <c r="J2667" t="s">
        <v>16</v>
      </c>
      <c r="K2667" t="str">
        <f>VLOOKUP(C2667,CheckName!A:B,2,0)</f>
        <v>CRC</v>
      </c>
      <c r="L2667">
        <v>0</v>
      </c>
      <c r="M2667">
        <f t="shared" si="394"/>
        <v>18</v>
      </c>
      <c r="N2667" t="str">
        <f>TEXT(MTDRejection[[#This Row],[RejectionDate]],"dddd")</f>
        <v>Wednesday</v>
      </c>
    </row>
    <row r="2668" spans="1:14">
      <c r="A2668" t="s">
        <v>1879</v>
      </c>
      <c r="B2668" t="s">
        <v>5032</v>
      </c>
      <c r="C2668" t="s">
        <v>1686</v>
      </c>
      <c r="D2668" t="s">
        <v>26</v>
      </c>
      <c r="E2668" s="7">
        <v>45644</v>
      </c>
      <c r="F2668" t="s">
        <v>118</v>
      </c>
      <c r="G2668">
        <v>0</v>
      </c>
      <c r="H2668" t="s">
        <v>27</v>
      </c>
      <c r="I2668" t="s">
        <v>16</v>
      </c>
      <c r="J2668" t="s">
        <v>16</v>
      </c>
      <c r="K2668" t="str">
        <f>VLOOKUP(C2668,CheckName!A:B,2,0)</f>
        <v>CRC</v>
      </c>
      <c r="L2668">
        <v>0</v>
      </c>
      <c r="M2668">
        <f t="shared" si="394"/>
        <v>18</v>
      </c>
      <c r="N2668" t="str">
        <f>TEXT(MTDRejection[[#This Row],[RejectionDate]],"dddd")</f>
        <v>Wednesday</v>
      </c>
    </row>
    <row r="2669" spans="1:14">
      <c r="A2669" t="s">
        <v>1879</v>
      </c>
      <c r="B2669" t="s">
        <v>5033</v>
      </c>
      <c r="C2669" t="s">
        <v>1686</v>
      </c>
      <c r="D2669" t="s">
        <v>26</v>
      </c>
      <c r="E2669" s="7">
        <v>45644</v>
      </c>
      <c r="F2669" t="s">
        <v>118</v>
      </c>
      <c r="G2669">
        <v>0</v>
      </c>
      <c r="H2669" t="s">
        <v>27</v>
      </c>
      <c r="I2669" t="s">
        <v>16</v>
      </c>
      <c r="J2669" t="s">
        <v>16</v>
      </c>
      <c r="K2669" t="str">
        <f>VLOOKUP(C2669,CheckName!A:B,2,0)</f>
        <v>CRC</v>
      </c>
      <c r="L2669">
        <v>0</v>
      </c>
      <c r="M2669">
        <f t="shared" si="394"/>
        <v>18</v>
      </c>
      <c r="N2669" t="str">
        <f>TEXT(MTDRejection[[#This Row],[RejectionDate]],"dddd")</f>
        <v>Wednesday</v>
      </c>
    </row>
    <row r="2670" spans="1:14">
      <c r="A2670" t="s">
        <v>1879</v>
      </c>
      <c r="B2670" t="s">
        <v>5034</v>
      </c>
      <c r="C2670" t="s">
        <v>1686</v>
      </c>
      <c r="D2670" t="s">
        <v>26</v>
      </c>
      <c r="E2670" s="7">
        <v>45644</v>
      </c>
      <c r="F2670" t="s">
        <v>118</v>
      </c>
      <c r="G2670">
        <v>0</v>
      </c>
      <c r="H2670" t="s">
        <v>27</v>
      </c>
      <c r="I2670" t="s">
        <v>16</v>
      </c>
      <c r="J2670" t="s">
        <v>16</v>
      </c>
      <c r="K2670" t="str">
        <f>VLOOKUP(C2670,CheckName!A:B,2,0)</f>
        <v>CRC</v>
      </c>
      <c r="L2670">
        <v>0</v>
      </c>
      <c r="M2670">
        <f t="shared" si="394"/>
        <v>18</v>
      </c>
      <c r="N2670" t="str">
        <f>TEXT(MTDRejection[[#This Row],[RejectionDate]],"dddd")</f>
        <v>Wednesday</v>
      </c>
    </row>
    <row r="2671" spans="1:14">
      <c r="A2671" t="s">
        <v>1879</v>
      </c>
      <c r="B2671" t="s">
        <v>2649</v>
      </c>
      <c r="C2671" t="s">
        <v>1686</v>
      </c>
      <c r="D2671" t="s">
        <v>26</v>
      </c>
      <c r="E2671" s="7">
        <v>45644</v>
      </c>
      <c r="F2671" t="s">
        <v>118</v>
      </c>
      <c r="G2671">
        <v>0</v>
      </c>
      <c r="H2671" t="s">
        <v>27</v>
      </c>
      <c r="I2671" t="s">
        <v>16</v>
      </c>
      <c r="J2671" t="s">
        <v>16</v>
      </c>
      <c r="K2671" t="str">
        <f>VLOOKUP(C2671,CheckName!A:B,2,0)</f>
        <v>CRC</v>
      </c>
      <c r="L2671">
        <v>0</v>
      </c>
      <c r="M2671">
        <f t="shared" si="394"/>
        <v>18</v>
      </c>
      <c r="N2671" t="str">
        <f>TEXT(MTDRejection[[#This Row],[RejectionDate]],"dddd")</f>
        <v>Wednesday</v>
      </c>
    </row>
    <row r="2672" spans="1:14">
      <c r="A2672" t="s">
        <v>1879</v>
      </c>
      <c r="B2672" t="s">
        <v>2005</v>
      </c>
      <c r="C2672" t="s">
        <v>1686</v>
      </c>
      <c r="D2672" t="s">
        <v>26</v>
      </c>
      <c r="E2672" s="7">
        <v>45644</v>
      </c>
      <c r="F2672" t="s">
        <v>118</v>
      </c>
      <c r="G2672">
        <v>0</v>
      </c>
      <c r="H2672" t="s">
        <v>27</v>
      </c>
      <c r="I2672" t="s">
        <v>16</v>
      </c>
      <c r="J2672" t="s">
        <v>16</v>
      </c>
      <c r="K2672" t="str">
        <f>VLOOKUP(C2672,CheckName!A:B,2,0)</f>
        <v>CRC</v>
      </c>
      <c r="L2672">
        <v>0</v>
      </c>
      <c r="M2672">
        <f t="shared" si="394"/>
        <v>18</v>
      </c>
      <c r="N2672" t="str">
        <f>TEXT(MTDRejection[[#This Row],[RejectionDate]],"dddd")</f>
        <v>Wednesday</v>
      </c>
    </row>
    <row r="2673" spans="1:14">
      <c r="A2673" t="s">
        <v>1879</v>
      </c>
      <c r="B2673" t="s">
        <v>5035</v>
      </c>
      <c r="C2673" t="s">
        <v>1686</v>
      </c>
      <c r="D2673" t="s">
        <v>26</v>
      </c>
      <c r="E2673" s="7">
        <v>45644</v>
      </c>
      <c r="F2673" t="s">
        <v>118</v>
      </c>
      <c r="G2673">
        <v>0</v>
      </c>
      <c r="H2673" t="s">
        <v>27</v>
      </c>
      <c r="I2673" t="s">
        <v>16</v>
      </c>
      <c r="J2673" t="s">
        <v>16</v>
      </c>
      <c r="K2673" t="str">
        <f>VLOOKUP(C2673,CheckName!A:B,2,0)</f>
        <v>CRC</v>
      </c>
      <c r="L2673">
        <v>0</v>
      </c>
      <c r="M2673">
        <f t="shared" si="394"/>
        <v>18</v>
      </c>
      <c r="N2673" t="str">
        <f>TEXT(MTDRejection[[#This Row],[RejectionDate]],"dddd")</f>
        <v>Wednesday</v>
      </c>
    </row>
    <row r="2674" spans="1:14">
      <c r="A2674" t="s">
        <v>1879</v>
      </c>
      <c r="B2674" t="s">
        <v>5036</v>
      </c>
      <c r="C2674" t="s">
        <v>1686</v>
      </c>
      <c r="D2674" t="s">
        <v>26</v>
      </c>
      <c r="E2674" s="7">
        <v>45644</v>
      </c>
      <c r="F2674" t="s">
        <v>118</v>
      </c>
      <c r="G2674">
        <v>0</v>
      </c>
      <c r="H2674" t="s">
        <v>27</v>
      </c>
      <c r="I2674" t="s">
        <v>16</v>
      </c>
      <c r="J2674" t="s">
        <v>16</v>
      </c>
      <c r="K2674" t="str">
        <f>VLOOKUP(C2674,CheckName!A:B,2,0)</f>
        <v>CRC</v>
      </c>
      <c r="L2674">
        <v>0</v>
      </c>
      <c r="M2674">
        <f t="shared" si="394"/>
        <v>18</v>
      </c>
      <c r="N2674" t="str">
        <f>TEXT(MTDRejection[[#This Row],[RejectionDate]],"dddd")</f>
        <v>Wednesday</v>
      </c>
    </row>
    <row r="2675" spans="1:14">
      <c r="A2675" t="s">
        <v>1879</v>
      </c>
      <c r="B2675" t="s">
        <v>5037</v>
      </c>
      <c r="C2675" t="s">
        <v>1686</v>
      </c>
      <c r="D2675" t="s">
        <v>26</v>
      </c>
      <c r="E2675" s="7">
        <v>45644</v>
      </c>
      <c r="F2675" t="s">
        <v>118</v>
      </c>
      <c r="G2675">
        <v>0</v>
      </c>
      <c r="H2675" t="s">
        <v>27</v>
      </c>
      <c r="I2675" t="s">
        <v>16</v>
      </c>
      <c r="J2675" t="s">
        <v>16</v>
      </c>
      <c r="K2675" t="str">
        <f>VLOOKUP(C2675,CheckName!A:B,2,0)</f>
        <v>CRC</v>
      </c>
      <c r="L2675">
        <v>0</v>
      </c>
      <c r="M2675">
        <f t="shared" si="394"/>
        <v>18</v>
      </c>
      <c r="N2675" t="str">
        <f>TEXT(MTDRejection[[#This Row],[RejectionDate]],"dddd")</f>
        <v>Wednesday</v>
      </c>
    </row>
    <row r="2676" spans="1:14">
      <c r="A2676" t="s">
        <v>1879</v>
      </c>
      <c r="B2676" t="s">
        <v>2022</v>
      </c>
      <c r="C2676" t="s">
        <v>1686</v>
      </c>
      <c r="D2676" t="s">
        <v>26</v>
      </c>
      <c r="E2676" s="7">
        <v>45644</v>
      </c>
      <c r="F2676" t="s">
        <v>118</v>
      </c>
      <c r="G2676">
        <v>0</v>
      </c>
      <c r="H2676" t="s">
        <v>27</v>
      </c>
      <c r="I2676" t="s">
        <v>16</v>
      </c>
      <c r="J2676" t="s">
        <v>16</v>
      </c>
      <c r="K2676" t="str">
        <f>VLOOKUP(C2676,CheckName!A:B,2,0)</f>
        <v>CRC</v>
      </c>
      <c r="L2676">
        <v>0</v>
      </c>
      <c r="M2676">
        <f t="shared" si="394"/>
        <v>18</v>
      </c>
      <c r="N2676" t="str">
        <f>TEXT(MTDRejection[[#This Row],[RejectionDate]],"dddd")</f>
        <v>Wednesday</v>
      </c>
    </row>
    <row r="2677" spans="1:14">
      <c r="A2677" t="s">
        <v>1879</v>
      </c>
      <c r="B2677" t="s">
        <v>2016</v>
      </c>
      <c r="C2677" t="s">
        <v>1686</v>
      </c>
      <c r="D2677" t="s">
        <v>26</v>
      </c>
      <c r="E2677" s="7">
        <v>45644</v>
      </c>
      <c r="F2677" t="s">
        <v>118</v>
      </c>
      <c r="G2677">
        <v>0</v>
      </c>
      <c r="H2677" t="s">
        <v>27</v>
      </c>
      <c r="I2677" t="s">
        <v>16</v>
      </c>
      <c r="J2677" t="s">
        <v>16</v>
      </c>
      <c r="K2677" t="str">
        <f>VLOOKUP(C2677,CheckName!A:B,2,0)</f>
        <v>CRC</v>
      </c>
      <c r="L2677">
        <v>0</v>
      </c>
      <c r="M2677">
        <f t="shared" si="394"/>
        <v>18</v>
      </c>
      <c r="N2677" t="str">
        <f>TEXT(MTDRejection[[#This Row],[RejectionDate]],"dddd")</f>
        <v>Wednesday</v>
      </c>
    </row>
    <row r="2678" spans="1:14">
      <c r="A2678" t="s">
        <v>1879</v>
      </c>
      <c r="B2678" t="s">
        <v>5038</v>
      </c>
      <c r="C2678" t="s">
        <v>1686</v>
      </c>
      <c r="D2678" t="s">
        <v>26</v>
      </c>
      <c r="E2678" s="7">
        <v>45644</v>
      </c>
      <c r="F2678" t="s">
        <v>118</v>
      </c>
      <c r="G2678">
        <v>0</v>
      </c>
      <c r="H2678" t="s">
        <v>27</v>
      </c>
      <c r="I2678" t="s">
        <v>16</v>
      </c>
      <c r="J2678" t="s">
        <v>16</v>
      </c>
      <c r="K2678" t="str">
        <f>VLOOKUP(C2678,CheckName!A:B,2,0)</f>
        <v>CRC</v>
      </c>
      <c r="L2678">
        <v>0</v>
      </c>
      <c r="M2678">
        <f t="shared" si="394"/>
        <v>18</v>
      </c>
      <c r="N2678" t="str">
        <f>TEXT(MTDRejection[[#This Row],[RejectionDate]],"dddd")</f>
        <v>Wednesday</v>
      </c>
    </row>
    <row r="2679" spans="1:14">
      <c r="A2679" t="s">
        <v>1879</v>
      </c>
      <c r="B2679" t="s">
        <v>5039</v>
      </c>
      <c r="C2679" t="s">
        <v>1686</v>
      </c>
      <c r="D2679" t="s">
        <v>26</v>
      </c>
      <c r="E2679" s="7">
        <v>45644</v>
      </c>
      <c r="F2679" t="s">
        <v>118</v>
      </c>
      <c r="G2679">
        <v>0</v>
      </c>
      <c r="H2679" t="s">
        <v>27</v>
      </c>
      <c r="I2679" t="s">
        <v>16</v>
      </c>
      <c r="J2679" t="s">
        <v>16</v>
      </c>
      <c r="K2679" t="str">
        <f>VLOOKUP(C2679,CheckName!A:B,2,0)</f>
        <v>CRC</v>
      </c>
      <c r="L2679">
        <v>0</v>
      </c>
      <c r="M2679">
        <f t="shared" si="394"/>
        <v>18</v>
      </c>
      <c r="N2679" t="str">
        <f>TEXT(MTDRejection[[#This Row],[RejectionDate]],"dddd")</f>
        <v>Wednesday</v>
      </c>
    </row>
    <row r="2680" spans="1:14">
      <c r="A2680" t="s">
        <v>1879</v>
      </c>
      <c r="B2680" t="s">
        <v>5040</v>
      </c>
      <c r="C2680" t="s">
        <v>1686</v>
      </c>
      <c r="D2680" t="s">
        <v>26</v>
      </c>
      <c r="E2680" s="7">
        <v>45644</v>
      </c>
      <c r="F2680" t="s">
        <v>118</v>
      </c>
      <c r="G2680">
        <v>0</v>
      </c>
      <c r="H2680" t="s">
        <v>27</v>
      </c>
      <c r="I2680" t="s">
        <v>16</v>
      </c>
      <c r="J2680" t="s">
        <v>16</v>
      </c>
      <c r="K2680" t="str">
        <f>VLOOKUP(C2680,CheckName!A:B,2,0)</f>
        <v>CRC</v>
      </c>
      <c r="L2680">
        <v>0</v>
      </c>
      <c r="M2680">
        <f t="shared" si="394"/>
        <v>18</v>
      </c>
      <c r="N2680" t="str">
        <f>TEXT(MTDRejection[[#This Row],[RejectionDate]],"dddd")</f>
        <v>Wednesday</v>
      </c>
    </row>
    <row r="2681" spans="1:14">
      <c r="A2681" t="s">
        <v>1879</v>
      </c>
      <c r="B2681" t="s">
        <v>2003</v>
      </c>
      <c r="C2681" t="s">
        <v>1686</v>
      </c>
      <c r="D2681" t="s">
        <v>26</v>
      </c>
      <c r="E2681" s="7">
        <v>45644</v>
      </c>
      <c r="F2681" t="s">
        <v>118</v>
      </c>
      <c r="G2681">
        <v>0</v>
      </c>
      <c r="H2681" t="s">
        <v>27</v>
      </c>
      <c r="I2681" t="s">
        <v>16</v>
      </c>
      <c r="J2681" t="s">
        <v>16</v>
      </c>
      <c r="K2681" t="str">
        <f>VLOOKUP(C2681,CheckName!A:B,2,0)</f>
        <v>CRC</v>
      </c>
      <c r="L2681">
        <v>0</v>
      </c>
      <c r="M2681">
        <f t="shared" ref="M2681:M2744" si="395">DAY(E2681)</f>
        <v>18</v>
      </c>
      <c r="N2681" t="str">
        <f>TEXT(MTDRejection[[#This Row],[RejectionDate]],"dddd")</f>
        <v>Wednesday</v>
      </c>
    </row>
    <row r="2682" spans="1:14">
      <c r="A2682" t="s">
        <v>1879</v>
      </c>
      <c r="B2682" t="s">
        <v>5041</v>
      </c>
      <c r="C2682" t="s">
        <v>1686</v>
      </c>
      <c r="D2682" t="s">
        <v>26</v>
      </c>
      <c r="E2682" s="7">
        <v>45644</v>
      </c>
      <c r="F2682" t="s">
        <v>118</v>
      </c>
      <c r="G2682">
        <v>0</v>
      </c>
      <c r="H2682" t="s">
        <v>27</v>
      </c>
      <c r="I2682" t="s">
        <v>16</v>
      </c>
      <c r="J2682" t="s">
        <v>16</v>
      </c>
      <c r="K2682" t="str">
        <f>VLOOKUP(C2682,CheckName!A:B,2,0)</f>
        <v>CRC</v>
      </c>
      <c r="L2682">
        <v>0</v>
      </c>
      <c r="M2682">
        <f t="shared" si="395"/>
        <v>18</v>
      </c>
      <c r="N2682" t="str">
        <f>TEXT(MTDRejection[[#This Row],[RejectionDate]],"dddd")</f>
        <v>Wednesday</v>
      </c>
    </row>
    <row r="2683" spans="1:14">
      <c r="A2683" t="s">
        <v>1879</v>
      </c>
      <c r="B2683" t="s">
        <v>5042</v>
      </c>
      <c r="C2683" t="s">
        <v>1686</v>
      </c>
      <c r="D2683" t="s">
        <v>26</v>
      </c>
      <c r="E2683" s="7">
        <v>45644</v>
      </c>
      <c r="F2683" t="s">
        <v>118</v>
      </c>
      <c r="G2683">
        <v>0</v>
      </c>
      <c r="H2683" t="s">
        <v>27</v>
      </c>
      <c r="I2683" t="s">
        <v>16</v>
      </c>
      <c r="J2683" t="s">
        <v>16</v>
      </c>
      <c r="K2683" t="str">
        <f>VLOOKUP(C2683,CheckName!A:B,2,0)</f>
        <v>CRC</v>
      </c>
      <c r="L2683">
        <v>0</v>
      </c>
      <c r="M2683">
        <f t="shared" si="395"/>
        <v>18</v>
      </c>
      <c r="N2683" t="str">
        <f>TEXT(MTDRejection[[#This Row],[RejectionDate]],"dddd")</f>
        <v>Wednesday</v>
      </c>
    </row>
    <row r="2684" spans="1:14">
      <c r="A2684" t="s">
        <v>1879</v>
      </c>
      <c r="B2684" t="s">
        <v>5043</v>
      </c>
      <c r="C2684" t="s">
        <v>1686</v>
      </c>
      <c r="D2684" t="s">
        <v>26</v>
      </c>
      <c r="E2684" s="7">
        <v>45644</v>
      </c>
      <c r="F2684" t="s">
        <v>118</v>
      </c>
      <c r="G2684">
        <v>0</v>
      </c>
      <c r="H2684" t="s">
        <v>27</v>
      </c>
      <c r="I2684" t="s">
        <v>16</v>
      </c>
      <c r="J2684" t="s">
        <v>16</v>
      </c>
      <c r="K2684" t="str">
        <f>VLOOKUP(C2684,CheckName!A:B,2,0)</f>
        <v>CRC</v>
      </c>
      <c r="L2684">
        <v>0</v>
      </c>
      <c r="M2684">
        <f t="shared" si="395"/>
        <v>18</v>
      </c>
      <c r="N2684" t="str">
        <f>TEXT(MTDRejection[[#This Row],[RejectionDate]],"dddd")</f>
        <v>Wednesday</v>
      </c>
    </row>
    <row r="2685" spans="1:14">
      <c r="A2685" t="s">
        <v>1879</v>
      </c>
      <c r="B2685" t="s">
        <v>5044</v>
      </c>
      <c r="C2685" t="s">
        <v>1686</v>
      </c>
      <c r="D2685" t="s">
        <v>26</v>
      </c>
      <c r="E2685" s="7">
        <v>45644</v>
      </c>
      <c r="F2685" t="s">
        <v>118</v>
      </c>
      <c r="G2685">
        <v>0</v>
      </c>
      <c r="H2685" t="s">
        <v>27</v>
      </c>
      <c r="I2685" t="s">
        <v>16</v>
      </c>
      <c r="J2685" t="s">
        <v>16</v>
      </c>
      <c r="K2685" t="str">
        <f>VLOOKUP(C2685,CheckName!A:B,2,0)</f>
        <v>CRC</v>
      </c>
      <c r="L2685">
        <v>0</v>
      </c>
      <c r="M2685">
        <f t="shared" si="395"/>
        <v>18</v>
      </c>
      <c r="N2685" t="str">
        <f>TEXT(MTDRejection[[#This Row],[RejectionDate]],"dddd")</f>
        <v>Wednesday</v>
      </c>
    </row>
    <row r="2686" spans="1:14">
      <c r="A2686" t="s">
        <v>1879</v>
      </c>
      <c r="B2686" t="s">
        <v>5045</v>
      </c>
      <c r="C2686" t="s">
        <v>1686</v>
      </c>
      <c r="D2686" t="s">
        <v>26</v>
      </c>
      <c r="E2686" s="7">
        <v>45644</v>
      </c>
      <c r="F2686" t="s">
        <v>118</v>
      </c>
      <c r="G2686">
        <v>0</v>
      </c>
      <c r="H2686" t="s">
        <v>27</v>
      </c>
      <c r="I2686" t="s">
        <v>16</v>
      </c>
      <c r="J2686" t="s">
        <v>16</v>
      </c>
      <c r="K2686" t="str">
        <f>VLOOKUP(C2686,CheckName!A:B,2,0)</f>
        <v>CRC</v>
      </c>
      <c r="L2686">
        <v>0</v>
      </c>
      <c r="M2686">
        <f t="shared" si="395"/>
        <v>18</v>
      </c>
      <c r="N2686" t="str">
        <f>TEXT(MTDRejection[[#This Row],[RejectionDate]],"dddd")</f>
        <v>Wednesday</v>
      </c>
    </row>
    <row r="2687" spans="1:14">
      <c r="A2687" t="s">
        <v>1879</v>
      </c>
      <c r="B2687" t="s">
        <v>5046</v>
      </c>
      <c r="C2687" t="s">
        <v>1686</v>
      </c>
      <c r="D2687" t="s">
        <v>26</v>
      </c>
      <c r="E2687" s="7">
        <v>45644</v>
      </c>
      <c r="F2687" t="s">
        <v>118</v>
      </c>
      <c r="G2687">
        <v>0</v>
      </c>
      <c r="H2687" t="s">
        <v>27</v>
      </c>
      <c r="I2687" t="s">
        <v>16</v>
      </c>
      <c r="J2687" t="s">
        <v>16</v>
      </c>
      <c r="K2687" t="str">
        <f>VLOOKUP(C2687,CheckName!A:B,2,0)</f>
        <v>CRC</v>
      </c>
      <c r="L2687">
        <v>0</v>
      </c>
      <c r="M2687">
        <f t="shared" si="395"/>
        <v>18</v>
      </c>
      <c r="N2687" t="str">
        <f>TEXT(MTDRejection[[#This Row],[RejectionDate]],"dddd")</f>
        <v>Wednesday</v>
      </c>
    </row>
    <row r="2688" spans="1:14">
      <c r="A2688" t="s">
        <v>1879</v>
      </c>
      <c r="B2688" t="s">
        <v>5047</v>
      </c>
      <c r="C2688" t="s">
        <v>1686</v>
      </c>
      <c r="D2688" t="s">
        <v>26</v>
      </c>
      <c r="E2688" s="7">
        <v>45644</v>
      </c>
      <c r="F2688" t="s">
        <v>118</v>
      </c>
      <c r="G2688">
        <v>0</v>
      </c>
      <c r="H2688" t="s">
        <v>27</v>
      </c>
      <c r="I2688" t="s">
        <v>16</v>
      </c>
      <c r="J2688" t="s">
        <v>16</v>
      </c>
      <c r="K2688" t="str">
        <f>VLOOKUP(C2688,CheckName!A:B,2,0)</f>
        <v>CRC</v>
      </c>
      <c r="L2688">
        <v>0</v>
      </c>
      <c r="M2688">
        <f t="shared" si="395"/>
        <v>18</v>
      </c>
      <c r="N2688" t="str">
        <f>TEXT(MTDRejection[[#This Row],[RejectionDate]],"dddd")</f>
        <v>Wednesday</v>
      </c>
    </row>
    <row r="2689" spans="1:14">
      <c r="A2689" t="s">
        <v>1879</v>
      </c>
      <c r="B2689" t="s">
        <v>5048</v>
      </c>
      <c r="C2689" t="s">
        <v>1686</v>
      </c>
      <c r="D2689" t="s">
        <v>26</v>
      </c>
      <c r="E2689" s="7">
        <v>45644</v>
      </c>
      <c r="F2689" t="s">
        <v>118</v>
      </c>
      <c r="G2689">
        <v>0</v>
      </c>
      <c r="H2689" t="s">
        <v>27</v>
      </c>
      <c r="I2689" t="s">
        <v>16</v>
      </c>
      <c r="J2689" t="s">
        <v>16</v>
      </c>
      <c r="K2689" t="str">
        <f>VLOOKUP(C2689,CheckName!A:B,2,0)</f>
        <v>CRC</v>
      </c>
      <c r="L2689">
        <v>0</v>
      </c>
      <c r="M2689">
        <f t="shared" si="395"/>
        <v>18</v>
      </c>
      <c r="N2689" t="str">
        <f>TEXT(MTDRejection[[#This Row],[RejectionDate]],"dddd")</f>
        <v>Wednesday</v>
      </c>
    </row>
    <row r="2690" spans="1:14">
      <c r="A2690" t="s">
        <v>1879</v>
      </c>
      <c r="B2690" t="s">
        <v>1994</v>
      </c>
      <c r="C2690" t="s">
        <v>1686</v>
      </c>
      <c r="D2690" t="s">
        <v>26</v>
      </c>
      <c r="E2690" s="7">
        <v>45644</v>
      </c>
      <c r="F2690" t="s">
        <v>118</v>
      </c>
      <c r="G2690">
        <v>0</v>
      </c>
      <c r="H2690" t="s">
        <v>27</v>
      </c>
      <c r="I2690" t="s">
        <v>16</v>
      </c>
      <c r="J2690" t="s">
        <v>16</v>
      </c>
      <c r="K2690" t="str">
        <f>VLOOKUP(C2690,CheckName!A:B,2,0)</f>
        <v>CRC</v>
      </c>
      <c r="L2690">
        <v>0</v>
      </c>
      <c r="M2690">
        <f t="shared" si="395"/>
        <v>18</v>
      </c>
      <c r="N2690" t="str">
        <f>TEXT(MTDRejection[[#This Row],[RejectionDate]],"dddd")</f>
        <v>Wednesday</v>
      </c>
    </row>
    <row r="2691" spans="1:14">
      <c r="A2691" t="s">
        <v>1879</v>
      </c>
      <c r="B2691" t="s">
        <v>2651</v>
      </c>
      <c r="C2691" t="s">
        <v>1686</v>
      </c>
      <c r="D2691" t="s">
        <v>26</v>
      </c>
      <c r="E2691" s="7">
        <v>45644</v>
      </c>
      <c r="F2691" t="s">
        <v>118</v>
      </c>
      <c r="G2691">
        <v>0</v>
      </c>
      <c r="H2691" t="s">
        <v>27</v>
      </c>
      <c r="I2691" t="s">
        <v>16</v>
      </c>
      <c r="J2691" t="s">
        <v>16</v>
      </c>
      <c r="K2691" t="str">
        <f>VLOOKUP(C2691,CheckName!A:B,2,0)</f>
        <v>CRC</v>
      </c>
      <c r="L2691">
        <v>0</v>
      </c>
      <c r="M2691">
        <f t="shared" si="395"/>
        <v>18</v>
      </c>
      <c r="N2691" t="str">
        <f>TEXT(MTDRejection[[#This Row],[RejectionDate]],"dddd")</f>
        <v>Wednesday</v>
      </c>
    </row>
    <row r="2692" spans="1:14">
      <c r="A2692" t="s">
        <v>1879</v>
      </c>
      <c r="B2692" t="s">
        <v>2668</v>
      </c>
      <c r="C2692" t="s">
        <v>1686</v>
      </c>
      <c r="D2692" t="s">
        <v>26</v>
      </c>
      <c r="E2692" s="7">
        <v>45644</v>
      </c>
      <c r="F2692" t="s">
        <v>118</v>
      </c>
      <c r="G2692">
        <v>0</v>
      </c>
      <c r="H2692" t="s">
        <v>27</v>
      </c>
      <c r="I2692" t="s">
        <v>16</v>
      </c>
      <c r="J2692" t="s">
        <v>16</v>
      </c>
      <c r="K2692" t="str">
        <f>VLOOKUP(C2692,CheckName!A:B,2,0)</f>
        <v>CRC</v>
      </c>
      <c r="L2692">
        <v>0</v>
      </c>
      <c r="M2692">
        <f t="shared" si="395"/>
        <v>18</v>
      </c>
      <c r="N2692" t="str">
        <f>TEXT(MTDRejection[[#This Row],[RejectionDate]],"dddd")</f>
        <v>Wednesday</v>
      </c>
    </row>
    <row r="2693" spans="1:14">
      <c r="A2693" t="s">
        <v>1879</v>
      </c>
      <c r="B2693" t="s">
        <v>2652</v>
      </c>
      <c r="C2693" t="s">
        <v>1686</v>
      </c>
      <c r="D2693" t="s">
        <v>26</v>
      </c>
      <c r="E2693" s="7">
        <v>45644</v>
      </c>
      <c r="F2693" t="s">
        <v>118</v>
      </c>
      <c r="G2693">
        <v>0</v>
      </c>
      <c r="H2693" t="s">
        <v>27</v>
      </c>
      <c r="I2693" t="s">
        <v>16</v>
      </c>
      <c r="J2693" t="s">
        <v>16</v>
      </c>
      <c r="K2693" t="str">
        <f>VLOOKUP(C2693,CheckName!A:B,2,0)</f>
        <v>CRC</v>
      </c>
      <c r="L2693">
        <v>0</v>
      </c>
      <c r="M2693">
        <f t="shared" si="395"/>
        <v>18</v>
      </c>
      <c r="N2693" t="str">
        <f>TEXT(MTDRejection[[#This Row],[RejectionDate]],"dddd")</f>
        <v>Wednesday</v>
      </c>
    </row>
    <row r="2694" spans="1:14">
      <c r="A2694" t="s">
        <v>1879</v>
      </c>
      <c r="B2694" t="s">
        <v>5049</v>
      </c>
      <c r="C2694" t="s">
        <v>1686</v>
      </c>
      <c r="D2694" t="s">
        <v>26</v>
      </c>
      <c r="E2694" s="7">
        <v>45644</v>
      </c>
      <c r="F2694" t="s">
        <v>118</v>
      </c>
      <c r="G2694">
        <v>0</v>
      </c>
      <c r="H2694" t="s">
        <v>27</v>
      </c>
      <c r="I2694" t="s">
        <v>16</v>
      </c>
      <c r="J2694" t="s">
        <v>16</v>
      </c>
      <c r="K2694" t="str">
        <f>VLOOKUP(C2694,CheckName!A:B,2,0)</f>
        <v>CRC</v>
      </c>
      <c r="L2694">
        <v>0</v>
      </c>
      <c r="M2694">
        <f t="shared" si="395"/>
        <v>18</v>
      </c>
      <c r="N2694" t="str">
        <f>TEXT(MTDRejection[[#This Row],[RejectionDate]],"dddd")</f>
        <v>Wednesday</v>
      </c>
    </row>
    <row r="2695" spans="1:14">
      <c r="A2695" t="s">
        <v>1879</v>
      </c>
      <c r="B2695" t="s">
        <v>5034</v>
      </c>
      <c r="C2695" t="s">
        <v>1686</v>
      </c>
      <c r="D2695" t="s">
        <v>26</v>
      </c>
      <c r="E2695" s="7">
        <v>45644</v>
      </c>
      <c r="F2695" t="s">
        <v>118</v>
      </c>
      <c r="G2695">
        <v>0</v>
      </c>
      <c r="H2695" t="s">
        <v>27</v>
      </c>
      <c r="I2695" t="s">
        <v>16</v>
      </c>
      <c r="J2695" t="s">
        <v>16</v>
      </c>
      <c r="K2695" t="str">
        <f>VLOOKUP(C2695,CheckName!A:B,2,0)</f>
        <v>CRC</v>
      </c>
      <c r="L2695">
        <v>0</v>
      </c>
      <c r="M2695">
        <f t="shared" si="395"/>
        <v>18</v>
      </c>
      <c r="N2695" t="str">
        <f>TEXT(MTDRejection[[#This Row],[RejectionDate]],"dddd")</f>
        <v>Wednesday</v>
      </c>
    </row>
    <row r="2696" spans="1:14">
      <c r="A2696" t="s">
        <v>1879</v>
      </c>
      <c r="B2696" t="s">
        <v>1978</v>
      </c>
      <c r="C2696" t="s">
        <v>1686</v>
      </c>
      <c r="D2696" t="s">
        <v>26</v>
      </c>
      <c r="E2696" s="7">
        <v>45644</v>
      </c>
      <c r="F2696" t="s">
        <v>118</v>
      </c>
      <c r="G2696">
        <v>0</v>
      </c>
      <c r="H2696" t="s">
        <v>27</v>
      </c>
      <c r="I2696" t="s">
        <v>16</v>
      </c>
      <c r="J2696" t="s">
        <v>16</v>
      </c>
      <c r="K2696" t="str">
        <f>VLOOKUP(C2696,CheckName!A:B,2,0)</f>
        <v>CRC</v>
      </c>
      <c r="L2696">
        <v>0</v>
      </c>
      <c r="M2696">
        <f t="shared" si="395"/>
        <v>18</v>
      </c>
      <c r="N2696" t="str">
        <f>TEXT(MTDRejection[[#This Row],[RejectionDate]],"dddd")</f>
        <v>Wednesday</v>
      </c>
    </row>
    <row r="2697" spans="1:14">
      <c r="A2697" t="s">
        <v>1879</v>
      </c>
      <c r="B2697" t="s">
        <v>5050</v>
      </c>
      <c r="C2697" t="s">
        <v>1686</v>
      </c>
      <c r="D2697" t="s">
        <v>26</v>
      </c>
      <c r="E2697" s="7">
        <v>45644</v>
      </c>
      <c r="F2697" t="s">
        <v>118</v>
      </c>
      <c r="G2697">
        <v>0</v>
      </c>
      <c r="H2697" t="s">
        <v>27</v>
      </c>
      <c r="I2697" t="s">
        <v>16</v>
      </c>
      <c r="J2697" t="s">
        <v>16</v>
      </c>
      <c r="K2697" t="str">
        <f>VLOOKUP(C2697,CheckName!A:B,2,0)</f>
        <v>CRC</v>
      </c>
      <c r="L2697">
        <v>0</v>
      </c>
      <c r="M2697">
        <f t="shared" si="395"/>
        <v>18</v>
      </c>
      <c r="N2697" t="str">
        <f>TEXT(MTDRejection[[#This Row],[RejectionDate]],"dddd")</f>
        <v>Wednesday</v>
      </c>
    </row>
    <row r="2698" spans="1:14">
      <c r="A2698" t="s">
        <v>1879</v>
      </c>
      <c r="B2698" t="s">
        <v>2646</v>
      </c>
      <c r="C2698" t="s">
        <v>1686</v>
      </c>
      <c r="D2698" t="s">
        <v>26</v>
      </c>
      <c r="E2698" s="7">
        <v>45644</v>
      </c>
      <c r="F2698" t="s">
        <v>118</v>
      </c>
      <c r="G2698">
        <v>0</v>
      </c>
      <c r="H2698" t="s">
        <v>27</v>
      </c>
      <c r="I2698" t="s">
        <v>16</v>
      </c>
      <c r="J2698" t="s">
        <v>16</v>
      </c>
      <c r="K2698" t="str">
        <f>VLOOKUP(C2698,CheckName!A:B,2,0)</f>
        <v>CRC</v>
      </c>
      <c r="L2698">
        <v>0</v>
      </c>
      <c r="M2698">
        <f t="shared" si="395"/>
        <v>18</v>
      </c>
      <c r="N2698" t="str">
        <f>TEXT(MTDRejection[[#This Row],[RejectionDate]],"dddd")</f>
        <v>Wednesday</v>
      </c>
    </row>
    <row r="2699" spans="1:14">
      <c r="A2699" t="s">
        <v>1879</v>
      </c>
      <c r="B2699" t="s">
        <v>5051</v>
      </c>
      <c r="C2699" t="s">
        <v>1686</v>
      </c>
      <c r="D2699" t="s">
        <v>26</v>
      </c>
      <c r="E2699" s="7">
        <v>45644</v>
      </c>
      <c r="F2699" t="s">
        <v>118</v>
      </c>
      <c r="G2699">
        <v>0</v>
      </c>
      <c r="H2699" t="s">
        <v>27</v>
      </c>
      <c r="I2699" t="s">
        <v>16</v>
      </c>
      <c r="J2699" t="s">
        <v>16</v>
      </c>
      <c r="K2699" t="str">
        <f>VLOOKUP(C2699,CheckName!A:B,2,0)</f>
        <v>CRC</v>
      </c>
      <c r="L2699">
        <v>0</v>
      </c>
      <c r="M2699">
        <f t="shared" si="395"/>
        <v>18</v>
      </c>
      <c r="N2699" t="str">
        <f>TEXT(MTDRejection[[#This Row],[RejectionDate]],"dddd")</f>
        <v>Wednesday</v>
      </c>
    </row>
    <row r="2700" spans="1:14">
      <c r="A2700" t="s">
        <v>1879</v>
      </c>
      <c r="B2700" t="s">
        <v>5052</v>
      </c>
      <c r="C2700" t="s">
        <v>1686</v>
      </c>
      <c r="D2700" t="s">
        <v>26</v>
      </c>
      <c r="E2700" s="7">
        <v>45644</v>
      </c>
      <c r="F2700" t="s">
        <v>118</v>
      </c>
      <c r="G2700">
        <v>0</v>
      </c>
      <c r="H2700" t="s">
        <v>27</v>
      </c>
      <c r="I2700" t="s">
        <v>16</v>
      </c>
      <c r="J2700" t="s">
        <v>16</v>
      </c>
      <c r="K2700" t="str">
        <f>VLOOKUP(C2700,CheckName!A:B,2,0)</f>
        <v>CRC</v>
      </c>
      <c r="L2700">
        <v>0</v>
      </c>
      <c r="M2700">
        <f t="shared" si="395"/>
        <v>18</v>
      </c>
      <c r="N2700" t="str">
        <f>TEXT(MTDRejection[[#This Row],[RejectionDate]],"dddd")</f>
        <v>Wednesday</v>
      </c>
    </row>
    <row r="2701" spans="1:14">
      <c r="A2701" t="s">
        <v>1879</v>
      </c>
      <c r="B2701" t="s">
        <v>5053</v>
      </c>
      <c r="C2701" t="s">
        <v>1686</v>
      </c>
      <c r="D2701" t="s">
        <v>26</v>
      </c>
      <c r="E2701" s="7">
        <v>45644</v>
      </c>
      <c r="F2701" t="s">
        <v>118</v>
      </c>
      <c r="G2701">
        <v>0</v>
      </c>
      <c r="H2701" t="s">
        <v>27</v>
      </c>
      <c r="I2701" t="s">
        <v>16</v>
      </c>
      <c r="J2701" t="s">
        <v>16</v>
      </c>
      <c r="K2701" t="str">
        <f>VLOOKUP(C2701,CheckName!A:B,2,0)</f>
        <v>CRC</v>
      </c>
      <c r="L2701">
        <v>0</v>
      </c>
      <c r="M2701">
        <f t="shared" si="395"/>
        <v>18</v>
      </c>
      <c r="N2701" t="str">
        <f>TEXT(MTDRejection[[#This Row],[RejectionDate]],"dddd")</f>
        <v>Wednesday</v>
      </c>
    </row>
    <row r="2702" spans="1:14">
      <c r="A2702" t="s">
        <v>1879</v>
      </c>
      <c r="B2702" t="s">
        <v>5054</v>
      </c>
      <c r="C2702" t="s">
        <v>1686</v>
      </c>
      <c r="D2702" t="s">
        <v>26</v>
      </c>
      <c r="E2702" s="7">
        <v>45644</v>
      </c>
      <c r="F2702" t="s">
        <v>118</v>
      </c>
      <c r="G2702">
        <v>0</v>
      </c>
      <c r="H2702" t="s">
        <v>27</v>
      </c>
      <c r="I2702" t="s">
        <v>16</v>
      </c>
      <c r="J2702" t="s">
        <v>16</v>
      </c>
      <c r="K2702" t="str">
        <f>VLOOKUP(C2702,CheckName!A:B,2,0)</f>
        <v>CRC</v>
      </c>
      <c r="L2702">
        <v>0</v>
      </c>
      <c r="M2702">
        <f t="shared" si="395"/>
        <v>18</v>
      </c>
      <c r="N2702" t="str">
        <f>TEXT(MTDRejection[[#This Row],[RejectionDate]],"dddd")</f>
        <v>Wednesday</v>
      </c>
    </row>
    <row r="2703" spans="1:14">
      <c r="A2703" t="s">
        <v>1879</v>
      </c>
      <c r="B2703" t="s">
        <v>2654</v>
      </c>
      <c r="C2703" t="s">
        <v>1686</v>
      </c>
      <c r="D2703" t="s">
        <v>26</v>
      </c>
      <c r="E2703" s="7">
        <v>45644</v>
      </c>
      <c r="F2703" t="s">
        <v>118</v>
      </c>
      <c r="G2703">
        <v>0</v>
      </c>
      <c r="H2703" t="s">
        <v>27</v>
      </c>
      <c r="I2703" t="s">
        <v>16</v>
      </c>
      <c r="J2703" t="s">
        <v>16</v>
      </c>
      <c r="K2703" t="str">
        <f>VLOOKUP(C2703,CheckName!A:B,2,0)</f>
        <v>CRC</v>
      </c>
      <c r="L2703">
        <v>0</v>
      </c>
      <c r="M2703">
        <f t="shared" si="395"/>
        <v>18</v>
      </c>
      <c r="N2703" t="str">
        <f>TEXT(MTDRejection[[#This Row],[RejectionDate]],"dddd")</f>
        <v>Wednesday</v>
      </c>
    </row>
    <row r="2704" spans="1:14">
      <c r="A2704" t="s">
        <v>1879</v>
      </c>
      <c r="B2704" t="s">
        <v>1982</v>
      </c>
      <c r="C2704" t="s">
        <v>1686</v>
      </c>
      <c r="D2704" t="s">
        <v>26</v>
      </c>
      <c r="E2704" s="7">
        <v>45644</v>
      </c>
      <c r="F2704" t="s">
        <v>118</v>
      </c>
      <c r="G2704">
        <v>0</v>
      </c>
      <c r="H2704" t="s">
        <v>27</v>
      </c>
      <c r="I2704" t="s">
        <v>16</v>
      </c>
      <c r="J2704" t="s">
        <v>16</v>
      </c>
      <c r="K2704" t="str">
        <f>VLOOKUP(C2704,CheckName!A:B,2,0)</f>
        <v>CRC</v>
      </c>
      <c r="L2704">
        <v>0</v>
      </c>
      <c r="M2704">
        <f t="shared" si="395"/>
        <v>18</v>
      </c>
      <c r="N2704" t="str">
        <f>TEXT(MTDRejection[[#This Row],[RejectionDate]],"dddd")</f>
        <v>Wednesday</v>
      </c>
    </row>
    <row r="2705" spans="1:14">
      <c r="A2705" t="s">
        <v>1879</v>
      </c>
      <c r="B2705" t="s">
        <v>5055</v>
      </c>
      <c r="C2705" t="s">
        <v>1686</v>
      </c>
      <c r="D2705" t="s">
        <v>26</v>
      </c>
      <c r="E2705" s="7">
        <v>45644</v>
      </c>
      <c r="F2705" t="s">
        <v>118</v>
      </c>
      <c r="G2705">
        <v>0</v>
      </c>
      <c r="H2705" t="s">
        <v>27</v>
      </c>
      <c r="I2705" t="s">
        <v>16</v>
      </c>
      <c r="J2705" t="s">
        <v>16</v>
      </c>
      <c r="K2705" t="str">
        <f>VLOOKUP(C2705,CheckName!A:B,2,0)</f>
        <v>CRC</v>
      </c>
      <c r="L2705">
        <v>0</v>
      </c>
      <c r="M2705">
        <f t="shared" si="395"/>
        <v>18</v>
      </c>
      <c r="N2705" t="str">
        <f>TEXT(MTDRejection[[#This Row],[RejectionDate]],"dddd")</f>
        <v>Wednesday</v>
      </c>
    </row>
    <row r="2706" spans="1:14">
      <c r="A2706" t="s">
        <v>1879</v>
      </c>
      <c r="B2706" t="s">
        <v>2002</v>
      </c>
      <c r="C2706" t="s">
        <v>1686</v>
      </c>
      <c r="D2706" t="s">
        <v>26</v>
      </c>
      <c r="E2706" s="7">
        <v>45644</v>
      </c>
      <c r="F2706" t="s">
        <v>118</v>
      </c>
      <c r="G2706">
        <v>0</v>
      </c>
      <c r="H2706" t="s">
        <v>27</v>
      </c>
      <c r="I2706" t="s">
        <v>16</v>
      </c>
      <c r="J2706" t="s">
        <v>16</v>
      </c>
      <c r="K2706" t="str">
        <f>VLOOKUP(C2706,CheckName!A:B,2,0)</f>
        <v>CRC</v>
      </c>
      <c r="L2706">
        <v>0</v>
      </c>
      <c r="M2706">
        <f t="shared" si="395"/>
        <v>18</v>
      </c>
      <c r="N2706" t="str">
        <f>TEXT(MTDRejection[[#This Row],[RejectionDate]],"dddd")</f>
        <v>Wednesday</v>
      </c>
    </row>
    <row r="2707" spans="1:14">
      <c r="A2707" t="s">
        <v>1879</v>
      </c>
      <c r="B2707" t="s">
        <v>5002</v>
      </c>
      <c r="C2707" t="s">
        <v>1686</v>
      </c>
      <c r="D2707" t="s">
        <v>26</v>
      </c>
      <c r="E2707" s="7">
        <v>45644</v>
      </c>
      <c r="F2707" t="s">
        <v>118</v>
      </c>
      <c r="G2707">
        <v>0</v>
      </c>
      <c r="H2707" t="s">
        <v>27</v>
      </c>
      <c r="I2707" t="s">
        <v>16</v>
      </c>
      <c r="J2707" t="s">
        <v>16</v>
      </c>
      <c r="K2707" t="str">
        <f>VLOOKUP(C2707,CheckName!A:B,2,0)</f>
        <v>CRC</v>
      </c>
      <c r="L2707">
        <v>0</v>
      </c>
      <c r="M2707">
        <f t="shared" si="395"/>
        <v>18</v>
      </c>
      <c r="N2707" t="str">
        <f>TEXT(MTDRejection[[#This Row],[RejectionDate]],"dddd")</f>
        <v>Wednesday</v>
      </c>
    </row>
    <row r="2708" spans="1:14">
      <c r="A2708" t="s">
        <v>1879</v>
      </c>
      <c r="B2708" t="s">
        <v>5056</v>
      </c>
      <c r="C2708" t="s">
        <v>1686</v>
      </c>
      <c r="D2708" t="s">
        <v>26</v>
      </c>
      <c r="E2708" s="7">
        <v>45644</v>
      </c>
      <c r="F2708" t="s">
        <v>118</v>
      </c>
      <c r="G2708">
        <v>0</v>
      </c>
      <c r="H2708" t="s">
        <v>27</v>
      </c>
      <c r="I2708" t="s">
        <v>16</v>
      </c>
      <c r="J2708" t="s">
        <v>16</v>
      </c>
      <c r="K2708" t="str">
        <f>VLOOKUP(C2708,CheckName!A:B,2,0)</f>
        <v>CRC</v>
      </c>
      <c r="L2708">
        <v>0</v>
      </c>
      <c r="M2708">
        <f t="shared" si="395"/>
        <v>18</v>
      </c>
      <c r="N2708" t="str">
        <f>TEXT(MTDRejection[[#This Row],[RejectionDate]],"dddd")</f>
        <v>Wednesday</v>
      </c>
    </row>
    <row r="2709" spans="1:14">
      <c r="A2709" t="s">
        <v>1879</v>
      </c>
      <c r="B2709" t="s">
        <v>1973</v>
      </c>
      <c r="C2709" t="s">
        <v>1686</v>
      </c>
      <c r="D2709" t="s">
        <v>26</v>
      </c>
      <c r="E2709" s="7">
        <v>45644</v>
      </c>
      <c r="F2709" t="s">
        <v>118</v>
      </c>
      <c r="G2709">
        <v>0</v>
      </c>
      <c r="H2709" t="s">
        <v>27</v>
      </c>
      <c r="I2709" t="s">
        <v>16</v>
      </c>
      <c r="J2709" t="s">
        <v>16</v>
      </c>
      <c r="K2709" t="str">
        <f>VLOOKUP(C2709,CheckName!A:B,2,0)</f>
        <v>CRC</v>
      </c>
      <c r="L2709">
        <v>0</v>
      </c>
      <c r="M2709">
        <f t="shared" si="395"/>
        <v>18</v>
      </c>
      <c r="N2709" t="str">
        <f>TEXT(MTDRejection[[#This Row],[RejectionDate]],"dddd")</f>
        <v>Wednesday</v>
      </c>
    </row>
    <row r="2710" spans="1:14">
      <c r="A2710" t="s">
        <v>1879</v>
      </c>
      <c r="B2710" t="s">
        <v>5057</v>
      </c>
      <c r="C2710" t="s">
        <v>1686</v>
      </c>
      <c r="D2710" t="s">
        <v>26</v>
      </c>
      <c r="E2710" s="7">
        <v>45644</v>
      </c>
      <c r="F2710" t="s">
        <v>118</v>
      </c>
      <c r="G2710">
        <v>0</v>
      </c>
      <c r="H2710" t="s">
        <v>27</v>
      </c>
      <c r="I2710" t="s">
        <v>16</v>
      </c>
      <c r="J2710" t="s">
        <v>16</v>
      </c>
      <c r="K2710" t="str">
        <f>VLOOKUP(C2710,CheckName!A:B,2,0)</f>
        <v>CRC</v>
      </c>
      <c r="L2710">
        <v>0</v>
      </c>
      <c r="M2710">
        <f t="shared" si="395"/>
        <v>18</v>
      </c>
      <c r="N2710" t="str">
        <f>TEXT(MTDRejection[[#This Row],[RejectionDate]],"dddd")</f>
        <v>Wednesday</v>
      </c>
    </row>
    <row r="2711" spans="1:14">
      <c r="A2711" t="s">
        <v>1879</v>
      </c>
      <c r="B2711" t="s">
        <v>5058</v>
      </c>
      <c r="C2711" t="s">
        <v>1686</v>
      </c>
      <c r="D2711" t="s">
        <v>26</v>
      </c>
      <c r="E2711" s="7">
        <v>45644</v>
      </c>
      <c r="F2711" t="s">
        <v>118</v>
      </c>
      <c r="G2711">
        <v>0</v>
      </c>
      <c r="H2711" t="s">
        <v>27</v>
      </c>
      <c r="I2711" t="s">
        <v>16</v>
      </c>
      <c r="J2711" t="s">
        <v>16</v>
      </c>
      <c r="K2711" t="str">
        <f>VLOOKUP(C2711,CheckName!A:B,2,0)</f>
        <v>CRC</v>
      </c>
      <c r="L2711">
        <v>0</v>
      </c>
      <c r="M2711">
        <f t="shared" si="395"/>
        <v>18</v>
      </c>
      <c r="N2711" t="str">
        <f>TEXT(MTDRejection[[#This Row],[RejectionDate]],"dddd")</f>
        <v>Wednesday</v>
      </c>
    </row>
    <row r="2712" spans="1:14">
      <c r="A2712" t="s">
        <v>1879</v>
      </c>
      <c r="B2712" t="s">
        <v>5059</v>
      </c>
      <c r="C2712" t="s">
        <v>1686</v>
      </c>
      <c r="D2712" t="s">
        <v>26</v>
      </c>
      <c r="E2712" s="7">
        <v>45644</v>
      </c>
      <c r="F2712" t="s">
        <v>118</v>
      </c>
      <c r="G2712">
        <v>0</v>
      </c>
      <c r="H2712" t="s">
        <v>27</v>
      </c>
      <c r="I2712" t="s">
        <v>16</v>
      </c>
      <c r="J2712" t="s">
        <v>16</v>
      </c>
      <c r="K2712" t="str">
        <f>VLOOKUP(C2712,CheckName!A:B,2,0)</f>
        <v>CRC</v>
      </c>
      <c r="L2712">
        <v>0</v>
      </c>
      <c r="M2712">
        <f t="shared" si="395"/>
        <v>18</v>
      </c>
      <c r="N2712" t="str">
        <f>TEXT(MTDRejection[[#This Row],[RejectionDate]],"dddd")</f>
        <v>Wednesday</v>
      </c>
    </row>
    <row r="2713" spans="1:14">
      <c r="A2713" t="s">
        <v>1879</v>
      </c>
      <c r="B2713" t="s">
        <v>5060</v>
      </c>
      <c r="C2713" t="s">
        <v>1686</v>
      </c>
      <c r="D2713" t="s">
        <v>26</v>
      </c>
      <c r="E2713" s="7">
        <v>45644</v>
      </c>
      <c r="F2713" t="s">
        <v>118</v>
      </c>
      <c r="G2713">
        <v>0</v>
      </c>
      <c r="H2713" t="s">
        <v>27</v>
      </c>
      <c r="I2713" t="s">
        <v>16</v>
      </c>
      <c r="J2713" t="s">
        <v>16</v>
      </c>
      <c r="K2713" t="str">
        <f>VLOOKUP(C2713,CheckName!A:B,2,0)</f>
        <v>CRC</v>
      </c>
      <c r="L2713">
        <v>0</v>
      </c>
      <c r="M2713">
        <f t="shared" si="395"/>
        <v>18</v>
      </c>
      <c r="N2713" t="str">
        <f>TEXT(MTDRejection[[#This Row],[RejectionDate]],"dddd")</f>
        <v>Wednesday</v>
      </c>
    </row>
    <row r="2714" spans="1:14">
      <c r="A2714" t="s">
        <v>1879</v>
      </c>
      <c r="B2714" t="s">
        <v>5061</v>
      </c>
      <c r="C2714" t="s">
        <v>1686</v>
      </c>
      <c r="D2714" t="s">
        <v>26</v>
      </c>
      <c r="E2714" s="7">
        <v>45644</v>
      </c>
      <c r="F2714" t="s">
        <v>118</v>
      </c>
      <c r="G2714">
        <v>0</v>
      </c>
      <c r="H2714" t="s">
        <v>27</v>
      </c>
      <c r="I2714" t="s">
        <v>16</v>
      </c>
      <c r="J2714" t="s">
        <v>16</v>
      </c>
      <c r="K2714" t="str">
        <f>VLOOKUP(C2714,CheckName!A:B,2,0)</f>
        <v>CRC</v>
      </c>
      <c r="L2714">
        <v>0</v>
      </c>
      <c r="M2714">
        <f t="shared" si="395"/>
        <v>18</v>
      </c>
      <c r="N2714" t="str">
        <f>TEXT(MTDRejection[[#This Row],[RejectionDate]],"dddd")</f>
        <v>Wednesday</v>
      </c>
    </row>
    <row r="2715" spans="1:14">
      <c r="A2715" t="s">
        <v>1879</v>
      </c>
      <c r="B2715" t="s">
        <v>2643</v>
      </c>
      <c r="C2715" t="s">
        <v>1686</v>
      </c>
      <c r="D2715" t="s">
        <v>26</v>
      </c>
      <c r="E2715" s="7">
        <v>45644</v>
      </c>
      <c r="F2715" t="s">
        <v>118</v>
      </c>
      <c r="G2715">
        <v>0</v>
      </c>
      <c r="H2715" t="s">
        <v>27</v>
      </c>
      <c r="I2715" t="s">
        <v>16</v>
      </c>
      <c r="J2715" t="s">
        <v>16</v>
      </c>
      <c r="K2715" t="str">
        <f>VLOOKUP(C2715,CheckName!A:B,2,0)</f>
        <v>CRC</v>
      </c>
      <c r="L2715">
        <v>0</v>
      </c>
      <c r="M2715">
        <f t="shared" si="395"/>
        <v>18</v>
      </c>
      <c r="N2715" t="str">
        <f>TEXT(MTDRejection[[#This Row],[RejectionDate]],"dddd")</f>
        <v>Wednesday</v>
      </c>
    </row>
    <row r="2716" spans="1:14">
      <c r="A2716" t="s">
        <v>1879</v>
      </c>
      <c r="B2716" t="s">
        <v>5062</v>
      </c>
      <c r="C2716" t="s">
        <v>1686</v>
      </c>
      <c r="D2716" t="s">
        <v>26</v>
      </c>
      <c r="E2716" s="7">
        <v>45644</v>
      </c>
      <c r="F2716" t="s">
        <v>118</v>
      </c>
      <c r="G2716">
        <v>0</v>
      </c>
      <c r="H2716" t="s">
        <v>27</v>
      </c>
      <c r="I2716" t="s">
        <v>16</v>
      </c>
      <c r="J2716" t="s">
        <v>16</v>
      </c>
      <c r="K2716" t="str">
        <f>VLOOKUP(C2716,CheckName!A:B,2,0)</f>
        <v>CRC</v>
      </c>
      <c r="L2716">
        <v>0</v>
      </c>
      <c r="M2716">
        <f t="shared" si="395"/>
        <v>18</v>
      </c>
      <c r="N2716" t="str">
        <f>TEXT(MTDRejection[[#This Row],[RejectionDate]],"dddd")</f>
        <v>Wednesday</v>
      </c>
    </row>
    <row r="2717" spans="1:14">
      <c r="A2717" t="s">
        <v>1879</v>
      </c>
      <c r="B2717" t="s">
        <v>5017</v>
      </c>
      <c r="C2717" t="s">
        <v>1686</v>
      </c>
      <c r="D2717" t="s">
        <v>26</v>
      </c>
      <c r="E2717" s="7">
        <v>45644</v>
      </c>
      <c r="F2717" t="s">
        <v>118</v>
      </c>
      <c r="G2717">
        <v>0</v>
      </c>
      <c r="H2717" t="s">
        <v>27</v>
      </c>
      <c r="I2717" t="s">
        <v>16</v>
      </c>
      <c r="J2717" t="s">
        <v>16</v>
      </c>
      <c r="K2717" t="str">
        <f>VLOOKUP(C2717,CheckName!A:B,2,0)</f>
        <v>CRC</v>
      </c>
      <c r="L2717">
        <v>0</v>
      </c>
      <c r="M2717">
        <f t="shared" si="395"/>
        <v>18</v>
      </c>
      <c r="N2717" t="str">
        <f>TEXT(MTDRejection[[#This Row],[RejectionDate]],"dddd")</f>
        <v>Wednesday</v>
      </c>
    </row>
    <row r="2718" spans="1:14">
      <c r="A2718" t="s">
        <v>1879</v>
      </c>
      <c r="B2718" t="s">
        <v>5063</v>
      </c>
      <c r="C2718" t="s">
        <v>1686</v>
      </c>
      <c r="D2718" t="s">
        <v>26</v>
      </c>
      <c r="E2718" s="7">
        <v>45644</v>
      </c>
      <c r="F2718" t="s">
        <v>118</v>
      </c>
      <c r="G2718">
        <v>0</v>
      </c>
      <c r="H2718" t="s">
        <v>27</v>
      </c>
      <c r="I2718" t="s">
        <v>16</v>
      </c>
      <c r="J2718" t="s">
        <v>16</v>
      </c>
      <c r="K2718" t="str">
        <f>VLOOKUP(C2718,CheckName!A:B,2,0)</f>
        <v>CRC</v>
      </c>
      <c r="L2718">
        <v>0</v>
      </c>
      <c r="M2718">
        <f t="shared" si="395"/>
        <v>18</v>
      </c>
      <c r="N2718" t="str">
        <f>TEXT(MTDRejection[[#This Row],[RejectionDate]],"dddd")</f>
        <v>Wednesday</v>
      </c>
    </row>
    <row r="2719" spans="1:14">
      <c r="A2719" t="s">
        <v>1879</v>
      </c>
      <c r="B2719" t="s">
        <v>5064</v>
      </c>
      <c r="C2719" t="s">
        <v>1686</v>
      </c>
      <c r="D2719" t="s">
        <v>26</v>
      </c>
      <c r="E2719" s="7">
        <v>45644</v>
      </c>
      <c r="F2719" t="s">
        <v>118</v>
      </c>
      <c r="G2719">
        <v>0</v>
      </c>
      <c r="H2719" t="s">
        <v>27</v>
      </c>
      <c r="I2719" t="s">
        <v>16</v>
      </c>
      <c r="J2719" t="s">
        <v>16</v>
      </c>
      <c r="K2719" t="str">
        <f>VLOOKUP(C2719,CheckName!A:B,2,0)</f>
        <v>CRC</v>
      </c>
      <c r="L2719">
        <v>0</v>
      </c>
      <c r="M2719">
        <f t="shared" si="395"/>
        <v>18</v>
      </c>
      <c r="N2719" t="str">
        <f>TEXT(MTDRejection[[#This Row],[RejectionDate]],"dddd")</f>
        <v>Wednesday</v>
      </c>
    </row>
    <row r="2720" spans="1:14">
      <c r="A2720" t="s">
        <v>1879</v>
      </c>
      <c r="B2720" t="s">
        <v>5065</v>
      </c>
      <c r="C2720" t="s">
        <v>1686</v>
      </c>
      <c r="D2720" t="s">
        <v>26</v>
      </c>
      <c r="E2720" s="7">
        <v>45644</v>
      </c>
      <c r="F2720" t="s">
        <v>118</v>
      </c>
      <c r="G2720">
        <v>0</v>
      </c>
      <c r="H2720" t="s">
        <v>27</v>
      </c>
      <c r="I2720" t="s">
        <v>16</v>
      </c>
      <c r="J2720" t="s">
        <v>16</v>
      </c>
      <c r="K2720" t="str">
        <f>VLOOKUP(C2720,CheckName!A:B,2,0)</f>
        <v>CRC</v>
      </c>
      <c r="L2720">
        <v>0</v>
      </c>
      <c r="M2720">
        <f t="shared" si="395"/>
        <v>18</v>
      </c>
      <c r="N2720" t="str">
        <f>TEXT(MTDRejection[[#This Row],[RejectionDate]],"dddd")</f>
        <v>Wednesday</v>
      </c>
    </row>
    <row r="2721" spans="1:14">
      <c r="A2721" t="s">
        <v>1879</v>
      </c>
      <c r="B2721" t="s">
        <v>5066</v>
      </c>
      <c r="C2721" t="s">
        <v>1686</v>
      </c>
      <c r="D2721" t="s">
        <v>26</v>
      </c>
      <c r="E2721" s="7">
        <v>45644</v>
      </c>
      <c r="F2721" t="s">
        <v>118</v>
      </c>
      <c r="G2721">
        <v>0</v>
      </c>
      <c r="H2721" t="s">
        <v>27</v>
      </c>
      <c r="I2721" t="s">
        <v>16</v>
      </c>
      <c r="J2721" t="s">
        <v>16</v>
      </c>
      <c r="K2721" t="str">
        <f>VLOOKUP(C2721,CheckName!A:B,2,0)</f>
        <v>CRC</v>
      </c>
      <c r="L2721">
        <v>0</v>
      </c>
      <c r="M2721">
        <f t="shared" si="395"/>
        <v>18</v>
      </c>
      <c r="N2721" t="str">
        <f>TEXT(MTDRejection[[#This Row],[RejectionDate]],"dddd")</f>
        <v>Wednesday</v>
      </c>
    </row>
    <row r="2722" spans="1:14">
      <c r="A2722" t="s">
        <v>1879</v>
      </c>
      <c r="B2722" t="s">
        <v>2019</v>
      </c>
      <c r="C2722" t="s">
        <v>1686</v>
      </c>
      <c r="D2722" t="s">
        <v>26</v>
      </c>
      <c r="E2722" s="7">
        <v>45644</v>
      </c>
      <c r="F2722" t="s">
        <v>118</v>
      </c>
      <c r="G2722">
        <v>0</v>
      </c>
      <c r="H2722" t="s">
        <v>27</v>
      </c>
      <c r="I2722" t="s">
        <v>16</v>
      </c>
      <c r="J2722" t="s">
        <v>16</v>
      </c>
      <c r="K2722" t="str">
        <f>VLOOKUP(C2722,CheckName!A:B,2,0)</f>
        <v>CRC</v>
      </c>
      <c r="L2722">
        <v>0</v>
      </c>
      <c r="M2722">
        <f t="shared" si="395"/>
        <v>18</v>
      </c>
      <c r="N2722" t="str">
        <f>TEXT(MTDRejection[[#This Row],[RejectionDate]],"dddd")</f>
        <v>Wednesday</v>
      </c>
    </row>
    <row r="2723" spans="1:14">
      <c r="A2723" t="s">
        <v>1879</v>
      </c>
      <c r="B2723" t="s">
        <v>5067</v>
      </c>
      <c r="C2723" t="s">
        <v>1686</v>
      </c>
      <c r="D2723" t="s">
        <v>26</v>
      </c>
      <c r="E2723" s="7">
        <v>45644</v>
      </c>
      <c r="F2723" t="s">
        <v>118</v>
      </c>
      <c r="G2723">
        <v>0</v>
      </c>
      <c r="H2723" t="s">
        <v>27</v>
      </c>
      <c r="I2723" t="s">
        <v>16</v>
      </c>
      <c r="J2723" t="s">
        <v>16</v>
      </c>
      <c r="K2723" t="str">
        <f>VLOOKUP(C2723,CheckName!A:B,2,0)</f>
        <v>CRC</v>
      </c>
      <c r="L2723">
        <v>0</v>
      </c>
      <c r="M2723">
        <f t="shared" si="395"/>
        <v>18</v>
      </c>
      <c r="N2723" t="str">
        <f>TEXT(MTDRejection[[#This Row],[RejectionDate]],"dddd")</f>
        <v>Wednesday</v>
      </c>
    </row>
    <row r="2724" spans="1:14">
      <c r="A2724" t="s">
        <v>1879</v>
      </c>
      <c r="B2724" t="s">
        <v>5068</v>
      </c>
      <c r="C2724" t="s">
        <v>1686</v>
      </c>
      <c r="D2724" t="s">
        <v>26</v>
      </c>
      <c r="E2724" s="7">
        <v>45644</v>
      </c>
      <c r="F2724" t="s">
        <v>118</v>
      </c>
      <c r="G2724">
        <v>0</v>
      </c>
      <c r="H2724" t="s">
        <v>27</v>
      </c>
      <c r="I2724" t="s">
        <v>16</v>
      </c>
      <c r="J2724" t="s">
        <v>16</v>
      </c>
      <c r="K2724" t="str">
        <f>VLOOKUP(C2724,CheckName!A:B,2,0)</f>
        <v>CRC</v>
      </c>
      <c r="L2724">
        <v>0</v>
      </c>
      <c r="M2724">
        <f t="shared" si="395"/>
        <v>18</v>
      </c>
      <c r="N2724" t="str">
        <f>TEXT(MTDRejection[[#This Row],[RejectionDate]],"dddd")</f>
        <v>Wednesday</v>
      </c>
    </row>
    <row r="2725" spans="1:14">
      <c r="A2725" t="s">
        <v>1879</v>
      </c>
      <c r="B2725" t="s">
        <v>5069</v>
      </c>
      <c r="C2725" t="s">
        <v>1686</v>
      </c>
      <c r="D2725" t="s">
        <v>26</v>
      </c>
      <c r="E2725" s="7">
        <v>45644</v>
      </c>
      <c r="F2725" t="s">
        <v>118</v>
      </c>
      <c r="G2725">
        <v>0</v>
      </c>
      <c r="H2725" t="s">
        <v>27</v>
      </c>
      <c r="I2725" t="s">
        <v>16</v>
      </c>
      <c r="J2725" t="s">
        <v>16</v>
      </c>
      <c r="K2725" t="str">
        <f>VLOOKUP(C2725,CheckName!A:B,2,0)</f>
        <v>CRC</v>
      </c>
      <c r="L2725">
        <v>0</v>
      </c>
      <c r="M2725">
        <f t="shared" si="395"/>
        <v>18</v>
      </c>
      <c r="N2725" t="str">
        <f>TEXT(MTDRejection[[#This Row],[RejectionDate]],"dddd")</f>
        <v>Wednesday</v>
      </c>
    </row>
    <row r="2726" spans="1:14">
      <c r="A2726" t="s">
        <v>1879</v>
      </c>
      <c r="B2726" t="s">
        <v>2657</v>
      </c>
      <c r="C2726" t="s">
        <v>1686</v>
      </c>
      <c r="D2726" t="s">
        <v>26</v>
      </c>
      <c r="E2726" s="7">
        <v>45644</v>
      </c>
      <c r="F2726" t="s">
        <v>118</v>
      </c>
      <c r="G2726">
        <v>0</v>
      </c>
      <c r="H2726" t="s">
        <v>27</v>
      </c>
      <c r="I2726" t="s">
        <v>16</v>
      </c>
      <c r="J2726" t="s">
        <v>16</v>
      </c>
      <c r="K2726" t="str">
        <f>VLOOKUP(C2726,CheckName!A:B,2,0)</f>
        <v>CRC</v>
      </c>
      <c r="L2726">
        <v>0</v>
      </c>
      <c r="M2726">
        <f t="shared" si="395"/>
        <v>18</v>
      </c>
      <c r="N2726" t="str">
        <f>TEXT(MTDRejection[[#This Row],[RejectionDate]],"dddd")</f>
        <v>Wednesday</v>
      </c>
    </row>
    <row r="2727" spans="1:14">
      <c r="A2727" t="s">
        <v>1879</v>
      </c>
      <c r="B2727" t="s">
        <v>5070</v>
      </c>
      <c r="C2727" t="s">
        <v>1686</v>
      </c>
      <c r="D2727" t="s">
        <v>26</v>
      </c>
      <c r="E2727" s="7">
        <v>45644</v>
      </c>
      <c r="F2727" t="s">
        <v>118</v>
      </c>
      <c r="G2727">
        <v>0</v>
      </c>
      <c r="H2727" t="s">
        <v>27</v>
      </c>
      <c r="I2727" t="s">
        <v>16</v>
      </c>
      <c r="J2727" t="s">
        <v>16</v>
      </c>
      <c r="K2727" t="str">
        <f>VLOOKUP(C2727,CheckName!A:B,2,0)</f>
        <v>CRC</v>
      </c>
      <c r="L2727">
        <v>0</v>
      </c>
      <c r="M2727">
        <f t="shared" si="395"/>
        <v>18</v>
      </c>
      <c r="N2727" t="str">
        <f>TEXT(MTDRejection[[#This Row],[RejectionDate]],"dddd")</f>
        <v>Wednesday</v>
      </c>
    </row>
    <row r="2728" spans="1:14">
      <c r="A2728" t="s">
        <v>1879</v>
      </c>
      <c r="B2728" t="s">
        <v>2647</v>
      </c>
      <c r="C2728" t="s">
        <v>1686</v>
      </c>
      <c r="D2728" t="s">
        <v>26</v>
      </c>
      <c r="E2728" s="7">
        <v>45644</v>
      </c>
      <c r="F2728" t="s">
        <v>118</v>
      </c>
      <c r="G2728">
        <v>0</v>
      </c>
      <c r="H2728" t="s">
        <v>27</v>
      </c>
      <c r="I2728" t="s">
        <v>16</v>
      </c>
      <c r="J2728" t="s">
        <v>16</v>
      </c>
      <c r="K2728" t="str">
        <f>VLOOKUP(C2728,CheckName!A:B,2,0)</f>
        <v>CRC</v>
      </c>
      <c r="L2728">
        <v>0</v>
      </c>
      <c r="M2728">
        <f t="shared" si="395"/>
        <v>18</v>
      </c>
      <c r="N2728" t="str">
        <f>TEXT(MTDRejection[[#This Row],[RejectionDate]],"dddd")</f>
        <v>Wednesday</v>
      </c>
    </row>
    <row r="2729" spans="1:14">
      <c r="A2729" t="s">
        <v>1879</v>
      </c>
      <c r="B2729" t="s">
        <v>5071</v>
      </c>
      <c r="C2729" t="s">
        <v>1686</v>
      </c>
      <c r="D2729" t="s">
        <v>26</v>
      </c>
      <c r="E2729" s="7">
        <v>45644</v>
      </c>
      <c r="F2729" t="s">
        <v>118</v>
      </c>
      <c r="G2729">
        <v>0</v>
      </c>
      <c r="H2729" t="s">
        <v>27</v>
      </c>
      <c r="I2729" t="s">
        <v>16</v>
      </c>
      <c r="J2729" t="s">
        <v>16</v>
      </c>
      <c r="K2729" t="str">
        <f>VLOOKUP(C2729,CheckName!A:B,2,0)</f>
        <v>CRC</v>
      </c>
      <c r="L2729">
        <v>0</v>
      </c>
      <c r="M2729">
        <f t="shared" si="395"/>
        <v>18</v>
      </c>
      <c r="N2729" t="str">
        <f>TEXT(MTDRejection[[#This Row],[RejectionDate]],"dddd")</f>
        <v>Wednesday</v>
      </c>
    </row>
    <row r="2730" spans="1:14">
      <c r="A2730" t="s">
        <v>1879</v>
      </c>
      <c r="B2730" t="s">
        <v>2021</v>
      </c>
      <c r="C2730" t="s">
        <v>1686</v>
      </c>
      <c r="D2730" t="s">
        <v>26</v>
      </c>
      <c r="E2730" s="7">
        <v>45644</v>
      </c>
      <c r="F2730" t="s">
        <v>118</v>
      </c>
      <c r="G2730">
        <v>0</v>
      </c>
      <c r="H2730" t="s">
        <v>27</v>
      </c>
      <c r="I2730" t="s">
        <v>16</v>
      </c>
      <c r="J2730" t="s">
        <v>16</v>
      </c>
      <c r="K2730" t="str">
        <f>VLOOKUP(C2730,CheckName!A:B,2,0)</f>
        <v>CRC</v>
      </c>
      <c r="L2730">
        <v>0</v>
      </c>
      <c r="M2730">
        <f t="shared" si="395"/>
        <v>18</v>
      </c>
      <c r="N2730" t="str">
        <f>TEXT(MTDRejection[[#This Row],[RejectionDate]],"dddd")</f>
        <v>Wednesday</v>
      </c>
    </row>
    <row r="2731" spans="1:14">
      <c r="A2731" t="s">
        <v>1879</v>
      </c>
      <c r="B2731" t="s">
        <v>5072</v>
      </c>
      <c r="C2731" t="s">
        <v>1686</v>
      </c>
      <c r="D2731" t="s">
        <v>26</v>
      </c>
      <c r="E2731" s="7">
        <v>45644</v>
      </c>
      <c r="F2731" t="s">
        <v>118</v>
      </c>
      <c r="G2731">
        <v>0</v>
      </c>
      <c r="H2731" t="s">
        <v>27</v>
      </c>
      <c r="I2731" t="s">
        <v>16</v>
      </c>
      <c r="J2731" t="s">
        <v>16</v>
      </c>
      <c r="K2731" t="str">
        <f>VLOOKUP(C2731,CheckName!A:B,2,0)</f>
        <v>CRC</v>
      </c>
      <c r="L2731">
        <v>0</v>
      </c>
      <c r="M2731">
        <f t="shared" si="395"/>
        <v>18</v>
      </c>
      <c r="N2731" t="str">
        <f>TEXT(MTDRejection[[#This Row],[RejectionDate]],"dddd")</f>
        <v>Wednesday</v>
      </c>
    </row>
    <row r="2732" spans="1:14">
      <c r="A2732" t="s">
        <v>1879</v>
      </c>
      <c r="B2732" t="s">
        <v>2660</v>
      </c>
      <c r="C2732" t="s">
        <v>1686</v>
      </c>
      <c r="D2732" t="s">
        <v>26</v>
      </c>
      <c r="E2732" s="7">
        <v>45644</v>
      </c>
      <c r="F2732" t="s">
        <v>118</v>
      </c>
      <c r="G2732">
        <v>0</v>
      </c>
      <c r="H2732" t="s">
        <v>27</v>
      </c>
      <c r="I2732" t="s">
        <v>16</v>
      </c>
      <c r="J2732" t="s">
        <v>16</v>
      </c>
      <c r="K2732" t="str">
        <f>VLOOKUP(C2732,CheckName!A:B,2,0)</f>
        <v>CRC</v>
      </c>
      <c r="L2732">
        <v>0</v>
      </c>
      <c r="M2732">
        <f t="shared" si="395"/>
        <v>18</v>
      </c>
      <c r="N2732" t="str">
        <f>TEXT(MTDRejection[[#This Row],[RejectionDate]],"dddd")</f>
        <v>Wednesday</v>
      </c>
    </row>
    <row r="2733" spans="1:14">
      <c r="A2733" t="s">
        <v>1879</v>
      </c>
      <c r="B2733" t="s">
        <v>5073</v>
      </c>
      <c r="C2733" t="s">
        <v>1686</v>
      </c>
      <c r="D2733" t="s">
        <v>26</v>
      </c>
      <c r="E2733" s="7">
        <v>45644</v>
      </c>
      <c r="F2733" t="s">
        <v>118</v>
      </c>
      <c r="G2733">
        <v>0</v>
      </c>
      <c r="H2733" t="s">
        <v>27</v>
      </c>
      <c r="I2733" t="s">
        <v>16</v>
      </c>
      <c r="J2733" t="s">
        <v>16</v>
      </c>
      <c r="K2733" t="str">
        <f>VLOOKUP(C2733,CheckName!A:B,2,0)</f>
        <v>CRC</v>
      </c>
      <c r="L2733">
        <v>0</v>
      </c>
      <c r="M2733">
        <f t="shared" si="395"/>
        <v>18</v>
      </c>
      <c r="N2733" t="str">
        <f>TEXT(MTDRejection[[#This Row],[RejectionDate]],"dddd")</f>
        <v>Wednesday</v>
      </c>
    </row>
    <row r="2734" spans="1:14">
      <c r="A2734" t="s">
        <v>1879</v>
      </c>
      <c r="B2734" t="s">
        <v>5074</v>
      </c>
      <c r="C2734" t="s">
        <v>1686</v>
      </c>
      <c r="D2734" t="s">
        <v>26</v>
      </c>
      <c r="E2734" s="7">
        <v>45644</v>
      </c>
      <c r="F2734" t="s">
        <v>118</v>
      </c>
      <c r="G2734">
        <v>0</v>
      </c>
      <c r="H2734" t="s">
        <v>27</v>
      </c>
      <c r="I2734" t="s">
        <v>16</v>
      </c>
      <c r="J2734" t="s">
        <v>16</v>
      </c>
      <c r="K2734" t="str">
        <f>VLOOKUP(C2734,CheckName!A:B,2,0)</f>
        <v>CRC</v>
      </c>
      <c r="L2734">
        <v>0</v>
      </c>
      <c r="M2734">
        <f t="shared" si="395"/>
        <v>18</v>
      </c>
      <c r="N2734" t="str">
        <f>TEXT(MTDRejection[[#This Row],[RejectionDate]],"dddd")</f>
        <v>Wednesday</v>
      </c>
    </row>
    <row r="2735" spans="1:14">
      <c r="A2735" t="s">
        <v>1879</v>
      </c>
      <c r="B2735" t="s">
        <v>2017</v>
      </c>
      <c r="C2735" t="s">
        <v>1686</v>
      </c>
      <c r="D2735" t="s">
        <v>26</v>
      </c>
      <c r="E2735" s="7">
        <v>45644</v>
      </c>
      <c r="F2735" t="s">
        <v>118</v>
      </c>
      <c r="G2735">
        <v>0</v>
      </c>
      <c r="H2735" t="s">
        <v>27</v>
      </c>
      <c r="I2735" t="s">
        <v>16</v>
      </c>
      <c r="J2735" t="s">
        <v>16</v>
      </c>
      <c r="K2735" t="str">
        <f>VLOOKUP(C2735,CheckName!A:B,2,0)</f>
        <v>CRC</v>
      </c>
      <c r="L2735">
        <v>0</v>
      </c>
      <c r="M2735">
        <f t="shared" si="395"/>
        <v>18</v>
      </c>
      <c r="N2735" t="str">
        <f>TEXT(MTDRejection[[#This Row],[RejectionDate]],"dddd")</f>
        <v>Wednesday</v>
      </c>
    </row>
    <row r="2736" spans="1:14">
      <c r="A2736" t="s">
        <v>1879</v>
      </c>
      <c r="B2736" t="s">
        <v>5075</v>
      </c>
      <c r="C2736" t="s">
        <v>1686</v>
      </c>
      <c r="D2736" t="s">
        <v>26</v>
      </c>
      <c r="E2736" s="7">
        <v>45644</v>
      </c>
      <c r="F2736" t="s">
        <v>118</v>
      </c>
      <c r="G2736">
        <v>0</v>
      </c>
      <c r="H2736" t="s">
        <v>27</v>
      </c>
      <c r="I2736" t="s">
        <v>16</v>
      </c>
      <c r="J2736" t="s">
        <v>16</v>
      </c>
      <c r="K2736" t="str">
        <f>VLOOKUP(C2736,CheckName!A:B,2,0)</f>
        <v>CRC</v>
      </c>
      <c r="L2736">
        <v>0</v>
      </c>
      <c r="M2736">
        <f t="shared" si="395"/>
        <v>18</v>
      </c>
      <c r="N2736" t="str">
        <f>TEXT(MTDRejection[[#This Row],[RejectionDate]],"dddd")</f>
        <v>Wednesday</v>
      </c>
    </row>
    <row r="2737" spans="1:14">
      <c r="A2737" t="s">
        <v>1879</v>
      </c>
      <c r="B2737" t="s">
        <v>5076</v>
      </c>
      <c r="C2737" t="s">
        <v>1686</v>
      </c>
      <c r="D2737" t="s">
        <v>26</v>
      </c>
      <c r="E2737" s="7">
        <v>45644</v>
      </c>
      <c r="F2737" t="s">
        <v>118</v>
      </c>
      <c r="G2737">
        <v>0</v>
      </c>
      <c r="H2737" t="s">
        <v>27</v>
      </c>
      <c r="I2737" t="s">
        <v>16</v>
      </c>
      <c r="J2737" t="s">
        <v>16</v>
      </c>
      <c r="K2737" t="str">
        <f>VLOOKUP(C2737,CheckName!A:B,2,0)</f>
        <v>CRC</v>
      </c>
      <c r="L2737">
        <v>0</v>
      </c>
      <c r="M2737">
        <f t="shared" si="395"/>
        <v>18</v>
      </c>
      <c r="N2737" t="str">
        <f>TEXT(MTDRejection[[#This Row],[RejectionDate]],"dddd")</f>
        <v>Wednesday</v>
      </c>
    </row>
    <row r="2738" spans="1:14">
      <c r="A2738" t="s">
        <v>1879</v>
      </c>
      <c r="B2738" t="s">
        <v>5077</v>
      </c>
      <c r="C2738" t="s">
        <v>1686</v>
      </c>
      <c r="D2738" t="s">
        <v>26</v>
      </c>
      <c r="E2738" s="7">
        <v>45644</v>
      </c>
      <c r="F2738" t="s">
        <v>118</v>
      </c>
      <c r="G2738">
        <v>0</v>
      </c>
      <c r="H2738" t="s">
        <v>27</v>
      </c>
      <c r="I2738" t="s">
        <v>16</v>
      </c>
      <c r="J2738" t="s">
        <v>16</v>
      </c>
      <c r="K2738" t="str">
        <f>VLOOKUP(C2738,CheckName!A:B,2,0)</f>
        <v>CRC</v>
      </c>
      <c r="L2738">
        <v>0</v>
      </c>
      <c r="M2738">
        <f t="shared" si="395"/>
        <v>18</v>
      </c>
      <c r="N2738" t="str">
        <f>TEXT(MTDRejection[[#This Row],[RejectionDate]],"dddd")</f>
        <v>Wednesday</v>
      </c>
    </row>
    <row r="2739" spans="1:14">
      <c r="A2739" t="s">
        <v>1879</v>
      </c>
      <c r="B2739" t="s">
        <v>5078</v>
      </c>
      <c r="C2739" t="s">
        <v>1686</v>
      </c>
      <c r="D2739" t="s">
        <v>26</v>
      </c>
      <c r="E2739" s="7">
        <v>45644</v>
      </c>
      <c r="F2739" t="s">
        <v>118</v>
      </c>
      <c r="G2739">
        <v>0</v>
      </c>
      <c r="H2739" t="s">
        <v>27</v>
      </c>
      <c r="I2739" t="s">
        <v>16</v>
      </c>
      <c r="J2739" t="s">
        <v>16</v>
      </c>
      <c r="K2739" t="str">
        <f>VLOOKUP(C2739,CheckName!A:B,2,0)</f>
        <v>CRC</v>
      </c>
      <c r="L2739">
        <v>0</v>
      </c>
      <c r="M2739">
        <f t="shared" si="395"/>
        <v>18</v>
      </c>
      <c r="N2739" t="str">
        <f>TEXT(MTDRejection[[#This Row],[RejectionDate]],"dddd")</f>
        <v>Wednesday</v>
      </c>
    </row>
    <row r="2740" spans="1:14">
      <c r="A2740" t="s">
        <v>1879</v>
      </c>
      <c r="B2740" t="s">
        <v>5079</v>
      </c>
      <c r="C2740" t="s">
        <v>1686</v>
      </c>
      <c r="D2740" t="s">
        <v>26</v>
      </c>
      <c r="E2740" s="7">
        <v>45644</v>
      </c>
      <c r="F2740" t="s">
        <v>118</v>
      </c>
      <c r="G2740">
        <v>0</v>
      </c>
      <c r="H2740" t="s">
        <v>27</v>
      </c>
      <c r="I2740" t="s">
        <v>16</v>
      </c>
      <c r="J2740" t="s">
        <v>16</v>
      </c>
      <c r="K2740" t="str">
        <f>VLOOKUP(C2740,CheckName!A:B,2,0)</f>
        <v>CRC</v>
      </c>
      <c r="L2740">
        <v>0</v>
      </c>
      <c r="M2740">
        <f t="shared" si="395"/>
        <v>18</v>
      </c>
      <c r="N2740" t="str">
        <f>TEXT(MTDRejection[[#This Row],[RejectionDate]],"dddd")</f>
        <v>Wednesday</v>
      </c>
    </row>
    <row r="2741" spans="1:14">
      <c r="A2741" t="s">
        <v>1879</v>
      </c>
      <c r="B2741" t="s">
        <v>2659</v>
      </c>
      <c r="C2741" t="s">
        <v>1686</v>
      </c>
      <c r="D2741" t="s">
        <v>26</v>
      </c>
      <c r="E2741" s="7">
        <v>45644</v>
      </c>
      <c r="F2741" t="s">
        <v>118</v>
      </c>
      <c r="G2741">
        <v>0</v>
      </c>
      <c r="H2741" t="s">
        <v>27</v>
      </c>
      <c r="I2741" t="s">
        <v>16</v>
      </c>
      <c r="J2741" t="s">
        <v>16</v>
      </c>
      <c r="K2741" t="str">
        <f>VLOOKUP(C2741,CheckName!A:B,2,0)</f>
        <v>CRC</v>
      </c>
      <c r="L2741">
        <v>0</v>
      </c>
      <c r="M2741">
        <f t="shared" si="395"/>
        <v>18</v>
      </c>
      <c r="N2741" t="str">
        <f>TEXT(MTDRejection[[#This Row],[RejectionDate]],"dddd")</f>
        <v>Wednesday</v>
      </c>
    </row>
    <row r="2742" spans="1:14">
      <c r="A2742" t="s">
        <v>1879</v>
      </c>
      <c r="B2742" t="s">
        <v>4981</v>
      </c>
      <c r="C2742" t="s">
        <v>1686</v>
      </c>
      <c r="D2742" t="s">
        <v>26</v>
      </c>
      <c r="E2742" s="7">
        <v>45644</v>
      </c>
      <c r="F2742" t="s">
        <v>118</v>
      </c>
      <c r="G2742">
        <v>0</v>
      </c>
      <c r="H2742" t="s">
        <v>27</v>
      </c>
      <c r="I2742" t="s">
        <v>16</v>
      </c>
      <c r="J2742" t="s">
        <v>16</v>
      </c>
      <c r="K2742" t="str">
        <f>VLOOKUP(C2742,CheckName!A:B,2,0)</f>
        <v>CRC</v>
      </c>
      <c r="L2742">
        <v>0</v>
      </c>
      <c r="M2742">
        <f t="shared" si="395"/>
        <v>18</v>
      </c>
      <c r="N2742" t="str">
        <f>TEXT(MTDRejection[[#This Row],[RejectionDate]],"dddd")</f>
        <v>Wednesday</v>
      </c>
    </row>
    <row r="2743" spans="1:14">
      <c r="A2743" t="s">
        <v>1879</v>
      </c>
      <c r="B2743" t="s">
        <v>5080</v>
      </c>
      <c r="C2743" t="s">
        <v>1686</v>
      </c>
      <c r="D2743" t="s">
        <v>26</v>
      </c>
      <c r="E2743" s="7">
        <v>45644</v>
      </c>
      <c r="F2743" t="s">
        <v>118</v>
      </c>
      <c r="G2743">
        <v>0</v>
      </c>
      <c r="H2743" t="s">
        <v>27</v>
      </c>
      <c r="I2743" t="s">
        <v>16</v>
      </c>
      <c r="J2743" t="s">
        <v>16</v>
      </c>
      <c r="K2743" t="str">
        <f>VLOOKUP(C2743,CheckName!A:B,2,0)</f>
        <v>CRC</v>
      </c>
      <c r="L2743">
        <v>0</v>
      </c>
      <c r="M2743">
        <f t="shared" si="395"/>
        <v>18</v>
      </c>
      <c r="N2743" t="str">
        <f>TEXT(MTDRejection[[#This Row],[RejectionDate]],"dddd")</f>
        <v>Wednesday</v>
      </c>
    </row>
    <row r="2744" spans="1:14">
      <c r="A2744" t="s">
        <v>1879</v>
      </c>
      <c r="B2744" t="s">
        <v>5081</v>
      </c>
      <c r="C2744" t="s">
        <v>1686</v>
      </c>
      <c r="D2744" t="s">
        <v>26</v>
      </c>
      <c r="E2744" s="7">
        <v>45644</v>
      </c>
      <c r="F2744" t="s">
        <v>118</v>
      </c>
      <c r="G2744">
        <v>0</v>
      </c>
      <c r="H2744" t="s">
        <v>27</v>
      </c>
      <c r="I2744" t="s">
        <v>16</v>
      </c>
      <c r="J2744" t="s">
        <v>16</v>
      </c>
      <c r="K2744" t="str">
        <f>VLOOKUP(C2744,CheckName!A:B,2,0)</f>
        <v>CRC</v>
      </c>
      <c r="L2744">
        <v>0</v>
      </c>
      <c r="M2744">
        <f t="shared" si="395"/>
        <v>18</v>
      </c>
      <c r="N2744" t="str">
        <f>TEXT(MTDRejection[[#This Row],[RejectionDate]],"dddd")</f>
        <v>Wednesday</v>
      </c>
    </row>
    <row r="2745" spans="1:14">
      <c r="A2745" t="s">
        <v>1879</v>
      </c>
      <c r="B2745" t="s">
        <v>5082</v>
      </c>
      <c r="C2745" t="s">
        <v>1686</v>
      </c>
      <c r="D2745" t="s">
        <v>26</v>
      </c>
      <c r="E2745" s="7">
        <v>45644</v>
      </c>
      <c r="F2745" t="s">
        <v>118</v>
      </c>
      <c r="G2745">
        <v>0</v>
      </c>
      <c r="H2745" t="s">
        <v>27</v>
      </c>
      <c r="I2745" t="s">
        <v>16</v>
      </c>
      <c r="J2745" t="s">
        <v>16</v>
      </c>
      <c r="K2745" t="str">
        <f>VLOOKUP(C2745,CheckName!A:B,2,0)</f>
        <v>CRC</v>
      </c>
      <c r="L2745">
        <v>0</v>
      </c>
      <c r="M2745">
        <f t="shared" ref="M2745:M2808" si="396">DAY(E2745)</f>
        <v>18</v>
      </c>
      <c r="N2745" t="str">
        <f>TEXT(MTDRejection[[#This Row],[RejectionDate]],"dddd")</f>
        <v>Wednesday</v>
      </c>
    </row>
    <row r="2746" spans="1:14">
      <c r="A2746" t="s">
        <v>1879</v>
      </c>
      <c r="B2746" t="s">
        <v>5083</v>
      </c>
      <c r="C2746" t="s">
        <v>1686</v>
      </c>
      <c r="D2746" t="s">
        <v>26</v>
      </c>
      <c r="E2746" s="7">
        <v>45644</v>
      </c>
      <c r="F2746" t="s">
        <v>118</v>
      </c>
      <c r="G2746">
        <v>0</v>
      </c>
      <c r="H2746" t="s">
        <v>27</v>
      </c>
      <c r="I2746" t="s">
        <v>16</v>
      </c>
      <c r="J2746" t="s">
        <v>16</v>
      </c>
      <c r="K2746" t="str">
        <f>VLOOKUP(C2746,CheckName!A:B,2,0)</f>
        <v>CRC</v>
      </c>
      <c r="L2746">
        <v>0</v>
      </c>
      <c r="M2746">
        <f t="shared" si="396"/>
        <v>18</v>
      </c>
      <c r="N2746" t="str">
        <f>TEXT(MTDRejection[[#This Row],[RejectionDate]],"dddd")</f>
        <v>Wednesday</v>
      </c>
    </row>
    <row r="2747" spans="1:14">
      <c r="A2747" t="s">
        <v>1879</v>
      </c>
      <c r="B2747" t="s">
        <v>5084</v>
      </c>
      <c r="C2747" t="s">
        <v>1686</v>
      </c>
      <c r="D2747" t="s">
        <v>26</v>
      </c>
      <c r="E2747" s="7">
        <v>45644</v>
      </c>
      <c r="F2747" t="s">
        <v>118</v>
      </c>
      <c r="G2747">
        <v>0</v>
      </c>
      <c r="H2747" t="s">
        <v>27</v>
      </c>
      <c r="I2747" t="s">
        <v>16</v>
      </c>
      <c r="J2747" t="s">
        <v>16</v>
      </c>
      <c r="K2747" t="str">
        <f>VLOOKUP(C2747,CheckName!A:B,2,0)</f>
        <v>CRC</v>
      </c>
      <c r="L2747">
        <v>0</v>
      </c>
      <c r="M2747">
        <f t="shared" si="396"/>
        <v>18</v>
      </c>
      <c r="N2747" t="str">
        <f>TEXT(MTDRejection[[#This Row],[RejectionDate]],"dddd")</f>
        <v>Wednesday</v>
      </c>
    </row>
    <row r="2748" spans="1:14">
      <c r="A2748" t="s">
        <v>1879</v>
      </c>
      <c r="B2748" t="s">
        <v>5085</v>
      </c>
      <c r="C2748" t="s">
        <v>1686</v>
      </c>
      <c r="D2748" t="s">
        <v>26</v>
      </c>
      <c r="E2748" s="7">
        <v>45644</v>
      </c>
      <c r="F2748" t="s">
        <v>118</v>
      </c>
      <c r="G2748">
        <v>0</v>
      </c>
      <c r="H2748" t="s">
        <v>27</v>
      </c>
      <c r="I2748" t="s">
        <v>16</v>
      </c>
      <c r="J2748" t="s">
        <v>16</v>
      </c>
      <c r="K2748" t="str">
        <f>VLOOKUP(C2748,CheckName!A:B,2,0)</f>
        <v>CRC</v>
      </c>
      <c r="L2748">
        <v>0</v>
      </c>
      <c r="M2748">
        <f t="shared" si="396"/>
        <v>18</v>
      </c>
      <c r="N2748" t="str">
        <f>TEXT(MTDRejection[[#This Row],[RejectionDate]],"dddd")</f>
        <v>Wednesday</v>
      </c>
    </row>
    <row r="2749" spans="1:14">
      <c r="A2749" t="s">
        <v>1879</v>
      </c>
      <c r="B2749" t="s">
        <v>2633</v>
      </c>
      <c r="C2749" t="s">
        <v>1686</v>
      </c>
      <c r="D2749" t="s">
        <v>26</v>
      </c>
      <c r="E2749" s="7">
        <v>45644</v>
      </c>
      <c r="F2749" t="s">
        <v>118</v>
      </c>
      <c r="G2749">
        <v>0</v>
      </c>
      <c r="H2749" t="s">
        <v>27</v>
      </c>
      <c r="I2749" t="s">
        <v>16</v>
      </c>
      <c r="J2749" t="s">
        <v>16</v>
      </c>
      <c r="K2749" t="str">
        <f>VLOOKUP(C2749,CheckName!A:B,2,0)</f>
        <v>CRC</v>
      </c>
      <c r="L2749">
        <v>0</v>
      </c>
      <c r="M2749">
        <f t="shared" si="396"/>
        <v>18</v>
      </c>
      <c r="N2749" t="str">
        <f>TEXT(MTDRejection[[#This Row],[RejectionDate]],"dddd")</f>
        <v>Wednesday</v>
      </c>
    </row>
    <row r="2750" spans="1:14">
      <c r="A2750" t="s">
        <v>1879</v>
      </c>
      <c r="B2750" t="s">
        <v>5086</v>
      </c>
      <c r="C2750" t="s">
        <v>1686</v>
      </c>
      <c r="D2750" t="s">
        <v>26</v>
      </c>
      <c r="E2750" s="7">
        <v>45644</v>
      </c>
      <c r="F2750" t="s">
        <v>118</v>
      </c>
      <c r="G2750">
        <v>0</v>
      </c>
      <c r="H2750" t="s">
        <v>27</v>
      </c>
      <c r="I2750" t="s">
        <v>16</v>
      </c>
      <c r="J2750" t="s">
        <v>16</v>
      </c>
      <c r="K2750" t="str">
        <f>VLOOKUP(C2750,CheckName!A:B,2,0)</f>
        <v>CRC</v>
      </c>
      <c r="L2750">
        <v>0</v>
      </c>
      <c r="M2750">
        <f t="shared" si="396"/>
        <v>18</v>
      </c>
      <c r="N2750" t="str">
        <f>TEXT(MTDRejection[[#This Row],[RejectionDate]],"dddd")</f>
        <v>Wednesday</v>
      </c>
    </row>
    <row r="2751" spans="1:14">
      <c r="A2751" t="s">
        <v>1879</v>
      </c>
      <c r="B2751" t="s">
        <v>1999</v>
      </c>
      <c r="C2751" t="s">
        <v>1686</v>
      </c>
      <c r="D2751" t="s">
        <v>26</v>
      </c>
      <c r="E2751" s="7">
        <v>45644</v>
      </c>
      <c r="F2751" t="s">
        <v>118</v>
      </c>
      <c r="G2751">
        <v>0</v>
      </c>
      <c r="H2751" t="s">
        <v>27</v>
      </c>
      <c r="I2751" t="s">
        <v>16</v>
      </c>
      <c r="J2751" t="s">
        <v>16</v>
      </c>
      <c r="K2751" t="str">
        <f>VLOOKUP(C2751,CheckName!A:B,2,0)</f>
        <v>CRC</v>
      </c>
      <c r="L2751">
        <v>0</v>
      </c>
      <c r="M2751">
        <f t="shared" si="396"/>
        <v>18</v>
      </c>
      <c r="N2751" t="str">
        <f>TEXT(MTDRejection[[#This Row],[RejectionDate]],"dddd")</f>
        <v>Wednesday</v>
      </c>
    </row>
    <row r="2752" spans="1:14">
      <c r="A2752" t="s">
        <v>1879</v>
      </c>
      <c r="B2752" t="s">
        <v>5024</v>
      </c>
      <c r="C2752" t="s">
        <v>1686</v>
      </c>
      <c r="D2752" t="s">
        <v>26</v>
      </c>
      <c r="E2752" s="7">
        <v>45644</v>
      </c>
      <c r="F2752" t="s">
        <v>118</v>
      </c>
      <c r="G2752">
        <v>0</v>
      </c>
      <c r="H2752" t="s">
        <v>27</v>
      </c>
      <c r="I2752" t="s">
        <v>16</v>
      </c>
      <c r="J2752" t="s">
        <v>16</v>
      </c>
      <c r="K2752" t="str">
        <f>VLOOKUP(C2752,CheckName!A:B,2,0)</f>
        <v>CRC</v>
      </c>
      <c r="L2752">
        <v>0</v>
      </c>
      <c r="M2752">
        <f t="shared" si="396"/>
        <v>18</v>
      </c>
      <c r="N2752" t="str">
        <f>TEXT(MTDRejection[[#This Row],[RejectionDate]],"dddd")</f>
        <v>Wednesday</v>
      </c>
    </row>
    <row r="2753" spans="1:14">
      <c r="A2753" t="s">
        <v>1879</v>
      </c>
      <c r="B2753" t="s">
        <v>5087</v>
      </c>
      <c r="C2753" t="s">
        <v>1686</v>
      </c>
      <c r="D2753" t="s">
        <v>26</v>
      </c>
      <c r="E2753" s="7">
        <v>45644</v>
      </c>
      <c r="F2753" t="s">
        <v>118</v>
      </c>
      <c r="G2753">
        <v>0</v>
      </c>
      <c r="H2753" t="s">
        <v>27</v>
      </c>
      <c r="I2753" t="s">
        <v>16</v>
      </c>
      <c r="J2753" t="s">
        <v>16</v>
      </c>
      <c r="K2753" t="str">
        <f>VLOOKUP(C2753,CheckName!A:B,2,0)</f>
        <v>CRC</v>
      </c>
      <c r="L2753">
        <v>0</v>
      </c>
      <c r="M2753">
        <f t="shared" si="396"/>
        <v>18</v>
      </c>
      <c r="N2753" t="str">
        <f>TEXT(MTDRejection[[#This Row],[RejectionDate]],"dddd")</f>
        <v>Wednesday</v>
      </c>
    </row>
    <row r="2754" spans="1:14">
      <c r="A2754" t="s">
        <v>1879</v>
      </c>
      <c r="B2754" t="s">
        <v>5088</v>
      </c>
      <c r="C2754" t="s">
        <v>1686</v>
      </c>
      <c r="D2754" t="s">
        <v>26</v>
      </c>
      <c r="E2754" s="7">
        <v>45644</v>
      </c>
      <c r="F2754" t="s">
        <v>118</v>
      </c>
      <c r="G2754">
        <v>0</v>
      </c>
      <c r="H2754" t="s">
        <v>27</v>
      </c>
      <c r="I2754" t="s">
        <v>16</v>
      </c>
      <c r="J2754" t="s">
        <v>16</v>
      </c>
      <c r="K2754" t="str">
        <f>VLOOKUP(C2754,CheckName!A:B,2,0)</f>
        <v>CRC</v>
      </c>
      <c r="L2754">
        <v>0</v>
      </c>
      <c r="M2754">
        <f t="shared" si="396"/>
        <v>18</v>
      </c>
      <c r="N2754" t="str">
        <f>TEXT(MTDRejection[[#This Row],[RejectionDate]],"dddd")</f>
        <v>Wednesday</v>
      </c>
    </row>
    <row r="2755" spans="1:14">
      <c r="A2755" t="s">
        <v>1879</v>
      </c>
      <c r="B2755" t="s">
        <v>5089</v>
      </c>
      <c r="C2755" t="s">
        <v>1686</v>
      </c>
      <c r="D2755" t="s">
        <v>26</v>
      </c>
      <c r="E2755" s="7">
        <v>45644</v>
      </c>
      <c r="F2755" t="s">
        <v>118</v>
      </c>
      <c r="G2755">
        <v>0</v>
      </c>
      <c r="H2755" t="s">
        <v>27</v>
      </c>
      <c r="I2755" t="s">
        <v>16</v>
      </c>
      <c r="J2755" t="s">
        <v>16</v>
      </c>
      <c r="K2755" t="str">
        <f>VLOOKUP(C2755,CheckName!A:B,2,0)</f>
        <v>CRC</v>
      </c>
      <c r="L2755">
        <v>0</v>
      </c>
      <c r="M2755">
        <f t="shared" si="396"/>
        <v>18</v>
      </c>
      <c r="N2755" t="str">
        <f>TEXT(MTDRejection[[#This Row],[RejectionDate]],"dddd")</f>
        <v>Wednesday</v>
      </c>
    </row>
    <row r="2756" spans="1:14">
      <c r="A2756" t="s">
        <v>1879</v>
      </c>
      <c r="B2756" t="s">
        <v>2637</v>
      </c>
      <c r="C2756" t="s">
        <v>1686</v>
      </c>
      <c r="D2756" t="s">
        <v>26</v>
      </c>
      <c r="E2756" s="7">
        <v>45644</v>
      </c>
      <c r="F2756" t="s">
        <v>118</v>
      </c>
      <c r="G2756">
        <v>0</v>
      </c>
      <c r="H2756" t="s">
        <v>27</v>
      </c>
      <c r="I2756" t="s">
        <v>16</v>
      </c>
      <c r="J2756" t="s">
        <v>16</v>
      </c>
      <c r="K2756" t="str">
        <f>VLOOKUP(C2756,CheckName!A:B,2,0)</f>
        <v>CRC</v>
      </c>
      <c r="L2756">
        <v>0</v>
      </c>
      <c r="M2756">
        <f t="shared" si="396"/>
        <v>18</v>
      </c>
      <c r="N2756" t="str">
        <f>TEXT(MTDRejection[[#This Row],[RejectionDate]],"dddd")</f>
        <v>Wednesday</v>
      </c>
    </row>
    <row r="2757" spans="1:14">
      <c r="A2757" t="s">
        <v>1879</v>
      </c>
      <c r="B2757" t="s">
        <v>1975</v>
      </c>
      <c r="C2757" t="s">
        <v>1686</v>
      </c>
      <c r="D2757" t="s">
        <v>26</v>
      </c>
      <c r="E2757" s="7">
        <v>45644</v>
      </c>
      <c r="F2757" t="s">
        <v>118</v>
      </c>
      <c r="G2757">
        <v>0</v>
      </c>
      <c r="H2757" t="s">
        <v>27</v>
      </c>
      <c r="I2757" t="s">
        <v>16</v>
      </c>
      <c r="J2757" t="s">
        <v>16</v>
      </c>
      <c r="K2757" t="str">
        <f>VLOOKUP(C2757,CheckName!A:B,2,0)</f>
        <v>CRC</v>
      </c>
      <c r="L2757">
        <v>0</v>
      </c>
      <c r="M2757">
        <f t="shared" si="396"/>
        <v>18</v>
      </c>
      <c r="N2757" t="str">
        <f>TEXT(MTDRejection[[#This Row],[RejectionDate]],"dddd")</f>
        <v>Wednesday</v>
      </c>
    </row>
    <row r="2758" spans="1:14">
      <c r="A2758" t="s">
        <v>1879</v>
      </c>
      <c r="B2758" t="s">
        <v>5090</v>
      </c>
      <c r="C2758" t="s">
        <v>1686</v>
      </c>
      <c r="D2758" t="s">
        <v>26</v>
      </c>
      <c r="E2758" s="7">
        <v>45644</v>
      </c>
      <c r="F2758" t="s">
        <v>118</v>
      </c>
      <c r="G2758">
        <v>0</v>
      </c>
      <c r="H2758" t="s">
        <v>27</v>
      </c>
      <c r="I2758" t="s">
        <v>16</v>
      </c>
      <c r="J2758" t="s">
        <v>16</v>
      </c>
      <c r="K2758" t="str">
        <f>VLOOKUP(C2758,CheckName!A:B,2,0)</f>
        <v>CRC</v>
      </c>
      <c r="L2758">
        <v>0</v>
      </c>
      <c r="M2758">
        <f t="shared" si="396"/>
        <v>18</v>
      </c>
      <c r="N2758" t="str">
        <f>TEXT(MTDRejection[[#This Row],[RejectionDate]],"dddd")</f>
        <v>Wednesday</v>
      </c>
    </row>
    <row r="2759" spans="1:14">
      <c r="A2759" t="s">
        <v>1879</v>
      </c>
      <c r="B2759" t="s">
        <v>5091</v>
      </c>
      <c r="C2759" t="s">
        <v>1686</v>
      </c>
      <c r="D2759" t="s">
        <v>26</v>
      </c>
      <c r="E2759" s="7">
        <v>45644</v>
      </c>
      <c r="F2759" t="s">
        <v>118</v>
      </c>
      <c r="G2759">
        <v>0</v>
      </c>
      <c r="H2759" t="s">
        <v>27</v>
      </c>
      <c r="I2759" t="s">
        <v>16</v>
      </c>
      <c r="J2759" t="s">
        <v>16</v>
      </c>
      <c r="K2759" t="str">
        <f>VLOOKUP(C2759,CheckName!A:B,2,0)</f>
        <v>CRC</v>
      </c>
      <c r="L2759">
        <v>0</v>
      </c>
      <c r="M2759">
        <f t="shared" si="396"/>
        <v>18</v>
      </c>
      <c r="N2759" t="str">
        <f>TEXT(MTDRejection[[#This Row],[RejectionDate]],"dddd")</f>
        <v>Wednesday</v>
      </c>
    </row>
    <row r="2760" spans="1:14">
      <c r="A2760" t="s">
        <v>1879</v>
      </c>
      <c r="B2760" t="s">
        <v>5092</v>
      </c>
      <c r="C2760" t="s">
        <v>1686</v>
      </c>
      <c r="D2760" t="s">
        <v>26</v>
      </c>
      <c r="E2760" s="7">
        <v>45644</v>
      </c>
      <c r="F2760" t="s">
        <v>118</v>
      </c>
      <c r="G2760">
        <v>0</v>
      </c>
      <c r="H2760" t="s">
        <v>27</v>
      </c>
      <c r="I2760" t="s">
        <v>16</v>
      </c>
      <c r="J2760" t="s">
        <v>16</v>
      </c>
      <c r="K2760" t="str">
        <f>VLOOKUP(C2760,CheckName!A:B,2,0)</f>
        <v>CRC</v>
      </c>
      <c r="L2760">
        <v>0</v>
      </c>
      <c r="M2760">
        <f t="shared" si="396"/>
        <v>18</v>
      </c>
      <c r="N2760" t="str">
        <f>TEXT(MTDRejection[[#This Row],[RejectionDate]],"dddd")</f>
        <v>Wednesday</v>
      </c>
    </row>
    <row r="2761" spans="1:14">
      <c r="A2761" t="s">
        <v>1879</v>
      </c>
      <c r="B2761" t="s">
        <v>5093</v>
      </c>
      <c r="C2761" t="s">
        <v>1686</v>
      </c>
      <c r="D2761" t="s">
        <v>26</v>
      </c>
      <c r="E2761" s="7">
        <v>45644</v>
      </c>
      <c r="F2761" t="s">
        <v>118</v>
      </c>
      <c r="G2761">
        <v>0</v>
      </c>
      <c r="H2761" t="s">
        <v>27</v>
      </c>
      <c r="I2761" t="s">
        <v>16</v>
      </c>
      <c r="J2761" t="s">
        <v>16</v>
      </c>
      <c r="K2761" t="str">
        <f>VLOOKUP(C2761,CheckName!A:B,2,0)</f>
        <v>CRC</v>
      </c>
      <c r="L2761">
        <v>0</v>
      </c>
      <c r="M2761">
        <f t="shared" si="396"/>
        <v>18</v>
      </c>
      <c r="N2761" t="str">
        <f>TEXT(MTDRejection[[#This Row],[RejectionDate]],"dddd")</f>
        <v>Wednesday</v>
      </c>
    </row>
    <row r="2762" spans="1:14">
      <c r="A2762" t="s">
        <v>1879</v>
      </c>
      <c r="B2762" t="s">
        <v>5094</v>
      </c>
      <c r="C2762" t="s">
        <v>1686</v>
      </c>
      <c r="D2762" t="s">
        <v>26</v>
      </c>
      <c r="E2762" s="7">
        <v>45644</v>
      </c>
      <c r="F2762" t="s">
        <v>118</v>
      </c>
      <c r="G2762">
        <v>0</v>
      </c>
      <c r="H2762" t="s">
        <v>27</v>
      </c>
      <c r="I2762" t="s">
        <v>16</v>
      </c>
      <c r="J2762" t="s">
        <v>16</v>
      </c>
      <c r="K2762" t="str">
        <f>VLOOKUP(C2762,CheckName!A:B,2,0)</f>
        <v>CRC</v>
      </c>
      <c r="L2762">
        <v>0</v>
      </c>
      <c r="M2762">
        <f t="shared" si="396"/>
        <v>18</v>
      </c>
      <c r="N2762" t="str">
        <f>TEXT(MTDRejection[[#This Row],[RejectionDate]],"dddd")</f>
        <v>Wednesday</v>
      </c>
    </row>
    <row r="2763" spans="1:14">
      <c r="A2763" t="s">
        <v>1879</v>
      </c>
      <c r="B2763" t="s">
        <v>2662</v>
      </c>
      <c r="C2763" t="s">
        <v>1686</v>
      </c>
      <c r="D2763" t="s">
        <v>26</v>
      </c>
      <c r="E2763" s="7">
        <v>45644</v>
      </c>
      <c r="F2763" t="s">
        <v>118</v>
      </c>
      <c r="G2763">
        <v>0</v>
      </c>
      <c r="H2763" t="s">
        <v>27</v>
      </c>
      <c r="I2763" t="s">
        <v>16</v>
      </c>
      <c r="J2763" t="s">
        <v>16</v>
      </c>
      <c r="K2763" t="str">
        <f>VLOOKUP(C2763,CheckName!A:B,2,0)</f>
        <v>CRC</v>
      </c>
      <c r="L2763">
        <v>0</v>
      </c>
      <c r="M2763">
        <f t="shared" si="396"/>
        <v>18</v>
      </c>
      <c r="N2763" t="str">
        <f>TEXT(MTDRejection[[#This Row],[RejectionDate]],"dddd")</f>
        <v>Wednesday</v>
      </c>
    </row>
    <row r="2764" spans="1:14">
      <c r="A2764" t="s">
        <v>1879</v>
      </c>
      <c r="B2764" t="s">
        <v>5095</v>
      </c>
      <c r="C2764" t="s">
        <v>1686</v>
      </c>
      <c r="D2764" t="s">
        <v>26</v>
      </c>
      <c r="E2764" s="7">
        <v>45644</v>
      </c>
      <c r="F2764" t="s">
        <v>118</v>
      </c>
      <c r="G2764">
        <v>0</v>
      </c>
      <c r="H2764" t="s">
        <v>27</v>
      </c>
      <c r="I2764" t="s">
        <v>16</v>
      </c>
      <c r="J2764" t="s">
        <v>16</v>
      </c>
      <c r="K2764" t="str">
        <f>VLOOKUP(C2764,CheckName!A:B,2,0)</f>
        <v>CRC</v>
      </c>
      <c r="L2764">
        <v>0</v>
      </c>
      <c r="M2764">
        <f t="shared" si="396"/>
        <v>18</v>
      </c>
      <c r="N2764" t="str">
        <f>TEXT(MTDRejection[[#This Row],[RejectionDate]],"dddd")</f>
        <v>Wednesday</v>
      </c>
    </row>
    <row r="2765" spans="1:14">
      <c r="A2765" t="s">
        <v>1879</v>
      </c>
      <c r="B2765" t="s">
        <v>1986</v>
      </c>
      <c r="C2765" t="s">
        <v>1686</v>
      </c>
      <c r="D2765" t="s">
        <v>26</v>
      </c>
      <c r="E2765" s="7">
        <v>45644</v>
      </c>
      <c r="F2765" t="s">
        <v>118</v>
      </c>
      <c r="G2765">
        <v>0</v>
      </c>
      <c r="H2765" t="s">
        <v>27</v>
      </c>
      <c r="I2765" t="s">
        <v>16</v>
      </c>
      <c r="J2765" t="s">
        <v>16</v>
      </c>
      <c r="K2765" t="str">
        <f>VLOOKUP(C2765,CheckName!A:B,2,0)</f>
        <v>CRC</v>
      </c>
      <c r="L2765">
        <v>0</v>
      </c>
      <c r="M2765">
        <f t="shared" si="396"/>
        <v>18</v>
      </c>
      <c r="N2765" t="str">
        <f>TEXT(MTDRejection[[#This Row],[RejectionDate]],"dddd")</f>
        <v>Wednesday</v>
      </c>
    </row>
    <row r="2766" spans="1:14">
      <c r="A2766" t="s">
        <v>1879</v>
      </c>
      <c r="B2766" t="s">
        <v>2655</v>
      </c>
      <c r="C2766" t="s">
        <v>1686</v>
      </c>
      <c r="D2766" t="s">
        <v>26</v>
      </c>
      <c r="E2766" s="7">
        <v>45644</v>
      </c>
      <c r="F2766" t="s">
        <v>118</v>
      </c>
      <c r="G2766">
        <v>0</v>
      </c>
      <c r="H2766" t="s">
        <v>27</v>
      </c>
      <c r="I2766" t="s">
        <v>16</v>
      </c>
      <c r="J2766" t="s">
        <v>16</v>
      </c>
      <c r="K2766" t="str">
        <f>VLOOKUP(C2766,CheckName!A:B,2,0)</f>
        <v>CRC</v>
      </c>
      <c r="L2766">
        <v>0</v>
      </c>
      <c r="M2766">
        <f t="shared" si="396"/>
        <v>18</v>
      </c>
      <c r="N2766" t="str">
        <f>TEXT(MTDRejection[[#This Row],[RejectionDate]],"dddd")</f>
        <v>Wednesday</v>
      </c>
    </row>
    <row r="2767" spans="1:14">
      <c r="A2767" t="s">
        <v>1879</v>
      </c>
      <c r="B2767" t="s">
        <v>5096</v>
      </c>
      <c r="C2767" t="s">
        <v>1686</v>
      </c>
      <c r="D2767" t="s">
        <v>26</v>
      </c>
      <c r="E2767" s="7">
        <v>45644</v>
      </c>
      <c r="F2767" t="s">
        <v>118</v>
      </c>
      <c r="G2767">
        <v>0</v>
      </c>
      <c r="H2767" t="s">
        <v>27</v>
      </c>
      <c r="I2767" t="s">
        <v>16</v>
      </c>
      <c r="J2767" t="s">
        <v>16</v>
      </c>
      <c r="K2767" t="str">
        <f>VLOOKUP(C2767,CheckName!A:B,2,0)</f>
        <v>CRC</v>
      </c>
      <c r="L2767">
        <v>0</v>
      </c>
      <c r="M2767">
        <f t="shared" si="396"/>
        <v>18</v>
      </c>
      <c r="N2767" t="str">
        <f>TEXT(MTDRejection[[#This Row],[RejectionDate]],"dddd")</f>
        <v>Wednesday</v>
      </c>
    </row>
    <row r="2768" spans="1:14">
      <c r="A2768" t="s">
        <v>1879</v>
      </c>
      <c r="B2768" t="s">
        <v>2638</v>
      </c>
      <c r="C2768" t="s">
        <v>1686</v>
      </c>
      <c r="D2768" t="s">
        <v>26</v>
      </c>
      <c r="E2768" s="7">
        <v>45644</v>
      </c>
      <c r="F2768" t="s">
        <v>118</v>
      </c>
      <c r="G2768">
        <v>0</v>
      </c>
      <c r="H2768" t="s">
        <v>27</v>
      </c>
      <c r="I2768" t="s">
        <v>16</v>
      </c>
      <c r="J2768" t="s">
        <v>16</v>
      </c>
      <c r="K2768" t="str">
        <f>VLOOKUP(C2768,CheckName!A:B,2,0)</f>
        <v>CRC</v>
      </c>
      <c r="L2768">
        <v>0</v>
      </c>
      <c r="M2768">
        <f t="shared" si="396"/>
        <v>18</v>
      </c>
      <c r="N2768" t="str">
        <f>TEXT(MTDRejection[[#This Row],[RejectionDate]],"dddd")</f>
        <v>Wednesday</v>
      </c>
    </row>
    <row r="2769" spans="1:14">
      <c r="A2769" t="s">
        <v>1879</v>
      </c>
      <c r="B2769" t="s">
        <v>5097</v>
      </c>
      <c r="C2769" t="s">
        <v>1686</v>
      </c>
      <c r="D2769" t="s">
        <v>26</v>
      </c>
      <c r="E2769" s="7">
        <v>45644</v>
      </c>
      <c r="F2769" t="s">
        <v>118</v>
      </c>
      <c r="G2769">
        <v>0</v>
      </c>
      <c r="H2769" t="s">
        <v>27</v>
      </c>
      <c r="I2769" t="s">
        <v>16</v>
      </c>
      <c r="J2769" t="s">
        <v>16</v>
      </c>
      <c r="K2769" t="str">
        <f>VLOOKUP(C2769,CheckName!A:B,2,0)</f>
        <v>CRC</v>
      </c>
      <c r="L2769">
        <v>0</v>
      </c>
      <c r="M2769">
        <f t="shared" si="396"/>
        <v>18</v>
      </c>
      <c r="N2769" t="str">
        <f>TEXT(MTDRejection[[#This Row],[RejectionDate]],"dddd")</f>
        <v>Wednesday</v>
      </c>
    </row>
    <row r="2770" spans="1:14">
      <c r="A2770" t="s">
        <v>1879</v>
      </c>
      <c r="B2770" t="s">
        <v>5098</v>
      </c>
      <c r="C2770" t="s">
        <v>1686</v>
      </c>
      <c r="D2770" t="s">
        <v>26</v>
      </c>
      <c r="E2770" s="7">
        <v>45644</v>
      </c>
      <c r="F2770" t="s">
        <v>118</v>
      </c>
      <c r="G2770">
        <v>0</v>
      </c>
      <c r="H2770" t="s">
        <v>27</v>
      </c>
      <c r="I2770" t="s">
        <v>16</v>
      </c>
      <c r="J2770" t="s">
        <v>16</v>
      </c>
      <c r="K2770" t="str">
        <f>VLOOKUP(C2770,CheckName!A:B,2,0)</f>
        <v>CRC</v>
      </c>
      <c r="L2770">
        <v>0</v>
      </c>
      <c r="M2770">
        <f t="shared" si="396"/>
        <v>18</v>
      </c>
      <c r="N2770" t="str">
        <f>TEXT(MTDRejection[[#This Row],[RejectionDate]],"dddd")</f>
        <v>Wednesday</v>
      </c>
    </row>
    <row r="2771" spans="1:14">
      <c r="A2771" t="s">
        <v>1879</v>
      </c>
      <c r="B2771" t="s">
        <v>2009</v>
      </c>
      <c r="C2771" t="s">
        <v>1686</v>
      </c>
      <c r="D2771" t="s">
        <v>26</v>
      </c>
      <c r="E2771" s="7">
        <v>45644</v>
      </c>
      <c r="F2771" t="s">
        <v>118</v>
      </c>
      <c r="G2771">
        <v>0</v>
      </c>
      <c r="H2771" t="s">
        <v>27</v>
      </c>
      <c r="I2771" t="s">
        <v>16</v>
      </c>
      <c r="J2771" t="s">
        <v>16</v>
      </c>
      <c r="K2771" t="str">
        <f>VLOOKUP(C2771,CheckName!A:B,2,0)</f>
        <v>CRC</v>
      </c>
      <c r="L2771">
        <v>0</v>
      </c>
      <c r="M2771">
        <f t="shared" si="396"/>
        <v>18</v>
      </c>
      <c r="N2771" t="str">
        <f>TEXT(MTDRejection[[#This Row],[RejectionDate]],"dddd")</f>
        <v>Wednesday</v>
      </c>
    </row>
    <row r="2772" spans="1:14">
      <c r="A2772" t="s">
        <v>1879</v>
      </c>
      <c r="B2772" t="s">
        <v>1996</v>
      </c>
      <c r="C2772" t="s">
        <v>1686</v>
      </c>
      <c r="D2772" t="s">
        <v>26</v>
      </c>
      <c r="E2772" s="7">
        <v>45644</v>
      </c>
      <c r="F2772" t="s">
        <v>118</v>
      </c>
      <c r="G2772">
        <v>0</v>
      </c>
      <c r="H2772" t="s">
        <v>27</v>
      </c>
      <c r="I2772" t="s">
        <v>16</v>
      </c>
      <c r="J2772" t="s">
        <v>16</v>
      </c>
      <c r="K2772" t="str">
        <f>VLOOKUP(C2772,CheckName!A:B,2,0)</f>
        <v>CRC</v>
      </c>
      <c r="L2772">
        <v>0</v>
      </c>
      <c r="M2772">
        <f t="shared" si="396"/>
        <v>18</v>
      </c>
      <c r="N2772" t="str">
        <f>TEXT(MTDRejection[[#This Row],[RejectionDate]],"dddd")</f>
        <v>Wednesday</v>
      </c>
    </row>
    <row r="2773" spans="1:14">
      <c r="A2773" t="s">
        <v>1879</v>
      </c>
      <c r="B2773" t="s">
        <v>5099</v>
      </c>
      <c r="C2773" t="s">
        <v>1686</v>
      </c>
      <c r="D2773" t="s">
        <v>26</v>
      </c>
      <c r="E2773" s="7">
        <v>45644</v>
      </c>
      <c r="F2773" t="s">
        <v>118</v>
      </c>
      <c r="G2773">
        <v>0</v>
      </c>
      <c r="H2773" t="s">
        <v>27</v>
      </c>
      <c r="I2773" t="s">
        <v>16</v>
      </c>
      <c r="J2773" t="s">
        <v>16</v>
      </c>
      <c r="K2773" t="str">
        <f>VLOOKUP(C2773,CheckName!A:B,2,0)</f>
        <v>CRC</v>
      </c>
      <c r="L2773">
        <v>0</v>
      </c>
      <c r="M2773">
        <f t="shared" si="396"/>
        <v>18</v>
      </c>
      <c r="N2773" t="str">
        <f>TEXT(MTDRejection[[#This Row],[RejectionDate]],"dddd")</f>
        <v>Wednesday</v>
      </c>
    </row>
    <row r="2774" spans="1:14">
      <c r="A2774" t="s">
        <v>1879</v>
      </c>
      <c r="B2774" t="s">
        <v>5100</v>
      </c>
      <c r="C2774" t="s">
        <v>1686</v>
      </c>
      <c r="D2774" t="s">
        <v>26</v>
      </c>
      <c r="E2774" s="7">
        <v>45644</v>
      </c>
      <c r="F2774" t="s">
        <v>118</v>
      </c>
      <c r="G2774">
        <v>0</v>
      </c>
      <c r="H2774" t="s">
        <v>27</v>
      </c>
      <c r="I2774" t="s">
        <v>16</v>
      </c>
      <c r="J2774" t="s">
        <v>16</v>
      </c>
      <c r="K2774" t="str">
        <f>VLOOKUP(C2774,CheckName!A:B,2,0)</f>
        <v>CRC</v>
      </c>
      <c r="L2774">
        <v>0</v>
      </c>
      <c r="M2774">
        <f t="shared" si="396"/>
        <v>18</v>
      </c>
      <c r="N2774" t="str">
        <f>TEXT(MTDRejection[[#This Row],[RejectionDate]],"dddd")</f>
        <v>Wednesday</v>
      </c>
    </row>
    <row r="2775" spans="1:14">
      <c r="A2775" t="s">
        <v>1879</v>
      </c>
      <c r="B2775" t="s">
        <v>2018</v>
      </c>
      <c r="C2775" t="s">
        <v>1686</v>
      </c>
      <c r="D2775" t="s">
        <v>26</v>
      </c>
      <c r="E2775" s="7">
        <v>45644</v>
      </c>
      <c r="F2775" t="s">
        <v>118</v>
      </c>
      <c r="G2775">
        <v>0</v>
      </c>
      <c r="H2775" t="s">
        <v>27</v>
      </c>
      <c r="I2775" t="s">
        <v>16</v>
      </c>
      <c r="J2775" t="s">
        <v>16</v>
      </c>
      <c r="K2775" t="str">
        <f>VLOOKUP(C2775,CheckName!A:B,2,0)</f>
        <v>CRC</v>
      </c>
      <c r="L2775">
        <v>0</v>
      </c>
      <c r="M2775">
        <f t="shared" si="396"/>
        <v>18</v>
      </c>
      <c r="N2775" t="str">
        <f>TEXT(MTDRejection[[#This Row],[RejectionDate]],"dddd")</f>
        <v>Wednesday</v>
      </c>
    </row>
    <row r="2776" spans="1:14">
      <c r="A2776" t="s">
        <v>1879</v>
      </c>
      <c r="B2776" t="s">
        <v>5101</v>
      </c>
      <c r="C2776" t="s">
        <v>1686</v>
      </c>
      <c r="D2776" t="s">
        <v>26</v>
      </c>
      <c r="E2776" s="7">
        <v>45644</v>
      </c>
      <c r="F2776" t="s">
        <v>118</v>
      </c>
      <c r="G2776">
        <v>0</v>
      </c>
      <c r="H2776" t="s">
        <v>27</v>
      </c>
      <c r="I2776" t="s">
        <v>16</v>
      </c>
      <c r="J2776" t="s">
        <v>16</v>
      </c>
      <c r="K2776" t="str">
        <f>VLOOKUP(C2776,CheckName!A:B,2,0)</f>
        <v>CRC</v>
      </c>
      <c r="L2776">
        <v>0</v>
      </c>
      <c r="M2776">
        <f t="shared" si="396"/>
        <v>18</v>
      </c>
      <c r="N2776" t="str">
        <f>TEXT(MTDRejection[[#This Row],[RejectionDate]],"dddd")</f>
        <v>Wednesday</v>
      </c>
    </row>
    <row r="2777" spans="1:14">
      <c r="A2777" t="s">
        <v>1879</v>
      </c>
      <c r="B2777" t="s">
        <v>5102</v>
      </c>
      <c r="C2777" t="s">
        <v>1686</v>
      </c>
      <c r="D2777" t="s">
        <v>26</v>
      </c>
      <c r="E2777" s="7">
        <v>45644</v>
      </c>
      <c r="F2777" t="s">
        <v>118</v>
      </c>
      <c r="G2777">
        <v>0</v>
      </c>
      <c r="H2777" t="s">
        <v>27</v>
      </c>
      <c r="I2777" t="s">
        <v>16</v>
      </c>
      <c r="J2777" t="s">
        <v>16</v>
      </c>
      <c r="K2777" t="str">
        <f>VLOOKUP(C2777,CheckName!A:B,2,0)</f>
        <v>CRC</v>
      </c>
      <c r="L2777">
        <v>0</v>
      </c>
      <c r="M2777">
        <f t="shared" si="396"/>
        <v>18</v>
      </c>
      <c r="N2777" t="str">
        <f>TEXT(MTDRejection[[#This Row],[RejectionDate]],"dddd")</f>
        <v>Wednesday</v>
      </c>
    </row>
    <row r="2778" spans="1:14">
      <c r="A2778" t="s">
        <v>1879</v>
      </c>
      <c r="B2778" t="s">
        <v>5103</v>
      </c>
      <c r="C2778" t="s">
        <v>1686</v>
      </c>
      <c r="D2778" t="s">
        <v>26</v>
      </c>
      <c r="E2778" s="7">
        <v>45644</v>
      </c>
      <c r="F2778" t="s">
        <v>118</v>
      </c>
      <c r="G2778">
        <v>0</v>
      </c>
      <c r="H2778" t="s">
        <v>27</v>
      </c>
      <c r="I2778" t="s">
        <v>16</v>
      </c>
      <c r="J2778" t="s">
        <v>16</v>
      </c>
      <c r="K2778" t="str">
        <f>VLOOKUP(C2778,CheckName!A:B,2,0)</f>
        <v>CRC</v>
      </c>
      <c r="L2778">
        <v>0</v>
      </c>
      <c r="M2778">
        <f t="shared" si="396"/>
        <v>18</v>
      </c>
      <c r="N2778" t="str">
        <f>TEXT(MTDRejection[[#This Row],[RejectionDate]],"dddd")</f>
        <v>Wednesday</v>
      </c>
    </row>
    <row r="2779" spans="1:14">
      <c r="A2779" t="s">
        <v>1879</v>
      </c>
      <c r="B2779" t="s">
        <v>2006</v>
      </c>
      <c r="C2779" t="s">
        <v>1686</v>
      </c>
      <c r="D2779" t="s">
        <v>26</v>
      </c>
      <c r="E2779" s="7">
        <v>45644</v>
      </c>
      <c r="F2779" t="s">
        <v>118</v>
      </c>
      <c r="G2779">
        <v>0</v>
      </c>
      <c r="H2779" t="s">
        <v>27</v>
      </c>
      <c r="I2779" t="s">
        <v>16</v>
      </c>
      <c r="J2779" t="s">
        <v>16</v>
      </c>
      <c r="K2779" t="str">
        <f>VLOOKUP(C2779,CheckName!A:B,2,0)</f>
        <v>CRC</v>
      </c>
      <c r="L2779">
        <v>0</v>
      </c>
      <c r="M2779">
        <f t="shared" si="396"/>
        <v>18</v>
      </c>
      <c r="N2779" t="str">
        <f>TEXT(MTDRejection[[#This Row],[RejectionDate]],"dddd")</f>
        <v>Wednesday</v>
      </c>
    </row>
    <row r="2780" spans="1:14">
      <c r="A2780" t="s">
        <v>1879</v>
      </c>
      <c r="B2780" t="s">
        <v>5104</v>
      </c>
      <c r="C2780" t="s">
        <v>1686</v>
      </c>
      <c r="D2780" t="s">
        <v>26</v>
      </c>
      <c r="E2780" s="7">
        <v>45644</v>
      </c>
      <c r="F2780" t="s">
        <v>118</v>
      </c>
      <c r="G2780">
        <v>0</v>
      </c>
      <c r="H2780" t="s">
        <v>27</v>
      </c>
      <c r="I2780" t="s">
        <v>16</v>
      </c>
      <c r="J2780" t="s">
        <v>16</v>
      </c>
      <c r="K2780" t="str">
        <f>VLOOKUP(C2780,CheckName!A:B,2,0)</f>
        <v>CRC</v>
      </c>
      <c r="L2780">
        <v>0</v>
      </c>
      <c r="M2780">
        <f t="shared" si="396"/>
        <v>18</v>
      </c>
      <c r="N2780" t="str">
        <f>TEXT(MTDRejection[[#This Row],[RejectionDate]],"dddd")</f>
        <v>Wednesday</v>
      </c>
    </row>
    <row r="2781" spans="1:14">
      <c r="A2781" t="s">
        <v>1879</v>
      </c>
      <c r="B2781" t="s">
        <v>5105</v>
      </c>
      <c r="C2781" t="s">
        <v>1686</v>
      </c>
      <c r="D2781" t="s">
        <v>26</v>
      </c>
      <c r="E2781" s="7">
        <v>45644</v>
      </c>
      <c r="F2781" t="s">
        <v>118</v>
      </c>
      <c r="G2781">
        <v>0</v>
      </c>
      <c r="H2781" t="s">
        <v>27</v>
      </c>
      <c r="I2781" t="s">
        <v>16</v>
      </c>
      <c r="J2781" t="s">
        <v>16</v>
      </c>
      <c r="K2781" t="str">
        <f>VLOOKUP(C2781,CheckName!A:B,2,0)</f>
        <v>CRC</v>
      </c>
      <c r="L2781">
        <v>0</v>
      </c>
      <c r="M2781">
        <f t="shared" si="396"/>
        <v>18</v>
      </c>
      <c r="N2781" t="str">
        <f>TEXT(MTDRejection[[#This Row],[RejectionDate]],"dddd")</f>
        <v>Wednesday</v>
      </c>
    </row>
    <row r="2782" spans="1:14">
      <c r="A2782" t="s">
        <v>1879</v>
      </c>
      <c r="B2782" t="s">
        <v>1995</v>
      </c>
      <c r="C2782" t="s">
        <v>1686</v>
      </c>
      <c r="D2782" t="s">
        <v>26</v>
      </c>
      <c r="E2782" s="7">
        <v>45644</v>
      </c>
      <c r="F2782" t="s">
        <v>118</v>
      </c>
      <c r="G2782">
        <v>0</v>
      </c>
      <c r="H2782" t="s">
        <v>27</v>
      </c>
      <c r="I2782" t="s">
        <v>16</v>
      </c>
      <c r="J2782" t="s">
        <v>16</v>
      </c>
      <c r="K2782" t="str">
        <f>VLOOKUP(C2782,CheckName!A:B,2,0)</f>
        <v>CRC</v>
      </c>
      <c r="L2782">
        <v>0</v>
      </c>
      <c r="M2782">
        <f t="shared" si="396"/>
        <v>18</v>
      </c>
      <c r="N2782" t="str">
        <f>TEXT(MTDRejection[[#This Row],[RejectionDate]],"dddd")</f>
        <v>Wednesday</v>
      </c>
    </row>
    <row r="2783" spans="1:14">
      <c r="A2783" t="s">
        <v>1879</v>
      </c>
      <c r="B2783" t="s">
        <v>5106</v>
      </c>
      <c r="C2783" t="s">
        <v>1686</v>
      </c>
      <c r="D2783" t="s">
        <v>26</v>
      </c>
      <c r="E2783" s="7">
        <v>45644</v>
      </c>
      <c r="F2783" t="s">
        <v>118</v>
      </c>
      <c r="G2783">
        <v>0</v>
      </c>
      <c r="H2783" t="s">
        <v>27</v>
      </c>
      <c r="I2783" t="s">
        <v>16</v>
      </c>
      <c r="J2783" t="s">
        <v>16</v>
      </c>
      <c r="K2783" t="str">
        <f>VLOOKUP(C2783,CheckName!A:B,2,0)</f>
        <v>CRC</v>
      </c>
      <c r="L2783">
        <v>0</v>
      </c>
      <c r="M2783">
        <f t="shared" si="396"/>
        <v>18</v>
      </c>
      <c r="N2783" t="str">
        <f>TEXT(MTDRejection[[#This Row],[RejectionDate]],"dddd")</f>
        <v>Wednesday</v>
      </c>
    </row>
    <row r="2784" spans="1:14">
      <c r="A2784" t="s">
        <v>1879</v>
      </c>
      <c r="B2784" t="s">
        <v>5107</v>
      </c>
      <c r="C2784" t="s">
        <v>1686</v>
      </c>
      <c r="D2784" t="s">
        <v>26</v>
      </c>
      <c r="E2784" s="7">
        <v>45644</v>
      </c>
      <c r="F2784" t="s">
        <v>118</v>
      </c>
      <c r="G2784">
        <v>0</v>
      </c>
      <c r="H2784" t="s">
        <v>27</v>
      </c>
      <c r="I2784" t="s">
        <v>16</v>
      </c>
      <c r="J2784" t="s">
        <v>16</v>
      </c>
      <c r="K2784" t="str">
        <f>VLOOKUP(C2784,CheckName!A:B,2,0)</f>
        <v>CRC</v>
      </c>
      <c r="L2784">
        <v>0</v>
      </c>
      <c r="M2784">
        <f t="shared" si="396"/>
        <v>18</v>
      </c>
      <c r="N2784" t="str">
        <f>TEXT(MTDRejection[[#This Row],[RejectionDate]],"dddd")</f>
        <v>Wednesday</v>
      </c>
    </row>
    <row r="2785" spans="1:14">
      <c r="A2785" t="s">
        <v>1879</v>
      </c>
      <c r="B2785" t="s">
        <v>5108</v>
      </c>
      <c r="C2785" t="s">
        <v>1686</v>
      </c>
      <c r="D2785" t="s">
        <v>26</v>
      </c>
      <c r="E2785" s="7">
        <v>45644</v>
      </c>
      <c r="F2785" t="s">
        <v>118</v>
      </c>
      <c r="G2785">
        <v>0</v>
      </c>
      <c r="H2785" t="s">
        <v>27</v>
      </c>
      <c r="I2785" t="s">
        <v>16</v>
      </c>
      <c r="J2785" t="s">
        <v>16</v>
      </c>
      <c r="K2785" t="str">
        <f>VLOOKUP(C2785,CheckName!A:B,2,0)</f>
        <v>CRC</v>
      </c>
      <c r="L2785">
        <v>0</v>
      </c>
      <c r="M2785">
        <f t="shared" si="396"/>
        <v>18</v>
      </c>
      <c r="N2785" t="str">
        <f>TEXT(MTDRejection[[#This Row],[RejectionDate]],"dddd")</f>
        <v>Wednesday</v>
      </c>
    </row>
    <row r="2786" spans="1:14">
      <c r="A2786" t="s">
        <v>1879</v>
      </c>
      <c r="B2786" t="s">
        <v>5109</v>
      </c>
      <c r="C2786" t="s">
        <v>1686</v>
      </c>
      <c r="D2786" t="s">
        <v>26</v>
      </c>
      <c r="E2786" s="7">
        <v>45644</v>
      </c>
      <c r="F2786" t="s">
        <v>118</v>
      </c>
      <c r="G2786">
        <v>0</v>
      </c>
      <c r="H2786" t="s">
        <v>27</v>
      </c>
      <c r="I2786" t="s">
        <v>16</v>
      </c>
      <c r="J2786" t="s">
        <v>16</v>
      </c>
      <c r="K2786" t="str">
        <f>VLOOKUP(C2786,CheckName!A:B,2,0)</f>
        <v>CRC</v>
      </c>
      <c r="L2786">
        <v>0</v>
      </c>
      <c r="M2786">
        <f t="shared" si="396"/>
        <v>18</v>
      </c>
      <c r="N2786" t="str">
        <f>TEXT(MTDRejection[[#This Row],[RejectionDate]],"dddd")</f>
        <v>Wednesday</v>
      </c>
    </row>
    <row r="2787" spans="1:14">
      <c r="A2787" t="s">
        <v>1879</v>
      </c>
      <c r="B2787" t="s">
        <v>5110</v>
      </c>
      <c r="C2787" t="s">
        <v>1686</v>
      </c>
      <c r="D2787" t="s">
        <v>26</v>
      </c>
      <c r="E2787" s="7">
        <v>45644</v>
      </c>
      <c r="F2787" t="s">
        <v>118</v>
      </c>
      <c r="G2787">
        <v>0</v>
      </c>
      <c r="H2787" t="s">
        <v>27</v>
      </c>
      <c r="I2787" t="s">
        <v>16</v>
      </c>
      <c r="J2787" t="s">
        <v>16</v>
      </c>
      <c r="K2787" t="str">
        <f>VLOOKUP(C2787,CheckName!A:B,2,0)</f>
        <v>CRC</v>
      </c>
      <c r="L2787">
        <v>0</v>
      </c>
      <c r="M2787">
        <f t="shared" si="396"/>
        <v>18</v>
      </c>
      <c r="N2787" t="str">
        <f>TEXT(MTDRejection[[#This Row],[RejectionDate]],"dddd")</f>
        <v>Wednesday</v>
      </c>
    </row>
    <row r="2788" spans="1:14">
      <c r="A2788" t="s">
        <v>1879</v>
      </c>
      <c r="B2788" t="s">
        <v>5111</v>
      </c>
      <c r="C2788" t="s">
        <v>1686</v>
      </c>
      <c r="D2788" t="s">
        <v>26</v>
      </c>
      <c r="E2788" s="7">
        <v>45644</v>
      </c>
      <c r="F2788" t="s">
        <v>118</v>
      </c>
      <c r="G2788">
        <v>0</v>
      </c>
      <c r="H2788" t="s">
        <v>27</v>
      </c>
      <c r="I2788" t="s">
        <v>16</v>
      </c>
      <c r="J2788" t="s">
        <v>16</v>
      </c>
      <c r="K2788" t="str">
        <f>VLOOKUP(C2788,CheckName!A:B,2,0)</f>
        <v>CRC</v>
      </c>
      <c r="L2788">
        <v>0</v>
      </c>
      <c r="M2788">
        <f t="shared" si="396"/>
        <v>18</v>
      </c>
      <c r="N2788" t="str">
        <f>TEXT(MTDRejection[[#This Row],[RejectionDate]],"dddd")</f>
        <v>Wednesday</v>
      </c>
    </row>
    <row r="2789" spans="1:14">
      <c r="A2789" t="s">
        <v>1879</v>
      </c>
      <c r="B2789" t="s">
        <v>2672</v>
      </c>
      <c r="C2789" t="s">
        <v>1686</v>
      </c>
      <c r="D2789" t="s">
        <v>26</v>
      </c>
      <c r="E2789" s="7">
        <v>45644</v>
      </c>
      <c r="F2789" t="s">
        <v>118</v>
      </c>
      <c r="G2789">
        <v>0</v>
      </c>
      <c r="H2789" t="s">
        <v>27</v>
      </c>
      <c r="I2789" t="s">
        <v>16</v>
      </c>
      <c r="J2789" t="s">
        <v>16</v>
      </c>
      <c r="K2789" t="str">
        <f>VLOOKUP(C2789,CheckName!A:B,2,0)</f>
        <v>CRC</v>
      </c>
      <c r="L2789">
        <v>0</v>
      </c>
      <c r="M2789">
        <f t="shared" si="396"/>
        <v>18</v>
      </c>
      <c r="N2789" t="str">
        <f>TEXT(MTDRejection[[#This Row],[RejectionDate]],"dddd")</f>
        <v>Wednesday</v>
      </c>
    </row>
    <row r="2790" spans="1:14">
      <c r="A2790" t="s">
        <v>1879</v>
      </c>
      <c r="B2790" t="s">
        <v>1979</v>
      </c>
      <c r="C2790" t="s">
        <v>1686</v>
      </c>
      <c r="D2790" t="s">
        <v>26</v>
      </c>
      <c r="E2790" s="7">
        <v>45644</v>
      </c>
      <c r="F2790" t="s">
        <v>118</v>
      </c>
      <c r="G2790">
        <v>0</v>
      </c>
      <c r="H2790" t="s">
        <v>27</v>
      </c>
      <c r="I2790" t="s">
        <v>16</v>
      </c>
      <c r="J2790" t="s">
        <v>16</v>
      </c>
      <c r="K2790" t="str">
        <f>VLOOKUP(C2790,CheckName!A:B,2,0)</f>
        <v>CRC</v>
      </c>
      <c r="L2790">
        <v>0</v>
      </c>
      <c r="M2790">
        <f t="shared" si="396"/>
        <v>18</v>
      </c>
      <c r="N2790" t="str">
        <f>TEXT(MTDRejection[[#This Row],[RejectionDate]],"dddd")</f>
        <v>Wednesday</v>
      </c>
    </row>
    <row r="2791" spans="1:14">
      <c r="A2791" t="s">
        <v>1879</v>
      </c>
      <c r="B2791" t="s">
        <v>2650</v>
      </c>
      <c r="C2791" t="s">
        <v>1686</v>
      </c>
      <c r="D2791" t="s">
        <v>26</v>
      </c>
      <c r="E2791" s="7">
        <v>45644</v>
      </c>
      <c r="F2791" t="s">
        <v>118</v>
      </c>
      <c r="G2791">
        <v>0</v>
      </c>
      <c r="H2791" t="s">
        <v>27</v>
      </c>
      <c r="I2791" t="s">
        <v>16</v>
      </c>
      <c r="J2791" t="s">
        <v>16</v>
      </c>
      <c r="K2791" t="str">
        <f>VLOOKUP(C2791,CheckName!A:B,2,0)</f>
        <v>CRC</v>
      </c>
      <c r="L2791">
        <v>0</v>
      </c>
      <c r="M2791">
        <f t="shared" si="396"/>
        <v>18</v>
      </c>
      <c r="N2791" t="str">
        <f>TEXT(MTDRejection[[#This Row],[RejectionDate]],"dddd")</f>
        <v>Wednesday</v>
      </c>
    </row>
    <row r="2792" spans="1:14">
      <c r="A2792" t="s">
        <v>1879</v>
      </c>
      <c r="B2792" t="s">
        <v>2665</v>
      </c>
      <c r="C2792" t="s">
        <v>1686</v>
      </c>
      <c r="D2792" t="s">
        <v>26</v>
      </c>
      <c r="E2792" s="7">
        <v>45644</v>
      </c>
      <c r="F2792" t="s">
        <v>118</v>
      </c>
      <c r="G2792">
        <v>0</v>
      </c>
      <c r="H2792" t="s">
        <v>27</v>
      </c>
      <c r="I2792" t="s">
        <v>16</v>
      </c>
      <c r="J2792" t="s">
        <v>16</v>
      </c>
      <c r="K2792" t="str">
        <f>VLOOKUP(C2792,CheckName!A:B,2,0)</f>
        <v>CRC</v>
      </c>
      <c r="L2792">
        <v>0</v>
      </c>
      <c r="M2792">
        <f t="shared" si="396"/>
        <v>18</v>
      </c>
      <c r="N2792" t="str">
        <f>TEXT(MTDRejection[[#This Row],[RejectionDate]],"dddd")</f>
        <v>Wednesday</v>
      </c>
    </row>
    <row r="2793" spans="1:14">
      <c r="A2793" t="s">
        <v>1879</v>
      </c>
      <c r="B2793" t="s">
        <v>1977</v>
      </c>
      <c r="C2793" t="s">
        <v>1686</v>
      </c>
      <c r="D2793" t="s">
        <v>26</v>
      </c>
      <c r="E2793" s="7">
        <v>45644</v>
      </c>
      <c r="F2793" t="s">
        <v>118</v>
      </c>
      <c r="G2793">
        <v>0</v>
      </c>
      <c r="H2793" t="s">
        <v>27</v>
      </c>
      <c r="I2793" t="s">
        <v>16</v>
      </c>
      <c r="J2793" t="s">
        <v>16</v>
      </c>
      <c r="K2793" t="str">
        <f>VLOOKUP(C2793,CheckName!A:B,2,0)</f>
        <v>CRC</v>
      </c>
      <c r="L2793">
        <v>0</v>
      </c>
      <c r="M2793">
        <f t="shared" si="396"/>
        <v>18</v>
      </c>
      <c r="N2793" t="str">
        <f>TEXT(MTDRejection[[#This Row],[RejectionDate]],"dddd")</f>
        <v>Wednesday</v>
      </c>
    </row>
    <row r="2794" spans="1:14">
      <c r="A2794" t="s">
        <v>1879</v>
      </c>
      <c r="B2794" t="s">
        <v>5112</v>
      </c>
      <c r="C2794" t="s">
        <v>1686</v>
      </c>
      <c r="D2794" t="s">
        <v>26</v>
      </c>
      <c r="E2794" s="7">
        <v>45644</v>
      </c>
      <c r="F2794" t="s">
        <v>118</v>
      </c>
      <c r="G2794">
        <v>0</v>
      </c>
      <c r="H2794" t="s">
        <v>27</v>
      </c>
      <c r="I2794" t="s">
        <v>16</v>
      </c>
      <c r="J2794" t="s">
        <v>16</v>
      </c>
      <c r="K2794" t="str">
        <f>VLOOKUP(C2794,CheckName!A:B,2,0)</f>
        <v>CRC</v>
      </c>
      <c r="L2794">
        <v>0</v>
      </c>
      <c r="M2794">
        <f t="shared" si="396"/>
        <v>18</v>
      </c>
      <c r="N2794" t="str">
        <f>TEXT(MTDRejection[[#This Row],[RejectionDate]],"dddd")</f>
        <v>Wednesday</v>
      </c>
    </row>
    <row r="2795" spans="1:14">
      <c r="A2795" t="s">
        <v>1879</v>
      </c>
      <c r="B2795" t="s">
        <v>5113</v>
      </c>
      <c r="C2795" t="s">
        <v>1686</v>
      </c>
      <c r="D2795" t="s">
        <v>26</v>
      </c>
      <c r="E2795" s="7">
        <v>45644</v>
      </c>
      <c r="F2795" t="s">
        <v>118</v>
      </c>
      <c r="G2795">
        <v>0</v>
      </c>
      <c r="H2795" t="s">
        <v>27</v>
      </c>
      <c r="I2795" t="s">
        <v>16</v>
      </c>
      <c r="J2795" t="s">
        <v>16</v>
      </c>
      <c r="K2795" t="str">
        <f>VLOOKUP(C2795,CheckName!A:B,2,0)</f>
        <v>CRC</v>
      </c>
      <c r="L2795">
        <v>0</v>
      </c>
      <c r="M2795">
        <f t="shared" si="396"/>
        <v>18</v>
      </c>
      <c r="N2795" t="str">
        <f>TEXT(MTDRejection[[#This Row],[RejectionDate]],"dddd")</f>
        <v>Wednesday</v>
      </c>
    </row>
    <row r="2796" spans="1:14">
      <c r="A2796" t="s">
        <v>1879</v>
      </c>
      <c r="B2796" t="s">
        <v>5114</v>
      </c>
      <c r="C2796" t="s">
        <v>1686</v>
      </c>
      <c r="D2796" t="s">
        <v>26</v>
      </c>
      <c r="E2796" s="7">
        <v>45644</v>
      </c>
      <c r="F2796" t="s">
        <v>118</v>
      </c>
      <c r="G2796">
        <v>0</v>
      </c>
      <c r="H2796" t="s">
        <v>27</v>
      </c>
      <c r="I2796" t="s">
        <v>16</v>
      </c>
      <c r="J2796" t="s">
        <v>16</v>
      </c>
      <c r="K2796" t="str">
        <f>VLOOKUP(C2796,CheckName!A:B,2,0)</f>
        <v>CRC</v>
      </c>
      <c r="L2796">
        <v>0</v>
      </c>
      <c r="M2796">
        <f t="shared" si="396"/>
        <v>18</v>
      </c>
      <c r="N2796" t="str">
        <f>TEXT(MTDRejection[[#This Row],[RejectionDate]],"dddd")</f>
        <v>Wednesday</v>
      </c>
    </row>
    <row r="2797" spans="1:14">
      <c r="A2797" t="s">
        <v>1879</v>
      </c>
      <c r="B2797" t="s">
        <v>5115</v>
      </c>
      <c r="C2797" t="s">
        <v>1686</v>
      </c>
      <c r="D2797" t="s">
        <v>26</v>
      </c>
      <c r="E2797" s="7">
        <v>45644</v>
      </c>
      <c r="F2797" t="s">
        <v>118</v>
      </c>
      <c r="G2797">
        <v>0</v>
      </c>
      <c r="H2797" t="s">
        <v>27</v>
      </c>
      <c r="I2797" t="s">
        <v>16</v>
      </c>
      <c r="J2797" t="s">
        <v>16</v>
      </c>
      <c r="K2797" t="str">
        <f>VLOOKUP(C2797,CheckName!A:B,2,0)</f>
        <v>CRC</v>
      </c>
      <c r="L2797">
        <v>0</v>
      </c>
      <c r="M2797">
        <f t="shared" si="396"/>
        <v>18</v>
      </c>
      <c r="N2797" t="str">
        <f>TEXT(MTDRejection[[#This Row],[RejectionDate]],"dddd")</f>
        <v>Wednesday</v>
      </c>
    </row>
    <row r="2798" spans="1:14">
      <c r="A2798" t="s">
        <v>1879</v>
      </c>
      <c r="B2798" t="s">
        <v>2025</v>
      </c>
      <c r="C2798" t="s">
        <v>1686</v>
      </c>
      <c r="D2798" t="s">
        <v>26</v>
      </c>
      <c r="E2798" s="7">
        <v>45644</v>
      </c>
      <c r="F2798" t="s">
        <v>118</v>
      </c>
      <c r="G2798">
        <v>0</v>
      </c>
      <c r="H2798" t="s">
        <v>27</v>
      </c>
      <c r="I2798" t="s">
        <v>16</v>
      </c>
      <c r="J2798" t="s">
        <v>16</v>
      </c>
      <c r="K2798" t="str">
        <f>VLOOKUP(C2798,CheckName!A:B,2,0)</f>
        <v>CRC</v>
      </c>
      <c r="L2798">
        <v>0</v>
      </c>
      <c r="M2798">
        <f t="shared" si="396"/>
        <v>18</v>
      </c>
      <c r="N2798" t="str">
        <f>TEXT(MTDRejection[[#This Row],[RejectionDate]],"dddd")</f>
        <v>Wednesday</v>
      </c>
    </row>
    <row r="2799" spans="1:14">
      <c r="A2799" t="s">
        <v>1879</v>
      </c>
      <c r="B2799" t="s">
        <v>4966</v>
      </c>
      <c r="C2799" t="s">
        <v>1686</v>
      </c>
      <c r="D2799" t="s">
        <v>26</v>
      </c>
      <c r="E2799" s="7">
        <v>45644</v>
      </c>
      <c r="F2799" t="s">
        <v>118</v>
      </c>
      <c r="G2799">
        <v>0</v>
      </c>
      <c r="H2799" t="s">
        <v>27</v>
      </c>
      <c r="I2799" t="s">
        <v>16</v>
      </c>
      <c r="J2799" t="s">
        <v>16</v>
      </c>
      <c r="K2799" t="str">
        <f>VLOOKUP(C2799,CheckName!A:B,2,0)</f>
        <v>CRC</v>
      </c>
      <c r="L2799">
        <v>0</v>
      </c>
      <c r="M2799">
        <f t="shared" si="396"/>
        <v>18</v>
      </c>
      <c r="N2799" t="str">
        <f>TEXT(MTDRejection[[#This Row],[RejectionDate]],"dddd")</f>
        <v>Wednesday</v>
      </c>
    </row>
    <row r="2800" spans="1:14">
      <c r="A2800" t="s">
        <v>1879</v>
      </c>
      <c r="B2800" t="s">
        <v>5018</v>
      </c>
      <c r="C2800" t="s">
        <v>1686</v>
      </c>
      <c r="D2800" t="s">
        <v>26</v>
      </c>
      <c r="E2800" s="7">
        <v>45644</v>
      </c>
      <c r="F2800" t="s">
        <v>118</v>
      </c>
      <c r="G2800">
        <v>0</v>
      </c>
      <c r="H2800" t="s">
        <v>27</v>
      </c>
      <c r="I2800" t="s">
        <v>16</v>
      </c>
      <c r="J2800" t="s">
        <v>16</v>
      </c>
      <c r="K2800" t="str">
        <f>VLOOKUP(C2800,CheckName!A:B,2,0)</f>
        <v>CRC</v>
      </c>
      <c r="L2800">
        <v>0</v>
      </c>
      <c r="M2800">
        <f t="shared" si="396"/>
        <v>18</v>
      </c>
      <c r="N2800" t="str">
        <f>TEXT(MTDRejection[[#This Row],[RejectionDate]],"dddd")</f>
        <v>Wednesday</v>
      </c>
    </row>
    <row r="2801" spans="1:14">
      <c r="A2801" t="s">
        <v>1879</v>
      </c>
      <c r="B2801" t="s">
        <v>5116</v>
      </c>
      <c r="C2801" t="s">
        <v>1686</v>
      </c>
      <c r="D2801" t="s">
        <v>26</v>
      </c>
      <c r="E2801" s="7">
        <v>45644</v>
      </c>
      <c r="F2801" t="s">
        <v>118</v>
      </c>
      <c r="G2801">
        <v>0</v>
      </c>
      <c r="H2801" t="s">
        <v>27</v>
      </c>
      <c r="I2801" t="s">
        <v>16</v>
      </c>
      <c r="J2801" t="s">
        <v>16</v>
      </c>
      <c r="K2801" t="str">
        <f>VLOOKUP(C2801,CheckName!A:B,2,0)</f>
        <v>CRC</v>
      </c>
      <c r="L2801">
        <v>0</v>
      </c>
      <c r="M2801">
        <f t="shared" si="396"/>
        <v>18</v>
      </c>
      <c r="N2801" t="str">
        <f>TEXT(MTDRejection[[#This Row],[RejectionDate]],"dddd")</f>
        <v>Wednesday</v>
      </c>
    </row>
    <row r="2802" spans="1:14">
      <c r="A2802" t="s">
        <v>1879</v>
      </c>
      <c r="B2802" t="s">
        <v>5117</v>
      </c>
      <c r="C2802" t="s">
        <v>1686</v>
      </c>
      <c r="D2802" t="s">
        <v>26</v>
      </c>
      <c r="E2802" s="7">
        <v>45644</v>
      </c>
      <c r="F2802" t="s">
        <v>118</v>
      </c>
      <c r="G2802">
        <v>0</v>
      </c>
      <c r="H2802" t="s">
        <v>27</v>
      </c>
      <c r="I2802" t="s">
        <v>16</v>
      </c>
      <c r="J2802" t="s">
        <v>16</v>
      </c>
      <c r="K2802" t="str">
        <f>VLOOKUP(C2802,CheckName!A:B,2,0)</f>
        <v>CRC</v>
      </c>
      <c r="L2802">
        <v>0</v>
      </c>
      <c r="M2802">
        <f t="shared" si="396"/>
        <v>18</v>
      </c>
      <c r="N2802" t="str">
        <f>TEXT(MTDRejection[[#This Row],[RejectionDate]],"dddd")</f>
        <v>Wednesday</v>
      </c>
    </row>
    <row r="2803" spans="1:14">
      <c r="A2803" t="s">
        <v>1879</v>
      </c>
      <c r="B2803" t="s">
        <v>5118</v>
      </c>
      <c r="C2803" t="s">
        <v>1686</v>
      </c>
      <c r="D2803" t="s">
        <v>26</v>
      </c>
      <c r="E2803" s="7">
        <v>45644</v>
      </c>
      <c r="F2803" t="s">
        <v>118</v>
      </c>
      <c r="G2803">
        <v>0</v>
      </c>
      <c r="H2803" t="s">
        <v>27</v>
      </c>
      <c r="I2803" t="s">
        <v>16</v>
      </c>
      <c r="J2803" t="s">
        <v>16</v>
      </c>
      <c r="K2803" t="str">
        <f>VLOOKUP(C2803,CheckName!A:B,2,0)</f>
        <v>CRC</v>
      </c>
      <c r="L2803">
        <v>0</v>
      </c>
      <c r="M2803">
        <f t="shared" si="396"/>
        <v>18</v>
      </c>
      <c r="N2803" t="str">
        <f>TEXT(MTDRejection[[#This Row],[RejectionDate]],"dddd")</f>
        <v>Wednesday</v>
      </c>
    </row>
    <row r="2804" spans="1:14">
      <c r="A2804" t="s">
        <v>1879</v>
      </c>
      <c r="B2804" t="s">
        <v>5116</v>
      </c>
      <c r="C2804" t="s">
        <v>1686</v>
      </c>
      <c r="D2804" t="s">
        <v>26</v>
      </c>
      <c r="E2804" s="7">
        <v>45644</v>
      </c>
      <c r="F2804" t="s">
        <v>118</v>
      </c>
      <c r="G2804">
        <v>0</v>
      </c>
      <c r="H2804" t="s">
        <v>27</v>
      </c>
      <c r="I2804" t="s">
        <v>16</v>
      </c>
      <c r="J2804" t="s">
        <v>16</v>
      </c>
      <c r="K2804" t="str">
        <f>VLOOKUP(C2804,CheckName!A:B,2,0)</f>
        <v>CRC</v>
      </c>
      <c r="L2804">
        <v>0</v>
      </c>
      <c r="M2804">
        <f t="shared" si="396"/>
        <v>18</v>
      </c>
      <c r="N2804" t="str">
        <f>TEXT(MTDRejection[[#This Row],[RejectionDate]],"dddd")</f>
        <v>Wednesday</v>
      </c>
    </row>
    <row r="2805" spans="1:14">
      <c r="A2805" t="s">
        <v>1879</v>
      </c>
      <c r="B2805" t="s">
        <v>2312</v>
      </c>
      <c r="C2805" t="s">
        <v>1686</v>
      </c>
      <c r="D2805" t="s">
        <v>26</v>
      </c>
      <c r="E2805" s="7">
        <v>45644</v>
      </c>
      <c r="F2805" t="s">
        <v>118</v>
      </c>
      <c r="G2805">
        <v>0</v>
      </c>
      <c r="H2805" t="s">
        <v>27</v>
      </c>
      <c r="I2805" t="s">
        <v>16</v>
      </c>
      <c r="J2805" t="s">
        <v>16</v>
      </c>
      <c r="K2805" t="str">
        <f>VLOOKUP(C2805,CheckName!A:B,2,0)</f>
        <v>CRC</v>
      </c>
      <c r="L2805">
        <v>0</v>
      </c>
      <c r="M2805">
        <f t="shared" si="396"/>
        <v>18</v>
      </c>
      <c r="N2805" t="str">
        <f>TEXT(MTDRejection[[#This Row],[RejectionDate]],"dddd")</f>
        <v>Wednesday</v>
      </c>
    </row>
    <row r="2806" spans="1:14">
      <c r="A2806" t="s">
        <v>1879</v>
      </c>
      <c r="B2806" t="s">
        <v>5119</v>
      </c>
      <c r="C2806" t="s">
        <v>1686</v>
      </c>
      <c r="D2806" t="s">
        <v>26</v>
      </c>
      <c r="E2806" s="7">
        <v>45644</v>
      </c>
      <c r="F2806" t="s">
        <v>118</v>
      </c>
      <c r="G2806">
        <v>0</v>
      </c>
      <c r="H2806" t="s">
        <v>27</v>
      </c>
      <c r="I2806" t="s">
        <v>16</v>
      </c>
      <c r="J2806" t="s">
        <v>16</v>
      </c>
      <c r="K2806" t="str">
        <f>VLOOKUP(C2806,CheckName!A:B,2,0)</f>
        <v>CRC</v>
      </c>
      <c r="L2806">
        <v>0</v>
      </c>
      <c r="M2806">
        <f t="shared" si="396"/>
        <v>18</v>
      </c>
      <c r="N2806" t="str">
        <f>TEXT(MTDRejection[[#This Row],[RejectionDate]],"dddd")</f>
        <v>Wednesday</v>
      </c>
    </row>
    <row r="2807" spans="1:14">
      <c r="A2807" t="s">
        <v>1879</v>
      </c>
      <c r="B2807" t="s">
        <v>5120</v>
      </c>
      <c r="C2807" t="s">
        <v>1686</v>
      </c>
      <c r="D2807" t="s">
        <v>26</v>
      </c>
      <c r="E2807" s="7">
        <v>45644</v>
      </c>
      <c r="F2807" t="s">
        <v>118</v>
      </c>
      <c r="G2807">
        <v>0</v>
      </c>
      <c r="H2807" t="s">
        <v>27</v>
      </c>
      <c r="I2807" t="s">
        <v>16</v>
      </c>
      <c r="J2807" t="s">
        <v>16</v>
      </c>
      <c r="K2807" t="str">
        <f>VLOOKUP(C2807,CheckName!A:B,2,0)</f>
        <v>CRC</v>
      </c>
      <c r="L2807">
        <v>0</v>
      </c>
      <c r="M2807">
        <f t="shared" si="396"/>
        <v>18</v>
      </c>
      <c r="N2807" t="str">
        <f>TEXT(MTDRejection[[#This Row],[RejectionDate]],"dddd")</f>
        <v>Wednesday</v>
      </c>
    </row>
    <row r="2808" spans="1:14">
      <c r="A2808" t="s">
        <v>1879</v>
      </c>
      <c r="B2808" t="s">
        <v>5121</v>
      </c>
      <c r="C2808" t="s">
        <v>1686</v>
      </c>
      <c r="D2808" t="s">
        <v>26</v>
      </c>
      <c r="E2808" s="7">
        <v>45644</v>
      </c>
      <c r="F2808" t="s">
        <v>118</v>
      </c>
      <c r="G2808">
        <v>0</v>
      </c>
      <c r="H2808" t="s">
        <v>27</v>
      </c>
      <c r="I2808" t="s">
        <v>16</v>
      </c>
      <c r="J2808" t="s">
        <v>16</v>
      </c>
      <c r="K2808" t="str">
        <f>VLOOKUP(C2808,CheckName!A:B,2,0)</f>
        <v>CRC</v>
      </c>
      <c r="L2808">
        <v>0</v>
      </c>
      <c r="M2808">
        <f t="shared" si="396"/>
        <v>18</v>
      </c>
      <c r="N2808" t="str">
        <f>TEXT(MTDRejection[[#This Row],[RejectionDate]],"dddd")</f>
        <v>Wednesday</v>
      </c>
    </row>
    <row r="2809" spans="1:14">
      <c r="A2809" t="s">
        <v>1879</v>
      </c>
      <c r="B2809" t="s">
        <v>5122</v>
      </c>
      <c r="C2809" t="s">
        <v>1686</v>
      </c>
      <c r="D2809" t="s">
        <v>26</v>
      </c>
      <c r="E2809" s="7">
        <v>45644</v>
      </c>
      <c r="F2809" t="s">
        <v>118</v>
      </c>
      <c r="G2809">
        <v>0</v>
      </c>
      <c r="H2809" t="s">
        <v>27</v>
      </c>
      <c r="I2809" t="s">
        <v>16</v>
      </c>
      <c r="J2809" t="s">
        <v>16</v>
      </c>
      <c r="K2809" t="str">
        <f>VLOOKUP(C2809,CheckName!A:B,2,0)</f>
        <v>CRC</v>
      </c>
      <c r="L2809">
        <v>0</v>
      </c>
      <c r="M2809">
        <f t="shared" ref="M2809:M2872" si="397">DAY(E2809)</f>
        <v>18</v>
      </c>
      <c r="N2809" t="str">
        <f>TEXT(MTDRejection[[#This Row],[RejectionDate]],"dddd")</f>
        <v>Wednesday</v>
      </c>
    </row>
    <row r="2810" spans="1:14">
      <c r="A2810" t="s">
        <v>1879</v>
      </c>
      <c r="B2810" t="s">
        <v>2666</v>
      </c>
      <c r="C2810" t="s">
        <v>1686</v>
      </c>
      <c r="D2810" t="s">
        <v>26</v>
      </c>
      <c r="E2810" s="7">
        <v>45644</v>
      </c>
      <c r="F2810" t="s">
        <v>118</v>
      </c>
      <c r="G2810">
        <v>0</v>
      </c>
      <c r="H2810" t="s">
        <v>27</v>
      </c>
      <c r="I2810" t="s">
        <v>16</v>
      </c>
      <c r="J2810" t="s">
        <v>16</v>
      </c>
      <c r="K2810" t="str">
        <f>VLOOKUP(C2810,CheckName!A:B,2,0)</f>
        <v>CRC</v>
      </c>
      <c r="L2810">
        <v>0</v>
      </c>
      <c r="M2810">
        <f t="shared" si="397"/>
        <v>18</v>
      </c>
      <c r="N2810" t="str">
        <f>TEXT(MTDRejection[[#This Row],[RejectionDate]],"dddd")</f>
        <v>Wednesday</v>
      </c>
    </row>
    <row r="2811" spans="1:14">
      <c r="A2811" t="s">
        <v>1879</v>
      </c>
      <c r="B2811" t="s">
        <v>2667</v>
      </c>
      <c r="C2811" t="s">
        <v>1686</v>
      </c>
      <c r="D2811" t="s">
        <v>26</v>
      </c>
      <c r="E2811" s="7">
        <v>45644</v>
      </c>
      <c r="F2811" t="s">
        <v>118</v>
      </c>
      <c r="G2811">
        <v>0</v>
      </c>
      <c r="H2811" t="s">
        <v>27</v>
      </c>
      <c r="I2811" t="s">
        <v>16</v>
      </c>
      <c r="J2811" t="s">
        <v>16</v>
      </c>
      <c r="K2811" t="str">
        <f>VLOOKUP(C2811,CheckName!A:B,2,0)</f>
        <v>CRC</v>
      </c>
      <c r="L2811">
        <v>0</v>
      </c>
      <c r="M2811">
        <f t="shared" si="397"/>
        <v>18</v>
      </c>
      <c r="N2811" t="str">
        <f>TEXT(MTDRejection[[#This Row],[RejectionDate]],"dddd")</f>
        <v>Wednesday</v>
      </c>
    </row>
    <row r="2812" spans="1:14">
      <c r="A2812" t="s">
        <v>1879</v>
      </c>
      <c r="B2812" t="s">
        <v>2656</v>
      </c>
      <c r="C2812" t="s">
        <v>1686</v>
      </c>
      <c r="D2812" t="s">
        <v>26</v>
      </c>
      <c r="E2812" s="7">
        <v>45644</v>
      </c>
      <c r="F2812" t="s">
        <v>118</v>
      </c>
      <c r="G2812">
        <v>0</v>
      </c>
      <c r="H2812" t="s">
        <v>27</v>
      </c>
      <c r="I2812" t="s">
        <v>16</v>
      </c>
      <c r="J2812" t="s">
        <v>16</v>
      </c>
      <c r="K2812" t="str">
        <f>VLOOKUP(C2812,CheckName!A:B,2,0)</f>
        <v>CRC</v>
      </c>
      <c r="L2812">
        <v>0</v>
      </c>
      <c r="M2812">
        <f t="shared" si="397"/>
        <v>18</v>
      </c>
      <c r="N2812" t="str">
        <f>TEXT(MTDRejection[[#This Row],[RejectionDate]],"dddd")</f>
        <v>Wednesday</v>
      </c>
    </row>
    <row r="2813" spans="1:14">
      <c r="A2813" t="s">
        <v>1879</v>
      </c>
      <c r="B2813" t="s">
        <v>5123</v>
      </c>
      <c r="C2813" t="s">
        <v>1686</v>
      </c>
      <c r="D2813" t="s">
        <v>26</v>
      </c>
      <c r="E2813" s="7">
        <v>45644</v>
      </c>
      <c r="F2813" t="s">
        <v>118</v>
      </c>
      <c r="G2813">
        <v>0</v>
      </c>
      <c r="H2813" t="s">
        <v>27</v>
      </c>
      <c r="I2813" t="s">
        <v>16</v>
      </c>
      <c r="J2813" t="s">
        <v>16</v>
      </c>
      <c r="K2813" t="str">
        <f>VLOOKUP(C2813,CheckName!A:B,2,0)</f>
        <v>CRC</v>
      </c>
      <c r="L2813">
        <v>0</v>
      </c>
      <c r="M2813">
        <f t="shared" si="397"/>
        <v>18</v>
      </c>
      <c r="N2813" t="str">
        <f>TEXT(MTDRejection[[#This Row],[RejectionDate]],"dddd")</f>
        <v>Wednesday</v>
      </c>
    </row>
    <row r="2814" spans="1:14">
      <c r="A2814" t="s">
        <v>1879</v>
      </c>
      <c r="B2814" t="s">
        <v>5124</v>
      </c>
      <c r="C2814" t="s">
        <v>1686</v>
      </c>
      <c r="D2814" t="s">
        <v>26</v>
      </c>
      <c r="E2814" s="7">
        <v>45644</v>
      </c>
      <c r="F2814" t="s">
        <v>118</v>
      </c>
      <c r="G2814">
        <v>0</v>
      </c>
      <c r="H2814" t="s">
        <v>27</v>
      </c>
      <c r="I2814" t="s">
        <v>16</v>
      </c>
      <c r="J2814" t="s">
        <v>16</v>
      </c>
      <c r="K2814" t="str">
        <f>VLOOKUP(C2814,CheckName!A:B,2,0)</f>
        <v>CRC</v>
      </c>
      <c r="L2814">
        <v>0</v>
      </c>
      <c r="M2814">
        <f t="shared" si="397"/>
        <v>18</v>
      </c>
      <c r="N2814" t="str">
        <f>TEXT(MTDRejection[[#This Row],[RejectionDate]],"dddd")</f>
        <v>Wednesday</v>
      </c>
    </row>
    <row r="2815" spans="1:14">
      <c r="A2815" t="s">
        <v>1879</v>
      </c>
      <c r="B2815" t="s">
        <v>5125</v>
      </c>
      <c r="C2815" t="s">
        <v>1686</v>
      </c>
      <c r="D2815" t="s">
        <v>26</v>
      </c>
      <c r="E2815" s="7">
        <v>45644</v>
      </c>
      <c r="F2815" t="s">
        <v>118</v>
      </c>
      <c r="G2815">
        <v>0</v>
      </c>
      <c r="H2815" t="s">
        <v>27</v>
      </c>
      <c r="I2815" t="s">
        <v>16</v>
      </c>
      <c r="J2815" t="s">
        <v>16</v>
      </c>
      <c r="K2815" t="str">
        <f>VLOOKUP(C2815,CheckName!A:B,2,0)</f>
        <v>CRC</v>
      </c>
      <c r="L2815">
        <v>0</v>
      </c>
      <c r="M2815">
        <f t="shared" si="397"/>
        <v>18</v>
      </c>
      <c r="N2815" t="str">
        <f>TEXT(MTDRejection[[#This Row],[RejectionDate]],"dddd")</f>
        <v>Wednesday</v>
      </c>
    </row>
    <row r="2816" spans="1:14">
      <c r="A2816" t="s">
        <v>1879</v>
      </c>
      <c r="B2816" t="s">
        <v>5126</v>
      </c>
      <c r="C2816" t="s">
        <v>1686</v>
      </c>
      <c r="D2816" t="s">
        <v>26</v>
      </c>
      <c r="E2816" s="7">
        <v>45644</v>
      </c>
      <c r="F2816" t="s">
        <v>118</v>
      </c>
      <c r="G2816">
        <v>0</v>
      </c>
      <c r="H2816" t="s">
        <v>27</v>
      </c>
      <c r="I2816" t="s">
        <v>16</v>
      </c>
      <c r="J2816" t="s">
        <v>16</v>
      </c>
      <c r="K2816" t="str">
        <f>VLOOKUP(C2816,CheckName!A:B,2,0)</f>
        <v>CRC</v>
      </c>
      <c r="L2816">
        <v>0</v>
      </c>
      <c r="M2816">
        <f t="shared" si="397"/>
        <v>18</v>
      </c>
      <c r="N2816" t="str">
        <f>TEXT(MTDRejection[[#This Row],[RejectionDate]],"dddd")</f>
        <v>Wednesday</v>
      </c>
    </row>
    <row r="2817" spans="1:14">
      <c r="A2817" t="s">
        <v>1879</v>
      </c>
      <c r="B2817" t="s">
        <v>5127</v>
      </c>
      <c r="C2817" t="s">
        <v>1686</v>
      </c>
      <c r="D2817" t="s">
        <v>26</v>
      </c>
      <c r="E2817" s="7">
        <v>45644</v>
      </c>
      <c r="F2817" t="s">
        <v>118</v>
      </c>
      <c r="G2817">
        <v>0</v>
      </c>
      <c r="H2817" t="s">
        <v>27</v>
      </c>
      <c r="I2817" t="s">
        <v>16</v>
      </c>
      <c r="J2817" t="s">
        <v>16</v>
      </c>
      <c r="K2817" t="str">
        <f>VLOOKUP(C2817,CheckName!A:B,2,0)</f>
        <v>CRC</v>
      </c>
      <c r="L2817">
        <v>0</v>
      </c>
      <c r="M2817">
        <f t="shared" si="397"/>
        <v>18</v>
      </c>
      <c r="N2817" t="str">
        <f>TEXT(MTDRejection[[#This Row],[RejectionDate]],"dddd")</f>
        <v>Wednesday</v>
      </c>
    </row>
    <row r="2818" spans="1:14">
      <c r="A2818" t="s">
        <v>1879</v>
      </c>
      <c r="B2818" t="s">
        <v>5128</v>
      </c>
      <c r="C2818" t="s">
        <v>1686</v>
      </c>
      <c r="D2818" t="s">
        <v>26</v>
      </c>
      <c r="E2818" s="7">
        <v>45644</v>
      </c>
      <c r="F2818" t="s">
        <v>118</v>
      </c>
      <c r="G2818">
        <v>0</v>
      </c>
      <c r="H2818" t="s">
        <v>27</v>
      </c>
      <c r="I2818" t="s">
        <v>16</v>
      </c>
      <c r="J2818" t="s">
        <v>16</v>
      </c>
      <c r="K2818" t="str">
        <f>VLOOKUP(C2818,CheckName!A:B,2,0)</f>
        <v>CRC</v>
      </c>
      <c r="L2818">
        <v>0</v>
      </c>
      <c r="M2818">
        <f t="shared" si="397"/>
        <v>18</v>
      </c>
      <c r="N2818" t="str">
        <f>TEXT(MTDRejection[[#This Row],[RejectionDate]],"dddd")</f>
        <v>Wednesday</v>
      </c>
    </row>
    <row r="2819" spans="1:14">
      <c r="A2819" t="s">
        <v>1879</v>
      </c>
      <c r="B2819" t="s">
        <v>5129</v>
      </c>
      <c r="C2819" t="s">
        <v>1686</v>
      </c>
      <c r="D2819" t="s">
        <v>26</v>
      </c>
      <c r="E2819" s="7">
        <v>45644</v>
      </c>
      <c r="F2819" t="s">
        <v>118</v>
      </c>
      <c r="G2819">
        <v>0</v>
      </c>
      <c r="H2819" t="s">
        <v>27</v>
      </c>
      <c r="I2819" t="s">
        <v>16</v>
      </c>
      <c r="J2819" t="s">
        <v>16</v>
      </c>
      <c r="K2819" t="str">
        <f>VLOOKUP(C2819,CheckName!A:B,2,0)</f>
        <v>CRC</v>
      </c>
      <c r="L2819">
        <v>0</v>
      </c>
      <c r="M2819">
        <f t="shared" si="397"/>
        <v>18</v>
      </c>
      <c r="N2819" t="str">
        <f>TEXT(MTDRejection[[#This Row],[RejectionDate]],"dddd")</f>
        <v>Wednesday</v>
      </c>
    </row>
    <row r="2820" spans="1:14">
      <c r="A2820" t="s">
        <v>1879</v>
      </c>
      <c r="B2820" t="s">
        <v>5130</v>
      </c>
      <c r="C2820" t="s">
        <v>1686</v>
      </c>
      <c r="D2820" t="s">
        <v>26</v>
      </c>
      <c r="E2820" s="7">
        <v>45644</v>
      </c>
      <c r="F2820" t="s">
        <v>118</v>
      </c>
      <c r="G2820">
        <v>0</v>
      </c>
      <c r="H2820" t="s">
        <v>27</v>
      </c>
      <c r="I2820" t="s">
        <v>16</v>
      </c>
      <c r="J2820" t="s">
        <v>16</v>
      </c>
      <c r="K2820" t="str">
        <f>VLOOKUP(C2820,CheckName!A:B,2,0)</f>
        <v>CRC</v>
      </c>
      <c r="L2820">
        <v>0</v>
      </c>
      <c r="M2820">
        <f t="shared" si="397"/>
        <v>18</v>
      </c>
      <c r="N2820" t="str">
        <f>TEXT(MTDRejection[[#This Row],[RejectionDate]],"dddd")</f>
        <v>Wednesday</v>
      </c>
    </row>
    <row r="2821" spans="1:14">
      <c r="A2821" t="s">
        <v>1879</v>
      </c>
      <c r="B2821" t="s">
        <v>2680</v>
      </c>
      <c r="C2821" t="s">
        <v>1686</v>
      </c>
      <c r="D2821" t="s">
        <v>26</v>
      </c>
      <c r="E2821" s="7">
        <v>45644</v>
      </c>
      <c r="F2821" t="s">
        <v>118</v>
      </c>
      <c r="G2821">
        <v>0</v>
      </c>
      <c r="H2821" t="s">
        <v>27</v>
      </c>
      <c r="I2821" t="s">
        <v>16</v>
      </c>
      <c r="J2821" t="s">
        <v>16</v>
      </c>
      <c r="K2821" t="str">
        <f>VLOOKUP(C2821,CheckName!A:B,2,0)</f>
        <v>CRC</v>
      </c>
      <c r="L2821">
        <v>0</v>
      </c>
      <c r="M2821">
        <f t="shared" si="397"/>
        <v>18</v>
      </c>
      <c r="N2821" t="str">
        <f>TEXT(MTDRejection[[#This Row],[RejectionDate]],"dddd")</f>
        <v>Wednesday</v>
      </c>
    </row>
    <row r="2822" spans="1:14">
      <c r="A2822" t="s">
        <v>1879</v>
      </c>
      <c r="B2822" t="s">
        <v>5131</v>
      </c>
      <c r="C2822" t="s">
        <v>1686</v>
      </c>
      <c r="D2822" t="s">
        <v>26</v>
      </c>
      <c r="E2822" s="7">
        <v>45644</v>
      </c>
      <c r="F2822" t="s">
        <v>118</v>
      </c>
      <c r="G2822">
        <v>0</v>
      </c>
      <c r="H2822" t="s">
        <v>27</v>
      </c>
      <c r="I2822" t="s">
        <v>16</v>
      </c>
      <c r="J2822" t="s">
        <v>16</v>
      </c>
      <c r="K2822" t="str">
        <f>VLOOKUP(C2822,CheckName!A:B,2,0)</f>
        <v>CRC</v>
      </c>
      <c r="L2822">
        <v>0</v>
      </c>
      <c r="M2822">
        <f t="shared" si="397"/>
        <v>18</v>
      </c>
      <c r="N2822" t="str">
        <f>TEXT(MTDRejection[[#This Row],[RejectionDate]],"dddd")</f>
        <v>Wednesday</v>
      </c>
    </row>
    <row r="2823" spans="1:14">
      <c r="A2823" t="s">
        <v>1879</v>
      </c>
      <c r="B2823" t="s">
        <v>5132</v>
      </c>
      <c r="C2823" t="s">
        <v>1686</v>
      </c>
      <c r="D2823" t="s">
        <v>26</v>
      </c>
      <c r="E2823" s="7">
        <v>45644</v>
      </c>
      <c r="F2823" t="s">
        <v>118</v>
      </c>
      <c r="G2823">
        <v>0</v>
      </c>
      <c r="H2823" t="s">
        <v>27</v>
      </c>
      <c r="I2823" t="s">
        <v>16</v>
      </c>
      <c r="J2823" t="s">
        <v>16</v>
      </c>
      <c r="K2823" t="str">
        <f>VLOOKUP(C2823,CheckName!A:B,2,0)</f>
        <v>CRC</v>
      </c>
      <c r="L2823">
        <v>0</v>
      </c>
      <c r="M2823">
        <f t="shared" si="397"/>
        <v>18</v>
      </c>
      <c r="N2823" t="str">
        <f>TEXT(MTDRejection[[#This Row],[RejectionDate]],"dddd")</f>
        <v>Wednesday</v>
      </c>
    </row>
    <row r="2824" spans="1:14">
      <c r="A2824" t="s">
        <v>1879</v>
      </c>
      <c r="B2824" t="s">
        <v>5133</v>
      </c>
      <c r="C2824" t="s">
        <v>1686</v>
      </c>
      <c r="D2824" t="s">
        <v>26</v>
      </c>
      <c r="E2824" s="7">
        <v>45644</v>
      </c>
      <c r="F2824" t="s">
        <v>118</v>
      </c>
      <c r="G2824">
        <v>0</v>
      </c>
      <c r="H2824" t="s">
        <v>27</v>
      </c>
      <c r="I2824" t="s">
        <v>16</v>
      </c>
      <c r="J2824" t="s">
        <v>16</v>
      </c>
      <c r="K2824" t="str">
        <f>VLOOKUP(C2824,CheckName!A:B,2,0)</f>
        <v>CRC</v>
      </c>
      <c r="L2824">
        <v>0</v>
      </c>
      <c r="M2824">
        <f t="shared" si="397"/>
        <v>18</v>
      </c>
      <c r="N2824" t="str">
        <f>TEXT(MTDRejection[[#This Row],[RejectionDate]],"dddd")</f>
        <v>Wednesday</v>
      </c>
    </row>
    <row r="2825" spans="1:14">
      <c r="A2825" t="s">
        <v>1879</v>
      </c>
      <c r="B2825" t="s">
        <v>2646</v>
      </c>
      <c r="C2825" t="s">
        <v>1686</v>
      </c>
      <c r="D2825" t="s">
        <v>26</v>
      </c>
      <c r="E2825" s="7">
        <v>45644</v>
      </c>
      <c r="F2825" t="s">
        <v>118</v>
      </c>
      <c r="G2825">
        <v>0</v>
      </c>
      <c r="H2825" t="s">
        <v>27</v>
      </c>
      <c r="I2825" t="s">
        <v>16</v>
      </c>
      <c r="J2825" t="s">
        <v>16</v>
      </c>
      <c r="K2825" t="str">
        <f>VLOOKUP(C2825,CheckName!A:B,2,0)</f>
        <v>CRC</v>
      </c>
      <c r="L2825">
        <v>0</v>
      </c>
      <c r="M2825">
        <f t="shared" si="397"/>
        <v>18</v>
      </c>
      <c r="N2825" t="str">
        <f>TEXT(MTDRejection[[#This Row],[RejectionDate]],"dddd")</f>
        <v>Wednesday</v>
      </c>
    </row>
    <row r="2826" spans="1:14">
      <c r="A2826" t="s">
        <v>1879</v>
      </c>
      <c r="B2826" t="s">
        <v>4969</v>
      </c>
      <c r="C2826" t="s">
        <v>1686</v>
      </c>
      <c r="D2826" t="s">
        <v>26</v>
      </c>
      <c r="E2826" s="7">
        <v>45644</v>
      </c>
      <c r="F2826" t="s">
        <v>118</v>
      </c>
      <c r="G2826">
        <v>0</v>
      </c>
      <c r="H2826" t="s">
        <v>27</v>
      </c>
      <c r="I2826" t="s">
        <v>16</v>
      </c>
      <c r="J2826" t="s">
        <v>16</v>
      </c>
      <c r="K2826" t="str">
        <f>VLOOKUP(C2826,CheckName!A:B,2,0)</f>
        <v>CRC</v>
      </c>
      <c r="L2826">
        <v>0</v>
      </c>
      <c r="M2826">
        <f t="shared" si="397"/>
        <v>18</v>
      </c>
      <c r="N2826" t="str">
        <f>TEXT(MTDRejection[[#This Row],[RejectionDate]],"dddd")</f>
        <v>Wednesday</v>
      </c>
    </row>
    <row r="2827" spans="1:14">
      <c r="A2827" t="s">
        <v>1879</v>
      </c>
      <c r="B2827" t="s">
        <v>2670</v>
      </c>
      <c r="C2827" t="s">
        <v>1686</v>
      </c>
      <c r="D2827" t="s">
        <v>26</v>
      </c>
      <c r="E2827" s="7">
        <v>45644</v>
      </c>
      <c r="F2827" t="s">
        <v>118</v>
      </c>
      <c r="G2827">
        <v>0</v>
      </c>
      <c r="H2827" t="s">
        <v>27</v>
      </c>
      <c r="I2827" t="s">
        <v>16</v>
      </c>
      <c r="J2827" t="s">
        <v>16</v>
      </c>
      <c r="K2827" t="str">
        <f>VLOOKUP(C2827,CheckName!A:B,2,0)</f>
        <v>CRC</v>
      </c>
      <c r="L2827">
        <v>0</v>
      </c>
      <c r="M2827">
        <f t="shared" si="397"/>
        <v>18</v>
      </c>
      <c r="N2827" t="str">
        <f>TEXT(MTDRejection[[#This Row],[RejectionDate]],"dddd")</f>
        <v>Wednesday</v>
      </c>
    </row>
    <row r="2828" spans="1:14">
      <c r="A2828" t="s">
        <v>1879</v>
      </c>
      <c r="B2828" t="s">
        <v>5134</v>
      </c>
      <c r="C2828" t="s">
        <v>1686</v>
      </c>
      <c r="D2828" t="s">
        <v>26</v>
      </c>
      <c r="E2828" s="7">
        <v>45644</v>
      </c>
      <c r="F2828" t="s">
        <v>118</v>
      </c>
      <c r="G2828">
        <v>0</v>
      </c>
      <c r="H2828" t="s">
        <v>27</v>
      </c>
      <c r="I2828" t="s">
        <v>16</v>
      </c>
      <c r="J2828" t="s">
        <v>16</v>
      </c>
      <c r="K2828" t="str">
        <f>VLOOKUP(C2828,CheckName!A:B,2,0)</f>
        <v>CRC</v>
      </c>
      <c r="L2828">
        <v>0</v>
      </c>
      <c r="M2828">
        <f t="shared" si="397"/>
        <v>18</v>
      </c>
      <c r="N2828" t="str">
        <f>TEXT(MTDRejection[[#This Row],[RejectionDate]],"dddd")</f>
        <v>Wednesday</v>
      </c>
    </row>
    <row r="2829" spans="1:14">
      <c r="A2829" t="s">
        <v>1879</v>
      </c>
      <c r="B2829" t="s">
        <v>5135</v>
      </c>
      <c r="C2829" t="s">
        <v>1686</v>
      </c>
      <c r="D2829" t="s">
        <v>26</v>
      </c>
      <c r="E2829" s="7">
        <v>45644</v>
      </c>
      <c r="F2829" t="s">
        <v>118</v>
      </c>
      <c r="G2829">
        <v>0</v>
      </c>
      <c r="H2829" t="s">
        <v>27</v>
      </c>
      <c r="I2829" t="s">
        <v>16</v>
      </c>
      <c r="J2829" t="s">
        <v>16</v>
      </c>
      <c r="K2829" t="str">
        <f>VLOOKUP(C2829,CheckName!A:B,2,0)</f>
        <v>CRC</v>
      </c>
      <c r="L2829">
        <v>0</v>
      </c>
      <c r="M2829">
        <f t="shared" si="397"/>
        <v>18</v>
      </c>
      <c r="N2829" t="str">
        <f>TEXT(MTDRejection[[#This Row],[RejectionDate]],"dddd")</f>
        <v>Wednesday</v>
      </c>
    </row>
    <row r="2830" spans="1:14">
      <c r="A2830" t="s">
        <v>1879</v>
      </c>
      <c r="B2830" t="s">
        <v>5136</v>
      </c>
      <c r="C2830" t="s">
        <v>1686</v>
      </c>
      <c r="D2830" t="s">
        <v>26</v>
      </c>
      <c r="E2830" s="7">
        <v>45644</v>
      </c>
      <c r="F2830" t="s">
        <v>118</v>
      </c>
      <c r="G2830">
        <v>0</v>
      </c>
      <c r="H2830" t="s">
        <v>27</v>
      </c>
      <c r="I2830" t="s">
        <v>16</v>
      </c>
      <c r="J2830" t="s">
        <v>16</v>
      </c>
      <c r="K2830" t="str">
        <f>VLOOKUP(C2830,CheckName!A:B,2,0)</f>
        <v>CRC</v>
      </c>
      <c r="L2830">
        <v>0</v>
      </c>
      <c r="M2830">
        <f t="shared" si="397"/>
        <v>18</v>
      </c>
      <c r="N2830" t="str">
        <f>TEXT(MTDRejection[[#This Row],[RejectionDate]],"dddd")</f>
        <v>Wednesday</v>
      </c>
    </row>
    <row r="2831" spans="1:14">
      <c r="A2831" t="s">
        <v>1879</v>
      </c>
      <c r="B2831" t="s">
        <v>5137</v>
      </c>
      <c r="C2831" t="s">
        <v>1686</v>
      </c>
      <c r="D2831" t="s">
        <v>26</v>
      </c>
      <c r="E2831" s="7">
        <v>45644</v>
      </c>
      <c r="F2831" t="s">
        <v>118</v>
      </c>
      <c r="G2831">
        <v>0</v>
      </c>
      <c r="H2831" t="s">
        <v>27</v>
      </c>
      <c r="I2831" t="s">
        <v>16</v>
      </c>
      <c r="J2831" t="s">
        <v>16</v>
      </c>
      <c r="K2831" t="str">
        <f>VLOOKUP(C2831,CheckName!A:B,2,0)</f>
        <v>CRC</v>
      </c>
      <c r="L2831">
        <v>0</v>
      </c>
      <c r="M2831">
        <f t="shared" si="397"/>
        <v>18</v>
      </c>
      <c r="N2831" t="str">
        <f>TEXT(MTDRejection[[#This Row],[RejectionDate]],"dddd")</f>
        <v>Wednesday</v>
      </c>
    </row>
    <row r="2832" spans="1:14">
      <c r="A2832" t="s">
        <v>1879</v>
      </c>
      <c r="B2832" t="s">
        <v>5138</v>
      </c>
      <c r="C2832" t="s">
        <v>1686</v>
      </c>
      <c r="D2832" t="s">
        <v>26</v>
      </c>
      <c r="E2832" s="7">
        <v>45644</v>
      </c>
      <c r="F2832" t="s">
        <v>118</v>
      </c>
      <c r="G2832">
        <v>0</v>
      </c>
      <c r="H2832" t="s">
        <v>27</v>
      </c>
      <c r="I2832" t="s">
        <v>16</v>
      </c>
      <c r="J2832" t="s">
        <v>16</v>
      </c>
      <c r="K2832" t="str">
        <f>VLOOKUP(C2832,CheckName!A:B,2,0)</f>
        <v>CRC</v>
      </c>
      <c r="L2832">
        <v>0</v>
      </c>
      <c r="M2832">
        <f t="shared" si="397"/>
        <v>18</v>
      </c>
      <c r="N2832" t="str">
        <f>TEXT(MTDRejection[[#This Row],[RejectionDate]],"dddd")</f>
        <v>Wednesday</v>
      </c>
    </row>
    <row r="2833" spans="1:14">
      <c r="A2833" t="s">
        <v>1879</v>
      </c>
      <c r="B2833" t="s">
        <v>5139</v>
      </c>
      <c r="C2833" t="s">
        <v>1686</v>
      </c>
      <c r="D2833" t="s">
        <v>26</v>
      </c>
      <c r="E2833" s="7">
        <v>45644</v>
      </c>
      <c r="F2833" t="s">
        <v>118</v>
      </c>
      <c r="G2833">
        <v>0</v>
      </c>
      <c r="H2833" t="s">
        <v>27</v>
      </c>
      <c r="I2833" t="s">
        <v>16</v>
      </c>
      <c r="J2833" t="s">
        <v>16</v>
      </c>
      <c r="K2833" t="str">
        <f>VLOOKUP(C2833,CheckName!A:B,2,0)</f>
        <v>CRC</v>
      </c>
      <c r="L2833">
        <v>0</v>
      </c>
      <c r="M2833">
        <f t="shared" si="397"/>
        <v>18</v>
      </c>
      <c r="N2833" t="str">
        <f>TEXT(MTDRejection[[#This Row],[RejectionDate]],"dddd")</f>
        <v>Wednesday</v>
      </c>
    </row>
    <row r="2834" spans="1:14">
      <c r="A2834" t="s">
        <v>1879</v>
      </c>
      <c r="B2834" t="s">
        <v>5140</v>
      </c>
      <c r="C2834" t="s">
        <v>1686</v>
      </c>
      <c r="D2834" t="s">
        <v>26</v>
      </c>
      <c r="E2834" s="7">
        <v>45644</v>
      </c>
      <c r="F2834" t="s">
        <v>118</v>
      </c>
      <c r="G2834">
        <v>0</v>
      </c>
      <c r="H2834" t="s">
        <v>27</v>
      </c>
      <c r="I2834" t="s">
        <v>16</v>
      </c>
      <c r="J2834" t="s">
        <v>16</v>
      </c>
      <c r="K2834" t="str">
        <f>VLOOKUP(C2834,CheckName!A:B,2,0)</f>
        <v>CRC</v>
      </c>
      <c r="L2834">
        <v>0</v>
      </c>
      <c r="M2834">
        <f t="shared" si="397"/>
        <v>18</v>
      </c>
      <c r="N2834" t="str">
        <f>TEXT(MTDRejection[[#This Row],[RejectionDate]],"dddd")</f>
        <v>Wednesday</v>
      </c>
    </row>
    <row r="2835" spans="1:14">
      <c r="A2835" t="s">
        <v>1879</v>
      </c>
      <c r="B2835" t="s">
        <v>5141</v>
      </c>
      <c r="C2835" t="s">
        <v>1686</v>
      </c>
      <c r="D2835" t="s">
        <v>26</v>
      </c>
      <c r="E2835" s="7">
        <v>45644</v>
      </c>
      <c r="F2835" t="s">
        <v>118</v>
      </c>
      <c r="G2835">
        <v>0</v>
      </c>
      <c r="H2835" t="s">
        <v>27</v>
      </c>
      <c r="I2835" t="s">
        <v>16</v>
      </c>
      <c r="J2835" t="s">
        <v>16</v>
      </c>
      <c r="K2835" t="str">
        <f>VLOOKUP(C2835,CheckName!A:B,2,0)</f>
        <v>CRC</v>
      </c>
      <c r="L2835">
        <v>0</v>
      </c>
      <c r="M2835">
        <f t="shared" si="397"/>
        <v>18</v>
      </c>
      <c r="N2835" t="str">
        <f>TEXT(MTDRejection[[#This Row],[RejectionDate]],"dddd")</f>
        <v>Wednesday</v>
      </c>
    </row>
    <row r="2836" spans="1:14">
      <c r="A2836" t="s">
        <v>1879</v>
      </c>
      <c r="B2836" t="s">
        <v>5142</v>
      </c>
      <c r="C2836" t="s">
        <v>1686</v>
      </c>
      <c r="D2836" t="s">
        <v>26</v>
      </c>
      <c r="E2836" s="7">
        <v>45644</v>
      </c>
      <c r="F2836" t="s">
        <v>118</v>
      </c>
      <c r="G2836">
        <v>0</v>
      </c>
      <c r="H2836" t="s">
        <v>27</v>
      </c>
      <c r="I2836" t="s">
        <v>16</v>
      </c>
      <c r="J2836" t="s">
        <v>16</v>
      </c>
      <c r="K2836" t="str">
        <f>VLOOKUP(C2836,CheckName!A:B,2,0)</f>
        <v>CRC</v>
      </c>
      <c r="L2836">
        <v>0</v>
      </c>
      <c r="M2836">
        <f t="shared" si="397"/>
        <v>18</v>
      </c>
      <c r="N2836" t="str">
        <f>TEXT(MTDRejection[[#This Row],[RejectionDate]],"dddd")</f>
        <v>Wednesday</v>
      </c>
    </row>
    <row r="2837" spans="1:14">
      <c r="A2837" t="s">
        <v>1879</v>
      </c>
      <c r="B2837" t="s">
        <v>5091</v>
      </c>
      <c r="C2837" t="s">
        <v>1686</v>
      </c>
      <c r="D2837" t="s">
        <v>26</v>
      </c>
      <c r="E2837" s="7">
        <v>45644</v>
      </c>
      <c r="F2837" t="s">
        <v>118</v>
      </c>
      <c r="G2837">
        <v>0</v>
      </c>
      <c r="H2837" t="s">
        <v>27</v>
      </c>
      <c r="I2837" t="s">
        <v>16</v>
      </c>
      <c r="J2837" t="s">
        <v>16</v>
      </c>
      <c r="K2837" t="str">
        <f>VLOOKUP(C2837,CheckName!A:B,2,0)</f>
        <v>CRC</v>
      </c>
      <c r="L2837">
        <v>0</v>
      </c>
      <c r="M2837">
        <f t="shared" si="397"/>
        <v>18</v>
      </c>
      <c r="N2837" t="str">
        <f>TEXT(MTDRejection[[#This Row],[RejectionDate]],"dddd")</f>
        <v>Wednesday</v>
      </c>
    </row>
    <row r="2838" spans="1:14">
      <c r="A2838" t="s">
        <v>1879</v>
      </c>
      <c r="B2838" t="s">
        <v>2663</v>
      </c>
      <c r="C2838" t="s">
        <v>1686</v>
      </c>
      <c r="D2838" t="s">
        <v>26</v>
      </c>
      <c r="E2838" s="7">
        <v>45644</v>
      </c>
      <c r="F2838" t="s">
        <v>118</v>
      </c>
      <c r="G2838">
        <v>0</v>
      </c>
      <c r="H2838" t="s">
        <v>27</v>
      </c>
      <c r="I2838" t="s">
        <v>16</v>
      </c>
      <c r="J2838" t="s">
        <v>16</v>
      </c>
      <c r="K2838" t="str">
        <f>VLOOKUP(C2838,CheckName!A:B,2,0)</f>
        <v>CRC</v>
      </c>
      <c r="L2838">
        <v>0</v>
      </c>
      <c r="M2838">
        <f t="shared" si="397"/>
        <v>18</v>
      </c>
      <c r="N2838" t="str">
        <f>TEXT(MTDRejection[[#This Row],[RejectionDate]],"dddd")</f>
        <v>Wednesday</v>
      </c>
    </row>
    <row r="2839" spans="1:14">
      <c r="A2839" t="s">
        <v>1879</v>
      </c>
      <c r="B2839" t="s">
        <v>1988</v>
      </c>
      <c r="C2839" t="s">
        <v>1686</v>
      </c>
      <c r="D2839" t="s">
        <v>26</v>
      </c>
      <c r="E2839" s="7">
        <v>45644</v>
      </c>
      <c r="F2839" t="s">
        <v>118</v>
      </c>
      <c r="G2839">
        <v>0</v>
      </c>
      <c r="H2839" t="s">
        <v>27</v>
      </c>
      <c r="I2839" t="s">
        <v>16</v>
      </c>
      <c r="J2839" t="s">
        <v>16</v>
      </c>
      <c r="K2839" t="str">
        <f>VLOOKUP(C2839,CheckName!A:B,2,0)</f>
        <v>CRC</v>
      </c>
      <c r="L2839">
        <v>0</v>
      </c>
      <c r="M2839">
        <f t="shared" si="397"/>
        <v>18</v>
      </c>
      <c r="N2839" t="str">
        <f>TEXT(MTDRejection[[#This Row],[RejectionDate]],"dddd")</f>
        <v>Wednesday</v>
      </c>
    </row>
    <row r="2840" spans="1:14">
      <c r="A2840" t="s">
        <v>1879</v>
      </c>
      <c r="B2840" t="s">
        <v>5143</v>
      </c>
      <c r="C2840" t="s">
        <v>1686</v>
      </c>
      <c r="D2840" t="s">
        <v>26</v>
      </c>
      <c r="E2840" s="7">
        <v>45644</v>
      </c>
      <c r="F2840" t="s">
        <v>118</v>
      </c>
      <c r="G2840">
        <v>0</v>
      </c>
      <c r="H2840" t="s">
        <v>27</v>
      </c>
      <c r="I2840" t="s">
        <v>16</v>
      </c>
      <c r="J2840" t="s">
        <v>16</v>
      </c>
      <c r="K2840" t="str">
        <f>VLOOKUP(C2840,CheckName!A:B,2,0)</f>
        <v>CRC</v>
      </c>
      <c r="L2840">
        <v>0</v>
      </c>
      <c r="M2840">
        <f t="shared" si="397"/>
        <v>18</v>
      </c>
      <c r="N2840" t="str">
        <f>TEXT(MTDRejection[[#This Row],[RejectionDate]],"dddd")</f>
        <v>Wednesday</v>
      </c>
    </row>
    <row r="2841" spans="1:14">
      <c r="A2841" t="s">
        <v>1879</v>
      </c>
      <c r="B2841" t="s">
        <v>5144</v>
      </c>
      <c r="C2841" t="s">
        <v>1686</v>
      </c>
      <c r="D2841" t="s">
        <v>26</v>
      </c>
      <c r="E2841" s="7">
        <v>45644</v>
      </c>
      <c r="F2841" t="s">
        <v>118</v>
      </c>
      <c r="G2841">
        <v>0</v>
      </c>
      <c r="H2841" t="s">
        <v>27</v>
      </c>
      <c r="I2841" t="s">
        <v>16</v>
      </c>
      <c r="J2841" t="s">
        <v>16</v>
      </c>
      <c r="K2841" t="str">
        <f>VLOOKUP(C2841,CheckName!A:B,2,0)</f>
        <v>CRC</v>
      </c>
      <c r="L2841">
        <v>0</v>
      </c>
      <c r="M2841">
        <f t="shared" si="397"/>
        <v>18</v>
      </c>
      <c r="N2841" t="str">
        <f>TEXT(MTDRejection[[#This Row],[RejectionDate]],"dddd")</f>
        <v>Wednesday</v>
      </c>
    </row>
    <row r="2842" spans="1:14">
      <c r="A2842" t="s">
        <v>1879</v>
      </c>
      <c r="B2842" t="s">
        <v>5145</v>
      </c>
      <c r="C2842" t="s">
        <v>1686</v>
      </c>
      <c r="D2842" t="s">
        <v>26</v>
      </c>
      <c r="E2842" s="7">
        <v>45644</v>
      </c>
      <c r="F2842" t="s">
        <v>118</v>
      </c>
      <c r="G2842">
        <v>0</v>
      </c>
      <c r="H2842" t="s">
        <v>27</v>
      </c>
      <c r="I2842" t="s">
        <v>16</v>
      </c>
      <c r="J2842" t="s">
        <v>16</v>
      </c>
      <c r="K2842" t="str">
        <f>VLOOKUP(C2842,CheckName!A:B,2,0)</f>
        <v>CRC</v>
      </c>
      <c r="L2842">
        <v>0</v>
      </c>
      <c r="M2842">
        <f t="shared" si="397"/>
        <v>18</v>
      </c>
      <c r="N2842" t="str">
        <f>TEXT(MTDRejection[[#This Row],[RejectionDate]],"dddd")</f>
        <v>Wednesday</v>
      </c>
    </row>
    <row r="2843" spans="1:14">
      <c r="A2843" t="s">
        <v>1879</v>
      </c>
      <c r="B2843" t="s">
        <v>5146</v>
      </c>
      <c r="C2843" t="s">
        <v>1686</v>
      </c>
      <c r="D2843" t="s">
        <v>26</v>
      </c>
      <c r="E2843" s="7">
        <v>45644</v>
      </c>
      <c r="F2843" t="s">
        <v>118</v>
      </c>
      <c r="G2843">
        <v>0</v>
      </c>
      <c r="H2843" t="s">
        <v>27</v>
      </c>
      <c r="I2843" t="s">
        <v>16</v>
      </c>
      <c r="J2843" t="s">
        <v>16</v>
      </c>
      <c r="K2843" t="str">
        <f>VLOOKUP(C2843,CheckName!A:B,2,0)</f>
        <v>CRC</v>
      </c>
      <c r="L2843">
        <v>0</v>
      </c>
      <c r="M2843">
        <f t="shared" si="397"/>
        <v>18</v>
      </c>
      <c r="N2843" t="str">
        <f>TEXT(MTDRejection[[#This Row],[RejectionDate]],"dddd")</f>
        <v>Wednesday</v>
      </c>
    </row>
    <row r="2844" spans="1:14">
      <c r="A2844" t="s">
        <v>1879</v>
      </c>
      <c r="B2844" t="s">
        <v>4979</v>
      </c>
      <c r="C2844" t="s">
        <v>1686</v>
      </c>
      <c r="D2844" t="s">
        <v>26</v>
      </c>
      <c r="E2844" s="7">
        <v>45644</v>
      </c>
      <c r="F2844" t="s">
        <v>118</v>
      </c>
      <c r="G2844">
        <v>0</v>
      </c>
      <c r="H2844" t="s">
        <v>27</v>
      </c>
      <c r="I2844" t="s">
        <v>16</v>
      </c>
      <c r="J2844" t="s">
        <v>16</v>
      </c>
      <c r="K2844" t="str">
        <f>VLOOKUP(C2844,CheckName!A:B,2,0)</f>
        <v>CRC</v>
      </c>
      <c r="L2844">
        <v>0</v>
      </c>
      <c r="M2844">
        <f t="shared" si="397"/>
        <v>18</v>
      </c>
      <c r="N2844" t="str">
        <f>TEXT(MTDRejection[[#This Row],[RejectionDate]],"dddd")</f>
        <v>Wednesday</v>
      </c>
    </row>
    <row r="2845" spans="1:14">
      <c r="A2845" t="s">
        <v>1879</v>
      </c>
      <c r="B2845" t="s">
        <v>5147</v>
      </c>
      <c r="C2845" t="s">
        <v>1686</v>
      </c>
      <c r="D2845" t="s">
        <v>26</v>
      </c>
      <c r="E2845" s="7">
        <v>45644</v>
      </c>
      <c r="F2845" t="s">
        <v>118</v>
      </c>
      <c r="G2845">
        <v>0</v>
      </c>
      <c r="H2845" t="s">
        <v>27</v>
      </c>
      <c r="I2845" t="s">
        <v>16</v>
      </c>
      <c r="J2845" t="s">
        <v>16</v>
      </c>
      <c r="K2845" t="str">
        <f>VLOOKUP(C2845,CheckName!A:B,2,0)</f>
        <v>CRC</v>
      </c>
      <c r="L2845">
        <v>0</v>
      </c>
      <c r="M2845">
        <f t="shared" si="397"/>
        <v>18</v>
      </c>
      <c r="N2845" t="str">
        <f>TEXT(MTDRejection[[#This Row],[RejectionDate]],"dddd")</f>
        <v>Wednesday</v>
      </c>
    </row>
    <row r="2846" spans="1:14">
      <c r="A2846" t="s">
        <v>1879</v>
      </c>
      <c r="B2846" t="s">
        <v>5148</v>
      </c>
      <c r="C2846" t="s">
        <v>1686</v>
      </c>
      <c r="D2846" t="s">
        <v>26</v>
      </c>
      <c r="E2846" s="7">
        <v>45644</v>
      </c>
      <c r="F2846" t="s">
        <v>118</v>
      </c>
      <c r="G2846">
        <v>0</v>
      </c>
      <c r="H2846" t="s">
        <v>27</v>
      </c>
      <c r="I2846" t="s">
        <v>16</v>
      </c>
      <c r="J2846" t="s">
        <v>16</v>
      </c>
      <c r="K2846" t="str">
        <f>VLOOKUP(C2846,CheckName!A:B,2,0)</f>
        <v>CRC</v>
      </c>
      <c r="L2846">
        <v>0</v>
      </c>
      <c r="M2846">
        <f t="shared" si="397"/>
        <v>18</v>
      </c>
      <c r="N2846" t="str">
        <f>TEXT(MTDRejection[[#This Row],[RejectionDate]],"dddd")</f>
        <v>Wednesday</v>
      </c>
    </row>
    <row r="2847" spans="1:14">
      <c r="A2847" t="s">
        <v>1879</v>
      </c>
      <c r="B2847" t="s">
        <v>5094</v>
      </c>
      <c r="C2847" t="s">
        <v>1686</v>
      </c>
      <c r="D2847" t="s">
        <v>26</v>
      </c>
      <c r="E2847" s="7">
        <v>45644</v>
      </c>
      <c r="F2847" t="s">
        <v>118</v>
      </c>
      <c r="G2847">
        <v>0</v>
      </c>
      <c r="H2847" t="s">
        <v>27</v>
      </c>
      <c r="I2847" t="s">
        <v>16</v>
      </c>
      <c r="J2847" t="s">
        <v>16</v>
      </c>
      <c r="K2847" t="str">
        <f>VLOOKUP(C2847,CheckName!A:B,2,0)</f>
        <v>CRC</v>
      </c>
      <c r="L2847">
        <v>0</v>
      </c>
      <c r="M2847">
        <f t="shared" si="397"/>
        <v>18</v>
      </c>
      <c r="N2847" t="str">
        <f>TEXT(MTDRejection[[#This Row],[RejectionDate]],"dddd")</f>
        <v>Wednesday</v>
      </c>
    </row>
    <row r="2848" spans="1:14">
      <c r="A2848" t="s">
        <v>1879</v>
      </c>
      <c r="B2848" t="s">
        <v>5149</v>
      </c>
      <c r="C2848" t="s">
        <v>1686</v>
      </c>
      <c r="D2848" t="s">
        <v>26</v>
      </c>
      <c r="E2848" s="7">
        <v>45644</v>
      </c>
      <c r="F2848" t="s">
        <v>118</v>
      </c>
      <c r="G2848">
        <v>0</v>
      </c>
      <c r="H2848" t="s">
        <v>27</v>
      </c>
      <c r="I2848" t="s">
        <v>16</v>
      </c>
      <c r="J2848" t="s">
        <v>16</v>
      </c>
      <c r="K2848" t="str">
        <f>VLOOKUP(C2848,CheckName!A:B,2,0)</f>
        <v>CRC</v>
      </c>
      <c r="L2848">
        <v>0</v>
      </c>
      <c r="M2848">
        <f t="shared" si="397"/>
        <v>18</v>
      </c>
      <c r="N2848" t="str">
        <f>TEXT(MTDRejection[[#This Row],[RejectionDate]],"dddd")</f>
        <v>Wednesday</v>
      </c>
    </row>
    <row r="2849" spans="1:14">
      <c r="A2849" t="s">
        <v>1879</v>
      </c>
      <c r="B2849" t="s">
        <v>5150</v>
      </c>
      <c r="C2849" t="s">
        <v>1686</v>
      </c>
      <c r="D2849" t="s">
        <v>26</v>
      </c>
      <c r="E2849" s="7">
        <v>45644</v>
      </c>
      <c r="F2849" t="s">
        <v>118</v>
      </c>
      <c r="G2849">
        <v>0</v>
      </c>
      <c r="H2849" t="s">
        <v>27</v>
      </c>
      <c r="I2849" t="s">
        <v>16</v>
      </c>
      <c r="J2849" t="s">
        <v>16</v>
      </c>
      <c r="K2849" t="str">
        <f>VLOOKUP(C2849,CheckName!A:B,2,0)</f>
        <v>CRC</v>
      </c>
      <c r="L2849">
        <v>0</v>
      </c>
      <c r="M2849">
        <f t="shared" si="397"/>
        <v>18</v>
      </c>
      <c r="N2849" t="str">
        <f>TEXT(MTDRejection[[#This Row],[RejectionDate]],"dddd")</f>
        <v>Wednesday</v>
      </c>
    </row>
    <row r="2850" spans="1:14">
      <c r="A2850" t="s">
        <v>1879</v>
      </c>
      <c r="B2850" t="s">
        <v>5151</v>
      </c>
      <c r="C2850" t="s">
        <v>1686</v>
      </c>
      <c r="D2850" t="s">
        <v>26</v>
      </c>
      <c r="E2850" s="7">
        <v>45644</v>
      </c>
      <c r="F2850" t="s">
        <v>118</v>
      </c>
      <c r="G2850">
        <v>0</v>
      </c>
      <c r="H2850" t="s">
        <v>27</v>
      </c>
      <c r="I2850" t="s">
        <v>16</v>
      </c>
      <c r="J2850" t="s">
        <v>16</v>
      </c>
      <c r="K2850" t="str">
        <f>VLOOKUP(C2850,CheckName!A:B,2,0)</f>
        <v>CRC</v>
      </c>
      <c r="L2850">
        <v>0</v>
      </c>
      <c r="M2850">
        <f t="shared" si="397"/>
        <v>18</v>
      </c>
      <c r="N2850" t="str">
        <f>TEXT(MTDRejection[[#This Row],[RejectionDate]],"dddd")</f>
        <v>Wednesday</v>
      </c>
    </row>
    <row r="2851" spans="1:14">
      <c r="A2851" t="s">
        <v>1879</v>
      </c>
      <c r="B2851" t="s">
        <v>5152</v>
      </c>
      <c r="C2851" t="s">
        <v>1686</v>
      </c>
      <c r="D2851" t="s">
        <v>26</v>
      </c>
      <c r="E2851" s="7">
        <v>45644</v>
      </c>
      <c r="F2851" t="s">
        <v>118</v>
      </c>
      <c r="G2851">
        <v>0</v>
      </c>
      <c r="H2851" t="s">
        <v>27</v>
      </c>
      <c r="I2851" t="s">
        <v>16</v>
      </c>
      <c r="J2851" t="s">
        <v>16</v>
      </c>
      <c r="K2851" t="str">
        <f>VLOOKUP(C2851,CheckName!A:B,2,0)</f>
        <v>CRC</v>
      </c>
      <c r="L2851">
        <v>0</v>
      </c>
      <c r="M2851">
        <f t="shared" si="397"/>
        <v>18</v>
      </c>
      <c r="N2851" t="str">
        <f>TEXT(MTDRejection[[#This Row],[RejectionDate]],"dddd")</f>
        <v>Wednesday</v>
      </c>
    </row>
    <row r="2852" spans="1:14">
      <c r="A2852" t="s">
        <v>1879</v>
      </c>
      <c r="B2852" t="s">
        <v>5153</v>
      </c>
      <c r="C2852" t="s">
        <v>1686</v>
      </c>
      <c r="D2852" t="s">
        <v>26</v>
      </c>
      <c r="E2852" s="7">
        <v>45644</v>
      </c>
      <c r="F2852" t="s">
        <v>118</v>
      </c>
      <c r="G2852">
        <v>0</v>
      </c>
      <c r="H2852" t="s">
        <v>27</v>
      </c>
      <c r="I2852" t="s">
        <v>16</v>
      </c>
      <c r="J2852" t="s">
        <v>16</v>
      </c>
      <c r="K2852" t="str">
        <f>VLOOKUP(C2852,CheckName!A:B,2,0)</f>
        <v>CRC</v>
      </c>
      <c r="L2852">
        <v>0</v>
      </c>
      <c r="M2852">
        <f t="shared" si="397"/>
        <v>18</v>
      </c>
      <c r="N2852" t="str">
        <f>TEXT(MTDRejection[[#This Row],[RejectionDate]],"dddd")</f>
        <v>Wednesday</v>
      </c>
    </row>
    <row r="2853" spans="1:14">
      <c r="A2853" t="s">
        <v>1879</v>
      </c>
      <c r="B2853" t="s">
        <v>5154</v>
      </c>
      <c r="C2853" t="s">
        <v>1686</v>
      </c>
      <c r="D2853" t="s">
        <v>26</v>
      </c>
      <c r="E2853" s="7">
        <v>45644</v>
      </c>
      <c r="F2853" t="s">
        <v>118</v>
      </c>
      <c r="G2853">
        <v>0</v>
      </c>
      <c r="H2853" t="s">
        <v>27</v>
      </c>
      <c r="I2853" t="s">
        <v>16</v>
      </c>
      <c r="J2853" t="s">
        <v>16</v>
      </c>
      <c r="K2853" t="str">
        <f>VLOOKUP(C2853,CheckName!A:B,2,0)</f>
        <v>CRC</v>
      </c>
      <c r="L2853">
        <v>0</v>
      </c>
      <c r="M2853">
        <f t="shared" si="397"/>
        <v>18</v>
      </c>
      <c r="N2853" t="str">
        <f>TEXT(MTDRejection[[#This Row],[RejectionDate]],"dddd")</f>
        <v>Wednesday</v>
      </c>
    </row>
    <row r="2854" spans="1:14">
      <c r="A2854" t="s">
        <v>1879</v>
      </c>
      <c r="B2854" t="s">
        <v>5088</v>
      </c>
      <c r="C2854" t="s">
        <v>1686</v>
      </c>
      <c r="D2854" t="s">
        <v>26</v>
      </c>
      <c r="E2854" s="7">
        <v>45644</v>
      </c>
      <c r="F2854" t="s">
        <v>118</v>
      </c>
      <c r="G2854">
        <v>0</v>
      </c>
      <c r="H2854" t="s">
        <v>27</v>
      </c>
      <c r="I2854" t="s">
        <v>16</v>
      </c>
      <c r="J2854" t="s">
        <v>16</v>
      </c>
      <c r="K2854" t="str">
        <f>VLOOKUP(C2854,CheckName!A:B,2,0)</f>
        <v>CRC</v>
      </c>
      <c r="L2854">
        <v>0</v>
      </c>
      <c r="M2854">
        <f t="shared" si="397"/>
        <v>18</v>
      </c>
      <c r="N2854" t="str">
        <f>TEXT(MTDRejection[[#This Row],[RejectionDate]],"dddd")</f>
        <v>Wednesday</v>
      </c>
    </row>
    <row r="2855" spans="1:14">
      <c r="A2855" t="s">
        <v>1879</v>
      </c>
      <c r="B2855" t="s">
        <v>5155</v>
      </c>
      <c r="C2855" t="s">
        <v>1686</v>
      </c>
      <c r="D2855" t="s">
        <v>26</v>
      </c>
      <c r="E2855" s="7">
        <v>45644</v>
      </c>
      <c r="F2855" t="s">
        <v>118</v>
      </c>
      <c r="G2855">
        <v>0</v>
      </c>
      <c r="H2855" t="s">
        <v>27</v>
      </c>
      <c r="I2855" t="s">
        <v>16</v>
      </c>
      <c r="J2855" t="s">
        <v>16</v>
      </c>
      <c r="K2855" t="str">
        <f>VLOOKUP(C2855,CheckName!A:B,2,0)</f>
        <v>CRC</v>
      </c>
      <c r="L2855">
        <v>0</v>
      </c>
      <c r="M2855">
        <f t="shared" si="397"/>
        <v>18</v>
      </c>
      <c r="N2855" t="str">
        <f>TEXT(MTDRejection[[#This Row],[RejectionDate]],"dddd")</f>
        <v>Wednesday</v>
      </c>
    </row>
    <row r="2856" spans="1:14">
      <c r="A2856" t="s">
        <v>1879</v>
      </c>
      <c r="B2856" t="s">
        <v>5156</v>
      </c>
      <c r="C2856" t="s">
        <v>1686</v>
      </c>
      <c r="D2856" t="s">
        <v>26</v>
      </c>
      <c r="E2856" s="7">
        <v>45644</v>
      </c>
      <c r="F2856" t="s">
        <v>118</v>
      </c>
      <c r="G2856">
        <v>0</v>
      </c>
      <c r="H2856" t="s">
        <v>27</v>
      </c>
      <c r="I2856" t="s">
        <v>16</v>
      </c>
      <c r="J2856" t="s">
        <v>16</v>
      </c>
      <c r="K2856" t="str">
        <f>VLOOKUP(C2856,CheckName!A:B,2,0)</f>
        <v>CRC</v>
      </c>
      <c r="L2856">
        <v>0</v>
      </c>
      <c r="M2856">
        <f t="shared" si="397"/>
        <v>18</v>
      </c>
      <c r="N2856" t="str">
        <f>TEXT(MTDRejection[[#This Row],[RejectionDate]],"dddd")</f>
        <v>Wednesday</v>
      </c>
    </row>
    <row r="2857" spans="1:14">
      <c r="A2857" t="s">
        <v>1879</v>
      </c>
      <c r="B2857" t="s">
        <v>5157</v>
      </c>
      <c r="C2857" t="s">
        <v>1686</v>
      </c>
      <c r="D2857" t="s">
        <v>26</v>
      </c>
      <c r="E2857" s="7">
        <v>45644</v>
      </c>
      <c r="F2857" t="s">
        <v>118</v>
      </c>
      <c r="G2857">
        <v>0</v>
      </c>
      <c r="H2857" t="s">
        <v>27</v>
      </c>
      <c r="I2857" t="s">
        <v>16</v>
      </c>
      <c r="J2857" t="s">
        <v>16</v>
      </c>
      <c r="K2857" t="str">
        <f>VLOOKUP(C2857,CheckName!A:B,2,0)</f>
        <v>CRC</v>
      </c>
      <c r="L2857">
        <v>0</v>
      </c>
      <c r="M2857">
        <f t="shared" si="397"/>
        <v>18</v>
      </c>
      <c r="N2857" t="str">
        <f>TEXT(MTDRejection[[#This Row],[RejectionDate]],"dddd")</f>
        <v>Wednesday</v>
      </c>
    </row>
    <row r="2858" spans="1:14">
      <c r="A2858" t="s">
        <v>1879</v>
      </c>
      <c r="B2858" t="s">
        <v>1969</v>
      </c>
      <c r="C2858" t="s">
        <v>1686</v>
      </c>
      <c r="D2858" t="s">
        <v>26</v>
      </c>
      <c r="E2858" s="7">
        <v>45644</v>
      </c>
      <c r="F2858" t="s">
        <v>118</v>
      </c>
      <c r="G2858">
        <v>0</v>
      </c>
      <c r="H2858" t="s">
        <v>27</v>
      </c>
      <c r="I2858" t="s">
        <v>16</v>
      </c>
      <c r="J2858" t="s">
        <v>16</v>
      </c>
      <c r="K2858" t="str">
        <f>VLOOKUP(C2858,CheckName!A:B,2,0)</f>
        <v>CRC</v>
      </c>
      <c r="L2858">
        <v>0</v>
      </c>
      <c r="M2858">
        <f t="shared" si="397"/>
        <v>18</v>
      </c>
      <c r="N2858" t="str">
        <f>TEXT(MTDRejection[[#This Row],[RejectionDate]],"dddd")</f>
        <v>Wednesday</v>
      </c>
    </row>
    <row r="2859" spans="1:14">
      <c r="A2859" t="s">
        <v>1879</v>
      </c>
      <c r="B2859" t="s">
        <v>5158</v>
      </c>
      <c r="C2859" t="s">
        <v>1686</v>
      </c>
      <c r="D2859" t="s">
        <v>26</v>
      </c>
      <c r="E2859" s="7">
        <v>45644</v>
      </c>
      <c r="F2859" t="s">
        <v>118</v>
      </c>
      <c r="G2859">
        <v>0</v>
      </c>
      <c r="H2859" t="s">
        <v>27</v>
      </c>
      <c r="I2859" t="s">
        <v>16</v>
      </c>
      <c r="J2859" t="s">
        <v>16</v>
      </c>
      <c r="K2859" t="str">
        <f>VLOOKUP(C2859,CheckName!A:B,2,0)</f>
        <v>CRC</v>
      </c>
      <c r="L2859">
        <v>0</v>
      </c>
      <c r="M2859">
        <f t="shared" si="397"/>
        <v>18</v>
      </c>
      <c r="N2859" t="str">
        <f>TEXT(MTDRejection[[#This Row],[RejectionDate]],"dddd")</f>
        <v>Wednesday</v>
      </c>
    </row>
    <row r="2860" spans="1:14">
      <c r="A2860" t="s">
        <v>1879</v>
      </c>
      <c r="B2860" t="s">
        <v>2632</v>
      </c>
      <c r="C2860" t="s">
        <v>1686</v>
      </c>
      <c r="D2860" t="s">
        <v>26</v>
      </c>
      <c r="E2860" s="7">
        <v>45644</v>
      </c>
      <c r="F2860" t="s">
        <v>118</v>
      </c>
      <c r="G2860">
        <v>0</v>
      </c>
      <c r="H2860" t="s">
        <v>27</v>
      </c>
      <c r="I2860" t="s">
        <v>16</v>
      </c>
      <c r="J2860" t="s">
        <v>16</v>
      </c>
      <c r="K2860" t="str">
        <f>VLOOKUP(C2860,CheckName!A:B,2,0)</f>
        <v>CRC</v>
      </c>
      <c r="L2860">
        <v>0</v>
      </c>
      <c r="M2860">
        <f t="shared" si="397"/>
        <v>18</v>
      </c>
      <c r="N2860" t="str">
        <f>TEXT(MTDRejection[[#This Row],[RejectionDate]],"dddd")</f>
        <v>Wednesday</v>
      </c>
    </row>
    <row r="2861" spans="1:14">
      <c r="A2861" t="s">
        <v>1879</v>
      </c>
      <c r="B2861" t="s">
        <v>2000</v>
      </c>
      <c r="C2861" t="s">
        <v>1686</v>
      </c>
      <c r="D2861" t="s">
        <v>26</v>
      </c>
      <c r="E2861" s="7">
        <v>45644</v>
      </c>
      <c r="F2861" t="s">
        <v>118</v>
      </c>
      <c r="G2861">
        <v>0</v>
      </c>
      <c r="H2861" t="s">
        <v>27</v>
      </c>
      <c r="I2861" t="s">
        <v>16</v>
      </c>
      <c r="J2861" t="s">
        <v>16</v>
      </c>
      <c r="K2861" t="str">
        <f>VLOOKUP(C2861,CheckName!A:B,2,0)</f>
        <v>CRC</v>
      </c>
      <c r="L2861">
        <v>0</v>
      </c>
      <c r="M2861">
        <f t="shared" si="397"/>
        <v>18</v>
      </c>
      <c r="N2861" t="str">
        <f>TEXT(MTDRejection[[#This Row],[RejectionDate]],"dddd")</f>
        <v>Wednesday</v>
      </c>
    </row>
    <row r="2862" spans="1:14">
      <c r="A2862" t="s">
        <v>1879</v>
      </c>
      <c r="B2862" t="s">
        <v>5159</v>
      </c>
      <c r="C2862" t="s">
        <v>1686</v>
      </c>
      <c r="D2862" t="s">
        <v>26</v>
      </c>
      <c r="E2862" s="7">
        <v>45644</v>
      </c>
      <c r="F2862" t="s">
        <v>118</v>
      </c>
      <c r="G2862">
        <v>0</v>
      </c>
      <c r="H2862" t="s">
        <v>27</v>
      </c>
      <c r="I2862" t="s">
        <v>16</v>
      </c>
      <c r="J2862" t="s">
        <v>16</v>
      </c>
      <c r="K2862" t="str">
        <f>VLOOKUP(C2862,CheckName!A:B,2,0)</f>
        <v>CRC</v>
      </c>
      <c r="L2862">
        <v>0</v>
      </c>
      <c r="M2862">
        <f t="shared" si="397"/>
        <v>18</v>
      </c>
      <c r="N2862" t="str">
        <f>TEXT(MTDRejection[[#This Row],[RejectionDate]],"dddd")</f>
        <v>Wednesday</v>
      </c>
    </row>
    <row r="2863" spans="1:14">
      <c r="A2863" t="s">
        <v>1879</v>
      </c>
      <c r="B2863" t="s">
        <v>1990</v>
      </c>
      <c r="C2863" t="s">
        <v>1686</v>
      </c>
      <c r="D2863" t="s">
        <v>26</v>
      </c>
      <c r="E2863" s="7">
        <v>45644</v>
      </c>
      <c r="F2863" t="s">
        <v>118</v>
      </c>
      <c r="G2863">
        <v>0</v>
      </c>
      <c r="H2863" t="s">
        <v>27</v>
      </c>
      <c r="I2863" t="s">
        <v>16</v>
      </c>
      <c r="J2863" t="s">
        <v>16</v>
      </c>
      <c r="K2863" t="str">
        <f>VLOOKUP(C2863,CheckName!A:B,2,0)</f>
        <v>CRC</v>
      </c>
      <c r="L2863">
        <v>0</v>
      </c>
      <c r="M2863">
        <f t="shared" si="397"/>
        <v>18</v>
      </c>
      <c r="N2863" t="str">
        <f>TEXT(MTDRejection[[#This Row],[RejectionDate]],"dddd")</f>
        <v>Wednesday</v>
      </c>
    </row>
    <row r="2864" spans="1:14">
      <c r="A2864" t="s">
        <v>1879</v>
      </c>
      <c r="B2864" t="s">
        <v>5160</v>
      </c>
      <c r="C2864" t="s">
        <v>1686</v>
      </c>
      <c r="D2864" t="s">
        <v>26</v>
      </c>
      <c r="E2864" s="7">
        <v>45644</v>
      </c>
      <c r="F2864" t="s">
        <v>118</v>
      </c>
      <c r="G2864">
        <v>0</v>
      </c>
      <c r="H2864" t="s">
        <v>27</v>
      </c>
      <c r="I2864" t="s">
        <v>16</v>
      </c>
      <c r="J2864" t="s">
        <v>16</v>
      </c>
      <c r="K2864" t="str">
        <f>VLOOKUP(C2864,CheckName!A:B,2,0)</f>
        <v>CRC</v>
      </c>
      <c r="L2864">
        <v>0</v>
      </c>
      <c r="M2864">
        <f t="shared" si="397"/>
        <v>18</v>
      </c>
      <c r="N2864" t="str">
        <f>TEXT(MTDRejection[[#This Row],[RejectionDate]],"dddd")</f>
        <v>Wednesday</v>
      </c>
    </row>
    <row r="2865" spans="1:14">
      <c r="A2865" t="s">
        <v>1879</v>
      </c>
      <c r="B2865" t="s">
        <v>5161</v>
      </c>
      <c r="C2865" t="s">
        <v>1686</v>
      </c>
      <c r="D2865" t="s">
        <v>26</v>
      </c>
      <c r="E2865" s="7">
        <v>45644</v>
      </c>
      <c r="F2865" t="s">
        <v>118</v>
      </c>
      <c r="G2865">
        <v>0</v>
      </c>
      <c r="H2865" t="s">
        <v>27</v>
      </c>
      <c r="I2865" t="s">
        <v>16</v>
      </c>
      <c r="J2865" t="s">
        <v>16</v>
      </c>
      <c r="K2865" t="str">
        <f>VLOOKUP(C2865,CheckName!A:B,2,0)</f>
        <v>CRC</v>
      </c>
      <c r="L2865">
        <v>0</v>
      </c>
      <c r="M2865">
        <f t="shared" si="397"/>
        <v>18</v>
      </c>
      <c r="N2865" t="str">
        <f>TEXT(MTDRejection[[#This Row],[RejectionDate]],"dddd")</f>
        <v>Wednesday</v>
      </c>
    </row>
    <row r="2866" spans="1:14">
      <c r="A2866" t="s">
        <v>1879</v>
      </c>
      <c r="B2866" t="s">
        <v>5162</v>
      </c>
      <c r="C2866" t="s">
        <v>1686</v>
      </c>
      <c r="D2866" t="s">
        <v>26</v>
      </c>
      <c r="E2866" s="7">
        <v>45644</v>
      </c>
      <c r="F2866" t="s">
        <v>118</v>
      </c>
      <c r="G2866">
        <v>0</v>
      </c>
      <c r="H2866" t="s">
        <v>27</v>
      </c>
      <c r="I2866" t="s">
        <v>16</v>
      </c>
      <c r="J2866" t="s">
        <v>16</v>
      </c>
      <c r="K2866" t="str">
        <f>VLOOKUP(C2866,CheckName!A:B,2,0)</f>
        <v>CRC</v>
      </c>
      <c r="L2866">
        <v>0</v>
      </c>
      <c r="M2866">
        <f t="shared" si="397"/>
        <v>18</v>
      </c>
      <c r="N2866" t="str">
        <f>TEXT(MTDRejection[[#This Row],[RejectionDate]],"dddd")</f>
        <v>Wednesday</v>
      </c>
    </row>
    <row r="2867" spans="1:14">
      <c r="A2867" t="s">
        <v>1879</v>
      </c>
      <c r="B2867" t="s">
        <v>5163</v>
      </c>
      <c r="C2867" t="s">
        <v>1686</v>
      </c>
      <c r="D2867" t="s">
        <v>26</v>
      </c>
      <c r="E2867" s="7">
        <v>45644</v>
      </c>
      <c r="F2867" t="s">
        <v>118</v>
      </c>
      <c r="G2867">
        <v>0</v>
      </c>
      <c r="H2867" t="s">
        <v>27</v>
      </c>
      <c r="I2867" t="s">
        <v>16</v>
      </c>
      <c r="J2867" t="s">
        <v>16</v>
      </c>
      <c r="K2867" t="str">
        <f>VLOOKUP(C2867,CheckName!A:B,2,0)</f>
        <v>CRC</v>
      </c>
      <c r="L2867">
        <v>0</v>
      </c>
      <c r="M2867">
        <f t="shared" si="397"/>
        <v>18</v>
      </c>
      <c r="N2867" t="str">
        <f>TEXT(MTDRejection[[#This Row],[RejectionDate]],"dddd")</f>
        <v>Wednesday</v>
      </c>
    </row>
    <row r="2868" spans="1:14">
      <c r="A2868" t="s">
        <v>1879</v>
      </c>
      <c r="B2868" t="s">
        <v>5164</v>
      </c>
      <c r="C2868" t="s">
        <v>1686</v>
      </c>
      <c r="D2868" t="s">
        <v>26</v>
      </c>
      <c r="E2868" s="7">
        <v>45644</v>
      </c>
      <c r="F2868" t="s">
        <v>118</v>
      </c>
      <c r="G2868">
        <v>0</v>
      </c>
      <c r="H2868" t="s">
        <v>27</v>
      </c>
      <c r="I2868" t="s">
        <v>16</v>
      </c>
      <c r="J2868" t="s">
        <v>16</v>
      </c>
      <c r="K2868" t="str">
        <f>VLOOKUP(C2868,CheckName!A:B,2,0)</f>
        <v>CRC</v>
      </c>
      <c r="L2868">
        <v>0</v>
      </c>
      <c r="M2868">
        <f t="shared" si="397"/>
        <v>18</v>
      </c>
      <c r="N2868" t="str">
        <f>TEXT(MTDRejection[[#This Row],[RejectionDate]],"dddd")</f>
        <v>Wednesday</v>
      </c>
    </row>
    <row r="2869" spans="1:14">
      <c r="A2869" t="s">
        <v>1879</v>
      </c>
      <c r="B2869" t="s">
        <v>5165</v>
      </c>
      <c r="C2869" t="s">
        <v>1686</v>
      </c>
      <c r="D2869" t="s">
        <v>26</v>
      </c>
      <c r="E2869" s="7">
        <v>45644</v>
      </c>
      <c r="F2869" t="s">
        <v>118</v>
      </c>
      <c r="G2869">
        <v>0</v>
      </c>
      <c r="H2869" t="s">
        <v>27</v>
      </c>
      <c r="I2869" t="s">
        <v>16</v>
      </c>
      <c r="J2869" t="s">
        <v>16</v>
      </c>
      <c r="K2869" t="str">
        <f>VLOOKUP(C2869,CheckName!A:B,2,0)</f>
        <v>CRC</v>
      </c>
      <c r="L2869">
        <v>0</v>
      </c>
      <c r="M2869">
        <f t="shared" si="397"/>
        <v>18</v>
      </c>
      <c r="N2869" t="str">
        <f>TEXT(MTDRejection[[#This Row],[RejectionDate]],"dddd")</f>
        <v>Wednesday</v>
      </c>
    </row>
    <row r="2870" spans="1:14">
      <c r="A2870" t="s">
        <v>1879</v>
      </c>
      <c r="B2870" t="s">
        <v>2010</v>
      </c>
      <c r="C2870" t="s">
        <v>1686</v>
      </c>
      <c r="D2870" t="s">
        <v>26</v>
      </c>
      <c r="E2870" s="7">
        <v>45644</v>
      </c>
      <c r="F2870" t="s">
        <v>118</v>
      </c>
      <c r="G2870">
        <v>0</v>
      </c>
      <c r="H2870" t="s">
        <v>27</v>
      </c>
      <c r="I2870" t="s">
        <v>16</v>
      </c>
      <c r="J2870" t="s">
        <v>16</v>
      </c>
      <c r="K2870" t="str">
        <f>VLOOKUP(C2870,CheckName!A:B,2,0)</f>
        <v>CRC</v>
      </c>
      <c r="L2870">
        <v>0</v>
      </c>
      <c r="M2870">
        <f t="shared" si="397"/>
        <v>18</v>
      </c>
      <c r="N2870" t="str">
        <f>TEXT(MTDRejection[[#This Row],[RejectionDate]],"dddd")</f>
        <v>Wednesday</v>
      </c>
    </row>
    <row r="2871" spans="1:14">
      <c r="A2871" t="s">
        <v>1879</v>
      </c>
      <c r="B2871" t="s">
        <v>5166</v>
      </c>
      <c r="C2871" t="s">
        <v>1686</v>
      </c>
      <c r="D2871" t="s">
        <v>26</v>
      </c>
      <c r="E2871" s="7">
        <v>45644</v>
      </c>
      <c r="F2871" t="s">
        <v>118</v>
      </c>
      <c r="G2871">
        <v>0</v>
      </c>
      <c r="H2871" t="s">
        <v>27</v>
      </c>
      <c r="I2871" t="s">
        <v>16</v>
      </c>
      <c r="J2871" t="s">
        <v>16</v>
      </c>
      <c r="K2871" t="str">
        <f>VLOOKUP(C2871,CheckName!A:B,2,0)</f>
        <v>CRC</v>
      </c>
      <c r="L2871">
        <v>0</v>
      </c>
      <c r="M2871">
        <f t="shared" si="397"/>
        <v>18</v>
      </c>
      <c r="N2871" t="str">
        <f>TEXT(MTDRejection[[#This Row],[RejectionDate]],"dddd")</f>
        <v>Wednesday</v>
      </c>
    </row>
    <row r="2872" spans="1:14">
      <c r="A2872" t="s">
        <v>1879</v>
      </c>
      <c r="B2872" t="s">
        <v>5167</v>
      </c>
      <c r="C2872" t="s">
        <v>1686</v>
      </c>
      <c r="D2872" t="s">
        <v>26</v>
      </c>
      <c r="E2872" s="7">
        <v>45644</v>
      </c>
      <c r="F2872" t="s">
        <v>118</v>
      </c>
      <c r="G2872">
        <v>0</v>
      </c>
      <c r="H2872" t="s">
        <v>27</v>
      </c>
      <c r="I2872" t="s">
        <v>16</v>
      </c>
      <c r="J2872" t="s">
        <v>16</v>
      </c>
      <c r="K2872" t="str">
        <f>VLOOKUP(C2872,CheckName!A:B,2,0)</f>
        <v>CRC</v>
      </c>
      <c r="L2872">
        <v>0</v>
      </c>
      <c r="M2872">
        <f t="shared" si="397"/>
        <v>18</v>
      </c>
      <c r="N2872" t="str">
        <f>TEXT(MTDRejection[[#This Row],[RejectionDate]],"dddd")</f>
        <v>Wednesday</v>
      </c>
    </row>
    <row r="2873" spans="1:14">
      <c r="A2873" t="s">
        <v>1879</v>
      </c>
      <c r="B2873" t="s">
        <v>5168</v>
      </c>
      <c r="C2873" t="s">
        <v>1686</v>
      </c>
      <c r="D2873" t="s">
        <v>26</v>
      </c>
      <c r="E2873" s="7">
        <v>45644</v>
      </c>
      <c r="F2873" t="s">
        <v>118</v>
      </c>
      <c r="G2873">
        <v>0</v>
      </c>
      <c r="H2873" t="s">
        <v>27</v>
      </c>
      <c r="I2873" t="s">
        <v>16</v>
      </c>
      <c r="J2873" t="s">
        <v>16</v>
      </c>
      <c r="K2873" t="str">
        <f>VLOOKUP(C2873,CheckName!A:B,2,0)</f>
        <v>CRC</v>
      </c>
      <c r="L2873">
        <v>0</v>
      </c>
      <c r="M2873">
        <f t="shared" ref="M2873:M2936" si="398">DAY(E2873)</f>
        <v>18</v>
      </c>
      <c r="N2873" t="str">
        <f>TEXT(MTDRejection[[#This Row],[RejectionDate]],"dddd")</f>
        <v>Wednesday</v>
      </c>
    </row>
    <row r="2874" spans="1:14">
      <c r="A2874" t="s">
        <v>1879</v>
      </c>
      <c r="B2874" t="s">
        <v>5169</v>
      </c>
      <c r="C2874" t="s">
        <v>1686</v>
      </c>
      <c r="D2874" t="s">
        <v>26</v>
      </c>
      <c r="E2874" s="7">
        <v>45644</v>
      </c>
      <c r="F2874" t="s">
        <v>118</v>
      </c>
      <c r="G2874">
        <v>0</v>
      </c>
      <c r="H2874" t="s">
        <v>27</v>
      </c>
      <c r="I2874" t="s">
        <v>16</v>
      </c>
      <c r="J2874" t="s">
        <v>16</v>
      </c>
      <c r="K2874" t="str">
        <f>VLOOKUP(C2874,CheckName!A:B,2,0)</f>
        <v>CRC</v>
      </c>
      <c r="L2874">
        <v>0</v>
      </c>
      <c r="M2874">
        <f t="shared" si="398"/>
        <v>18</v>
      </c>
      <c r="N2874" t="str">
        <f>TEXT(MTDRejection[[#This Row],[RejectionDate]],"dddd")</f>
        <v>Wednesday</v>
      </c>
    </row>
    <row r="2875" spans="1:14">
      <c r="A2875" t="s">
        <v>1879</v>
      </c>
      <c r="B2875" t="s">
        <v>5170</v>
      </c>
      <c r="C2875" t="s">
        <v>1686</v>
      </c>
      <c r="D2875" t="s">
        <v>26</v>
      </c>
      <c r="E2875" s="7">
        <v>45644</v>
      </c>
      <c r="F2875" t="s">
        <v>118</v>
      </c>
      <c r="G2875">
        <v>0</v>
      </c>
      <c r="H2875" t="s">
        <v>27</v>
      </c>
      <c r="I2875" t="s">
        <v>16</v>
      </c>
      <c r="J2875" t="s">
        <v>16</v>
      </c>
      <c r="K2875" t="str">
        <f>VLOOKUP(C2875,CheckName!A:B,2,0)</f>
        <v>CRC</v>
      </c>
      <c r="L2875">
        <v>0</v>
      </c>
      <c r="M2875">
        <f t="shared" si="398"/>
        <v>18</v>
      </c>
      <c r="N2875" t="str">
        <f>TEXT(MTDRejection[[#This Row],[RejectionDate]],"dddd")</f>
        <v>Wednesday</v>
      </c>
    </row>
    <row r="2876" spans="1:14">
      <c r="A2876" t="s">
        <v>1879</v>
      </c>
      <c r="B2876" t="s">
        <v>5171</v>
      </c>
      <c r="C2876" t="s">
        <v>1686</v>
      </c>
      <c r="D2876" t="s">
        <v>26</v>
      </c>
      <c r="E2876" s="7">
        <v>45644</v>
      </c>
      <c r="F2876" t="s">
        <v>118</v>
      </c>
      <c r="G2876">
        <v>0</v>
      </c>
      <c r="H2876" t="s">
        <v>27</v>
      </c>
      <c r="I2876" t="s">
        <v>16</v>
      </c>
      <c r="J2876" t="s">
        <v>16</v>
      </c>
      <c r="K2876" t="str">
        <f>VLOOKUP(C2876,CheckName!A:B,2,0)</f>
        <v>CRC</v>
      </c>
      <c r="L2876">
        <v>0</v>
      </c>
      <c r="M2876">
        <f t="shared" si="398"/>
        <v>18</v>
      </c>
      <c r="N2876" t="str">
        <f>TEXT(MTDRejection[[#This Row],[RejectionDate]],"dddd")</f>
        <v>Wednesday</v>
      </c>
    </row>
    <row r="2877" spans="1:14">
      <c r="A2877" t="s">
        <v>1879</v>
      </c>
      <c r="B2877" t="s">
        <v>2642</v>
      </c>
      <c r="C2877" t="s">
        <v>1686</v>
      </c>
      <c r="D2877" t="s">
        <v>26</v>
      </c>
      <c r="E2877" s="7">
        <v>45644</v>
      </c>
      <c r="F2877" t="s">
        <v>118</v>
      </c>
      <c r="G2877">
        <v>0</v>
      </c>
      <c r="H2877" t="s">
        <v>27</v>
      </c>
      <c r="I2877" t="s">
        <v>16</v>
      </c>
      <c r="J2877" t="s">
        <v>16</v>
      </c>
      <c r="K2877" t="str">
        <f>VLOOKUP(C2877,CheckName!A:B,2,0)</f>
        <v>CRC</v>
      </c>
      <c r="L2877">
        <v>0</v>
      </c>
      <c r="M2877">
        <f t="shared" si="398"/>
        <v>18</v>
      </c>
      <c r="N2877" t="str">
        <f>TEXT(MTDRejection[[#This Row],[RejectionDate]],"dddd")</f>
        <v>Wednesday</v>
      </c>
    </row>
    <row r="2878" spans="1:14">
      <c r="A2878" t="s">
        <v>1879</v>
      </c>
      <c r="B2878" t="s">
        <v>2013</v>
      </c>
      <c r="C2878" t="s">
        <v>1686</v>
      </c>
      <c r="D2878" t="s">
        <v>26</v>
      </c>
      <c r="E2878" s="7">
        <v>45644</v>
      </c>
      <c r="F2878" t="s">
        <v>118</v>
      </c>
      <c r="G2878">
        <v>0</v>
      </c>
      <c r="H2878" t="s">
        <v>27</v>
      </c>
      <c r="I2878" t="s">
        <v>16</v>
      </c>
      <c r="J2878" t="s">
        <v>16</v>
      </c>
      <c r="K2878" t="str">
        <f>VLOOKUP(C2878,CheckName!A:B,2,0)</f>
        <v>CRC</v>
      </c>
      <c r="L2878">
        <v>0</v>
      </c>
      <c r="M2878">
        <f t="shared" si="398"/>
        <v>18</v>
      </c>
      <c r="N2878" t="str">
        <f>TEXT(MTDRejection[[#This Row],[RejectionDate]],"dddd")</f>
        <v>Wednesday</v>
      </c>
    </row>
    <row r="2879" spans="1:14">
      <c r="A2879" t="s">
        <v>1879</v>
      </c>
      <c r="B2879" t="s">
        <v>5172</v>
      </c>
      <c r="C2879" t="s">
        <v>1686</v>
      </c>
      <c r="D2879" t="s">
        <v>26</v>
      </c>
      <c r="E2879" s="7">
        <v>45644</v>
      </c>
      <c r="F2879" t="s">
        <v>118</v>
      </c>
      <c r="G2879">
        <v>0</v>
      </c>
      <c r="H2879" t="s">
        <v>27</v>
      </c>
      <c r="I2879" t="s">
        <v>16</v>
      </c>
      <c r="J2879" t="s">
        <v>16</v>
      </c>
      <c r="K2879" t="str">
        <f>VLOOKUP(C2879,CheckName!A:B,2,0)</f>
        <v>CRC</v>
      </c>
      <c r="L2879">
        <v>0</v>
      </c>
      <c r="M2879">
        <f t="shared" si="398"/>
        <v>18</v>
      </c>
      <c r="N2879" t="str">
        <f>TEXT(MTDRejection[[#This Row],[RejectionDate]],"dddd")</f>
        <v>Wednesday</v>
      </c>
    </row>
    <row r="2880" spans="1:14">
      <c r="A2880" t="s">
        <v>1879</v>
      </c>
      <c r="B2880" t="s">
        <v>5173</v>
      </c>
      <c r="C2880" t="s">
        <v>1686</v>
      </c>
      <c r="D2880" t="s">
        <v>26</v>
      </c>
      <c r="E2880" s="7">
        <v>45644</v>
      </c>
      <c r="F2880" t="s">
        <v>118</v>
      </c>
      <c r="G2880">
        <v>0</v>
      </c>
      <c r="H2880" t="s">
        <v>27</v>
      </c>
      <c r="I2880" t="s">
        <v>16</v>
      </c>
      <c r="J2880" t="s">
        <v>16</v>
      </c>
      <c r="K2880" t="str">
        <f>VLOOKUP(C2880,CheckName!A:B,2,0)</f>
        <v>CRC</v>
      </c>
      <c r="L2880">
        <v>0</v>
      </c>
      <c r="M2880">
        <f t="shared" si="398"/>
        <v>18</v>
      </c>
      <c r="N2880" t="str">
        <f>TEXT(MTDRejection[[#This Row],[RejectionDate]],"dddd")</f>
        <v>Wednesday</v>
      </c>
    </row>
    <row r="2881" spans="1:14">
      <c r="A2881" t="s">
        <v>1879</v>
      </c>
      <c r="B2881" t="s">
        <v>5174</v>
      </c>
      <c r="C2881" t="s">
        <v>1686</v>
      </c>
      <c r="D2881" t="s">
        <v>26</v>
      </c>
      <c r="E2881" s="7">
        <v>45644</v>
      </c>
      <c r="F2881" t="s">
        <v>118</v>
      </c>
      <c r="G2881">
        <v>0</v>
      </c>
      <c r="H2881" t="s">
        <v>27</v>
      </c>
      <c r="I2881" t="s">
        <v>16</v>
      </c>
      <c r="J2881" t="s">
        <v>16</v>
      </c>
      <c r="K2881" t="str">
        <f>VLOOKUP(C2881,CheckName!A:B,2,0)</f>
        <v>CRC</v>
      </c>
      <c r="L2881">
        <v>0</v>
      </c>
      <c r="M2881">
        <f t="shared" si="398"/>
        <v>18</v>
      </c>
      <c r="N2881" t="str">
        <f>TEXT(MTDRejection[[#This Row],[RejectionDate]],"dddd")</f>
        <v>Wednesday</v>
      </c>
    </row>
    <row r="2882" spans="1:14">
      <c r="A2882" t="s">
        <v>1879</v>
      </c>
      <c r="B2882" t="s">
        <v>1984</v>
      </c>
      <c r="C2882" t="s">
        <v>1686</v>
      </c>
      <c r="D2882" t="s">
        <v>26</v>
      </c>
      <c r="E2882" s="7">
        <v>45644</v>
      </c>
      <c r="F2882" t="s">
        <v>118</v>
      </c>
      <c r="G2882">
        <v>0</v>
      </c>
      <c r="H2882" t="s">
        <v>27</v>
      </c>
      <c r="I2882" t="s">
        <v>16</v>
      </c>
      <c r="J2882" t="s">
        <v>16</v>
      </c>
      <c r="K2882" t="str">
        <f>VLOOKUP(C2882,CheckName!A:B,2,0)</f>
        <v>CRC</v>
      </c>
      <c r="L2882">
        <v>0</v>
      </c>
      <c r="M2882">
        <f t="shared" si="398"/>
        <v>18</v>
      </c>
      <c r="N2882" t="str">
        <f>TEXT(MTDRejection[[#This Row],[RejectionDate]],"dddd")</f>
        <v>Wednesday</v>
      </c>
    </row>
    <row r="2883" spans="1:14">
      <c r="A2883" t="s">
        <v>1879</v>
      </c>
      <c r="B2883" t="s">
        <v>5175</v>
      </c>
      <c r="C2883" t="s">
        <v>1686</v>
      </c>
      <c r="D2883" t="s">
        <v>26</v>
      </c>
      <c r="E2883" s="7">
        <v>45644</v>
      </c>
      <c r="F2883" t="s">
        <v>118</v>
      </c>
      <c r="G2883">
        <v>0</v>
      </c>
      <c r="H2883" t="s">
        <v>27</v>
      </c>
      <c r="I2883" t="s">
        <v>16</v>
      </c>
      <c r="J2883" t="s">
        <v>16</v>
      </c>
      <c r="K2883" t="str">
        <f>VLOOKUP(C2883,CheckName!A:B,2,0)</f>
        <v>CRC</v>
      </c>
      <c r="L2883">
        <v>0</v>
      </c>
      <c r="M2883">
        <f t="shared" si="398"/>
        <v>18</v>
      </c>
      <c r="N2883" t="str">
        <f>TEXT(MTDRejection[[#This Row],[RejectionDate]],"dddd")</f>
        <v>Wednesday</v>
      </c>
    </row>
    <row r="2884" spans="1:14">
      <c r="A2884" t="s">
        <v>1879</v>
      </c>
      <c r="B2884" t="s">
        <v>5176</v>
      </c>
      <c r="C2884" t="s">
        <v>1686</v>
      </c>
      <c r="D2884" t="s">
        <v>26</v>
      </c>
      <c r="E2884" s="7">
        <v>45644</v>
      </c>
      <c r="F2884" t="s">
        <v>118</v>
      </c>
      <c r="G2884">
        <v>0</v>
      </c>
      <c r="H2884" t="s">
        <v>27</v>
      </c>
      <c r="I2884" t="s">
        <v>16</v>
      </c>
      <c r="J2884" t="s">
        <v>16</v>
      </c>
      <c r="K2884" t="str">
        <f>VLOOKUP(C2884,CheckName!A:B,2,0)</f>
        <v>CRC</v>
      </c>
      <c r="L2884">
        <v>0</v>
      </c>
      <c r="M2884">
        <f t="shared" si="398"/>
        <v>18</v>
      </c>
      <c r="N2884" t="str">
        <f>TEXT(MTDRejection[[#This Row],[RejectionDate]],"dddd")</f>
        <v>Wednesday</v>
      </c>
    </row>
    <row r="2885" spans="1:14">
      <c r="A2885" t="s">
        <v>1879</v>
      </c>
      <c r="B2885" t="s">
        <v>5177</v>
      </c>
      <c r="C2885" t="s">
        <v>1686</v>
      </c>
      <c r="D2885" t="s">
        <v>26</v>
      </c>
      <c r="E2885" s="7">
        <v>45644</v>
      </c>
      <c r="F2885" t="s">
        <v>118</v>
      </c>
      <c r="G2885">
        <v>0</v>
      </c>
      <c r="H2885" t="s">
        <v>27</v>
      </c>
      <c r="I2885" t="s">
        <v>16</v>
      </c>
      <c r="J2885" t="s">
        <v>16</v>
      </c>
      <c r="K2885" t="str">
        <f>VLOOKUP(C2885,CheckName!A:B,2,0)</f>
        <v>CRC</v>
      </c>
      <c r="L2885">
        <v>0</v>
      </c>
      <c r="M2885">
        <f t="shared" si="398"/>
        <v>18</v>
      </c>
      <c r="N2885" t="str">
        <f>TEXT(MTDRejection[[#This Row],[RejectionDate]],"dddd")</f>
        <v>Wednesday</v>
      </c>
    </row>
    <row r="2886" spans="1:14">
      <c r="A2886" t="s">
        <v>1879</v>
      </c>
      <c r="B2886" t="s">
        <v>5178</v>
      </c>
      <c r="C2886" t="s">
        <v>1686</v>
      </c>
      <c r="D2886" t="s">
        <v>26</v>
      </c>
      <c r="E2886" s="7">
        <v>45644</v>
      </c>
      <c r="F2886" t="s">
        <v>118</v>
      </c>
      <c r="G2886">
        <v>0</v>
      </c>
      <c r="H2886" t="s">
        <v>27</v>
      </c>
      <c r="I2886" t="s">
        <v>16</v>
      </c>
      <c r="J2886" t="s">
        <v>16</v>
      </c>
      <c r="K2886" t="str">
        <f>VLOOKUP(C2886,CheckName!A:B,2,0)</f>
        <v>CRC</v>
      </c>
      <c r="L2886">
        <v>0</v>
      </c>
      <c r="M2886">
        <f t="shared" si="398"/>
        <v>18</v>
      </c>
      <c r="N2886" t="str">
        <f>TEXT(MTDRejection[[#This Row],[RejectionDate]],"dddd")</f>
        <v>Wednesday</v>
      </c>
    </row>
    <row r="2887" spans="1:14">
      <c r="A2887" t="s">
        <v>1879</v>
      </c>
      <c r="B2887" t="s">
        <v>2671</v>
      </c>
      <c r="C2887" t="s">
        <v>1686</v>
      </c>
      <c r="D2887" t="s">
        <v>26</v>
      </c>
      <c r="E2887" s="7">
        <v>45644</v>
      </c>
      <c r="F2887" t="s">
        <v>118</v>
      </c>
      <c r="G2887">
        <v>0</v>
      </c>
      <c r="H2887" t="s">
        <v>27</v>
      </c>
      <c r="I2887" t="s">
        <v>16</v>
      </c>
      <c r="J2887" t="s">
        <v>16</v>
      </c>
      <c r="K2887" t="str">
        <f>VLOOKUP(C2887,CheckName!A:B,2,0)</f>
        <v>CRC</v>
      </c>
      <c r="L2887">
        <v>0</v>
      </c>
      <c r="M2887">
        <f t="shared" si="398"/>
        <v>18</v>
      </c>
      <c r="N2887" t="str">
        <f>TEXT(MTDRejection[[#This Row],[RejectionDate]],"dddd")</f>
        <v>Wednesday</v>
      </c>
    </row>
    <row r="2888" spans="1:14">
      <c r="A2888" t="s">
        <v>1879</v>
      </c>
      <c r="B2888" t="s">
        <v>1971</v>
      </c>
      <c r="C2888" t="s">
        <v>1686</v>
      </c>
      <c r="D2888" t="s">
        <v>26</v>
      </c>
      <c r="E2888" s="7">
        <v>45644</v>
      </c>
      <c r="F2888" t="s">
        <v>118</v>
      </c>
      <c r="G2888">
        <v>0</v>
      </c>
      <c r="H2888" t="s">
        <v>27</v>
      </c>
      <c r="I2888" t="s">
        <v>16</v>
      </c>
      <c r="J2888" t="s">
        <v>16</v>
      </c>
      <c r="K2888" t="str">
        <f>VLOOKUP(C2888,CheckName!A:B,2,0)</f>
        <v>CRC</v>
      </c>
      <c r="L2888">
        <v>0</v>
      </c>
      <c r="M2888">
        <f t="shared" si="398"/>
        <v>18</v>
      </c>
      <c r="N2888" t="str">
        <f>TEXT(MTDRejection[[#This Row],[RejectionDate]],"dddd")</f>
        <v>Wednesday</v>
      </c>
    </row>
    <row r="2889" spans="1:14">
      <c r="A2889" t="s">
        <v>1879</v>
      </c>
      <c r="B2889" t="s">
        <v>5179</v>
      </c>
      <c r="C2889" t="s">
        <v>1686</v>
      </c>
      <c r="D2889" t="s">
        <v>26</v>
      </c>
      <c r="E2889" s="7">
        <v>45644</v>
      </c>
      <c r="F2889" t="s">
        <v>118</v>
      </c>
      <c r="G2889">
        <v>0</v>
      </c>
      <c r="H2889" t="s">
        <v>27</v>
      </c>
      <c r="I2889" t="s">
        <v>16</v>
      </c>
      <c r="J2889" t="s">
        <v>16</v>
      </c>
      <c r="K2889" t="str">
        <f>VLOOKUP(C2889,CheckName!A:B,2,0)</f>
        <v>CRC</v>
      </c>
      <c r="L2889">
        <v>0</v>
      </c>
      <c r="M2889">
        <f t="shared" si="398"/>
        <v>18</v>
      </c>
      <c r="N2889" t="str">
        <f>TEXT(MTDRejection[[#This Row],[RejectionDate]],"dddd")</f>
        <v>Wednesday</v>
      </c>
    </row>
    <row r="2890" spans="1:14">
      <c r="A2890" t="s">
        <v>1879</v>
      </c>
      <c r="B2890" t="s">
        <v>2008</v>
      </c>
      <c r="C2890" t="s">
        <v>1686</v>
      </c>
      <c r="D2890" t="s">
        <v>26</v>
      </c>
      <c r="E2890" s="7">
        <v>45644</v>
      </c>
      <c r="F2890" t="s">
        <v>118</v>
      </c>
      <c r="G2890">
        <v>0</v>
      </c>
      <c r="H2890" t="s">
        <v>27</v>
      </c>
      <c r="I2890" t="s">
        <v>16</v>
      </c>
      <c r="J2890" t="s">
        <v>16</v>
      </c>
      <c r="K2890" t="str">
        <f>VLOOKUP(C2890,CheckName!A:B,2,0)</f>
        <v>CRC</v>
      </c>
      <c r="L2890">
        <v>0</v>
      </c>
      <c r="M2890">
        <f t="shared" si="398"/>
        <v>18</v>
      </c>
      <c r="N2890" t="str">
        <f>TEXT(MTDRejection[[#This Row],[RejectionDate]],"dddd")</f>
        <v>Wednesday</v>
      </c>
    </row>
    <row r="2891" spans="1:14">
      <c r="A2891" t="s">
        <v>1879</v>
      </c>
      <c r="B2891" t="s">
        <v>5180</v>
      </c>
      <c r="C2891" t="s">
        <v>1686</v>
      </c>
      <c r="D2891" t="s">
        <v>26</v>
      </c>
      <c r="E2891" s="7">
        <v>45644</v>
      </c>
      <c r="F2891" t="s">
        <v>118</v>
      </c>
      <c r="G2891">
        <v>0</v>
      </c>
      <c r="H2891" t="s">
        <v>27</v>
      </c>
      <c r="I2891" t="s">
        <v>16</v>
      </c>
      <c r="J2891" t="s">
        <v>16</v>
      </c>
      <c r="K2891" t="str">
        <f>VLOOKUP(C2891,CheckName!A:B,2,0)</f>
        <v>CRC</v>
      </c>
      <c r="L2891">
        <v>0</v>
      </c>
      <c r="M2891">
        <f t="shared" si="398"/>
        <v>18</v>
      </c>
      <c r="N2891" t="str">
        <f>TEXT(MTDRejection[[#This Row],[RejectionDate]],"dddd")</f>
        <v>Wednesday</v>
      </c>
    </row>
    <row r="2892" spans="1:14">
      <c r="A2892" t="s">
        <v>1879</v>
      </c>
      <c r="B2892" t="s">
        <v>5181</v>
      </c>
      <c r="C2892" t="s">
        <v>1686</v>
      </c>
      <c r="D2892" t="s">
        <v>26</v>
      </c>
      <c r="E2892" s="7">
        <v>45644</v>
      </c>
      <c r="F2892" t="s">
        <v>118</v>
      </c>
      <c r="G2892">
        <v>0</v>
      </c>
      <c r="H2892" t="s">
        <v>27</v>
      </c>
      <c r="I2892" t="s">
        <v>16</v>
      </c>
      <c r="J2892" t="s">
        <v>16</v>
      </c>
      <c r="K2892" t="str">
        <f>VLOOKUP(C2892,CheckName!A:B,2,0)</f>
        <v>CRC</v>
      </c>
      <c r="L2892">
        <v>0</v>
      </c>
      <c r="M2892">
        <f t="shared" si="398"/>
        <v>18</v>
      </c>
      <c r="N2892" t="str">
        <f>TEXT(MTDRejection[[#This Row],[RejectionDate]],"dddd")</f>
        <v>Wednesday</v>
      </c>
    </row>
    <row r="2893" spans="1:14">
      <c r="A2893" t="s">
        <v>1879</v>
      </c>
      <c r="B2893" t="s">
        <v>5182</v>
      </c>
      <c r="C2893" t="s">
        <v>1686</v>
      </c>
      <c r="D2893" t="s">
        <v>26</v>
      </c>
      <c r="E2893" s="7">
        <v>45644</v>
      </c>
      <c r="F2893" t="s">
        <v>118</v>
      </c>
      <c r="G2893">
        <v>0</v>
      </c>
      <c r="H2893" t="s">
        <v>27</v>
      </c>
      <c r="I2893" t="s">
        <v>16</v>
      </c>
      <c r="J2893" t="s">
        <v>16</v>
      </c>
      <c r="K2893" t="str">
        <f>VLOOKUP(C2893,CheckName!A:B,2,0)</f>
        <v>CRC</v>
      </c>
      <c r="L2893">
        <v>0</v>
      </c>
      <c r="M2893">
        <f t="shared" si="398"/>
        <v>18</v>
      </c>
      <c r="N2893" t="str">
        <f>TEXT(MTDRejection[[#This Row],[RejectionDate]],"dddd")</f>
        <v>Wednesday</v>
      </c>
    </row>
    <row r="2894" spans="1:14">
      <c r="A2894" t="s">
        <v>1879</v>
      </c>
      <c r="B2894" t="s">
        <v>5183</v>
      </c>
      <c r="C2894" t="s">
        <v>1686</v>
      </c>
      <c r="D2894" t="s">
        <v>26</v>
      </c>
      <c r="E2894" s="7">
        <v>45644</v>
      </c>
      <c r="F2894" t="s">
        <v>118</v>
      </c>
      <c r="G2894">
        <v>0</v>
      </c>
      <c r="H2894" t="s">
        <v>27</v>
      </c>
      <c r="I2894" t="s">
        <v>16</v>
      </c>
      <c r="J2894" t="s">
        <v>16</v>
      </c>
      <c r="K2894" t="str">
        <f>VLOOKUP(C2894,CheckName!A:B,2,0)</f>
        <v>CRC</v>
      </c>
      <c r="L2894">
        <v>0</v>
      </c>
      <c r="M2894">
        <f t="shared" si="398"/>
        <v>18</v>
      </c>
      <c r="N2894" t="str">
        <f>TEXT(MTDRejection[[#This Row],[RejectionDate]],"dddd")</f>
        <v>Wednesday</v>
      </c>
    </row>
    <row r="2895" spans="1:14">
      <c r="A2895" t="s">
        <v>1879</v>
      </c>
      <c r="B2895" t="s">
        <v>5184</v>
      </c>
      <c r="C2895" t="s">
        <v>1686</v>
      </c>
      <c r="D2895" t="s">
        <v>26</v>
      </c>
      <c r="E2895" s="7">
        <v>45644</v>
      </c>
      <c r="F2895" t="s">
        <v>118</v>
      </c>
      <c r="G2895">
        <v>0</v>
      </c>
      <c r="H2895" t="s">
        <v>27</v>
      </c>
      <c r="I2895" t="s">
        <v>16</v>
      </c>
      <c r="J2895" t="s">
        <v>16</v>
      </c>
      <c r="K2895" t="str">
        <f>VLOOKUP(C2895,CheckName!A:B,2,0)</f>
        <v>CRC</v>
      </c>
      <c r="L2895">
        <v>0</v>
      </c>
      <c r="M2895">
        <f t="shared" si="398"/>
        <v>18</v>
      </c>
      <c r="N2895" t="str">
        <f>TEXT(MTDRejection[[#This Row],[RejectionDate]],"dddd")</f>
        <v>Wednesday</v>
      </c>
    </row>
    <row r="2896" spans="1:14">
      <c r="A2896" t="s">
        <v>1879</v>
      </c>
      <c r="B2896" t="s">
        <v>5185</v>
      </c>
      <c r="C2896" t="s">
        <v>1686</v>
      </c>
      <c r="D2896" t="s">
        <v>26</v>
      </c>
      <c r="E2896" s="7">
        <v>45644</v>
      </c>
      <c r="F2896" t="s">
        <v>118</v>
      </c>
      <c r="G2896">
        <v>0</v>
      </c>
      <c r="H2896" t="s">
        <v>27</v>
      </c>
      <c r="I2896" t="s">
        <v>16</v>
      </c>
      <c r="J2896" t="s">
        <v>16</v>
      </c>
      <c r="K2896" t="str">
        <f>VLOOKUP(C2896,CheckName!A:B,2,0)</f>
        <v>CRC</v>
      </c>
      <c r="L2896">
        <v>0</v>
      </c>
      <c r="M2896">
        <f t="shared" si="398"/>
        <v>18</v>
      </c>
      <c r="N2896" t="str">
        <f>TEXT(MTDRejection[[#This Row],[RejectionDate]],"dddd")</f>
        <v>Wednesday</v>
      </c>
    </row>
    <row r="2897" spans="1:14">
      <c r="A2897" t="s">
        <v>1879</v>
      </c>
      <c r="B2897" t="s">
        <v>5186</v>
      </c>
      <c r="C2897" t="s">
        <v>1686</v>
      </c>
      <c r="D2897" t="s">
        <v>26</v>
      </c>
      <c r="E2897" s="7">
        <v>45644</v>
      </c>
      <c r="F2897" t="s">
        <v>118</v>
      </c>
      <c r="G2897">
        <v>0</v>
      </c>
      <c r="H2897" t="s">
        <v>27</v>
      </c>
      <c r="I2897" t="s">
        <v>16</v>
      </c>
      <c r="J2897" t="s">
        <v>16</v>
      </c>
      <c r="K2897" t="str">
        <f>VLOOKUP(C2897,CheckName!A:B,2,0)</f>
        <v>CRC</v>
      </c>
      <c r="L2897">
        <v>0</v>
      </c>
      <c r="M2897">
        <f t="shared" si="398"/>
        <v>18</v>
      </c>
      <c r="N2897" t="str">
        <f>TEXT(MTDRejection[[#This Row],[RejectionDate]],"dddd")</f>
        <v>Wednesday</v>
      </c>
    </row>
    <row r="2898" spans="1:14">
      <c r="A2898" t="s">
        <v>1879</v>
      </c>
      <c r="B2898" t="s">
        <v>5187</v>
      </c>
      <c r="C2898" t="s">
        <v>1686</v>
      </c>
      <c r="D2898" t="s">
        <v>26</v>
      </c>
      <c r="E2898" s="7">
        <v>45644</v>
      </c>
      <c r="F2898" t="s">
        <v>118</v>
      </c>
      <c r="G2898">
        <v>0</v>
      </c>
      <c r="H2898" t="s">
        <v>27</v>
      </c>
      <c r="I2898" t="s">
        <v>16</v>
      </c>
      <c r="J2898" t="s">
        <v>16</v>
      </c>
      <c r="K2898" t="str">
        <f>VLOOKUP(C2898,CheckName!A:B,2,0)</f>
        <v>CRC</v>
      </c>
      <c r="L2898">
        <v>0</v>
      </c>
      <c r="M2898">
        <f t="shared" si="398"/>
        <v>18</v>
      </c>
      <c r="N2898" t="str">
        <f>TEXT(MTDRejection[[#This Row],[RejectionDate]],"dddd")</f>
        <v>Wednesday</v>
      </c>
    </row>
    <row r="2899" spans="1:14">
      <c r="A2899" t="s">
        <v>1879</v>
      </c>
      <c r="B2899" t="s">
        <v>5188</v>
      </c>
      <c r="C2899" t="s">
        <v>1686</v>
      </c>
      <c r="D2899" t="s">
        <v>26</v>
      </c>
      <c r="E2899" s="7">
        <v>45644</v>
      </c>
      <c r="F2899" t="s">
        <v>118</v>
      </c>
      <c r="G2899">
        <v>0</v>
      </c>
      <c r="H2899" t="s">
        <v>27</v>
      </c>
      <c r="I2899" t="s">
        <v>16</v>
      </c>
      <c r="J2899" t="s">
        <v>16</v>
      </c>
      <c r="K2899" t="str">
        <f>VLOOKUP(C2899,CheckName!A:B,2,0)</f>
        <v>CRC</v>
      </c>
      <c r="L2899">
        <v>0</v>
      </c>
      <c r="M2899">
        <f t="shared" si="398"/>
        <v>18</v>
      </c>
      <c r="N2899" t="str">
        <f>TEXT(MTDRejection[[#This Row],[RejectionDate]],"dddd")</f>
        <v>Wednesday</v>
      </c>
    </row>
    <row r="2900" spans="1:14">
      <c r="A2900" t="s">
        <v>1879</v>
      </c>
      <c r="B2900" t="s">
        <v>2672</v>
      </c>
      <c r="C2900" t="s">
        <v>1686</v>
      </c>
      <c r="D2900" t="s">
        <v>26</v>
      </c>
      <c r="E2900" s="7">
        <v>45644</v>
      </c>
      <c r="F2900" t="s">
        <v>118</v>
      </c>
      <c r="G2900">
        <v>0</v>
      </c>
      <c r="H2900" t="s">
        <v>27</v>
      </c>
      <c r="I2900" t="s">
        <v>16</v>
      </c>
      <c r="J2900" t="s">
        <v>16</v>
      </c>
      <c r="K2900" t="str">
        <f>VLOOKUP(C2900,CheckName!A:B,2,0)</f>
        <v>CRC</v>
      </c>
      <c r="L2900">
        <v>0</v>
      </c>
      <c r="M2900">
        <f t="shared" si="398"/>
        <v>18</v>
      </c>
      <c r="N2900" t="str">
        <f>TEXT(MTDRejection[[#This Row],[RejectionDate]],"dddd")</f>
        <v>Wednesday</v>
      </c>
    </row>
    <row r="2901" spans="1:14">
      <c r="A2901" t="s">
        <v>1879</v>
      </c>
      <c r="B2901" t="s">
        <v>2673</v>
      </c>
      <c r="C2901" t="s">
        <v>1686</v>
      </c>
      <c r="D2901" t="s">
        <v>26</v>
      </c>
      <c r="E2901" s="7">
        <v>45644</v>
      </c>
      <c r="F2901" t="s">
        <v>118</v>
      </c>
      <c r="G2901">
        <v>0</v>
      </c>
      <c r="H2901" t="s">
        <v>27</v>
      </c>
      <c r="I2901" t="s">
        <v>16</v>
      </c>
      <c r="J2901" t="s">
        <v>16</v>
      </c>
      <c r="K2901" t="str">
        <f>VLOOKUP(C2901,CheckName!A:B,2,0)</f>
        <v>CRC</v>
      </c>
      <c r="L2901">
        <v>0</v>
      </c>
      <c r="M2901">
        <f t="shared" si="398"/>
        <v>18</v>
      </c>
      <c r="N2901" t="str">
        <f>TEXT(MTDRejection[[#This Row],[RejectionDate]],"dddd")</f>
        <v>Wednesday</v>
      </c>
    </row>
    <row r="2902" spans="1:14">
      <c r="A2902" t="s">
        <v>1879</v>
      </c>
      <c r="B2902" t="s">
        <v>5189</v>
      </c>
      <c r="C2902" t="s">
        <v>1686</v>
      </c>
      <c r="D2902" t="s">
        <v>26</v>
      </c>
      <c r="E2902" s="7">
        <v>45644</v>
      </c>
      <c r="F2902" t="s">
        <v>118</v>
      </c>
      <c r="G2902">
        <v>0</v>
      </c>
      <c r="H2902" t="s">
        <v>27</v>
      </c>
      <c r="I2902" t="s">
        <v>16</v>
      </c>
      <c r="J2902" t="s">
        <v>16</v>
      </c>
      <c r="K2902" t="str">
        <f>VLOOKUP(C2902,CheckName!A:B,2,0)</f>
        <v>CRC</v>
      </c>
      <c r="L2902">
        <v>0</v>
      </c>
      <c r="M2902">
        <f t="shared" si="398"/>
        <v>18</v>
      </c>
      <c r="N2902" t="str">
        <f>TEXT(MTDRejection[[#This Row],[RejectionDate]],"dddd")</f>
        <v>Wednesday</v>
      </c>
    </row>
    <row r="2903" spans="1:14">
      <c r="A2903" t="s">
        <v>1879</v>
      </c>
      <c r="B2903" t="s">
        <v>5190</v>
      </c>
      <c r="C2903" t="s">
        <v>1686</v>
      </c>
      <c r="D2903" t="s">
        <v>26</v>
      </c>
      <c r="E2903" s="7">
        <v>45644</v>
      </c>
      <c r="F2903" t="s">
        <v>118</v>
      </c>
      <c r="G2903">
        <v>0</v>
      </c>
      <c r="H2903" t="s">
        <v>27</v>
      </c>
      <c r="I2903" t="s">
        <v>16</v>
      </c>
      <c r="J2903" t="s">
        <v>16</v>
      </c>
      <c r="K2903" t="str">
        <f>VLOOKUP(C2903,CheckName!A:B,2,0)</f>
        <v>CRC</v>
      </c>
      <c r="L2903">
        <v>0</v>
      </c>
      <c r="M2903">
        <f t="shared" si="398"/>
        <v>18</v>
      </c>
      <c r="N2903" t="str">
        <f>TEXT(MTDRejection[[#This Row],[RejectionDate]],"dddd")</f>
        <v>Wednesday</v>
      </c>
    </row>
    <row r="2904" spans="1:14">
      <c r="A2904" t="s">
        <v>1879</v>
      </c>
      <c r="B2904" t="s">
        <v>5191</v>
      </c>
      <c r="C2904" t="s">
        <v>1686</v>
      </c>
      <c r="D2904" t="s">
        <v>26</v>
      </c>
      <c r="E2904" s="7">
        <v>45644</v>
      </c>
      <c r="F2904" t="s">
        <v>118</v>
      </c>
      <c r="G2904">
        <v>0</v>
      </c>
      <c r="H2904" t="s">
        <v>27</v>
      </c>
      <c r="I2904" t="s">
        <v>16</v>
      </c>
      <c r="J2904" t="s">
        <v>16</v>
      </c>
      <c r="K2904" t="str">
        <f>VLOOKUP(C2904,CheckName!A:B,2,0)</f>
        <v>CRC</v>
      </c>
      <c r="L2904">
        <v>0</v>
      </c>
      <c r="M2904">
        <f t="shared" si="398"/>
        <v>18</v>
      </c>
      <c r="N2904" t="str">
        <f>TEXT(MTDRejection[[#This Row],[RejectionDate]],"dddd")</f>
        <v>Wednesday</v>
      </c>
    </row>
    <row r="2905" spans="1:14">
      <c r="A2905" t="s">
        <v>1879</v>
      </c>
      <c r="B2905" t="s">
        <v>5134</v>
      </c>
      <c r="C2905" t="s">
        <v>1686</v>
      </c>
      <c r="D2905" t="s">
        <v>26</v>
      </c>
      <c r="E2905" s="7">
        <v>45644</v>
      </c>
      <c r="F2905" t="s">
        <v>118</v>
      </c>
      <c r="G2905">
        <v>0</v>
      </c>
      <c r="H2905" t="s">
        <v>27</v>
      </c>
      <c r="I2905" t="s">
        <v>16</v>
      </c>
      <c r="J2905" t="s">
        <v>16</v>
      </c>
      <c r="K2905" t="str">
        <f>VLOOKUP(C2905,CheckName!A:B,2,0)</f>
        <v>CRC</v>
      </c>
      <c r="L2905">
        <v>0</v>
      </c>
      <c r="M2905">
        <f t="shared" si="398"/>
        <v>18</v>
      </c>
      <c r="N2905" t="str">
        <f>TEXT(MTDRejection[[#This Row],[RejectionDate]],"dddd")</f>
        <v>Wednesday</v>
      </c>
    </row>
    <row r="2906" spans="1:14">
      <c r="A2906" t="s">
        <v>1879</v>
      </c>
      <c r="B2906" t="s">
        <v>5192</v>
      </c>
      <c r="C2906" t="s">
        <v>1686</v>
      </c>
      <c r="D2906" t="s">
        <v>26</v>
      </c>
      <c r="E2906" s="7">
        <v>45644</v>
      </c>
      <c r="F2906" t="s">
        <v>118</v>
      </c>
      <c r="G2906">
        <v>0</v>
      </c>
      <c r="H2906" t="s">
        <v>27</v>
      </c>
      <c r="I2906" t="s">
        <v>16</v>
      </c>
      <c r="J2906" t="s">
        <v>16</v>
      </c>
      <c r="K2906" t="str">
        <f>VLOOKUP(C2906,CheckName!A:B,2,0)</f>
        <v>CRC</v>
      </c>
      <c r="L2906">
        <v>0</v>
      </c>
      <c r="M2906">
        <f t="shared" si="398"/>
        <v>18</v>
      </c>
      <c r="N2906" t="str">
        <f>TEXT(MTDRejection[[#This Row],[RejectionDate]],"dddd")</f>
        <v>Wednesday</v>
      </c>
    </row>
    <row r="2907" spans="1:14">
      <c r="A2907" t="s">
        <v>1879</v>
      </c>
      <c r="B2907" t="s">
        <v>1994</v>
      </c>
      <c r="C2907" t="s">
        <v>1686</v>
      </c>
      <c r="D2907" t="s">
        <v>26</v>
      </c>
      <c r="E2907" s="7">
        <v>45644</v>
      </c>
      <c r="F2907" t="s">
        <v>118</v>
      </c>
      <c r="G2907">
        <v>0</v>
      </c>
      <c r="H2907" t="s">
        <v>27</v>
      </c>
      <c r="I2907" t="s">
        <v>16</v>
      </c>
      <c r="J2907" t="s">
        <v>16</v>
      </c>
      <c r="K2907" t="str">
        <f>VLOOKUP(C2907,CheckName!A:B,2,0)</f>
        <v>CRC</v>
      </c>
      <c r="L2907">
        <v>0</v>
      </c>
      <c r="M2907">
        <f t="shared" si="398"/>
        <v>18</v>
      </c>
      <c r="N2907" t="str">
        <f>TEXT(MTDRejection[[#This Row],[RejectionDate]],"dddd")</f>
        <v>Wednesday</v>
      </c>
    </row>
    <row r="2908" spans="1:14">
      <c r="A2908" t="s">
        <v>1879</v>
      </c>
      <c r="B2908" t="s">
        <v>2675</v>
      </c>
      <c r="C2908" t="s">
        <v>1686</v>
      </c>
      <c r="D2908" t="s">
        <v>26</v>
      </c>
      <c r="E2908" s="7">
        <v>45644</v>
      </c>
      <c r="F2908" t="s">
        <v>118</v>
      </c>
      <c r="G2908">
        <v>0</v>
      </c>
      <c r="H2908" t="s">
        <v>27</v>
      </c>
      <c r="I2908" t="s">
        <v>16</v>
      </c>
      <c r="J2908" t="s">
        <v>16</v>
      </c>
      <c r="K2908" t="str">
        <f>VLOOKUP(C2908,CheckName!A:B,2,0)</f>
        <v>CRC</v>
      </c>
      <c r="L2908">
        <v>0</v>
      </c>
      <c r="M2908">
        <f t="shared" si="398"/>
        <v>18</v>
      </c>
      <c r="N2908" t="str">
        <f>TEXT(MTDRejection[[#This Row],[RejectionDate]],"dddd")</f>
        <v>Wednesday</v>
      </c>
    </row>
    <row r="2909" spans="1:14">
      <c r="A2909" t="s">
        <v>1879</v>
      </c>
      <c r="B2909" t="s">
        <v>2648</v>
      </c>
      <c r="C2909" t="s">
        <v>1686</v>
      </c>
      <c r="D2909" t="s">
        <v>26</v>
      </c>
      <c r="E2909" s="7">
        <v>45644</v>
      </c>
      <c r="F2909" t="s">
        <v>118</v>
      </c>
      <c r="G2909">
        <v>0</v>
      </c>
      <c r="H2909" t="s">
        <v>27</v>
      </c>
      <c r="I2909" t="s">
        <v>16</v>
      </c>
      <c r="J2909" t="s">
        <v>16</v>
      </c>
      <c r="K2909" t="str">
        <f>VLOOKUP(C2909,CheckName!A:B,2,0)</f>
        <v>CRC</v>
      </c>
      <c r="L2909">
        <v>0</v>
      </c>
      <c r="M2909">
        <f t="shared" si="398"/>
        <v>18</v>
      </c>
      <c r="N2909" t="str">
        <f>TEXT(MTDRejection[[#This Row],[RejectionDate]],"dddd")</f>
        <v>Wednesday</v>
      </c>
    </row>
    <row r="2910" spans="1:14">
      <c r="A2910" t="s">
        <v>1879</v>
      </c>
      <c r="B2910" t="s">
        <v>5193</v>
      </c>
      <c r="C2910" t="s">
        <v>1686</v>
      </c>
      <c r="D2910" t="s">
        <v>26</v>
      </c>
      <c r="E2910" s="7">
        <v>45644</v>
      </c>
      <c r="F2910" t="s">
        <v>118</v>
      </c>
      <c r="G2910">
        <v>0</v>
      </c>
      <c r="H2910" t="s">
        <v>27</v>
      </c>
      <c r="I2910" t="s">
        <v>16</v>
      </c>
      <c r="J2910" t="s">
        <v>16</v>
      </c>
      <c r="K2910" t="str">
        <f>VLOOKUP(C2910,CheckName!A:B,2,0)</f>
        <v>CRC</v>
      </c>
      <c r="L2910">
        <v>0</v>
      </c>
      <c r="M2910">
        <f t="shared" si="398"/>
        <v>18</v>
      </c>
      <c r="N2910" t="str">
        <f>TEXT(MTDRejection[[#This Row],[RejectionDate]],"dddd")</f>
        <v>Wednesday</v>
      </c>
    </row>
    <row r="2911" spans="1:14">
      <c r="A2911" t="s">
        <v>1879</v>
      </c>
      <c r="B2911" t="s">
        <v>1972</v>
      </c>
      <c r="C2911" t="s">
        <v>1686</v>
      </c>
      <c r="D2911" t="s">
        <v>26</v>
      </c>
      <c r="E2911" s="7">
        <v>45644</v>
      </c>
      <c r="F2911" t="s">
        <v>118</v>
      </c>
      <c r="G2911">
        <v>0</v>
      </c>
      <c r="H2911" t="s">
        <v>27</v>
      </c>
      <c r="I2911" t="s">
        <v>16</v>
      </c>
      <c r="J2911" t="s">
        <v>16</v>
      </c>
      <c r="K2911" t="str">
        <f>VLOOKUP(C2911,CheckName!A:B,2,0)</f>
        <v>CRC</v>
      </c>
      <c r="L2911">
        <v>0</v>
      </c>
      <c r="M2911">
        <f t="shared" si="398"/>
        <v>18</v>
      </c>
      <c r="N2911" t="str">
        <f>TEXT(MTDRejection[[#This Row],[RejectionDate]],"dddd")</f>
        <v>Wednesday</v>
      </c>
    </row>
    <row r="2912" spans="1:14">
      <c r="A2912" t="s">
        <v>1879</v>
      </c>
      <c r="B2912" t="s">
        <v>5194</v>
      </c>
      <c r="C2912" t="s">
        <v>1686</v>
      </c>
      <c r="D2912" t="s">
        <v>26</v>
      </c>
      <c r="E2912" s="7">
        <v>45644</v>
      </c>
      <c r="F2912" t="s">
        <v>118</v>
      </c>
      <c r="G2912">
        <v>0</v>
      </c>
      <c r="H2912" t="s">
        <v>27</v>
      </c>
      <c r="I2912" t="s">
        <v>16</v>
      </c>
      <c r="J2912" t="s">
        <v>16</v>
      </c>
      <c r="K2912" t="str">
        <f>VLOOKUP(C2912,CheckName!A:B,2,0)</f>
        <v>CRC</v>
      </c>
      <c r="L2912">
        <v>0</v>
      </c>
      <c r="M2912">
        <f t="shared" si="398"/>
        <v>18</v>
      </c>
      <c r="N2912" t="str">
        <f>TEXT(MTDRejection[[#This Row],[RejectionDate]],"dddd")</f>
        <v>Wednesday</v>
      </c>
    </row>
    <row r="2913" spans="1:14">
      <c r="A2913" t="s">
        <v>1879</v>
      </c>
      <c r="B2913" t="s">
        <v>1969</v>
      </c>
      <c r="C2913" t="s">
        <v>1686</v>
      </c>
      <c r="D2913" t="s">
        <v>26</v>
      </c>
      <c r="E2913" s="7">
        <v>45644</v>
      </c>
      <c r="F2913" t="s">
        <v>118</v>
      </c>
      <c r="G2913">
        <v>0</v>
      </c>
      <c r="H2913" t="s">
        <v>27</v>
      </c>
      <c r="I2913" t="s">
        <v>16</v>
      </c>
      <c r="J2913" t="s">
        <v>16</v>
      </c>
      <c r="K2913" t="str">
        <f>VLOOKUP(C2913,CheckName!A:B,2,0)</f>
        <v>CRC</v>
      </c>
      <c r="L2913">
        <v>0</v>
      </c>
      <c r="M2913">
        <f t="shared" si="398"/>
        <v>18</v>
      </c>
      <c r="N2913" t="str">
        <f>TEXT(MTDRejection[[#This Row],[RejectionDate]],"dddd")</f>
        <v>Wednesday</v>
      </c>
    </row>
    <row r="2914" spans="1:14">
      <c r="A2914" t="s">
        <v>1879</v>
      </c>
      <c r="B2914" t="s">
        <v>5195</v>
      </c>
      <c r="C2914" t="s">
        <v>1686</v>
      </c>
      <c r="D2914" t="s">
        <v>26</v>
      </c>
      <c r="E2914" s="7">
        <v>45644</v>
      </c>
      <c r="F2914" t="s">
        <v>118</v>
      </c>
      <c r="G2914">
        <v>0</v>
      </c>
      <c r="H2914" t="s">
        <v>27</v>
      </c>
      <c r="I2914" t="s">
        <v>16</v>
      </c>
      <c r="J2914" t="s">
        <v>16</v>
      </c>
      <c r="K2914" t="str">
        <f>VLOOKUP(C2914,CheckName!A:B,2,0)</f>
        <v>CRC</v>
      </c>
      <c r="L2914">
        <v>0</v>
      </c>
      <c r="M2914">
        <f t="shared" si="398"/>
        <v>18</v>
      </c>
      <c r="N2914" t="str">
        <f>TEXT(MTDRejection[[#This Row],[RejectionDate]],"dddd")</f>
        <v>Wednesday</v>
      </c>
    </row>
    <row r="2915" spans="1:14">
      <c r="A2915" t="s">
        <v>1879</v>
      </c>
      <c r="B2915" t="s">
        <v>5196</v>
      </c>
      <c r="C2915" t="s">
        <v>1686</v>
      </c>
      <c r="D2915" t="s">
        <v>26</v>
      </c>
      <c r="E2915" s="7">
        <v>45644</v>
      </c>
      <c r="F2915" t="s">
        <v>118</v>
      </c>
      <c r="G2915">
        <v>0</v>
      </c>
      <c r="H2915" t="s">
        <v>27</v>
      </c>
      <c r="I2915" t="s">
        <v>16</v>
      </c>
      <c r="J2915" t="s">
        <v>16</v>
      </c>
      <c r="K2915" t="str">
        <f>VLOOKUP(C2915,CheckName!A:B,2,0)</f>
        <v>CRC</v>
      </c>
      <c r="L2915">
        <v>0</v>
      </c>
      <c r="M2915">
        <f t="shared" si="398"/>
        <v>18</v>
      </c>
      <c r="N2915" t="str">
        <f>TEXT(MTDRejection[[#This Row],[RejectionDate]],"dddd")</f>
        <v>Wednesday</v>
      </c>
    </row>
    <row r="2916" spans="1:14">
      <c r="A2916" t="s">
        <v>1879</v>
      </c>
      <c r="B2916" t="s">
        <v>5197</v>
      </c>
      <c r="C2916" t="s">
        <v>1686</v>
      </c>
      <c r="D2916" t="s">
        <v>26</v>
      </c>
      <c r="E2916" s="7">
        <v>45644</v>
      </c>
      <c r="F2916" t="s">
        <v>118</v>
      </c>
      <c r="G2916">
        <v>0</v>
      </c>
      <c r="H2916" t="s">
        <v>27</v>
      </c>
      <c r="I2916" t="s">
        <v>16</v>
      </c>
      <c r="J2916" t="s">
        <v>16</v>
      </c>
      <c r="K2916" t="str">
        <f>VLOOKUP(C2916,CheckName!A:B,2,0)</f>
        <v>CRC</v>
      </c>
      <c r="L2916">
        <v>0</v>
      </c>
      <c r="M2916">
        <f t="shared" si="398"/>
        <v>18</v>
      </c>
      <c r="N2916" t="str">
        <f>TEXT(MTDRejection[[#This Row],[RejectionDate]],"dddd")</f>
        <v>Wednesday</v>
      </c>
    </row>
    <row r="2917" spans="1:14">
      <c r="A2917" t="s">
        <v>1879</v>
      </c>
      <c r="B2917" t="s">
        <v>5198</v>
      </c>
      <c r="C2917" t="s">
        <v>1686</v>
      </c>
      <c r="D2917" t="s">
        <v>26</v>
      </c>
      <c r="E2917" s="7">
        <v>45644</v>
      </c>
      <c r="F2917" t="s">
        <v>118</v>
      </c>
      <c r="G2917">
        <v>0</v>
      </c>
      <c r="H2917" t="s">
        <v>27</v>
      </c>
      <c r="I2917" t="s">
        <v>16</v>
      </c>
      <c r="J2917" t="s">
        <v>16</v>
      </c>
      <c r="K2917" t="str">
        <f>VLOOKUP(C2917,CheckName!A:B,2,0)</f>
        <v>CRC</v>
      </c>
      <c r="L2917">
        <v>0</v>
      </c>
      <c r="M2917">
        <f t="shared" si="398"/>
        <v>18</v>
      </c>
      <c r="N2917" t="str">
        <f>TEXT(MTDRejection[[#This Row],[RejectionDate]],"dddd")</f>
        <v>Wednesday</v>
      </c>
    </row>
    <row r="2918" spans="1:14">
      <c r="A2918" t="s">
        <v>1879</v>
      </c>
      <c r="B2918" t="s">
        <v>4971</v>
      </c>
      <c r="C2918" t="s">
        <v>1686</v>
      </c>
      <c r="D2918" t="s">
        <v>26</v>
      </c>
      <c r="E2918" s="7">
        <v>45644</v>
      </c>
      <c r="F2918" t="s">
        <v>118</v>
      </c>
      <c r="G2918">
        <v>0</v>
      </c>
      <c r="H2918" t="s">
        <v>27</v>
      </c>
      <c r="I2918" t="s">
        <v>16</v>
      </c>
      <c r="J2918" t="s">
        <v>16</v>
      </c>
      <c r="K2918" t="str">
        <f>VLOOKUP(C2918,CheckName!A:B,2,0)</f>
        <v>CRC</v>
      </c>
      <c r="L2918">
        <v>0</v>
      </c>
      <c r="M2918">
        <f t="shared" si="398"/>
        <v>18</v>
      </c>
      <c r="N2918" t="str">
        <f>TEXT(MTDRejection[[#This Row],[RejectionDate]],"dddd")</f>
        <v>Wednesday</v>
      </c>
    </row>
    <row r="2919" spans="1:14">
      <c r="A2919" t="s">
        <v>1879</v>
      </c>
      <c r="B2919" t="s">
        <v>5199</v>
      </c>
      <c r="C2919" t="s">
        <v>1686</v>
      </c>
      <c r="D2919" t="s">
        <v>26</v>
      </c>
      <c r="E2919" s="7">
        <v>45644</v>
      </c>
      <c r="F2919" t="s">
        <v>118</v>
      </c>
      <c r="G2919">
        <v>0</v>
      </c>
      <c r="H2919" t="s">
        <v>27</v>
      </c>
      <c r="I2919" t="s">
        <v>16</v>
      </c>
      <c r="J2919" t="s">
        <v>16</v>
      </c>
      <c r="K2919" t="str">
        <f>VLOOKUP(C2919,CheckName!A:B,2,0)</f>
        <v>CRC</v>
      </c>
      <c r="L2919">
        <v>0</v>
      </c>
      <c r="M2919">
        <f t="shared" si="398"/>
        <v>18</v>
      </c>
      <c r="N2919" t="str">
        <f>TEXT(MTDRejection[[#This Row],[RejectionDate]],"dddd")</f>
        <v>Wednesday</v>
      </c>
    </row>
    <row r="2920" spans="1:14">
      <c r="A2920" t="s">
        <v>1879</v>
      </c>
      <c r="B2920" t="s">
        <v>5200</v>
      </c>
      <c r="C2920" t="s">
        <v>1686</v>
      </c>
      <c r="D2920" t="s">
        <v>26</v>
      </c>
      <c r="E2920" s="7">
        <v>45644</v>
      </c>
      <c r="F2920" t="s">
        <v>118</v>
      </c>
      <c r="G2920">
        <v>0</v>
      </c>
      <c r="H2920" t="s">
        <v>27</v>
      </c>
      <c r="I2920" t="s">
        <v>16</v>
      </c>
      <c r="J2920" t="s">
        <v>16</v>
      </c>
      <c r="K2920" t="str">
        <f>VLOOKUP(C2920,CheckName!A:B,2,0)</f>
        <v>CRC</v>
      </c>
      <c r="L2920">
        <v>0</v>
      </c>
      <c r="M2920">
        <f t="shared" si="398"/>
        <v>18</v>
      </c>
      <c r="N2920" t="str">
        <f>TEXT(MTDRejection[[#This Row],[RejectionDate]],"dddd")</f>
        <v>Wednesday</v>
      </c>
    </row>
    <row r="2921" spans="1:14">
      <c r="A2921" t="s">
        <v>1879</v>
      </c>
      <c r="B2921" t="s">
        <v>5201</v>
      </c>
      <c r="C2921" t="s">
        <v>1686</v>
      </c>
      <c r="D2921" t="s">
        <v>26</v>
      </c>
      <c r="E2921" s="7">
        <v>45644</v>
      </c>
      <c r="F2921" t="s">
        <v>118</v>
      </c>
      <c r="G2921">
        <v>0</v>
      </c>
      <c r="H2921" t="s">
        <v>27</v>
      </c>
      <c r="I2921" t="s">
        <v>16</v>
      </c>
      <c r="J2921" t="s">
        <v>16</v>
      </c>
      <c r="K2921" t="str">
        <f>VLOOKUP(C2921,CheckName!A:B,2,0)</f>
        <v>CRC</v>
      </c>
      <c r="L2921">
        <v>0</v>
      </c>
      <c r="M2921">
        <f t="shared" si="398"/>
        <v>18</v>
      </c>
      <c r="N2921" t="str">
        <f>TEXT(MTDRejection[[#This Row],[RejectionDate]],"dddd")</f>
        <v>Wednesday</v>
      </c>
    </row>
    <row r="2922" spans="1:14">
      <c r="A2922" t="s">
        <v>1879</v>
      </c>
      <c r="B2922" t="s">
        <v>5202</v>
      </c>
      <c r="C2922" t="s">
        <v>1686</v>
      </c>
      <c r="D2922" t="s">
        <v>26</v>
      </c>
      <c r="E2922" s="7">
        <v>45644</v>
      </c>
      <c r="F2922" t="s">
        <v>118</v>
      </c>
      <c r="G2922">
        <v>0</v>
      </c>
      <c r="H2922" t="s">
        <v>27</v>
      </c>
      <c r="I2922" t="s">
        <v>16</v>
      </c>
      <c r="J2922" t="s">
        <v>16</v>
      </c>
      <c r="K2922" t="str">
        <f>VLOOKUP(C2922,CheckName!A:B,2,0)</f>
        <v>CRC</v>
      </c>
      <c r="L2922">
        <v>0</v>
      </c>
      <c r="M2922">
        <f t="shared" si="398"/>
        <v>18</v>
      </c>
      <c r="N2922" t="str">
        <f>TEXT(MTDRejection[[#This Row],[RejectionDate]],"dddd")</f>
        <v>Wednesday</v>
      </c>
    </row>
    <row r="2923" spans="1:14">
      <c r="A2923" t="s">
        <v>1879</v>
      </c>
      <c r="B2923" t="s">
        <v>5203</v>
      </c>
      <c r="C2923" t="s">
        <v>1686</v>
      </c>
      <c r="D2923" t="s">
        <v>26</v>
      </c>
      <c r="E2923" s="7">
        <v>45644</v>
      </c>
      <c r="F2923" t="s">
        <v>118</v>
      </c>
      <c r="G2923">
        <v>0</v>
      </c>
      <c r="H2923" t="s">
        <v>27</v>
      </c>
      <c r="I2923" t="s">
        <v>16</v>
      </c>
      <c r="J2923" t="s">
        <v>16</v>
      </c>
      <c r="K2923" t="str">
        <f>VLOOKUP(C2923,CheckName!A:B,2,0)</f>
        <v>CRC</v>
      </c>
      <c r="L2923">
        <v>0</v>
      </c>
      <c r="M2923">
        <f t="shared" si="398"/>
        <v>18</v>
      </c>
      <c r="N2923" t="str">
        <f>TEXT(MTDRejection[[#This Row],[RejectionDate]],"dddd")</f>
        <v>Wednesday</v>
      </c>
    </row>
    <row r="2924" spans="1:14">
      <c r="A2924" t="s">
        <v>1879</v>
      </c>
      <c r="B2924" t="s">
        <v>5186</v>
      </c>
      <c r="C2924" t="s">
        <v>1686</v>
      </c>
      <c r="D2924" t="s">
        <v>26</v>
      </c>
      <c r="E2924" s="7">
        <v>45644</v>
      </c>
      <c r="F2924" t="s">
        <v>118</v>
      </c>
      <c r="G2924">
        <v>0</v>
      </c>
      <c r="H2924" t="s">
        <v>27</v>
      </c>
      <c r="I2924" t="s">
        <v>16</v>
      </c>
      <c r="J2924" t="s">
        <v>16</v>
      </c>
      <c r="K2924" t="str">
        <f>VLOOKUP(C2924,CheckName!A:B,2,0)</f>
        <v>CRC</v>
      </c>
      <c r="L2924">
        <v>0</v>
      </c>
      <c r="M2924">
        <f t="shared" si="398"/>
        <v>18</v>
      </c>
      <c r="N2924" t="str">
        <f>TEXT(MTDRejection[[#This Row],[RejectionDate]],"dddd")</f>
        <v>Wednesday</v>
      </c>
    </row>
    <row r="2925" spans="1:14">
      <c r="A2925" t="s">
        <v>1879</v>
      </c>
      <c r="B2925" t="s">
        <v>5204</v>
      </c>
      <c r="C2925" t="s">
        <v>1686</v>
      </c>
      <c r="D2925" t="s">
        <v>26</v>
      </c>
      <c r="E2925" s="7">
        <v>45644</v>
      </c>
      <c r="F2925" t="s">
        <v>118</v>
      </c>
      <c r="G2925">
        <v>0</v>
      </c>
      <c r="H2925" t="s">
        <v>27</v>
      </c>
      <c r="I2925" t="s">
        <v>16</v>
      </c>
      <c r="J2925" t="s">
        <v>16</v>
      </c>
      <c r="K2925" t="str">
        <f>VLOOKUP(C2925,CheckName!A:B,2,0)</f>
        <v>CRC</v>
      </c>
      <c r="L2925">
        <v>0</v>
      </c>
      <c r="M2925">
        <f t="shared" si="398"/>
        <v>18</v>
      </c>
      <c r="N2925" t="str">
        <f>TEXT(MTDRejection[[#This Row],[RejectionDate]],"dddd")</f>
        <v>Wednesday</v>
      </c>
    </row>
    <row r="2926" spans="1:14">
      <c r="A2926" t="s">
        <v>1879</v>
      </c>
      <c r="B2926" t="s">
        <v>1985</v>
      </c>
      <c r="C2926" t="s">
        <v>1686</v>
      </c>
      <c r="D2926" t="s">
        <v>26</v>
      </c>
      <c r="E2926" s="7">
        <v>45644</v>
      </c>
      <c r="F2926" t="s">
        <v>118</v>
      </c>
      <c r="G2926">
        <v>0</v>
      </c>
      <c r="H2926" t="s">
        <v>27</v>
      </c>
      <c r="I2926" t="s">
        <v>16</v>
      </c>
      <c r="J2926" t="s">
        <v>16</v>
      </c>
      <c r="K2926" t="str">
        <f>VLOOKUP(C2926,CheckName!A:B,2,0)</f>
        <v>CRC</v>
      </c>
      <c r="L2926">
        <v>0</v>
      </c>
      <c r="M2926">
        <f t="shared" si="398"/>
        <v>18</v>
      </c>
      <c r="N2926" t="str">
        <f>TEXT(MTDRejection[[#This Row],[RejectionDate]],"dddd")</f>
        <v>Wednesday</v>
      </c>
    </row>
    <row r="2927" spans="1:14">
      <c r="A2927" t="s">
        <v>1879</v>
      </c>
      <c r="B2927" t="s">
        <v>5113</v>
      </c>
      <c r="C2927" t="s">
        <v>1686</v>
      </c>
      <c r="D2927" t="s">
        <v>26</v>
      </c>
      <c r="E2927" s="7">
        <v>45644</v>
      </c>
      <c r="F2927" t="s">
        <v>118</v>
      </c>
      <c r="G2927">
        <v>0</v>
      </c>
      <c r="H2927" t="s">
        <v>27</v>
      </c>
      <c r="I2927" t="s">
        <v>16</v>
      </c>
      <c r="J2927" t="s">
        <v>16</v>
      </c>
      <c r="K2927" t="str">
        <f>VLOOKUP(C2927,CheckName!A:B,2,0)</f>
        <v>CRC</v>
      </c>
      <c r="L2927">
        <v>0</v>
      </c>
      <c r="M2927">
        <f t="shared" si="398"/>
        <v>18</v>
      </c>
      <c r="N2927" t="str">
        <f>TEXT(MTDRejection[[#This Row],[RejectionDate]],"dddd")</f>
        <v>Wednesday</v>
      </c>
    </row>
    <row r="2928" spans="1:14">
      <c r="A2928" t="s">
        <v>1879</v>
      </c>
      <c r="B2928" t="s">
        <v>5205</v>
      </c>
      <c r="C2928" t="s">
        <v>1686</v>
      </c>
      <c r="D2928" t="s">
        <v>26</v>
      </c>
      <c r="E2928" s="7">
        <v>45644</v>
      </c>
      <c r="F2928" t="s">
        <v>118</v>
      </c>
      <c r="G2928">
        <v>0</v>
      </c>
      <c r="H2928" t="s">
        <v>27</v>
      </c>
      <c r="I2928" t="s">
        <v>16</v>
      </c>
      <c r="J2928" t="s">
        <v>16</v>
      </c>
      <c r="K2928" t="str">
        <f>VLOOKUP(C2928,CheckName!A:B,2,0)</f>
        <v>CRC</v>
      </c>
      <c r="L2928">
        <v>0</v>
      </c>
      <c r="M2928">
        <f t="shared" si="398"/>
        <v>18</v>
      </c>
      <c r="N2928" t="str">
        <f>TEXT(MTDRejection[[#This Row],[RejectionDate]],"dddd")</f>
        <v>Wednesday</v>
      </c>
    </row>
    <row r="2929" spans="1:14">
      <c r="A2929" t="s">
        <v>1879</v>
      </c>
      <c r="B2929" t="s">
        <v>5206</v>
      </c>
      <c r="C2929" t="s">
        <v>1686</v>
      </c>
      <c r="D2929" t="s">
        <v>26</v>
      </c>
      <c r="E2929" s="7">
        <v>45644</v>
      </c>
      <c r="F2929" t="s">
        <v>118</v>
      </c>
      <c r="G2929">
        <v>0</v>
      </c>
      <c r="H2929" t="s">
        <v>27</v>
      </c>
      <c r="I2929" t="s">
        <v>16</v>
      </c>
      <c r="J2929" t="s">
        <v>16</v>
      </c>
      <c r="K2929" t="str">
        <f>VLOOKUP(C2929,CheckName!A:B,2,0)</f>
        <v>CRC</v>
      </c>
      <c r="L2929">
        <v>0</v>
      </c>
      <c r="M2929">
        <f t="shared" si="398"/>
        <v>18</v>
      </c>
      <c r="N2929" t="str">
        <f>TEXT(MTDRejection[[#This Row],[RejectionDate]],"dddd")</f>
        <v>Wednesday</v>
      </c>
    </row>
    <row r="2930" spans="1:14">
      <c r="A2930" t="s">
        <v>1879</v>
      </c>
      <c r="B2930" t="s">
        <v>2644</v>
      </c>
      <c r="C2930" t="s">
        <v>1686</v>
      </c>
      <c r="D2930" t="s">
        <v>26</v>
      </c>
      <c r="E2930" s="7">
        <v>45644</v>
      </c>
      <c r="F2930" t="s">
        <v>118</v>
      </c>
      <c r="G2930">
        <v>0</v>
      </c>
      <c r="H2930" t="s">
        <v>27</v>
      </c>
      <c r="I2930" t="s">
        <v>16</v>
      </c>
      <c r="J2930" t="s">
        <v>16</v>
      </c>
      <c r="K2930" t="str">
        <f>VLOOKUP(C2930,CheckName!A:B,2,0)</f>
        <v>CRC</v>
      </c>
      <c r="L2930">
        <v>0</v>
      </c>
      <c r="M2930">
        <f t="shared" si="398"/>
        <v>18</v>
      </c>
      <c r="N2930" t="str">
        <f>TEXT(MTDRejection[[#This Row],[RejectionDate]],"dddd")</f>
        <v>Wednesday</v>
      </c>
    </row>
    <row r="2931" spans="1:14">
      <c r="A2931" t="s">
        <v>1879</v>
      </c>
      <c r="B2931" t="s">
        <v>5207</v>
      </c>
      <c r="C2931" t="s">
        <v>1686</v>
      </c>
      <c r="D2931" t="s">
        <v>26</v>
      </c>
      <c r="E2931" s="7">
        <v>45644</v>
      </c>
      <c r="F2931" t="s">
        <v>118</v>
      </c>
      <c r="G2931">
        <v>0</v>
      </c>
      <c r="H2931" t="s">
        <v>27</v>
      </c>
      <c r="I2931" t="s">
        <v>16</v>
      </c>
      <c r="J2931" t="s">
        <v>16</v>
      </c>
      <c r="K2931" t="str">
        <f>VLOOKUP(C2931,CheckName!A:B,2,0)</f>
        <v>CRC</v>
      </c>
      <c r="L2931">
        <v>0</v>
      </c>
      <c r="M2931">
        <f t="shared" si="398"/>
        <v>18</v>
      </c>
      <c r="N2931" t="str">
        <f>TEXT(MTDRejection[[#This Row],[RejectionDate]],"dddd")</f>
        <v>Wednesday</v>
      </c>
    </row>
    <row r="2932" spans="1:14">
      <c r="A2932" t="s">
        <v>1879</v>
      </c>
      <c r="B2932" t="s">
        <v>2653</v>
      </c>
      <c r="C2932" t="s">
        <v>1686</v>
      </c>
      <c r="D2932" t="s">
        <v>26</v>
      </c>
      <c r="E2932" s="7">
        <v>45644</v>
      </c>
      <c r="F2932" t="s">
        <v>118</v>
      </c>
      <c r="G2932">
        <v>0</v>
      </c>
      <c r="H2932" t="s">
        <v>27</v>
      </c>
      <c r="I2932" t="s">
        <v>16</v>
      </c>
      <c r="J2932" t="s">
        <v>16</v>
      </c>
      <c r="K2932" t="str">
        <f>VLOOKUP(C2932,CheckName!A:B,2,0)</f>
        <v>CRC</v>
      </c>
      <c r="L2932">
        <v>0</v>
      </c>
      <c r="M2932">
        <f t="shared" si="398"/>
        <v>18</v>
      </c>
      <c r="N2932" t="str">
        <f>TEXT(MTDRejection[[#This Row],[RejectionDate]],"dddd")</f>
        <v>Wednesday</v>
      </c>
    </row>
    <row r="2933" spans="1:14">
      <c r="A2933" t="s">
        <v>1879</v>
      </c>
      <c r="B2933" t="s">
        <v>2677</v>
      </c>
      <c r="C2933" t="s">
        <v>1686</v>
      </c>
      <c r="D2933" t="s">
        <v>26</v>
      </c>
      <c r="E2933" s="7">
        <v>45644</v>
      </c>
      <c r="F2933" t="s">
        <v>118</v>
      </c>
      <c r="G2933">
        <v>0</v>
      </c>
      <c r="H2933" t="s">
        <v>27</v>
      </c>
      <c r="I2933" t="s">
        <v>16</v>
      </c>
      <c r="J2933" t="s">
        <v>16</v>
      </c>
      <c r="K2933" t="str">
        <f>VLOOKUP(C2933,CheckName!A:B,2,0)</f>
        <v>CRC</v>
      </c>
      <c r="L2933">
        <v>0</v>
      </c>
      <c r="M2933">
        <f t="shared" si="398"/>
        <v>18</v>
      </c>
      <c r="N2933" t="str">
        <f>TEXT(MTDRejection[[#This Row],[RejectionDate]],"dddd")</f>
        <v>Wednesday</v>
      </c>
    </row>
    <row r="2934" spans="1:14">
      <c r="A2934" t="s">
        <v>1879</v>
      </c>
      <c r="B2934" t="s">
        <v>5148</v>
      </c>
      <c r="C2934" t="s">
        <v>1686</v>
      </c>
      <c r="D2934" t="s">
        <v>26</v>
      </c>
      <c r="E2934" s="7">
        <v>45644</v>
      </c>
      <c r="F2934" t="s">
        <v>118</v>
      </c>
      <c r="G2934">
        <v>0</v>
      </c>
      <c r="H2934" t="s">
        <v>27</v>
      </c>
      <c r="I2934" t="s">
        <v>16</v>
      </c>
      <c r="J2934" t="s">
        <v>16</v>
      </c>
      <c r="K2934" t="str">
        <f>VLOOKUP(C2934,CheckName!A:B,2,0)</f>
        <v>CRC</v>
      </c>
      <c r="L2934">
        <v>0</v>
      </c>
      <c r="M2934">
        <f t="shared" si="398"/>
        <v>18</v>
      </c>
      <c r="N2934" t="str">
        <f>TEXT(MTDRejection[[#This Row],[RejectionDate]],"dddd")</f>
        <v>Wednesday</v>
      </c>
    </row>
    <row r="2935" spans="1:14">
      <c r="A2935" t="s">
        <v>1879</v>
      </c>
      <c r="B2935" t="s">
        <v>5208</v>
      </c>
      <c r="C2935" t="s">
        <v>1686</v>
      </c>
      <c r="D2935" t="s">
        <v>26</v>
      </c>
      <c r="E2935" s="7">
        <v>45644</v>
      </c>
      <c r="F2935" t="s">
        <v>118</v>
      </c>
      <c r="G2935">
        <v>0</v>
      </c>
      <c r="H2935" t="s">
        <v>27</v>
      </c>
      <c r="I2935" t="s">
        <v>16</v>
      </c>
      <c r="J2935" t="s">
        <v>16</v>
      </c>
      <c r="K2935" t="str">
        <f>VLOOKUP(C2935,CheckName!A:B,2,0)</f>
        <v>CRC</v>
      </c>
      <c r="L2935">
        <v>0</v>
      </c>
      <c r="M2935">
        <f t="shared" si="398"/>
        <v>18</v>
      </c>
      <c r="N2935" t="str">
        <f>TEXT(MTDRejection[[#This Row],[RejectionDate]],"dddd")</f>
        <v>Wednesday</v>
      </c>
    </row>
    <row r="2936" spans="1:14">
      <c r="A2936" t="s">
        <v>1879</v>
      </c>
      <c r="B2936" t="s">
        <v>4987</v>
      </c>
      <c r="C2936" t="s">
        <v>1686</v>
      </c>
      <c r="D2936" t="s">
        <v>26</v>
      </c>
      <c r="E2936" s="7">
        <v>45644</v>
      </c>
      <c r="F2936" t="s">
        <v>118</v>
      </c>
      <c r="G2936">
        <v>0</v>
      </c>
      <c r="H2936" t="s">
        <v>27</v>
      </c>
      <c r="I2936" t="s">
        <v>16</v>
      </c>
      <c r="J2936" t="s">
        <v>16</v>
      </c>
      <c r="K2936" t="str">
        <f>VLOOKUP(C2936,CheckName!A:B,2,0)</f>
        <v>CRC</v>
      </c>
      <c r="L2936">
        <v>0</v>
      </c>
      <c r="M2936">
        <f t="shared" si="398"/>
        <v>18</v>
      </c>
      <c r="N2936" t="str">
        <f>TEXT(MTDRejection[[#This Row],[RejectionDate]],"dddd")</f>
        <v>Wednesday</v>
      </c>
    </row>
    <row r="2937" spans="1:14">
      <c r="A2937" t="s">
        <v>1879</v>
      </c>
      <c r="B2937" t="s">
        <v>5209</v>
      </c>
      <c r="C2937" t="s">
        <v>1686</v>
      </c>
      <c r="D2937" t="s">
        <v>26</v>
      </c>
      <c r="E2937" s="7">
        <v>45644</v>
      </c>
      <c r="F2937" t="s">
        <v>118</v>
      </c>
      <c r="G2937">
        <v>0</v>
      </c>
      <c r="H2937" t="s">
        <v>27</v>
      </c>
      <c r="I2937" t="s">
        <v>16</v>
      </c>
      <c r="J2937" t="s">
        <v>16</v>
      </c>
      <c r="K2937" t="str">
        <f>VLOOKUP(C2937,CheckName!A:B,2,0)</f>
        <v>CRC</v>
      </c>
      <c r="L2937">
        <v>0</v>
      </c>
      <c r="M2937">
        <f t="shared" ref="M2937:M2966" si="399">DAY(E2937)</f>
        <v>18</v>
      </c>
      <c r="N2937" t="str">
        <f>TEXT(MTDRejection[[#This Row],[RejectionDate]],"dddd")</f>
        <v>Wednesday</v>
      </c>
    </row>
    <row r="2938" spans="1:14">
      <c r="A2938" t="s">
        <v>1879</v>
      </c>
      <c r="B2938" t="s">
        <v>5210</v>
      </c>
      <c r="C2938" t="s">
        <v>1686</v>
      </c>
      <c r="D2938" t="s">
        <v>26</v>
      </c>
      <c r="E2938" s="7">
        <v>45644</v>
      </c>
      <c r="F2938" t="s">
        <v>118</v>
      </c>
      <c r="G2938">
        <v>0</v>
      </c>
      <c r="H2938" t="s">
        <v>27</v>
      </c>
      <c r="I2938" t="s">
        <v>16</v>
      </c>
      <c r="J2938" t="s">
        <v>16</v>
      </c>
      <c r="K2938" t="str">
        <f>VLOOKUP(C2938,CheckName!A:B,2,0)</f>
        <v>CRC</v>
      </c>
      <c r="L2938">
        <v>0</v>
      </c>
      <c r="M2938">
        <f t="shared" si="399"/>
        <v>18</v>
      </c>
      <c r="N2938" t="str">
        <f>TEXT(MTDRejection[[#This Row],[RejectionDate]],"dddd")</f>
        <v>Wednesday</v>
      </c>
    </row>
    <row r="2939" spans="1:14">
      <c r="A2939" t="s">
        <v>1879</v>
      </c>
      <c r="B2939" t="s">
        <v>5211</v>
      </c>
      <c r="C2939" t="s">
        <v>1686</v>
      </c>
      <c r="D2939" t="s">
        <v>26</v>
      </c>
      <c r="E2939" s="7">
        <v>45644</v>
      </c>
      <c r="F2939" t="s">
        <v>118</v>
      </c>
      <c r="G2939">
        <v>0</v>
      </c>
      <c r="H2939" t="s">
        <v>27</v>
      </c>
      <c r="I2939" t="s">
        <v>16</v>
      </c>
      <c r="J2939" t="s">
        <v>16</v>
      </c>
      <c r="K2939" t="str">
        <f>VLOOKUP(C2939,CheckName!A:B,2,0)</f>
        <v>CRC</v>
      </c>
      <c r="L2939">
        <v>0</v>
      </c>
      <c r="M2939">
        <f t="shared" si="399"/>
        <v>18</v>
      </c>
      <c r="N2939" t="str">
        <f>TEXT(MTDRejection[[#This Row],[RejectionDate]],"dddd")</f>
        <v>Wednesday</v>
      </c>
    </row>
    <row r="2940" spans="1:14">
      <c r="A2940" t="s">
        <v>1879</v>
      </c>
      <c r="B2940" t="s">
        <v>5212</v>
      </c>
      <c r="C2940" t="s">
        <v>1686</v>
      </c>
      <c r="D2940" t="s">
        <v>26</v>
      </c>
      <c r="E2940" s="7">
        <v>45644</v>
      </c>
      <c r="F2940" t="s">
        <v>118</v>
      </c>
      <c r="G2940">
        <v>0</v>
      </c>
      <c r="H2940" t="s">
        <v>27</v>
      </c>
      <c r="I2940" t="s">
        <v>16</v>
      </c>
      <c r="J2940" t="s">
        <v>16</v>
      </c>
      <c r="K2940" t="str">
        <f>VLOOKUP(C2940,CheckName!A:B,2,0)</f>
        <v>CRC</v>
      </c>
      <c r="L2940">
        <v>0</v>
      </c>
      <c r="M2940">
        <f t="shared" si="399"/>
        <v>18</v>
      </c>
      <c r="N2940" t="str">
        <f>TEXT(MTDRejection[[#This Row],[RejectionDate]],"dddd")</f>
        <v>Wednesday</v>
      </c>
    </row>
    <row r="2941" spans="1:14">
      <c r="A2941" t="s">
        <v>1879</v>
      </c>
      <c r="B2941" t="s">
        <v>2676</v>
      </c>
      <c r="C2941" t="s">
        <v>1686</v>
      </c>
      <c r="D2941" t="s">
        <v>26</v>
      </c>
      <c r="E2941" s="7">
        <v>45644</v>
      </c>
      <c r="F2941" t="s">
        <v>118</v>
      </c>
      <c r="G2941">
        <v>0</v>
      </c>
      <c r="H2941" t="s">
        <v>27</v>
      </c>
      <c r="I2941" t="s">
        <v>16</v>
      </c>
      <c r="J2941" t="s">
        <v>16</v>
      </c>
      <c r="K2941" t="str">
        <f>VLOOKUP(C2941,CheckName!A:B,2,0)</f>
        <v>CRC</v>
      </c>
      <c r="L2941">
        <v>0</v>
      </c>
      <c r="M2941">
        <f t="shared" si="399"/>
        <v>18</v>
      </c>
      <c r="N2941" t="str">
        <f>TEXT(MTDRejection[[#This Row],[RejectionDate]],"dddd")</f>
        <v>Wednesday</v>
      </c>
    </row>
    <row r="2942" spans="1:14">
      <c r="A2942" t="s">
        <v>1879</v>
      </c>
      <c r="B2942" t="s">
        <v>2001</v>
      </c>
      <c r="C2942" t="s">
        <v>1686</v>
      </c>
      <c r="D2942" t="s">
        <v>26</v>
      </c>
      <c r="E2942" s="7">
        <v>45644</v>
      </c>
      <c r="F2942" t="s">
        <v>118</v>
      </c>
      <c r="G2942">
        <v>0</v>
      </c>
      <c r="H2942" t="s">
        <v>27</v>
      </c>
      <c r="I2942" t="s">
        <v>16</v>
      </c>
      <c r="J2942" t="s">
        <v>16</v>
      </c>
      <c r="K2942" t="str">
        <f>VLOOKUP(C2942,CheckName!A:B,2,0)</f>
        <v>CRC</v>
      </c>
      <c r="L2942">
        <v>0</v>
      </c>
      <c r="M2942">
        <f t="shared" si="399"/>
        <v>18</v>
      </c>
      <c r="N2942" t="str">
        <f>TEXT(MTDRejection[[#This Row],[RejectionDate]],"dddd")</f>
        <v>Wednesday</v>
      </c>
    </row>
    <row r="2943" spans="1:14">
      <c r="A2943" t="s">
        <v>1879</v>
      </c>
      <c r="B2943" t="s">
        <v>5213</v>
      </c>
      <c r="C2943" t="s">
        <v>1686</v>
      </c>
      <c r="D2943" t="s">
        <v>26</v>
      </c>
      <c r="E2943" s="7">
        <v>45644</v>
      </c>
      <c r="F2943" t="s">
        <v>118</v>
      </c>
      <c r="G2943">
        <v>0</v>
      </c>
      <c r="H2943" t="s">
        <v>27</v>
      </c>
      <c r="I2943" t="s">
        <v>16</v>
      </c>
      <c r="J2943" t="s">
        <v>16</v>
      </c>
      <c r="K2943" t="str">
        <f>VLOOKUP(C2943,CheckName!A:B,2,0)</f>
        <v>CRC</v>
      </c>
      <c r="L2943">
        <v>0</v>
      </c>
      <c r="M2943">
        <f t="shared" si="399"/>
        <v>18</v>
      </c>
      <c r="N2943" t="str">
        <f>TEXT(MTDRejection[[#This Row],[RejectionDate]],"dddd")</f>
        <v>Wednesday</v>
      </c>
    </row>
    <row r="2944" spans="1:14">
      <c r="A2944" t="s">
        <v>1879</v>
      </c>
      <c r="B2944" t="s">
        <v>2648</v>
      </c>
      <c r="C2944" t="s">
        <v>1686</v>
      </c>
      <c r="D2944" t="s">
        <v>26</v>
      </c>
      <c r="E2944" s="7">
        <v>45644</v>
      </c>
      <c r="F2944" t="s">
        <v>118</v>
      </c>
      <c r="G2944">
        <v>0</v>
      </c>
      <c r="H2944" t="s">
        <v>27</v>
      </c>
      <c r="I2944" t="s">
        <v>16</v>
      </c>
      <c r="J2944" t="s">
        <v>16</v>
      </c>
      <c r="K2944" t="str">
        <f>VLOOKUP(C2944,CheckName!A:B,2,0)</f>
        <v>CRC</v>
      </c>
      <c r="L2944">
        <v>0</v>
      </c>
      <c r="M2944">
        <f t="shared" si="399"/>
        <v>18</v>
      </c>
      <c r="N2944" t="str">
        <f>TEXT(MTDRejection[[#This Row],[RejectionDate]],"dddd")</f>
        <v>Wednesday</v>
      </c>
    </row>
    <row r="2945" spans="1:14">
      <c r="A2945" t="s">
        <v>1879</v>
      </c>
      <c r="B2945" t="s">
        <v>5214</v>
      </c>
      <c r="C2945" t="s">
        <v>1686</v>
      </c>
      <c r="D2945" t="s">
        <v>26</v>
      </c>
      <c r="E2945" s="7">
        <v>45644</v>
      </c>
      <c r="F2945" t="s">
        <v>118</v>
      </c>
      <c r="G2945">
        <v>0</v>
      </c>
      <c r="H2945" t="s">
        <v>27</v>
      </c>
      <c r="I2945" t="s">
        <v>16</v>
      </c>
      <c r="J2945" t="s">
        <v>16</v>
      </c>
      <c r="K2945" t="str">
        <f>VLOOKUP(C2945,CheckName!A:B,2,0)</f>
        <v>CRC</v>
      </c>
      <c r="L2945">
        <v>0</v>
      </c>
      <c r="M2945">
        <f t="shared" si="399"/>
        <v>18</v>
      </c>
      <c r="N2945" t="str">
        <f>TEXT(MTDRejection[[#This Row],[RejectionDate]],"dddd")</f>
        <v>Wednesday</v>
      </c>
    </row>
    <row r="2946" spans="1:14">
      <c r="A2946" t="s">
        <v>1879</v>
      </c>
      <c r="B2946" t="s">
        <v>1980</v>
      </c>
      <c r="C2946" t="s">
        <v>1686</v>
      </c>
      <c r="D2946" t="s">
        <v>26</v>
      </c>
      <c r="E2946" s="7">
        <v>45644</v>
      </c>
      <c r="F2946" t="s">
        <v>118</v>
      </c>
      <c r="G2946">
        <v>0</v>
      </c>
      <c r="H2946" t="s">
        <v>27</v>
      </c>
      <c r="I2946" t="s">
        <v>16</v>
      </c>
      <c r="J2946" t="s">
        <v>16</v>
      </c>
      <c r="K2946" t="str">
        <f>VLOOKUP(C2946,CheckName!A:B,2,0)</f>
        <v>CRC</v>
      </c>
      <c r="L2946">
        <v>0</v>
      </c>
      <c r="M2946">
        <f t="shared" si="399"/>
        <v>18</v>
      </c>
      <c r="N2946" t="str">
        <f>TEXT(MTDRejection[[#This Row],[RejectionDate]],"dddd")</f>
        <v>Wednesday</v>
      </c>
    </row>
    <row r="2947" spans="1:14">
      <c r="A2947" t="s">
        <v>1879</v>
      </c>
      <c r="B2947" t="s">
        <v>5215</v>
      </c>
      <c r="C2947" t="s">
        <v>1686</v>
      </c>
      <c r="D2947" t="s">
        <v>26</v>
      </c>
      <c r="E2947" s="7">
        <v>45644</v>
      </c>
      <c r="F2947" t="s">
        <v>118</v>
      </c>
      <c r="G2947">
        <v>0</v>
      </c>
      <c r="H2947" t="s">
        <v>27</v>
      </c>
      <c r="I2947" t="s">
        <v>16</v>
      </c>
      <c r="J2947" t="s">
        <v>16</v>
      </c>
      <c r="K2947" t="str">
        <f>VLOOKUP(C2947,CheckName!A:B,2,0)</f>
        <v>CRC</v>
      </c>
      <c r="L2947">
        <v>0</v>
      </c>
      <c r="M2947">
        <f t="shared" si="399"/>
        <v>18</v>
      </c>
      <c r="N2947" t="str">
        <f>TEXT(MTDRejection[[#This Row],[RejectionDate]],"dddd")</f>
        <v>Wednesday</v>
      </c>
    </row>
    <row r="2948" spans="1:14">
      <c r="A2948" t="s">
        <v>1879</v>
      </c>
      <c r="B2948" t="s">
        <v>5216</v>
      </c>
      <c r="C2948" t="s">
        <v>1686</v>
      </c>
      <c r="D2948" t="s">
        <v>26</v>
      </c>
      <c r="E2948" s="7">
        <v>45644</v>
      </c>
      <c r="F2948" t="s">
        <v>118</v>
      </c>
      <c r="G2948">
        <v>0</v>
      </c>
      <c r="H2948" t="s">
        <v>27</v>
      </c>
      <c r="I2948" t="s">
        <v>16</v>
      </c>
      <c r="J2948" t="s">
        <v>16</v>
      </c>
      <c r="K2948" t="str">
        <f>VLOOKUP(C2948,CheckName!A:B,2,0)</f>
        <v>CRC</v>
      </c>
      <c r="L2948">
        <v>0</v>
      </c>
      <c r="M2948">
        <f t="shared" si="399"/>
        <v>18</v>
      </c>
      <c r="N2948" t="str">
        <f>TEXT(MTDRejection[[#This Row],[RejectionDate]],"dddd")</f>
        <v>Wednesday</v>
      </c>
    </row>
    <row r="2949" spans="1:14">
      <c r="A2949" t="s">
        <v>1879</v>
      </c>
      <c r="B2949" t="s">
        <v>5217</v>
      </c>
      <c r="C2949" t="s">
        <v>1686</v>
      </c>
      <c r="D2949" t="s">
        <v>26</v>
      </c>
      <c r="E2949" s="7">
        <v>45644</v>
      </c>
      <c r="F2949" t="s">
        <v>118</v>
      </c>
      <c r="G2949">
        <v>0</v>
      </c>
      <c r="H2949" t="s">
        <v>27</v>
      </c>
      <c r="I2949" t="s">
        <v>16</v>
      </c>
      <c r="J2949" t="s">
        <v>16</v>
      </c>
      <c r="K2949" t="str">
        <f>VLOOKUP(C2949,CheckName!A:B,2,0)</f>
        <v>CRC</v>
      </c>
      <c r="L2949">
        <v>0</v>
      </c>
      <c r="M2949">
        <f t="shared" si="399"/>
        <v>18</v>
      </c>
      <c r="N2949" t="str">
        <f>TEXT(MTDRejection[[#This Row],[RejectionDate]],"dddd")</f>
        <v>Wednesday</v>
      </c>
    </row>
    <row r="2950" spans="1:14">
      <c r="A2950" t="s">
        <v>1879</v>
      </c>
      <c r="B2950" t="s">
        <v>2678</v>
      </c>
      <c r="C2950" t="s">
        <v>1686</v>
      </c>
      <c r="D2950" t="s">
        <v>26</v>
      </c>
      <c r="E2950" s="7">
        <v>45644</v>
      </c>
      <c r="F2950" t="s">
        <v>118</v>
      </c>
      <c r="G2950">
        <v>0</v>
      </c>
      <c r="H2950" t="s">
        <v>27</v>
      </c>
      <c r="I2950" t="s">
        <v>16</v>
      </c>
      <c r="J2950" t="s">
        <v>16</v>
      </c>
      <c r="K2950" t="str">
        <f>VLOOKUP(C2950,CheckName!A:B,2,0)</f>
        <v>CRC</v>
      </c>
      <c r="L2950">
        <v>0</v>
      </c>
      <c r="M2950">
        <f t="shared" si="399"/>
        <v>18</v>
      </c>
      <c r="N2950" t="str">
        <f>TEXT(MTDRejection[[#This Row],[RejectionDate]],"dddd")</f>
        <v>Wednesday</v>
      </c>
    </row>
    <row r="2951" spans="1:14">
      <c r="A2951" t="s">
        <v>1879</v>
      </c>
      <c r="B2951" t="s">
        <v>5218</v>
      </c>
      <c r="C2951" t="s">
        <v>1686</v>
      </c>
      <c r="D2951" t="s">
        <v>26</v>
      </c>
      <c r="E2951" s="7">
        <v>45644</v>
      </c>
      <c r="F2951" t="s">
        <v>118</v>
      </c>
      <c r="G2951">
        <v>0</v>
      </c>
      <c r="H2951" t="s">
        <v>27</v>
      </c>
      <c r="I2951" t="s">
        <v>16</v>
      </c>
      <c r="J2951" t="s">
        <v>16</v>
      </c>
      <c r="K2951" t="str">
        <f>VLOOKUP(C2951,CheckName!A:B,2,0)</f>
        <v>CRC</v>
      </c>
      <c r="L2951">
        <v>0</v>
      </c>
      <c r="M2951">
        <f t="shared" si="399"/>
        <v>18</v>
      </c>
      <c r="N2951" t="str">
        <f>TEXT(MTDRejection[[#This Row],[RejectionDate]],"dddd")</f>
        <v>Wednesday</v>
      </c>
    </row>
    <row r="2952" spans="1:14">
      <c r="A2952" t="s">
        <v>1879</v>
      </c>
      <c r="B2952" t="s">
        <v>1992</v>
      </c>
      <c r="C2952" t="s">
        <v>1686</v>
      </c>
      <c r="D2952" t="s">
        <v>26</v>
      </c>
      <c r="E2952" s="7">
        <v>45644</v>
      </c>
      <c r="F2952" t="s">
        <v>118</v>
      </c>
      <c r="G2952">
        <v>0</v>
      </c>
      <c r="H2952" t="s">
        <v>27</v>
      </c>
      <c r="I2952" t="s">
        <v>16</v>
      </c>
      <c r="J2952" t="s">
        <v>16</v>
      </c>
      <c r="K2952" t="str">
        <f>VLOOKUP(C2952,CheckName!A:B,2,0)</f>
        <v>CRC</v>
      </c>
      <c r="L2952">
        <v>0</v>
      </c>
      <c r="M2952">
        <f t="shared" si="399"/>
        <v>18</v>
      </c>
      <c r="N2952" t="str">
        <f>TEXT(MTDRejection[[#This Row],[RejectionDate]],"dddd")</f>
        <v>Wednesday</v>
      </c>
    </row>
    <row r="2953" spans="1:14">
      <c r="A2953" t="s">
        <v>1879</v>
      </c>
      <c r="B2953" t="s">
        <v>5219</v>
      </c>
      <c r="C2953" t="s">
        <v>1686</v>
      </c>
      <c r="D2953" t="s">
        <v>26</v>
      </c>
      <c r="E2953" s="7">
        <v>45644</v>
      </c>
      <c r="F2953" t="s">
        <v>118</v>
      </c>
      <c r="G2953">
        <v>0</v>
      </c>
      <c r="H2953" t="s">
        <v>27</v>
      </c>
      <c r="I2953" t="s">
        <v>16</v>
      </c>
      <c r="J2953" t="s">
        <v>16</v>
      </c>
      <c r="K2953" t="str">
        <f>VLOOKUP(C2953,CheckName!A:B,2,0)</f>
        <v>CRC</v>
      </c>
      <c r="L2953">
        <v>0</v>
      </c>
      <c r="M2953">
        <f t="shared" si="399"/>
        <v>18</v>
      </c>
      <c r="N2953" t="str">
        <f>TEXT(MTDRejection[[#This Row],[RejectionDate]],"dddd")</f>
        <v>Wednesday</v>
      </c>
    </row>
    <row r="2954" spans="1:14">
      <c r="A2954" t="s">
        <v>1879</v>
      </c>
      <c r="B2954" t="s">
        <v>5220</v>
      </c>
      <c r="C2954" t="s">
        <v>1686</v>
      </c>
      <c r="D2954" t="s">
        <v>26</v>
      </c>
      <c r="E2954" s="7">
        <v>45644</v>
      </c>
      <c r="F2954" t="s">
        <v>118</v>
      </c>
      <c r="G2954">
        <v>0</v>
      </c>
      <c r="H2954" t="s">
        <v>27</v>
      </c>
      <c r="I2954" t="s">
        <v>16</v>
      </c>
      <c r="J2954" t="s">
        <v>16</v>
      </c>
      <c r="K2954" t="str">
        <f>VLOOKUP(C2954,CheckName!A:B,2,0)</f>
        <v>CRC</v>
      </c>
      <c r="L2954">
        <v>0</v>
      </c>
      <c r="M2954">
        <f t="shared" si="399"/>
        <v>18</v>
      </c>
      <c r="N2954" t="str">
        <f>TEXT(MTDRejection[[#This Row],[RejectionDate]],"dddd")</f>
        <v>Wednesday</v>
      </c>
    </row>
    <row r="2955" spans="1:14">
      <c r="A2955" t="s">
        <v>1879</v>
      </c>
      <c r="B2955" t="s">
        <v>5221</v>
      </c>
      <c r="C2955" t="s">
        <v>1686</v>
      </c>
      <c r="D2955" t="s">
        <v>26</v>
      </c>
      <c r="E2955" s="7">
        <v>45644</v>
      </c>
      <c r="F2955" t="s">
        <v>118</v>
      </c>
      <c r="G2955">
        <v>0</v>
      </c>
      <c r="H2955" t="s">
        <v>27</v>
      </c>
      <c r="I2955" t="s">
        <v>16</v>
      </c>
      <c r="J2955" t="s">
        <v>16</v>
      </c>
      <c r="K2955" t="str">
        <f>VLOOKUP(C2955,CheckName!A:B,2,0)</f>
        <v>CRC</v>
      </c>
      <c r="L2955">
        <v>0</v>
      </c>
      <c r="M2955">
        <f t="shared" si="399"/>
        <v>18</v>
      </c>
      <c r="N2955" t="str">
        <f>TEXT(MTDRejection[[#This Row],[RejectionDate]],"dddd")</f>
        <v>Wednesday</v>
      </c>
    </row>
    <row r="2956" spans="1:14">
      <c r="A2956" t="s">
        <v>1879</v>
      </c>
      <c r="B2956" t="s">
        <v>1981</v>
      </c>
      <c r="C2956" t="s">
        <v>1686</v>
      </c>
      <c r="D2956" t="s">
        <v>26</v>
      </c>
      <c r="E2956" s="7">
        <v>45644</v>
      </c>
      <c r="F2956" t="s">
        <v>118</v>
      </c>
      <c r="G2956">
        <v>0</v>
      </c>
      <c r="H2956" t="s">
        <v>27</v>
      </c>
      <c r="I2956" t="s">
        <v>16</v>
      </c>
      <c r="J2956" t="s">
        <v>16</v>
      </c>
      <c r="K2956" t="str">
        <f>VLOOKUP(C2956,CheckName!A:B,2,0)</f>
        <v>CRC</v>
      </c>
      <c r="L2956">
        <v>0</v>
      </c>
      <c r="M2956">
        <f t="shared" si="399"/>
        <v>18</v>
      </c>
      <c r="N2956" t="str">
        <f>TEXT(MTDRejection[[#This Row],[RejectionDate]],"dddd")</f>
        <v>Wednesday</v>
      </c>
    </row>
    <row r="2957" spans="1:14">
      <c r="A2957" t="s">
        <v>1879</v>
      </c>
      <c r="B2957" t="s">
        <v>5222</v>
      </c>
      <c r="C2957" t="s">
        <v>1686</v>
      </c>
      <c r="D2957" t="s">
        <v>26</v>
      </c>
      <c r="E2957" s="7">
        <v>45644</v>
      </c>
      <c r="F2957" t="s">
        <v>118</v>
      </c>
      <c r="G2957">
        <v>0</v>
      </c>
      <c r="H2957" t="s">
        <v>27</v>
      </c>
      <c r="I2957" t="s">
        <v>16</v>
      </c>
      <c r="J2957" t="s">
        <v>16</v>
      </c>
      <c r="K2957" t="str">
        <f>VLOOKUP(C2957,CheckName!A:B,2,0)</f>
        <v>CRC</v>
      </c>
      <c r="L2957">
        <v>0</v>
      </c>
      <c r="M2957">
        <f t="shared" si="399"/>
        <v>18</v>
      </c>
      <c r="N2957" t="str">
        <f>TEXT(MTDRejection[[#This Row],[RejectionDate]],"dddd")</f>
        <v>Wednesday</v>
      </c>
    </row>
    <row r="2958" spans="1:14">
      <c r="A2958" t="s">
        <v>1879</v>
      </c>
      <c r="B2958" t="s">
        <v>2630</v>
      </c>
      <c r="C2958" t="s">
        <v>1686</v>
      </c>
      <c r="D2958" t="s">
        <v>26</v>
      </c>
      <c r="E2958" s="7">
        <v>45644</v>
      </c>
      <c r="F2958" t="s">
        <v>118</v>
      </c>
      <c r="G2958">
        <v>0</v>
      </c>
      <c r="H2958" t="s">
        <v>27</v>
      </c>
      <c r="I2958" t="s">
        <v>16</v>
      </c>
      <c r="J2958" t="s">
        <v>16</v>
      </c>
      <c r="K2958" t="str">
        <f>VLOOKUP(C2958,CheckName!A:B,2,0)</f>
        <v>CRC</v>
      </c>
      <c r="L2958">
        <v>0</v>
      </c>
      <c r="M2958">
        <f t="shared" si="399"/>
        <v>18</v>
      </c>
      <c r="N2958" t="str">
        <f>TEXT(MTDRejection[[#This Row],[RejectionDate]],"dddd")</f>
        <v>Wednesday</v>
      </c>
    </row>
    <row r="2959" spans="1:14">
      <c r="A2959" t="s">
        <v>1879</v>
      </c>
      <c r="B2959" t="s">
        <v>5223</v>
      </c>
      <c r="C2959" t="s">
        <v>1686</v>
      </c>
      <c r="D2959" t="s">
        <v>26</v>
      </c>
      <c r="E2959" s="7">
        <v>45644</v>
      </c>
      <c r="F2959" t="s">
        <v>118</v>
      </c>
      <c r="G2959">
        <v>0</v>
      </c>
      <c r="H2959" t="s">
        <v>27</v>
      </c>
      <c r="I2959" t="s">
        <v>16</v>
      </c>
      <c r="J2959" t="s">
        <v>16</v>
      </c>
      <c r="K2959" t="str">
        <f>VLOOKUP(C2959,CheckName!A:B,2,0)</f>
        <v>CRC</v>
      </c>
      <c r="L2959">
        <v>0</v>
      </c>
      <c r="M2959">
        <f t="shared" si="399"/>
        <v>18</v>
      </c>
      <c r="N2959" t="str">
        <f>TEXT(MTDRejection[[#This Row],[RejectionDate]],"dddd")</f>
        <v>Wednesday</v>
      </c>
    </row>
    <row r="2960" spans="1:14">
      <c r="A2960" t="s">
        <v>1879</v>
      </c>
      <c r="B2960" t="s">
        <v>1998</v>
      </c>
      <c r="C2960" t="s">
        <v>1686</v>
      </c>
      <c r="D2960" t="s">
        <v>26</v>
      </c>
      <c r="E2960" s="7">
        <v>45644</v>
      </c>
      <c r="F2960" t="s">
        <v>118</v>
      </c>
      <c r="G2960">
        <v>0</v>
      </c>
      <c r="H2960" t="s">
        <v>27</v>
      </c>
      <c r="I2960" t="s">
        <v>16</v>
      </c>
      <c r="J2960" t="s">
        <v>16</v>
      </c>
      <c r="K2960" t="str">
        <f>VLOOKUP(C2960,CheckName!A:B,2,0)</f>
        <v>CRC</v>
      </c>
      <c r="L2960">
        <v>0</v>
      </c>
      <c r="M2960">
        <f t="shared" si="399"/>
        <v>18</v>
      </c>
      <c r="N2960" t="str">
        <f>TEXT(MTDRejection[[#This Row],[RejectionDate]],"dddd")</f>
        <v>Wednesday</v>
      </c>
    </row>
    <row r="2961" spans="1:14">
      <c r="A2961" t="s">
        <v>1879</v>
      </c>
      <c r="B2961" t="s">
        <v>2011</v>
      </c>
      <c r="C2961" t="s">
        <v>1686</v>
      </c>
      <c r="D2961" t="s">
        <v>26</v>
      </c>
      <c r="E2961" s="7">
        <v>45644</v>
      </c>
      <c r="F2961" t="s">
        <v>118</v>
      </c>
      <c r="G2961">
        <v>0</v>
      </c>
      <c r="H2961" t="s">
        <v>27</v>
      </c>
      <c r="I2961" t="s">
        <v>16</v>
      </c>
      <c r="J2961" t="s">
        <v>16</v>
      </c>
      <c r="K2961" t="str">
        <f>VLOOKUP(C2961,CheckName!A:B,2,0)</f>
        <v>CRC</v>
      </c>
      <c r="L2961">
        <v>0</v>
      </c>
      <c r="M2961">
        <f t="shared" si="399"/>
        <v>18</v>
      </c>
      <c r="N2961" t="str">
        <f>TEXT(MTDRejection[[#This Row],[RejectionDate]],"dddd")</f>
        <v>Wednesday</v>
      </c>
    </row>
    <row r="2962" spans="1:14">
      <c r="A2962" t="s">
        <v>1879</v>
      </c>
      <c r="B2962" t="s">
        <v>5224</v>
      </c>
      <c r="C2962" t="s">
        <v>1686</v>
      </c>
      <c r="D2962" t="s">
        <v>26</v>
      </c>
      <c r="E2962" s="7">
        <v>45644</v>
      </c>
      <c r="F2962" t="s">
        <v>118</v>
      </c>
      <c r="G2962">
        <v>0</v>
      </c>
      <c r="H2962" t="s">
        <v>27</v>
      </c>
      <c r="I2962" t="s">
        <v>16</v>
      </c>
      <c r="J2962" t="s">
        <v>16</v>
      </c>
      <c r="K2962" t="str">
        <f>VLOOKUP(C2962,CheckName!A:B,2,0)</f>
        <v>CRC</v>
      </c>
      <c r="L2962">
        <v>0</v>
      </c>
      <c r="M2962">
        <f t="shared" si="399"/>
        <v>18</v>
      </c>
      <c r="N2962" t="str">
        <f>TEXT(MTDRejection[[#This Row],[RejectionDate]],"dddd")</f>
        <v>Wednesday</v>
      </c>
    </row>
    <row r="2963" spans="1:14">
      <c r="A2963" t="s">
        <v>1879</v>
      </c>
      <c r="B2963" t="s">
        <v>5225</v>
      </c>
      <c r="C2963" t="s">
        <v>1686</v>
      </c>
      <c r="D2963" t="s">
        <v>26</v>
      </c>
      <c r="E2963" s="7">
        <v>45644</v>
      </c>
      <c r="F2963" t="s">
        <v>118</v>
      </c>
      <c r="G2963">
        <v>0</v>
      </c>
      <c r="H2963" t="s">
        <v>27</v>
      </c>
      <c r="I2963" t="s">
        <v>16</v>
      </c>
      <c r="J2963" t="s">
        <v>16</v>
      </c>
      <c r="K2963" t="str">
        <f>VLOOKUP(C2963,CheckName!A:B,2,0)</f>
        <v>CRC</v>
      </c>
      <c r="L2963">
        <v>0</v>
      </c>
      <c r="M2963">
        <f t="shared" si="399"/>
        <v>18</v>
      </c>
      <c r="N2963" t="str">
        <f>TEXT(MTDRejection[[#This Row],[RejectionDate]],"dddd")</f>
        <v>Wednesday</v>
      </c>
    </row>
    <row r="2964" spans="1:14">
      <c r="A2964" t="s">
        <v>1879</v>
      </c>
      <c r="B2964" t="s">
        <v>5226</v>
      </c>
      <c r="C2964" t="s">
        <v>1686</v>
      </c>
      <c r="D2964" t="s">
        <v>26</v>
      </c>
      <c r="E2964" s="7">
        <v>45644</v>
      </c>
      <c r="F2964" t="s">
        <v>118</v>
      </c>
      <c r="G2964">
        <v>0</v>
      </c>
      <c r="H2964" t="s">
        <v>27</v>
      </c>
      <c r="I2964" t="s">
        <v>16</v>
      </c>
      <c r="J2964" t="s">
        <v>16</v>
      </c>
      <c r="K2964" t="str">
        <f>VLOOKUP(C2964,CheckName!A:B,2,0)</f>
        <v>CRC</v>
      </c>
      <c r="L2964">
        <v>0</v>
      </c>
      <c r="M2964">
        <f t="shared" si="399"/>
        <v>18</v>
      </c>
      <c r="N2964" t="str">
        <f>TEXT(MTDRejection[[#This Row],[RejectionDate]],"dddd")</f>
        <v>Wednesday</v>
      </c>
    </row>
    <row r="2965" spans="1:14">
      <c r="A2965" t="s">
        <v>1879</v>
      </c>
      <c r="B2965" t="s">
        <v>2681</v>
      </c>
      <c r="C2965" t="s">
        <v>1686</v>
      </c>
      <c r="D2965" t="s">
        <v>26</v>
      </c>
      <c r="E2965" s="7">
        <v>45644</v>
      </c>
      <c r="F2965" t="s">
        <v>118</v>
      </c>
      <c r="G2965">
        <v>0</v>
      </c>
      <c r="H2965" t="s">
        <v>27</v>
      </c>
      <c r="I2965" t="s">
        <v>16</v>
      </c>
      <c r="J2965" t="s">
        <v>16</v>
      </c>
      <c r="K2965" t="str">
        <f>VLOOKUP(C2965,CheckName!A:B,2,0)</f>
        <v>CRC</v>
      </c>
      <c r="L2965">
        <v>0</v>
      </c>
      <c r="M2965">
        <f t="shared" si="399"/>
        <v>18</v>
      </c>
      <c r="N2965" t="str">
        <f>TEXT(MTDRejection[[#This Row],[RejectionDate]],"dddd")</f>
        <v>Wednesday</v>
      </c>
    </row>
    <row r="2966" spans="1:14">
      <c r="A2966" t="s">
        <v>1879</v>
      </c>
      <c r="B2966" t="s">
        <v>5227</v>
      </c>
      <c r="C2966" t="s">
        <v>1686</v>
      </c>
      <c r="D2966" t="s">
        <v>26</v>
      </c>
      <c r="E2966" s="7">
        <v>45644</v>
      </c>
      <c r="F2966" t="s">
        <v>118</v>
      </c>
      <c r="G2966">
        <v>0</v>
      </c>
      <c r="H2966" t="s">
        <v>27</v>
      </c>
      <c r="I2966" t="s">
        <v>16</v>
      </c>
      <c r="J2966" t="s">
        <v>16</v>
      </c>
      <c r="K2966" t="str">
        <f>VLOOKUP(C2966,CheckName!A:B,2,0)</f>
        <v>CRC</v>
      </c>
      <c r="L2966">
        <v>0</v>
      </c>
      <c r="M2966">
        <f t="shared" si="399"/>
        <v>18</v>
      </c>
      <c r="N2966" t="str">
        <f>TEXT(MTDRejection[[#This Row],[RejectionDate]],"dddd")</f>
        <v>Wednesday</v>
      </c>
    </row>
    <row r="2967" spans="1:14">
      <c r="A2967" t="s">
        <v>1811</v>
      </c>
      <c r="B2967" t="s">
        <v>5228</v>
      </c>
      <c r="C2967" t="s">
        <v>12</v>
      </c>
      <c r="D2967" t="s">
        <v>26</v>
      </c>
      <c r="E2967" s="7">
        <v>45644</v>
      </c>
      <c r="F2967" t="s">
        <v>2337</v>
      </c>
      <c r="G2967">
        <v>0</v>
      </c>
      <c r="H2967" t="s">
        <v>22</v>
      </c>
      <c r="I2967" t="s">
        <v>16</v>
      </c>
      <c r="J2967" t="s">
        <v>16</v>
      </c>
      <c r="K2967" t="str">
        <f>VLOOKUP(C2967,CheckName!A:B,2,0)</f>
        <v>Emp</v>
      </c>
      <c r="L2967">
        <v>1</v>
      </c>
      <c r="M2967">
        <f t="shared" ref="M2967:M2972" si="400">DAY(E2967)</f>
        <v>18</v>
      </c>
      <c r="N2967" t="str">
        <f>TEXT(MTDRejection[[#This Row],[RejectionDate]],"dddd")</f>
        <v>Wednesday</v>
      </c>
    </row>
    <row r="2968" spans="1:14">
      <c r="A2968" t="s">
        <v>285</v>
      </c>
      <c r="B2968" t="s">
        <v>5229</v>
      </c>
      <c r="C2968" t="s">
        <v>36</v>
      </c>
      <c r="D2968" t="s">
        <v>13</v>
      </c>
      <c r="E2968" s="7">
        <v>45643</v>
      </c>
      <c r="F2968" t="s">
        <v>1219</v>
      </c>
      <c r="G2968">
        <v>1</v>
      </c>
      <c r="H2968" t="s">
        <v>15</v>
      </c>
      <c r="I2968" t="s">
        <v>16</v>
      </c>
      <c r="J2968" t="s">
        <v>16</v>
      </c>
      <c r="K2968" t="str">
        <f>VLOOKUP(C2968,CheckName!A:B,2,0)</f>
        <v>Emp</v>
      </c>
      <c r="L2968">
        <v>0</v>
      </c>
      <c r="M2968">
        <f t="shared" si="400"/>
        <v>17</v>
      </c>
      <c r="N2968" t="str">
        <f>TEXT(MTDRejection[[#This Row],[RejectionDate]],"dddd")</f>
        <v>Tuesday</v>
      </c>
    </row>
    <row r="2969" spans="1:14">
      <c r="A2969" t="s">
        <v>10</v>
      </c>
      <c r="B2969" t="s">
        <v>5230</v>
      </c>
      <c r="C2969" t="s">
        <v>54</v>
      </c>
      <c r="D2969" t="s">
        <v>26</v>
      </c>
      <c r="E2969" s="7">
        <v>45643</v>
      </c>
      <c r="F2969" t="s">
        <v>458</v>
      </c>
      <c r="G2969">
        <v>1</v>
      </c>
      <c r="H2969" t="s">
        <v>27</v>
      </c>
      <c r="I2969" t="s">
        <v>16</v>
      </c>
      <c r="J2969" t="s">
        <v>16</v>
      </c>
      <c r="K2969" t="str">
        <f>VLOOKUP(C2969,CheckName!A:B,2,0)</f>
        <v>Edu</v>
      </c>
      <c r="L2969">
        <v>0</v>
      </c>
      <c r="M2969">
        <f t="shared" si="400"/>
        <v>17</v>
      </c>
      <c r="N2969" t="str">
        <f>TEXT(MTDRejection[[#This Row],[RejectionDate]],"dddd")</f>
        <v>Tuesday</v>
      </c>
    </row>
    <row r="2970" spans="1:14">
      <c r="A2970" t="s">
        <v>45</v>
      </c>
      <c r="B2970" t="s">
        <v>5231</v>
      </c>
      <c r="C2970" t="s">
        <v>25</v>
      </c>
      <c r="D2970" t="s">
        <v>20</v>
      </c>
      <c r="E2970" s="7">
        <v>45639</v>
      </c>
      <c r="F2970" t="s">
        <v>2327</v>
      </c>
      <c r="G2970">
        <v>5</v>
      </c>
      <c r="H2970" t="s">
        <v>22</v>
      </c>
      <c r="I2970" t="s">
        <v>16</v>
      </c>
      <c r="J2970" t="s">
        <v>16</v>
      </c>
      <c r="K2970" t="str">
        <f>VLOOKUP(C2970,CheckName!A:B,2,0)</f>
        <v>Add</v>
      </c>
      <c r="L2970">
        <v>0</v>
      </c>
      <c r="M2970">
        <f t="shared" si="400"/>
        <v>13</v>
      </c>
      <c r="N2970" t="str">
        <f>TEXT(MTDRejection[[#This Row],[RejectionDate]],"dddd")</f>
        <v>Friday</v>
      </c>
    </row>
    <row r="2971" spans="1:14">
      <c r="A2971" t="s">
        <v>360</v>
      </c>
      <c r="B2971" t="s">
        <v>5232</v>
      </c>
      <c r="C2971" t="s">
        <v>980</v>
      </c>
      <c r="D2971" t="s">
        <v>20</v>
      </c>
      <c r="E2971" s="7">
        <v>45644</v>
      </c>
      <c r="F2971" t="s">
        <v>2327</v>
      </c>
      <c r="G2971">
        <v>0</v>
      </c>
      <c r="H2971" t="s">
        <v>27</v>
      </c>
      <c r="I2971" t="s">
        <v>16</v>
      </c>
      <c r="J2971" t="s">
        <v>16</v>
      </c>
      <c r="K2971" t="str">
        <f>VLOOKUP(C2971,CheckName!A:B,2,0)</f>
        <v>Add</v>
      </c>
      <c r="L2971">
        <v>0</v>
      </c>
      <c r="M2971">
        <f t="shared" si="400"/>
        <v>18</v>
      </c>
      <c r="N2971" t="str">
        <f>TEXT(MTDRejection[[#This Row],[RejectionDate]],"dddd")</f>
        <v>Wednesday</v>
      </c>
    </row>
    <row r="2972" spans="1:14">
      <c r="A2972" t="s">
        <v>1548</v>
      </c>
      <c r="B2972" t="s">
        <v>5233</v>
      </c>
      <c r="C2972" t="s">
        <v>125</v>
      </c>
      <c r="D2972" t="s">
        <v>26</v>
      </c>
      <c r="E2972" s="7">
        <v>45644</v>
      </c>
      <c r="F2972" t="s">
        <v>222</v>
      </c>
      <c r="G2972">
        <v>0</v>
      </c>
      <c r="H2972" t="s">
        <v>27</v>
      </c>
      <c r="I2972" t="s">
        <v>16</v>
      </c>
      <c r="J2972" t="s">
        <v>16</v>
      </c>
      <c r="K2972" t="str">
        <f>VLOOKUP(C2972,CheckName!A:B,2,0)</f>
        <v>Emp</v>
      </c>
      <c r="L2972">
        <v>0</v>
      </c>
      <c r="M2972">
        <f t="shared" si="400"/>
        <v>18</v>
      </c>
      <c r="N2972" t="str">
        <f>TEXT(MTDRejection[[#This Row],[RejectionDate]],"dddd")</f>
        <v>Wednesday</v>
      </c>
    </row>
    <row r="2973" spans="1:14">
      <c r="A2973" t="s">
        <v>116</v>
      </c>
      <c r="B2973" t="s">
        <v>5234</v>
      </c>
      <c r="C2973" t="s">
        <v>805</v>
      </c>
      <c r="D2973" t="s">
        <v>26</v>
      </c>
      <c r="E2973" s="7">
        <v>45644</v>
      </c>
      <c r="F2973" t="s">
        <v>63</v>
      </c>
      <c r="G2973">
        <v>0</v>
      </c>
      <c r="H2973" t="s">
        <v>15</v>
      </c>
      <c r="I2973" t="s">
        <v>16</v>
      </c>
      <c r="J2973" t="s">
        <v>16</v>
      </c>
      <c r="K2973" t="str">
        <f>VLOOKUP(C2973,CheckName!A:B,2,0)</f>
        <v>Edu</v>
      </c>
      <c r="L2973">
        <v>0</v>
      </c>
      <c r="M2973">
        <f t="shared" ref="M2973:M2978" si="401">DAY(E2973)</f>
        <v>18</v>
      </c>
      <c r="N2973" t="str">
        <f>TEXT(MTDRejection[[#This Row],[RejectionDate]],"dddd")</f>
        <v>Wednesday</v>
      </c>
    </row>
    <row r="2974" spans="1:14">
      <c r="A2974" t="s">
        <v>91</v>
      </c>
      <c r="B2974" t="s">
        <v>2683</v>
      </c>
      <c r="C2974" t="s">
        <v>93</v>
      </c>
      <c r="D2974" t="s">
        <v>26</v>
      </c>
      <c r="E2974" s="7">
        <v>45644</v>
      </c>
      <c r="F2974" t="s">
        <v>63</v>
      </c>
      <c r="G2974">
        <v>0</v>
      </c>
      <c r="H2974" t="s">
        <v>27</v>
      </c>
      <c r="I2974" t="s">
        <v>16</v>
      </c>
      <c r="J2974" t="s">
        <v>16</v>
      </c>
      <c r="K2974" t="str">
        <f>VLOOKUP(C2974,CheckName!A:B,2,0)</f>
        <v>Edu</v>
      </c>
      <c r="L2974">
        <v>0</v>
      </c>
      <c r="M2974">
        <f t="shared" si="401"/>
        <v>18</v>
      </c>
      <c r="N2974" t="str">
        <f>TEXT(MTDRejection[[#This Row],[RejectionDate]],"dddd")</f>
        <v>Wednesday</v>
      </c>
    </row>
    <row r="2975" spans="1:14">
      <c r="A2975" t="s">
        <v>1007</v>
      </c>
      <c r="B2975" t="s">
        <v>5235</v>
      </c>
      <c r="C2975" t="s">
        <v>54</v>
      </c>
      <c r="D2975" t="s">
        <v>26</v>
      </c>
      <c r="E2975" s="7">
        <v>45644</v>
      </c>
      <c r="F2975" t="s">
        <v>63</v>
      </c>
      <c r="G2975">
        <v>0</v>
      </c>
      <c r="H2975" t="s">
        <v>22</v>
      </c>
      <c r="I2975" t="s">
        <v>16</v>
      </c>
      <c r="J2975" t="s">
        <v>16</v>
      </c>
      <c r="K2975" t="str">
        <f>VLOOKUP(C2975,CheckName!A:B,2,0)</f>
        <v>Edu</v>
      </c>
      <c r="L2975">
        <v>0</v>
      </c>
      <c r="M2975">
        <f t="shared" si="401"/>
        <v>18</v>
      </c>
      <c r="N2975" t="str">
        <f>TEXT(MTDRejection[[#This Row],[RejectionDate]],"dddd")</f>
        <v>Wednesday</v>
      </c>
    </row>
    <row r="2976" spans="1:14">
      <c r="A2976" t="s">
        <v>189</v>
      </c>
      <c r="B2976" t="s">
        <v>5236</v>
      </c>
      <c r="C2976" t="s">
        <v>54</v>
      </c>
      <c r="D2976" t="s">
        <v>26</v>
      </c>
      <c r="E2976" s="7">
        <v>45644</v>
      </c>
      <c r="F2976" t="s">
        <v>63</v>
      </c>
      <c r="G2976">
        <v>0</v>
      </c>
      <c r="H2976" t="s">
        <v>27</v>
      </c>
      <c r="I2976" t="s">
        <v>16</v>
      </c>
      <c r="J2976" t="s">
        <v>16</v>
      </c>
      <c r="K2976" t="str">
        <f>VLOOKUP(C2976,CheckName!A:B,2,0)</f>
        <v>Edu</v>
      </c>
      <c r="L2976">
        <v>0</v>
      </c>
      <c r="M2976">
        <f t="shared" si="401"/>
        <v>18</v>
      </c>
      <c r="N2976" t="str">
        <f>TEXT(MTDRejection[[#This Row],[RejectionDate]],"dddd")</f>
        <v>Wednesday</v>
      </c>
    </row>
    <row r="2977" spans="1:14">
      <c r="A2977" t="s">
        <v>45</v>
      </c>
      <c r="B2977" t="s">
        <v>5237</v>
      </c>
      <c r="C2977" t="s">
        <v>36</v>
      </c>
      <c r="D2977" t="s">
        <v>38</v>
      </c>
      <c r="E2977" s="7">
        <v>45644</v>
      </c>
      <c r="F2977" t="s">
        <v>39</v>
      </c>
      <c r="G2977">
        <v>0</v>
      </c>
      <c r="H2977" t="s">
        <v>42</v>
      </c>
      <c r="I2977" t="s">
        <v>16</v>
      </c>
      <c r="J2977" t="s">
        <v>16</v>
      </c>
      <c r="K2977" t="str">
        <f>VLOOKUP(C2977,CheckName!A:B,2,0)</f>
        <v>Emp</v>
      </c>
      <c r="L2977">
        <v>0</v>
      </c>
      <c r="M2977">
        <f t="shared" si="401"/>
        <v>18</v>
      </c>
      <c r="N2977" t="str">
        <f>TEXT(MTDRejection[[#This Row],[RejectionDate]],"dddd")</f>
        <v>Wednesday</v>
      </c>
    </row>
    <row r="2978" spans="1:14">
      <c r="A2978" t="s">
        <v>1908</v>
      </c>
      <c r="B2978" t="s">
        <v>5238</v>
      </c>
      <c r="C2978" t="s">
        <v>36</v>
      </c>
      <c r="D2978" t="s">
        <v>38</v>
      </c>
      <c r="E2978" s="7">
        <v>45644</v>
      </c>
      <c r="F2978" t="s">
        <v>39</v>
      </c>
      <c r="G2978">
        <v>0</v>
      </c>
      <c r="H2978" t="s">
        <v>42</v>
      </c>
      <c r="I2978" t="s">
        <v>16</v>
      </c>
      <c r="J2978" t="s">
        <v>16</v>
      </c>
      <c r="K2978" t="str">
        <f>VLOOKUP(C2978,CheckName!A:B,2,0)</f>
        <v>Emp</v>
      </c>
      <c r="L2978">
        <v>0</v>
      </c>
      <c r="M2978">
        <f t="shared" si="401"/>
        <v>18</v>
      </c>
      <c r="N2978" t="str">
        <f>TEXT(MTDRejection[[#This Row],[RejectionDate]],"dddd")</f>
        <v>Wednesday</v>
      </c>
    </row>
    <row r="2979" spans="1:14">
      <c r="A2979" t="s">
        <v>160</v>
      </c>
      <c r="B2979" t="s">
        <v>5239</v>
      </c>
      <c r="C2979" t="s">
        <v>125</v>
      </c>
      <c r="D2979" t="s">
        <v>26</v>
      </c>
      <c r="E2979" s="7">
        <v>45644</v>
      </c>
      <c r="F2979" t="s">
        <v>2354</v>
      </c>
      <c r="G2979">
        <v>0</v>
      </c>
      <c r="H2979" t="s">
        <v>22</v>
      </c>
      <c r="I2979" t="s">
        <v>16</v>
      </c>
      <c r="J2979" t="s">
        <v>16</v>
      </c>
      <c r="K2979" t="str">
        <f>VLOOKUP(C2979,CheckName!A:B,2,0)</f>
        <v>Emp</v>
      </c>
      <c r="L2979">
        <v>0</v>
      </c>
      <c r="M2979">
        <f>DAY(E2979)</f>
        <v>18</v>
      </c>
      <c r="N2979" t="str">
        <f>TEXT(MTDRejection[[#This Row],[RejectionDate]],"dddd")</f>
        <v>Wednesday</v>
      </c>
    </row>
    <row r="2980" spans="1:14">
      <c r="A2980" t="s">
        <v>40</v>
      </c>
      <c r="B2980" t="s">
        <v>5240</v>
      </c>
      <c r="C2980" t="s">
        <v>59</v>
      </c>
      <c r="D2980" t="s">
        <v>13</v>
      </c>
      <c r="E2980" s="7">
        <v>45644</v>
      </c>
      <c r="F2980" t="s">
        <v>579</v>
      </c>
      <c r="G2980">
        <v>0</v>
      </c>
      <c r="H2980" t="s">
        <v>15</v>
      </c>
      <c r="I2980" t="s">
        <v>16</v>
      </c>
      <c r="J2980" t="s">
        <v>16</v>
      </c>
      <c r="K2980" t="str">
        <f>VLOOKUP(C2980,CheckName!A:B,2,0)</f>
        <v>Special Check</v>
      </c>
      <c r="L2980">
        <v>0</v>
      </c>
      <c r="M2980">
        <f t="shared" ref="M2980:M2982" si="402">DAY(E2980)</f>
        <v>18</v>
      </c>
      <c r="N2980" t="str">
        <f>TEXT(MTDRejection[[#This Row],[RejectionDate]],"dddd")</f>
        <v>Wednesday</v>
      </c>
    </row>
    <row r="2981" spans="1:14">
      <c r="A2981" t="s">
        <v>160</v>
      </c>
      <c r="B2981" t="s">
        <v>5241</v>
      </c>
      <c r="C2981" t="s">
        <v>36</v>
      </c>
      <c r="D2981" t="s">
        <v>26</v>
      </c>
      <c r="E2981" s="7">
        <v>45644</v>
      </c>
      <c r="F2981" t="s">
        <v>159</v>
      </c>
      <c r="G2981">
        <v>0</v>
      </c>
      <c r="H2981" t="s">
        <v>22</v>
      </c>
      <c r="I2981" t="s">
        <v>16</v>
      </c>
      <c r="J2981" t="s">
        <v>16</v>
      </c>
      <c r="K2981" t="str">
        <f>VLOOKUP(C2981,CheckName!A:B,2,0)</f>
        <v>Emp</v>
      </c>
      <c r="L2981">
        <v>0</v>
      </c>
      <c r="M2981">
        <f t="shared" si="402"/>
        <v>18</v>
      </c>
      <c r="N2981" t="str">
        <f>TEXT(MTDRejection[[#This Row],[RejectionDate]],"dddd")</f>
        <v>Wednesday</v>
      </c>
    </row>
    <row r="2982" spans="1:14">
      <c r="A2982" t="s">
        <v>432</v>
      </c>
      <c r="B2982" t="s">
        <v>5242</v>
      </c>
      <c r="C2982" t="s">
        <v>36</v>
      </c>
      <c r="D2982" t="s">
        <v>26</v>
      </c>
      <c r="E2982" s="7">
        <v>45644</v>
      </c>
      <c r="F2982" t="s">
        <v>162</v>
      </c>
      <c r="G2982">
        <v>0</v>
      </c>
      <c r="H2982" t="s">
        <v>22</v>
      </c>
      <c r="I2982" t="s">
        <v>16</v>
      </c>
      <c r="J2982" t="s">
        <v>16</v>
      </c>
      <c r="K2982" t="str">
        <f>VLOOKUP(C2982,CheckName!A:B,2,0)</f>
        <v>Emp</v>
      </c>
      <c r="L2982">
        <v>0</v>
      </c>
      <c r="M2982">
        <f t="shared" si="402"/>
        <v>18</v>
      </c>
      <c r="N2982" t="str">
        <f>TEXT(MTDRejection[[#This Row],[RejectionDate]],"dddd")</f>
        <v>Wednesday</v>
      </c>
    </row>
    <row r="2983" spans="1:14">
      <c r="A2983" t="s">
        <v>250</v>
      </c>
      <c r="B2983" t="s">
        <v>5243</v>
      </c>
      <c r="C2983" t="s">
        <v>112</v>
      </c>
      <c r="D2983" t="s">
        <v>26</v>
      </c>
      <c r="E2983" s="7">
        <v>45644</v>
      </c>
      <c r="F2983" t="s">
        <v>2335</v>
      </c>
      <c r="G2983">
        <v>0</v>
      </c>
      <c r="H2983" t="s">
        <v>22</v>
      </c>
      <c r="I2983" t="s">
        <v>16</v>
      </c>
      <c r="J2983" t="s">
        <v>16</v>
      </c>
      <c r="K2983" t="str">
        <f>VLOOKUP(C2983,CheckName!A:B,2,0)</f>
        <v>Emp</v>
      </c>
      <c r="L2983">
        <v>0</v>
      </c>
      <c r="M2983">
        <f>DAY(E2983)</f>
        <v>18</v>
      </c>
      <c r="N2983" t="str">
        <f>TEXT(MTDRejection[[#This Row],[RejectionDate]],"dddd")</f>
        <v>Wednesday</v>
      </c>
    </row>
    <row r="2984" spans="1:14">
      <c r="A2984" t="s">
        <v>84</v>
      </c>
      <c r="B2984" t="s">
        <v>5244</v>
      </c>
      <c r="C2984" t="s">
        <v>36</v>
      </c>
      <c r="D2984" t="s">
        <v>26</v>
      </c>
      <c r="E2984" s="7">
        <v>45644</v>
      </c>
      <c r="F2984" t="s">
        <v>151</v>
      </c>
      <c r="G2984">
        <v>0</v>
      </c>
      <c r="H2984" t="s">
        <v>27</v>
      </c>
      <c r="I2984" t="s">
        <v>16</v>
      </c>
      <c r="J2984" t="s">
        <v>16</v>
      </c>
      <c r="K2984" t="str">
        <f>VLOOKUP(C2984,CheckName!A:B,2,0)</f>
        <v>Emp</v>
      </c>
      <c r="L2984">
        <v>0</v>
      </c>
      <c r="M2984">
        <f>DAY(E2984)</f>
        <v>18</v>
      </c>
      <c r="N2984" t="str">
        <f>TEXT(MTDRejection[[#This Row],[RejectionDate]],"dddd")</f>
        <v>Wednesday</v>
      </c>
    </row>
    <row r="2985" spans="1:14">
      <c r="A2985" t="s">
        <v>160</v>
      </c>
      <c r="B2985" t="s">
        <v>2684</v>
      </c>
      <c r="C2985" t="s">
        <v>125</v>
      </c>
      <c r="D2985" t="s">
        <v>26</v>
      </c>
      <c r="E2985" s="7">
        <v>45643</v>
      </c>
      <c r="F2985" t="s">
        <v>2354</v>
      </c>
      <c r="G2985">
        <v>1</v>
      </c>
      <c r="H2985" t="s">
        <v>22</v>
      </c>
      <c r="I2985" t="s">
        <v>16</v>
      </c>
      <c r="J2985" t="s">
        <v>16</v>
      </c>
      <c r="K2985" t="str">
        <f>VLOOKUP(C2985,CheckName!A:B,2,0)</f>
        <v>Emp</v>
      </c>
      <c r="L2985">
        <v>1</v>
      </c>
      <c r="M2985">
        <f>DAY(E2985)</f>
        <v>17</v>
      </c>
      <c r="N2985" t="str">
        <f>TEXT(MTDRejection[[#This Row],[RejectionDate]],"dddd")</f>
        <v>Tuesday</v>
      </c>
    </row>
    <row r="2986" spans="1:14">
      <c r="A2986" t="s">
        <v>31</v>
      </c>
      <c r="B2986" t="s">
        <v>5245</v>
      </c>
      <c r="C2986" t="s">
        <v>54</v>
      </c>
      <c r="D2986" t="s">
        <v>51</v>
      </c>
      <c r="E2986" s="7">
        <v>45644</v>
      </c>
      <c r="F2986" t="s">
        <v>52</v>
      </c>
      <c r="G2986">
        <v>0</v>
      </c>
      <c r="H2986" t="s">
        <v>53</v>
      </c>
      <c r="I2986" t="s">
        <v>16</v>
      </c>
      <c r="J2986" t="s">
        <v>16</v>
      </c>
      <c r="K2986" t="str">
        <f>VLOOKUP(C2986,CheckName!A:B,2,0)</f>
        <v>Edu</v>
      </c>
      <c r="L2986">
        <v>0</v>
      </c>
      <c r="M2986">
        <f>DAY(E2986)</f>
        <v>18</v>
      </c>
      <c r="N2986" t="str">
        <f>TEXT(MTDRejection[[#This Row],[RejectionDate]],"dddd")</f>
        <v>Wednesday</v>
      </c>
    </row>
    <row r="2987" spans="1:14">
      <c r="A2987" t="s">
        <v>1204</v>
      </c>
      <c r="B2987" t="s">
        <v>5246</v>
      </c>
      <c r="C2987" t="s">
        <v>12</v>
      </c>
      <c r="D2987" t="s">
        <v>26</v>
      </c>
      <c r="E2987" s="7">
        <v>45644</v>
      </c>
      <c r="F2987" t="s">
        <v>224</v>
      </c>
      <c r="G2987">
        <v>0</v>
      </c>
      <c r="H2987" t="s">
        <v>27</v>
      </c>
      <c r="I2987" t="s">
        <v>16</v>
      </c>
      <c r="J2987" t="s">
        <v>16</v>
      </c>
      <c r="K2987" t="str">
        <f>VLOOKUP(C2987,CheckName!A:B,2,0)</f>
        <v>Emp</v>
      </c>
      <c r="L2987">
        <v>0</v>
      </c>
      <c r="M2987">
        <f t="shared" ref="M2987:M2988" si="403">DAY(E2987)</f>
        <v>18</v>
      </c>
      <c r="N2987" t="str">
        <f>TEXT(MTDRejection[[#This Row],[RejectionDate]],"dddd")</f>
        <v>Wednesday</v>
      </c>
    </row>
    <row r="2988" spans="1:14">
      <c r="A2988" t="s">
        <v>45</v>
      </c>
      <c r="B2988" t="s">
        <v>5247</v>
      </c>
      <c r="C2988" t="s">
        <v>36</v>
      </c>
      <c r="D2988" t="s">
        <v>26</v>
      </c>
      <c r="E2988" s="7">
        <v>45644</v>
      </c>
      <c r="F2988" t="s">
        <v>224</v>
      </c>
      <c r="G2988">
        <v>0</v>
      </c>
      <c r="H2988" t="s">
        <v>27</v>
      </c>
      <c r="I2988" t="s">
        <v>16</v>
      </c>
      <c r="J2988" t="s">
        <v>16</v>
      </c>
      <c r="K2988" t="str">
        <f>VLOOKUP(C2988,CheckName!A:B,2,0)</f>
        <v>Emp</v>
      </c>
      <c r="L2988">
        <v>0</v>
      </c>
      <c r="M2988">
        <f t="shared" si="403"/>
        <v>18</v>
      </c>
      <c r="N2988" t="str">
        <f>TEXT(MTDRejection[[#This Row],[RejectionDate]],"dddd")</f>
        <v>Wednesday</v>
      </c>
    </row>
    <row r="2989" spans="1:14">
      <c r="A2989" t="s">
        <v>186</v>
      </c>
      <c r="B2989" t="s">
        <v>2685</v>
      </c>
      <c r="C2989" t="s">
        <v>12</v>
      </c>
      <c r="D2989" t="s">
        <v>26</v>
      </c>
      <c r="E2989" s="7">
        <v>45644</v>
      </c>
      <c r="F2989" t="s">
        <v>222</v>
      </c>
      <c r="G2989">
        <v>0</v>
      </c>
      <c r="H2989" t="s">
        <v>27</v>
      </c>
      <c r="I2989" t="s">
        <v>16</v>
      </c>
      <c r="J2989" t="s">
        <v>16</v>
      </c>
      <c r="K2989" t="str">
        <f>VLOOKUP(C2989,CheckName!A:B,2,0)</f>
        <v>Emp</v>
      </c>
      <c r="L2989">
        <v>0</v>
      </c>
      <c r="M2989">
        <f>DAY(E2989)</f>
        <v>18</v>
      </c>
      <c r="N2989" t="str">
        <f>TEXT(MTDRejection[[#This Row],[RejectionDate]],"dddd")</f>
        <v>Wednesday</v>
      </c>
    </row>
    <row r="2990" spans="1:14">
      <c r="A2990" t="s">
        <v>119</v>
      </c>
      <c r="B2990" t="s">
        <v>5248</v>
      </c>
      <c r="C2990" t="s">
        <v>805</v>
      </c>
      <c r="D2990" t="s">
        <v>26</v>
      </c>
      <c r="E2990" s="7">
        <v>45644</v>
      </c>
      <c r="F2990" t="s">
        <v>63</v>
      </c>
      <c r="G2990">
        <v>0</v>
      </c>
      <c r="H2990" t="s">
        <v>27</v>
      </c>
      <c r="I2990" t="s">
        <v>16</v>
      </c>
      <c r="J2990" t="s">
        <v>16</v>
      </c>
      <c r="K2990" t="str">
        <f>VLOOKUP(C2990,CheckName!A:B,2,0)</f>
        <v>Edu</v>
      </c>
      <c r="L2990">
        <v>0</v>
      </c>
      <c r="M2990">
        <f t="shared" ref="M2990:M2991" si="404">DAY(E2990)</f>
        <v>18</v>
      </c>
      <c r="N2990" t="str">
        <f>TEXT(MTDRejection[[#This Row],[RejectionDate]],"dddd")</f>
        <v>Wednesday</v>
      </c>
    </row>
    <row r="2991" spans="1:14">
      <c r="A2991" t="s">
        <v>1581</v>
      </c>
      <c r="B2991" t="s">
        <v>5249</v>
      </c>
      <c r="C2991" t="s">
        <v>54</v>
      </c>
      <c r="D2991" t="s">
        <v>26</v>
      </c>
      <c r="E2991" s="7">
        <v>45644</v>
      </c>
      <c r="F2991" t="s">
        <v>63</v>
      </c>
      <c r="G2991">
        <v>0</v>
      </c>
      <c r="H2991" t="s">
        <v>27</v>
      </c>
      <c r="I2991" t="s">
        <v>16</v>
      </c>
      <c r="J2991" t="s">
        <v>16</v>
      </c>
      <c r="K2991" t="str">
        <f>VLOOKUP(C2991,CheckName!A:B,2,0)</f>
        <v>Edu</v>
      </c>
      <c r="L2991">
        <v>0</v>
      </c>
      <c r="M2991">
        <f t="shared" si="404"/>
        <v>18</v>
      </c>
      <c r="N2991" t="str">
        <f>TEXT(MTDRejection[[#This Row],[RejectionDate]],"dddd")</f>
        <v>Wednesday</v>
      </c>
    </row>
    <row r="2992" spans="1:14">
      <c r="A2992" t="s">
        <v>1944</v>
      </c>
      <c r="B2992" t="s">
        <v>5250</v>
      </c>
      <c r="C2992" t="s">
        <v>93</v>
      </c>
      <c r="D2992" t="s">
        <v>26</v>
      </c>
      <c r="E2992" s="7">
        <v>45644</v>
      </c>
      <c r="F2992" t="s">
        <v>63</v>
      </c>
      <c r="G2992">
        <v>0</v>
      </c>
      <c r="H2992" t="s">
        <v>22</v>
      </c>
      <c r="I2992" t="s">
        <v>16</v>
      </c>
      <c r="J2992" t="s">
        <v>16</v>
      </c>
      <c r="K2992" t="str">
        <f>VLOOKUP(C2992,CheckName!A:B,2,0)</f>
        <v>Edu</v>
      </c>
      <c r="L2992">
        <v>0</v>
      </c>
      <c r="M2992">
        <f t="shared" ref="M2992:M2993" si="405">DAY(E2992)</f>
        <v>18</v>
      </c>
      <c r="N2992" t="str">
        <f>TEXT(MTDRejection[[#This Row],[RejectionDate]],"dddd")</f>
        <v>Wednesday</v>
      </c>
    </row>
    <row r="2993" spans="1:14">
      <c r="A2993" t="s">
        <v>1944</v>
      </c>
      <c r="B2993" t="s">
        <v>5251</v>
      </c>
      <c r="C2993" t="s">
        <v>54</v>
      </c>
      <c r="D2993" t="s">
        <v>26</v>
      </c>
      <c r="E2993" s="7">
        <v>45644</v>
      </c>
      <c r="F2993" t="s">
        <v>63</v>
      </c>
      <c r="G2993">
        <v>0</v>
      </c>
      <c r="H2993" t="s">
        <v>22</v>
      </c>
      <c r="I2993" t="s">
        <v>16</v>
      </c>
      <c r="J2993" t="s">
        <v>16</v>
      </c>
      <c r="K2993" t="str">
        <f>VLOOKUP(C2993,CheckName!A:B,2,0)</f>
        <v>Edu</v>
      </c>
      <c r="L2993">
        <v>0</v>
      </c>
      <c r="M2993">
        <f t="shared" si="405"/>
        <v>18</v>
      </c>
      <c r="N2993" t="str">
        <f>TEXT(MTDRejection[[#This Row],[RejectionDate]],"dddd")</f>
        <v>Wednesday</v>
      </c>
    </row>
    <row r="2994" spans="1:14">
      <c r="A2994" t="s">
        <v>47</v>
      </c>
      <c r="B2994" t="s">
        <v>5252</v>
      </c>
      <c r="C2994" t="s">
        <v>54</v>
      </c>
      <c r="D2994" t="s">
        <v>26</v>
      </c>
      <c r="E2994" s="7">
        <v>45644</v>
      </c>
      <c r="F2994" t="s">
        <v>63</v>
      </c>
      <c r="G2994">
        <v>0</v>
      </c>
      <c r="H2994" t="s">
        <v>27</v>
      </c>
      <c r="I2994" t="s">
        <v>16</v>
      </c>
      <c r="J2994" t="s">
        <v>16</v>
      </c>
      <c r="K2994" t="str">
        <f>VLOOKUP(C2994,CheckName!A:B,2,0)</f>
        <v>Edu</v>
      </c>
      <c r="L2994">
        <v>0</v>
      </c>
      <c r="M2994">
        <f t="shared" ref="M2994:M2995" si="406">DAY(E2994)</f>
        <v>18</v>
      </c>
      <c r="N2994" t="str">
        <f>TEXT(MTDRejection[[#This Row],[RejectionDate]],"dddd")</f>
        <v>Wednesday</v>
      </c>
    </row>
    <row r="2995" spans="1:14">
      <c r="A2995" t="s">
        <v>84</v>
      </c>
      <c r="B2995" t="s">
        <v>5253</v>
      </c>
      <c r="C2995" t="s">
        <v>19</v>
      </c>
      <c r="D2995" t="s">
        <v>20</v>
      </c>
      <c r="E2995" s="7">
        <v>45644</v>
      </c>
      <c r="F2995" t="s">
        <v>66</v>
      </c>
      <c r="G2995">
        <v>0</v>
      </c>
      <c r="H2995" t="s">
        <v>22</v>
      </c>
      <c r="I2995" t="s">
        <v>16</v>
      </c>
      <c r="J2995" t="s">
        <v>16</v>
      </c>
      <c r="K2995" t="str">
        <f>VLOOKUP(C2995,CheckName!A:B,2,0)</f>
        <v>Add</v>
      </c>
      <c r="L2995">
        <v>0</v>
      </c>
      <c r="M2995">
        <f t="shared" si="406"/>
        <v>18</v>
      </c>
      <c r="N2995" t="str">
        <f>TEXT(MTDRejection[[#This Row],[RejectionDate]],"dddd")</f>
        <v>Wednesday</v>
      </c>
    </row>
    <row r="2996" spans="1:14">
      <c r="A2996" t="s">
        <v>84</v>
      </c>
      <c r="B2996" t="s">
        <v>5254</v>
      </c>
      <c r="C2996" t="s">
        <v>12</v>
      </c>
      <c r="D2996" t="s">
        <v>13</v>
      </c>
      <c r="E2996" s="7">
        <v>45644</v>
      </c>
      <c r="F2996" t="s">
        <v>706</v>
      </c>
      <c r="G2996">
        <v>0</v>
      </c>
      <c r="H2996" t="s">
        <v>15</v>
      </c>
      <c r="I2996" t="s">
        <v>16</v>
      </c>
      <c r="J2996" t="s">
        <v>16</v>
      </c>
      <c r="K2996" t="str">
        <f>VLOOKUP(C2996,CheckName!A:B,2,0)</f>
        <v>Emp</v>
      </c>
      <c r="L2996">
        <v>0</v>
      </c>
      <c r="M2996">
        <f>DAY(E2996)</f>
        <v>18</v>
      </c>
      <c r="N2996" t="str">
        <f>TEXT(MTDRejection[[#This Row],[RejectionDate]],"dddd")</f>
        <v>Wednesday</v>
      </c>
    </row>
    <row r="2997" spans="1:14">
      <c r="A2997" t="s">
        <v>69</v>
      </c>
      <c r="B2997" t="s">
        <v>2686</v>
      </c>
      <c r="C2997" t="s">
        <v>36</v>
      </c>
      <c r="D2997" t="s">
        <v>26</v>
      </c>
      <c r="E2997" s="7">
        <v>45644</v>
      </c>
      <c r="F2997" t="s">
        <v>83</v>
      </c>
      <c r="G2997">
        <v>0</v>
      </c>
      <c r="H2997" t="s">
        <v>27</v>
      </c>
      <c r="I2997" t="s">
        <v>16</v>
      </c>
      <c r="J2997" t="s">
        <v>16</v>
      </c>
      <c r="K2997" t="str">
        <f>VLOOKUP(C2997,CheckName!A:B,2,0)</f>
        <v>Emp</v>
      </c>
      <c r="L2997">
        <v>0</v>
      </c>
      <c r="M2997">
        <f>DAY(E2997)</f>
        <v>18</v>
      </c>
      <c r="N2997" t="str">
        <f>TEXT(MTDRejection[[#This Row],[RejectionDate]],"dddd")</f>
        <v>Wednesday</v>
      </c>
    </row>
    <row r="2998" spans="1:14">
      <c r="A2998" t="s">
        <v>306</v>
      </c>
      <c r="B2998" t="s">
        <v>5255</v>
      </c>
      <c r="C2998" t="s">
        <v>25</v>
      </c>
      <c r="D2998" t="s">
        <v>51</v>
      </c>
      <c r="E2998" s="7">
        <v>45644</v>
      </c>
      <c r="F2998" t="s">
        <v>2349</v>
      </c>
      <c r="G2998">
        <v>0</v>
      </c>
      <c r="H2998" t="s">
        <v>53</v>
      </c>
      <c r="I2998" t="s">
        <v>16</v>
      </c>
      <c r="J2998" t="s">
        <v>16</v>
      </c>
      <c r="K2998" t="str">
        <f>VLOOKUP(C2998,CheckName!A:B,2,0)</f>
        <v>Add</v>
      </c>
      <c r="L2998">
        <v>0</v>
      </c>
      <c r="M2998">
        <f>DAY(E2998)</f>
        <v>18</v>
      </c>
      <c r="N2998" t="str">
        <f>TEXT(MTDRejection[[#This Row],[RejectionDate]],"dddd")</f>
        <v>Wednesday</v>
      </c>
    </row>
    <row r="2999" spans="1:14">
      <c r="A2999" t="s">
        <v>1802</v>
      </c>
      <c r="B2999" t="s">
        <v>5256</v>
      </c>
      <c r="C2999" t="s">
        <v>56</v>
      </c>
      <c r="D2999" t="s">
        <v>26</v>
      </c>
      <c r="E2999" s="7">
        <v>45644</v>
      </c>
      <c r="F2999" t="s">
        <v>118</v>
      </c>
      <c r="G2999">
        <v>0</v>
      </c>
      <c r="H2999" t="s">
        <v>27</v>
      </c>
      <c r="I2999" t="s">
        <v>16</v>
      </c>
      <c r="J2999" t="s">
        <v>16</v>
      </c>
      <c r="K2999" t="str">
        <f>VLOOKUP(C2999,CheckName!A:B,2,0)</f>
        <v>Special Check</v>
      </c>
      <c r="L2999">
        <v>0</v>
      </c>
      <c r="M2999">
        <f t="shared" ref="M2999:M3000" si="407">DAY(E2999)</f>
        <v>18</v>
      </c>
      <c r="N2999" t="str">
        <f>TEXT(MTDRejection[[#This Row],[RejectionDate]],"dddd")</f>
        <v>Wednesday</v>
      </c>
    </row>
    <row r="3000" spans="1:14">
      <c r="A3000" t="s">
        <v>1494</v>
      </c>
      <c r="B3000" t="s">
        <v>5257</v>
      </c>
      <c r="C3000" t="s">
        <v>36</v>
      </c>
      <c r="D3000" t="s">
        <v>26</v>
      </c>
      <c r="E3000" s="7">
        <v>45644</v>
      </c>
      <c r="F3000" t="s">
        <v>151</v>
      </c>
      <c r="G3000">
        <v>0</v>
      </c>
      <c r="H3000" t="s">
        <v>27</v>
      </c>
      <c r="I3000" t="s">
        <v>16</v>
      </c>
      <c r="J3000" t="s">
        <v>16</v>
      </c>
      <c r="K3000" t="str">
        <f>VLOOKUP(C3000,CheckName!A:B,2,0)</f>
        <v>Emp</v>
      </c>
      <c r="L3000">
        <v>0</v>
      </c>
      <c r="M3000">
        <f t="shared" si="407"/>
        <v>18</v>
      </c>
      <c r="N3000" t="str">
        <f>TEXT(MTDRejection[[#This Row],[RejectionDate]],"dddd")</f>
        <v>Wednesday</v>
      </c>
    </row>
    <row r="3001" spans="1:14">
      <c r="A3001" t="s">
        <v>133</v>
      </c>
      <c r="B3001" t="s">
        <v>5258</v>
      </c>
      <c r="C3001" t="s">
        <v>36</v>
      </c>
      <c r="D3001" t="s">
        <v>26</v>
      </c>
      <c r="E3001" s="7">
        <v>45644</v>
      </c>
      <c r="F3001" t="s">
        <v>2355</v>
      </c>
      <c r="G3001">
        <v>0</v>
      </c>
      <c r="H3001" t="s">
        <v>27</v>
      </c>
      <c r="I3001" t="s">
        <v>16</v>
      </c>
      <c r="J3001" t="s">
        <v>16</v>
      </c>
      <c r="K3001" t="str">
        <f>VLOOKUP(C3001,CheckName!A:B,2,0)</f>
        <v>Emp</v>
      </c>
      <c r="L3001">
        <v>0</v>
      </c>
      <c r="M3001">
        <f>DAY(E3001)</f>
        <v>18</v>
      </c>
      <c r="N3001" t="str">
        <f>TEXT(MTDRejection[[#This Row],[RejectionDate]],"dddd")</f>
        <v>Wednesday</v>
      </c>
    </row>
    <row r="3002" spans="1:14">
      <c r="A3002" t="s">
        <v>1455</v>
      </c>
      <c r="B3002" t="s">
        <v>5259</v>
      </c>
      <c r="C3002" t="s">
        <v>36</v>
      </c>
      <c r="D3002" t="s">
        <v>38</v>
      </c>
      <c r="E3002" s="7">
        <v>45642</v>
      </c>
      <c r="F3002" t="s">
        <v>39</v>
      </c>
      <c r="G3002">
        <v>2</v>
      </c>
      <c r="H3002" t="s">
        <v>42</v>
      </c>
      <c r="I3002" t="s">
        <v>16</v>
      </c>
      <c r="J3002" t="s">
        <v>16</v>
      </c>
      <c r="K3002" t="str">
        <f>VLOOKUP(C3002,CheckName!A:B,2,0)</f>
        <v>Emp</v>
      </c>
      <c r="L3002">
        <v>0</v>
      </c>
      <c r="M3002">
        <f>DAY(E3002)</f>
        <v>16</v>
      </c>
      <c r="N3002" t="str">
        <f>TEXT(MTDRejection[[#This Row],[RejectionDate]],"dddd")</f>
        <v>Monday</v>
      </c>
    </row>
    <row r="3003" spans="1:14">
      <c r="A3003" t="s">
        <v>2029</v>
      </c>
      <c r="B3003" t="s">
        <v>5260</v>
      </c>
      <c r="C3003" t="s">
        <v>36</v>
      </c>
      <c r="D3003" t="s">
        <v>26</v>
      </c>
      <c r="E3003" s="7">
        <v>45645</v>
      </c>
      <c r="F3003" t="s">
        <v>1055</v>
      </c>
      <c r="G3003">
        <v>0</v>
      </c>
      <c r="H3003" t="s">
        <v>22</v>
      </c>
      <c r="I3003" t="s">
        <v>16</v>
      </c>
      <c r="J3003" t="s">
        <v>16</v>
      </c>
      <c r="K3003" t="str">
        <f>VLOOKUP(C3003,CheckName!A:B,2,0)</f>
        <v>Emp</v>
      </c>
      <c r="L3003">
        <v>0</v>
      </c>
      <c r="M3003">
        <f t="shared" ref="M3003:M3007" si="408">DAY(E3003)</f>
        <v>19</v>
      </c>
      <c r="N3003" t="str">
        <f>TEXT(MTDRejection[[#This Row],[RejectionDate]],"dddd")</f>
        <v>Thursday</v>
      </c>
    </row>
    <row r="3004" spans="1:14">
      <c r="A3004" t="s">
        <v>40</v>
      </c>
      <c r="B3004" t="s">
        <v>5261</v>
      </c>
      <c r="C3004" t="s">
        <v>12</v>
      </c>
      <c r="D3004" t="s">
        <v>26</v>
      </c>
      <c r="E3004" s="7">
        <v>45645</v>
      </c>
      <c r="F3004" t="s">
        <v>222</v>
      </c>
      <c r="G3004">
        <v>0</v>
      </c>
      <c r="H3004" t="s">
        <v>27</v>
      </c>
      <c r="I3004" t="s">
        <v>16</v>
      </c>
      <c r="J3004" t="s">
        <v>16</v>
      </c>
      <c r="K3004" t="str">
        <f>VLOOKUP(C3004,CheckName!A:B,2,0)</f>
        <v>Emp</v>
      </c>
      <c r="L3004">
        <v>0</v>
      </c>
      <c r="M3004">
        <f t="shared" si="408"/>
        <v>19</v>
      </c>
      <c r="N3004" t="str">
        <f>TEXT(MTDRejection[[#This Row],[RejectionDate]],"dddd")</f>
        <v>Thursday</v>
      </c>
    </row>
    <row r="3005" spans="1:14">
      <c r="A3005" t="s">
        <v>40</v>
      </c>
      <c r="B3005" t="s">
        <v>5262</v>
      </c>
      <c r="C3005" t="s">
        <v>12</v>
      </c>
      <c r="D3005" t="s">
        <v>26</v>
      </c>
      <c r="E3005" s="7">
        <v>45645</v>
      </c>
      <c r="F3005" t="s">
        <v>222</v>
      </c>
      <c r="G3005">
        <v>0</v>
      </c>
      <c r="H3005" t="s">
        <v>27</v>
      </c>
      <c r="I3005" t="s">
        <v>16</v>
      </c>
      <c r="J3005" t="s">
        <v>16</v>
      </c>
      <c r="K3005" t="str">
        <f>VLOOKUP(C3005,CheckName!A:B,2,0)</f>
        <v>Emp</v>
      </c>
      <c r="L3005">
        <v>0</v>
      </c>
      <c r="M3005">
        <f t="shared" si="408"/>
        <v>19</v>
      </c>
      <c r="N3005" t="str">
        <f>TEXT(MTDRejection[[#This Row],[RejectionDate]],"dddd")</f>
        <v>Thursday</v>
      </c>
    </row>
    <row r="3006" spans="1:14">
      <c r="A3006" t="s">
        <v>116</v>
      </c>
      <c r="B3006" t="s">
        <v>5263</v>
      </c>
      <c r="C3006" t="s">
        <v>1677</v>
      </c>
      <c r="D3006" t="s">
        <v>13</v>
      </c>
      <c r="E3006" s="7">
        <v>45645</v>
      </c>
      <c r="F3006" t="s">
        <v>574</v>
      </c>
      <c r="G3006">
        <v>0</v>
      </c>
      <c r="H3006" t="s">
        <v>30</v>
      </c>
      <c r="I3006" t="s">
        <v>16</v>
      </c>
      <c r="J3006" t="s">
        <v>16</v>
      </c>
      <c r="K3006" t="str">
        <f>VLOOKUP(C3006,CheckName!A:B,2,0)</f>
        <v>Emp</v>
      </c>
      <c r="L3006">
        <v>0</v>
      </c>
      <c r="M3006">
        <f t="shared" si="408"/>
        <v>19</v>
      </c>
      <c r="N3006" t="str">
        <f>TEXT(MTDRejection[[#This Row],[RejectionDate]],"dddd")</f>
        <v>Thursday</v>
      </c>
    </row>
    <row r="3007" spans="1:14">
      <c r="A3007" t="s">
        <v>116</v>
      </c>
      <c r="B3007" t="s">
        <v>5264</v>
      </c>
      <c r="C3007" t="s">
        <v>259</v>
      </c>
      <c r="D3007" t="s">
        <v>13</v>
      </c>
      <c r="E3007" s="7">
        <v>45645</v>
      </c>
      <c r="F3007" t="s">
        <v>574</v>
      </c>
      <c r="G3007">
        <v>0</v>
      </c>
      <c r="H3007" t="s">
        <v>30</v>
      </c>
      <c r="I3007" t="s">
        <v>16</v>
      </c>
      <c r="J3007" t="s">
        <v>16</v>
      </c>
      <c r="K3007" t="str">
        <f>VLOOKUP(C3007,CheckName!A:B,2,0)</f>
        <v>Emp</v>
      </c>
      <c r="L3007">
        <v>0</v>
      </c>
      <c r="M3007">
        <f t="shared" si="408"/>
        <v>19</v>
      </c>
      <c r="N3007" t="str">
        <f>TEXT(MTDRejection[[#This Row],[RejectionDate]],"dddd")</f>
        <v>Thursday</v>
      </c>
    </row>
    <row r="3008" spans="1:14">
      <c r="A3008" t="s">
        <v>81</v>
      </c>
      <c r="B3008" t="s">
        <v>5265</v>
      </c>
      <c r="C3008" t="s">
        <v>12</v>
      </c>
      <c r="D3008" t="s">
        <v>26</v>
      </c>
      <c r="E3008" s="7">
        <v>45645</v>
      </c>
      <c r="F3008" t="s">
        <v>83</v>
      </c>
      <c r="G3008">
        <v>0</v>
      </c>
      <c r="H3008" t="s">
        <v>27</v>
      </c>
      <c r="I3008" t="s">
        <v>16</v>
      </c>
      <c r="J3008" t="s">
        <v>16</v>
      </c>
      <c r="K3008" t="str">
        <f>VLOOKUP(C3008,CheckName!A:B,2,0)</f>
        <v>Emp</v>
      </c>
      <c r="L3008">
        <v>0</v>
      </c>
      <c r="M3008">
        <f t="shared" ref="M3008:M3020" si="409">DAY(E3008)</f>
        <v>19</v>
      </c>
      <c r="N3008" t="str">
        <f>TEXT(MTDRejection[[#This Row],[RejectionDate]],"dddd")</f>
        <v>Thursday</v>
      </c>
    </row>
    <row r="3009" spans="1:14">
      <c r="A3009" t="s">
        <v>84</v>
      </c>
      <c r="B3009" t="s">
        <v>4522</v>
      </c>
      <c r="C3009" t="s">
        <v>36</v>
      </c>
      <c r="D3009" t="s">
        <v>26</v>
      </c>
      <c r="E3009" s="7">
        <v>45645</v>
      </c>
      <c r="F3009" t="s">
        <v>83</v>
      </c>
      <c r="G3009">
        <v>0</v>
      </c>
      <c r="H3009" t="s">
        <v>22</v>
      </c>
      <c r="I3009" t="s">
        <v>16</v>
      </c>
      <c r="J3009" t="s">
        <v>16</v>
      </c>
      <c r="K3009" t="str">
        <f>VLOOKUP(C3009,CheckName!A:B,2,0)</f>
        <v>Emp</v>
      </c>
      <c r="L3009">
        <v>0</v>
      </c>
      <c r="M3009">
        <f t="shared" si="409"/>
        <v>19</v>
      </c>
      <c r="N3009" t="str">
        <f>TEXT(MTDRejection[[#This Row],[RejectionDate]],"dddd")</f>
        <v>Thursday</v>
      </c>
    </row>
    <row r="3010" spans="1:14">
      <c r="A3010" t="s">
        <v>465</v>
      </c>
      <c r="B3010" t="s">
        <v>5266</v>
      </c>
      <c r="C3010" t="s">
        <v>12</v>
      </c>
      <c r="D3010" t="s">
        <v>26</v>
      </c>
      <c r="E3010" s="7">
        <v>45645</v>
      </c>
      <c r="F3010" t="s">
        <v>83</v>
      </c>
      <c r="G3010">
        <v>0</v>
      </c>
      <c r="H3010" t="s">
        <v>27</v>
      </c>
      <c r="I3010" t="s">
        <v>16</v>
      </c>
      <c r="J3010" t="s">
        <v>16</v>
      </c>
      <c r="K3010" t="str">
        <f>VLOOKUP(C3010,CheckName!A:B,2,0)</f>
        <v>Emp</v>
      </c>
      <c r="L3010">
        <v>0</v>
      </c>
      <c r="M3010">
        <f t="shared" si="409"/>
        <v>19</v>
      </c>
      <c r="N3010" t="str">
        <f>TEXT(MTDRejection[[#This Row],[RejectionDate]],"dddd")</f>
        <v>Thursday</v>
      </c>
    </row>
    <row r="3011" spans="1:14">
      <c r="A3011" t="s">
        <v>288</v>
      </c>
      <c r="B3011" t="s">
        <v>5267</v>
      </c>
      <c r="C3011" t="s">
        <v>125</v>
      </c>
      <c r="D3011" t="s">
        <v>26</v>
      </c>
      <c r="E3011" s="7">
        <v>45645</v>
      </c>
      <c r="F3011" t="s">
        <v>1139</v>
      </c>
      <c r="G3011">
        <v>0</v>
      </c>
      <c r="H3011" t="s">
        <v>27</v>
      </c>
      <c r="I3011" t="s">
        <v>16</v>
      </c>
      <c r="J3011" t="s">
        <v>16</v>
      </c>
      <c r="K3011" t="str">
        <f>VLOOKUP(C3011,CheckName!A:B,2,0)</f>
        <v>Emp</v>
      </c>
      <c r="L3011">
        <v>0</v>
      </c>
      <c r="M3011">
        <f t="shared" si="409"/>
        <v>19</v>
      </c>
      <c r="N3011" t="str">
        <f>TEXT(MTDRejection[[#This Row],[RejectionDate]],"dddd")</f>
        <v>Thursday</v>
      </c>
    </row>
    <row r="3012" spans="1:14">
      <c r="A3012" t="s">
        <v>64</v>
      </c>
      <c r="B3012" t="s">
        <v>5268</v>
      </c>
      <c r="C3012" t="s">
        <v>12</v>
      </c>
      <c r="D3012" t="s">
        <v>26</v>
      </c>
      <c r="E3012" s="7">
        <v>45645</v>
      </c>
      <c r="F3012" t="s">
        <v>721</v>
      </c>
      <c r="G3012">
        <v>0</v>
      </c>
      <c r="H3012" t="s">
        <v>27</v>
      </c>
      <c r="I3012" t="s">
        <v>16</v>
      </c>
      <c r="J3012" t="s">
        <v>16</v>
      </c>
      <c r="K3012" t="str">
        <f>VLOOKUP(C3012,CheckName!A:B,2,0)</f>
        <v>Emp</v>
      </c>
      <c r="L3012">
        <v>0</v>
      </c>
      <c r="M3012">
        <f t="shared" si="409"/>
        <v>19</v>
      </c>
      <c r="N3012" t="str">
        <f>TEXT(MTDRejection[[#This Row],[RejectionDate]],"dddd")</f>
        <v>Thursday</v>
      </c>
    </row>
    <row r="3013" spans="1:14">
      <c r="A3013" t="s">
        <v>163</v>
      </c>
      <c r="B3013" t="s">
        <v>5269</v>
      </c>
      <c r="C3013" t="s">
        <v>12</v>
      </c>
      <c r="D3013" t="s">
        <v>26</v>
      </c>
      <c r="E3013" s="7">
        <v>45645</v>
      </c>
      <c r="F3013" t="s">
        <v>169</v>
      </c>
      <c r="G3013">
        <v>0</v>
      </c>
      <c r="H3013" t="s">
        <v>27</v>
      </c>
      <c r="I3013" t="s">
        <v>16</v>
      </c>
      <c r="J3013" t="s">
        <v>16</v>
      </c>
      <c r="K3013" t="str">
        <f>VLOOKUP(C3013,CheckName!A:B,2,0)</f>
        <v>Emp</v>
      </c>
      <c r="L3013">
        <v>0</v>
      </c>
      <c r="M3013">
        <f t="shared" si="409"/>
        <v>19</v>
      </c>
      <c r="N3013" t="str">
        <f>TEXT(MTDRejection[[#This Row],[RejectionDate]],"dddd")</f>
        <v>Thursday</v>
      </c>
    </row>
    <row r="3014" spans="1:14">
      <c r="A3014" t="s">
        <v>2030</v>
      </c>
      <c r="B3014" t="s">
        <v>5270</v>
      </c>
      <c r="C3014" t="s">
        <v>112</v>
      </c>
      <c r="D3014" t="s">
        <v>13</v>
      </c>
      <c r="E3014" s="7">
        <v>45645</v>
      </c>
      <c r="F3014" t="s">
        <v>540</v>
      </c>
      <c r="G3014">
        <v>0</v>
      </c>
      <c r="H3014" t="s">
        <v>30</v>
      </c>
      <c r="I3014" t="s">
        <v>16</v>
      </c>
      <c r="J3014" t="s">
        <v>16</v>
      </c>
      <c r="K3014" t="str">
        <f>VLOOKUP(C3014,CheckName!A:B,2,0)</f>
        <v>Emp</v>
      </c>
      <c r="L3014">
        <v>0</v>
      </c>
      <c r="M3014">
        <f t="shared" si="409"/>
        <v>19</v>
      </c>
      <c r="N3014" t="str">
        <f>TEXT(MTDRejection[[#This Row],[RejectionDate]],"dddd")</f>
        <v>Thursday</v>
      </c>
    </row>
    <row r="3015" spans="1:14">
      <c r="A3015" t="s">
        <v>2030</v>
      </c>
      <c r="B3015" t="s">
        <v>5271</v>
      </c>
      <c r="C3015" t="s">
        <v>36</v>
      </c>
      <c r="D3015" t="s">
        <v>13</v>
      </c>
      <c r="E3015" s="7">
        <v>45645</v>
      </c>
      <c r="F3015" t="s">
        <v>540</v>
      </c>
      <c r="G3015">
        <v>0</v>
      </c>
      <c r="H3015" t="s">
        <v>30</v>
      </c>
      <c r="I3015" t="s">
        <v>16</v>
      </c>
      <c r="J3015" t="s">
        <v>16</v>
      </c>
      <c r="K3015" t="str">
        <f>VLOOKUP(C3015,CheckName!A:B,2,0)</f>
        <v>Emp</v>
      </c>
      <c r="L3015">
        <v>0</v>
      </c>
      <c r="M3015">
        <f t="shared" si="409"/>
        <v>19</v>
      </c>
      <c r="N3015" t="str">
        <f>TEXT(MTDRejection[[#This Row],[RejectionDate]],"dddd")</f>
        <v>Thursday</v>
      </c>
    </row>
    <row r="3016" spans="1:14">
      <c r="A3016" t="s">
        <v>84</v>
      </c>
      <c r="B3016" t="s">
        <v>2687</v>
      </c>
      <c r="C3016" t="s">
        <v>12</v>
      </c>
      <c r="D3016" t="s">
        <v>26</v>
      </c>
      <c r="E3016" s="7">
        <v>45645</v>
      </c>
      <c r="F3016" t="s">
        <v>151</v>
      </c>
      <c r="G3016">
        <v>0</v>
      </c>
      <c r="H3016" t="s">
        <v>27</v>
      </c>
      <c r="I3016" t="s">
        <v>16</v>
      </c>
      <c r="J3016" t="s">
        <v>16</v>
      </c>
      <c r="K3016" t="str">
        <f>VLOOKUP(C3016,CheckName!A:B,2,0)</f>
        <v>Emp</v>
      </c>
      <c r="L3016">
        <v>0</v>
      </c>
      <c r="M3016">
        <f t="shared" si="409"/>
        <v>19</v>
      </c>
      <c r="N3016" t="str">
        <f>TEXT(MTDRejection[[#This Row],[RejectionDate]],"dddd")</f>
        <v>Thursday</v>
      </c>
    </row>
    <row r="3017" spans="1:14">
      <c r="A3017" t="s">
        <v>84</v>
      </c>
      <c r="B3017" t="s">
        <v>5272</v>
      </c>
      <c r="C3017" t="s">
        <v>36</v>
      </c>
      <c r="D3017" t="s">
        <v>26</v>
      </c>
      <c r="E3017" s="7">
        <v>45645</v>
      </c>
      <c r="F3017" t="s">
        <v>151</v>
      </c>
      <c r="G3017">
        <v>0</v>
      </c>
      <c r="H3017" t="s">
        <v>22</v>
      </c>
      <c r="I3017" t="s">
        <v>16</v>
      </c>
      <c r="J3017" t="s">
        <v>16</v>
      </c>
      <c r="K3017" t="str">
        <f>VLOOKUP(C3017,CheckName!A:B,2,0)</f>
        <v>Emp</v>
      </c>
      <c r="L3017">
        <v>0</v>
      </c>
      <c r="M3017">
        <f t="shared" si="409"/>
        <v>19</v>
      </c>
      <c r="N3017" t="str">
        <f>TEXT(MTDRejection[[#This Row],[RejectionDate]],"dddd")</f>
        <v>Thursday</v>
      </c>
    </row>
    <row r="3018" spans="1:14">
      <c r="A3018" t="s">
        <v>160</v>
      </c>
      <c r="B3018" t="s">
        <v>5273</v>
      </c>
      <c r="C3018" t="s">
        <v>19</v>
      </c>
      <c r="D3018" t="s">
        <v>51</v>
      </c>
      <c r="E3018" s="7">
        <v>45645</v>
      </c>
      <c r="F3018" t="s">
        <v>52</v>
      </c>
      <c r="G3018">
        <v>0</v>
      </c>
      <c r="H3018" t="s">
        <v>53</v>
      </c>
      <c r="I3018" t="s">
        <v>16</v>
      </c>
      <c r="J3018" t="s">
        <v>16</v>
      </c>
      <c r="K3018" t="str">
        <f>VLOOKUP(C3018,CheckName!A:B,2,0)</f>
        <v>Add</v>
      </c>
      <c r="L3018">
        <v>0</v>
      </c>
      <c r="M3018">
        <f t="shared" si="409"/>
        <v>19</v>
      </c>
      <c r="N3018" t="str">
        <f>TEXT(MTDRejection[[#This Row],[RejectionDate]],"dddd")</f>
        <v>Thursday</v>
      </c>
    </row>
    <row r="3019" spans="1:14">
      <c r="A3019" t="s">
        <v>160</v>
      </c>
      <c r="B3019" t="s">
        <v>5274</v>
      </c>
      <c r="C3019" t="s">
        <v>49</v>
      </c>
      <c r="D3019" t="s">
        <v>51</v>
      </c>
      <c r="E3019" s="7">
        <v>45645</v>
      </c>
      <c r="F3019" t="s">
        <v>52</v>
      </c>
      <c r="G3019">
        <v>0</v>
      </c>
      <c r="H3019" t="s">
        <v>53</v>
      </c>
      <c r="I3019" t="s">
        <v>16</v>
      </c>
      <c r="J3019" t="s">
        <v>16</v>
      </c>
      <c r="K3019" t="str">
        <f>VLOOKUP(C3019,CheckName!A:B,2,0)</f>
        <v>CRC</v>
      </c>
      <c r="L3019">
        <v>0</v>
      </c>
      <c r="M3019">
        <f t="shared" si="409"/>
        <v>19</v>
      </c>
      <c r="N3019" t="str">
        <f>TEXT(MTDRejection[[#This Row],[RejectionDate]],"dddd")</f>
        <v>Thursday</v>
      </c>
    </row>
    <row r="3020" spans="1:14">
      <c r="A3020" t="s">
        <v>2031</v>
      </c>
      <c r="B3020" t="s">
        <v>5275</v>
      </c>
      <c r="C3020" t="s">
        <v>36</v>
      </c>
      <c r="D3020" t="s">
        <v>51</v>
      </c>
      <c r="E3020" s="7">
        <v>45645</v>
      </c>
      <c r="F3020" t="s">
        <v>52</v>
      </c>
      <c r="G3020">
        <v>0</v>
      </c>
      <c r="H3020" t="s">
        <v>53</v>
      </c>
      <c r="I3020" t="s">
        <v>16</v>
      </c>
      <c r="J3020" t="s">
        <v>16</v>
      </c>
      <c r="K3020" t="str">
        <f>VLOOKUP(C3020,CheckName!A:B,2,0)</f>
        <v>Emp</v>
      </c>
      <c r="L3020">
        <v>0</v>
      </c>
      <c r="M3020">
        <f t="shared" si="409"/>
        <v>19</v>
      </c>
      <c r="N3020" t="str">
        <f>TEXT(MTDRejection[[#This Row],[RejectionDate]],"dddd")</f>
        <v>Thursday</v>
      </c>
    </row>
    <row r="3021" spans="1:14">
      <c r="A3021" t="s">
        <v>45</v>
      </c>
      <c r="B3021" t="s">
        <v>5276</v>
      </c>
      <c r="C3021" t="s">
        <v>259</v>
      </c>
      <c r="D3021" t="s">
        <v>26</v>
      </c>
      <c r="E3021" s="7">
        <v>45644</v>
      </c>
      <c r="F3021" t="s">
        <v>2355</v>
      </c>
      <c r="G3021">
        <v>1</v>
      </c>
      <c r="H3021" t="s">
        <v>22</v>
      </c>
      <c r="I3021" t="s">
        <v>16</v>
      </c>
      <c r="J3021" t="s">
        <v>16</v>
      </c>
      <c r="K3021" t="str">
        <f>VLOOKUP(C3021,CheckName!A:B,2,0)</f>
        <v>Emp</v>
      </c>
      <c r="L3021">
        <v>0</v>
      </c>
      <c r="M3021">
        <f t="shared" ref="M3021:M3026" si="410">DAY(E3021)</f>
        <v>18</v>
      </c>
      <c r="N3021" t="str">
        <f>TEXT(MTDRejection[[#This Row],[RejectionDate]],"dddd")</f>
        <v>Wednesday</v>
      </c>
    </row>
    <row r="3022" spans="1:14">
      <c r="A3022" t="s">
        <v>419</v>
      </c>
      <c r="B3022" t="s">
        <v>5277</v>
      </c>
      <c r="C3022" t="s">
        <v>19</v>
      </c>
      <c r="D3022" t="s">
        <v>20</v>
      </c>
      <c r="E3022" s="7">
        <v>45644</v>
      </c>
      <c r="F3022" t="s">
        <v>129</v>
      </c>
      <c r="G3022">
        <v>1</v>
      </c>
      <c r="H3022" t="s">
        <v>27</v>
      </c>
      <c r="I3022" t="s">
        <v>16</v>
      </c>
      <c r="J3022" t="s">
        <v>16</v>
      </c>
      <c r="K3022" t="str">
        <f>VLOOKUP(C3022,CheckName!A:B,2,0)</f>
        <v>Add</v>
      </c>
      <c r="L3022">
        <v>1</v>
      </c>
      <c r="M3022">
        <f t="shared" si="410"/>
        <v>18</v>
      </c>
      <c r="N3022" t="str">
        <f>TEXT(MTDRejection[[#This Row],[RejectionDate]],"dddd")</f>
        <v>Wednesday</v>
      </c>
    </row>
    <row r="3023" spans="1:14">
      <c r="A3023" t="s">
        <v>419</v>
      </c>
      <c r="B3023" t="s">
        <v>5278</v>
      </c>
      <c r="C3023" t="s">
        <v>25</v>
      </c>
      <c r="D3023" t="s">
        <v>20</v>
      </c>
      <c r="E3023" s="7">
        <v>45644</v>
      </c>
      <c r="F3023" t="s">
        <v>129</v>
      </c>
      <c r="G3023">
        <v>1</v>
      </c>
      <c r="H3023" t="s">
        <v>27</v>
      </c>
      <c r="I3023" t="s">
        <v>16</v>
      </c>
      <c r="J3023" t="s">
        <v>16</v>
      </c>
      <c r="K3023" t="str">
        <f>VLOOKUP(C3023,CheckName!A:B,2,0)</f>
        <v>Add</v>
      </c>
      <c r="L3023">
        <v>1</v>
      </c>
      <c r="M3023">
        <f t="shared" si="410"/>
        <v>18</v>
      </c>
      <c r="N3023" t="str">
        <f>TEXT(MTDRejection[[#This Row],[RejectionDate]],"dddd")</f>
        <v>Wednesday</v>
      </c>
    </row>
    <row r="3024" spans="1:14">
      <c r="A3024" t="s">
        <v>1552</v>
      </c>
      <c r="B3024" t="s">
        <v>5279</v>
      </c>
      <c r="C3024" t="s">
        <v>25</v>
      </c>
      <c r="D3024" t="s">
        <v>20</v>
      </c>
      <c r="E3024" s="7">
        <v>45644</v>
      </c>
      <c r="F3024" t="s">
        <v>129</v>
      </c>
      <c r="G3024">
        <v>1</v>
      </c>
      <c r="H3024" t="s">
        <v>27</v>
      </c>
      <c r="I3024" t="s">
        <v>16</v>
      </c>
      <c r="J3024" t="s">
        <v>16</v>
      </c>
      <c r="K3024" t="str">
        <f>VLOOKUP(C3024,CheckName!A:B,2,0)</f>
        <v>Add</v>
      </c>
      <c r="L3024">
        <v>0</v>
      </c>
      <c r="M3024">
        <f t="shared" si="410"/>
        <v>18</v>
      </c>
      <c r="N3024" t="str">
        <f>TEXT(MTDRejection[[#This Row],[RejectionDate]],"dddd")</f>
        <v>Wednesday</v>
      </c>
    </row>
    <row r="3025" spans="1:14">
      <c r="A3025" t="s">
        <v>176</v>
      </c>
      <c r="B3025" t="s">
        <v>5280</v>
      </c>
      <c r="C3025" t="s">
        <v>36</v>
      </c>
      <c r="D3025" t="s">
        <v>38</v>
      </c>
      <c r="E3025" s="7">
        <v>45644</v>
      </c>
      <c r="F3025" t="s">
        <v>39</v>
      </c>
      <c r="G3025">
        <v>1</v>
      </c>
      <c r="H3025" t="s">
        <v>42</v>
      </c>
      <c r="I3025" t="s">
        <v>16</v>
      </c>
      <c r="J3025" t="s">
        <v>16</v>
      </c>
      <c r="K3025" t="str">
        <f>VLOOKUP(C3025,CheckName!A:B,2,0)</f>
        <v>Emp</v>
      </c>
      <c r="L3025">
        <v>0</v>
      </c>
      <c r="M3025">
        <f t="shared" si="410"/>
        <v>18</v>
      </c>
      <c r="N3025" t="str">
        <f>TEXT(MTDRejection[[#This Row],[RejectionDate]],"dddd")</f>
        <v>Wednesday</v>
      </c>
    </row>
    <row r="3026" spans="1:14">
      <c r="A3026" t="s">
        <v>216</v>
      </c>
      <c r="B3026" t="s">
        <v>5281</v>
      </c>
      <c r="C3026" t="s">
        <v>54</v>
      </c>
      <c r="D3026" t="s">
        <v>26</v>
      </c>
      <c r="E3026" s="7">
        <v>45644</v>
      </c>
      <c r="F3026" t="s">
        <v>309</v>
      </c>
      <c r="G3026">
        <v>1</v>
      </c>
      <c r="H3026" t="s">
        <v>22</v>
      </c>
      <c r="I3026" t="s">
        <v>16</v>
      </c>
      <c r="J3026" t="s">
        <v>16</v>
      </c>
      <c r="K3026" t="str">
        <f>VLOOKUP(C3026,CheckName!A:B,2,0)</f>
        <v>Edu</v>
      </c>
      <c r="L3026">
        <v>0</v>
      </c>
      <c r="M3026">
        <f t="shared" si="410"/>
        <v>18</v>
      </c>
      <c r="N3026" t="str">
        <f>TEXT(MTDRejection[[#This Row],[RejectionDate]],"dddd")</f>
        <v>Wednesday</v>
      </c>
    </row>
    <row r="3027" spans="1:14">
      <c r="A3027" t="s">
        <v>45</v>
      </c>
      <c r="B3027" t="s">
        <v>2688</v>
      </c>
      <c r="C3027" t="s">
        <v>1677</v>
      </c>
      <c r="D3027" t="s">
        <v>26</v>
      </c>
      <c r="E3027" s="7">
        <v>45644</v>
      </c>
      <c r="F3027" t="s">
        <v>2346</v>
      </c>
      <c r="G3027">
        <v>1</v>
      </c>
      <c r="H3027" t="s">
        <v>27</v>
      </c>
      <c r="I3027" t="s">
        <v>16</v>
      </c>
      <c r="J3027" t="s">
        <v>16</v>
      </c>
      <c r="K3027" t="str">
        <f>VLOOKUP(C3027,CheckName!A:B,2,0)</f>
        <v>Emp</v>
      </c>
      <c r="L3027">
        <v>0</v>
      </c>
      <c r="M3027">
        <f t="shared" ref="M3027:M3028" si="411">DAY(E3027)</f>
        <v>18</v>
      </c>
      <c r="N3027" t="str">
        <f>TEXT(MTDRejection[[#This Row],[RejectionDate]],"dddd")</f>
        <v>Wednesday</v>
      </c>
    </row>
    <row r="3028" spans="1:14">
      <c r="A3028" t="s">
        <v>2032</v>
      </c>
      <c r="B3028" t="s">
        <v>5282</v>
      </c>
      <c r="C3028" t="s">
        <v>54</v>
      </c>
      <c r="D3028" t="s">
        <v>26</v>
      </c>
      <c r="E3028" s="7">
        <v>45644</v>
      </c>
      <c r="F3028" t="s">
        <v>121</v>
      </c>
      <c r="G3028">
        <v>1</v>
      </c>
      <c r="H3028" t="s">
        <v>22</v>
      </c>
      <c r="I3028" t="s">
        <v>16</v>
      </c>
      <c r="J3028" t="s">
        <v>16</v>
      </c>
      <c r="K3028" t="str">
        <f>VLOOKUP(C3028,CheckName!A:B,2,0)</f>
        <v>Edu</v>
      </c>
      <c r="L3028">
        <v>0</v>
      </c>
      <c r="M3028">
        <f t="shared" si="411"/>
        <v>18</v>
      </c>
      <c r="N3028" t="str">
        <f>TEXT(MTDRejection[[#This Row],[RejectionDate]],"dddd")</f>
        <v>Wednesday</v>
      </c>
    </row>
    <row r="3029" spans="1:14">
      <c r="A3029" t="s">
        <v>73</v>
      </c>
      <c r="B3029" t="s">
        <v>5283</v>
      </c>
      <c r="C3029" t="s">
        <v>59</v>
      </c>
      <c r="D3029" t="s">
        <v>13</v>
      </c>
      <c r="E3029" s="7">
        <v>45644</v>
      </c>
      <c r="F3029" t="s">
        <v>540</v>
      </c>
      <c r="G3029">
        <v>1</v>
      </c>
      <c r="H3029" t="s">
        <v>15</v>
      </c>
      <c r="I3029" t="s">
        <v>16</v>
      </c>
      <c r="J3029" t="s">
        <v>16</v>
      </c>
      <c r="K3029" t="str">
        <f>VLOOKUP(C3029,CheckName!A:B,2,0)</f>
        <v>Special Check</v>
      </c>
      <c r="L3029">
        <v>0</v>
      </c>
      <c r="M3029">
        <f t="shared" ref="M3029:M3030" si="412">DAY(E3029)</f>
        <v>18</v>
      </c>
      <c r="N3029" t="str">
        <f>TEXT(MTDRejection[[#This Row],[RejectionDate]],"dddd")</f>
        <v>Wednesday</v>
      </c>
    </row>
    <row r="3030" spans="1:14">
      <c r="A3030" t="s">
        <v>73</v>
      </c>
      <c r="B3030" t="s">
        <v>5284</v>
      </c>
      <c r="C3030" t="s">
        <v>71</v>
      </c>
      <c r="D3030" t="s">
        <v>13</v>
      </c>
      <c r="E3030" s="7">
        <v>45644</v>
      </c>
      <c r="F3030" t="s">
        <v>540</v>
      </c>
      <c r="G3030">
        <v>1</v>
      </c>
      <c r="H3030" t="s">
        <v>15</v>
      </c>
      <c r="I3030" t="s">
        <v>16</v>
      </c>
      <c r="J3030" t="s">
        <v>16</v>
      </c>
      <c r="K3030" t="str">
        <f>VLOOKUP(C3030,CheckName!A:B,2,0)</f>
        <v>CRC</v>
      </c>
      <c r="L3030">
        <v>0</v>
      </c>
      <c r="M3030">
        <f t="shared" si="412"/>
        <v>18</v>
      </c>
      <c r="N3030" t="str">
        <f>TEXT(MTDRejection[[#This Row],[RejectionDate]],"dddd")</f>
        <v>Wednesday</v>
      </c>
    </row>
    <row r="3031" spans="1:14">
      <c r="A3031" t="s">
        <v>360</v>
      </c>
      <c r="B3031" t="s">
        <v>5285</v>
      </c>
      <c r="C3031" t="s">
        <v>54</v>
      </c>
      <c r="D3031" t="s">
        <v>51</v>
      </c>
      <c r="E3031" s="7">
        <v>45644</v>
      </c>
      <c r="F3031" t="s">
        <v>52</v>
      </c>
      <c r="G3031">
        <v>1</v>
      </c>
      <c r="H3031" t="s">
        <v>53</v>
      </c>
      <c r="I3031" t="s">
        <v>16</v>
      </c>
      <c r="J3031" t="s">
        <v>16</v>
      </c>
      <c r="K3031" t="str">
        <f>VLOOKUP(C3031,CheckName!A:B,2,0)</f>
        <v>Edu</v>
      </c>
      <c r="L3031">
        <v>0</v>
      </c>
      <c r="M3031">
        <f t="shared" ref="M3031:M3032" si="413">DAY(E3031)</f>
        <v>18</v>
      </c>
      <c r="N3031" t="str">
        <f>TEXT(MTDRejection[[#This Row],[RejectionDate]],"dddd")</f>
        <v>Wednesday</v>
      </c>
    </row>
    <row r="3032" spans="1:14">
      <c r="A3032" t="s">
        <v>96</v>
      </c>
      <c r="B3032" t="s">
        <v>5286</v>
      </c>
      <c r="C3032" t="s">
        <v>12</v>
      </c>
      <c r="D3032" t="s">
        <v>13</v>
      </c>
      <c r="E3032" s="7">
        <v>45644</v>
      </c>
      <c r="F3032" t="s">
        <v>819</v>
      </c>
      <c r="G3032">
        <v>1</v>
      </c>
      <c r="H3032" t="s">
        <v>15</v>
      </c>
      <c r="I3032" t="s">
        <v>16</v>
      </c>
      <c r="J3032" t="s">
        <v>16</v>
      </c>
      <c r="K3032" t="str">
        <f>VLOOKUP(C3032,CheckName!A:B,2,0)</f>
        <v>Emp</v>
      </c>
      <c r="L3032">
        <v>0</v>
      </c>
      <c r="M3032">
        <f t="shared" si="413"/>
        <v>18</v>
      </c>
      <c r="N3032" t="str">
        <f>TEXT(MTDRejection[[#This Row],[RejectionDate]],"dddd")</f>
        <v>Wednesday</v>
      </c>
    </row>
    <row r="3033" spans="1:14">
      <c r="A3033" t="s">
        <v>116</v>
      </c>
      <c r="B3033" t="s">
        <v>5287</v>
      </c>
      <c r="C3033" t="s">
        <v>805</v>
      </c>
      <c r="D3033" t="s">
        <v>13</v>
      </c>
      <c r="E3033" s="7">
        <v>45644</v>
      </c>
      <c r="F3033" t="s">
        <v>579</v>
      </c>
      <c r="G3033">
        <v>1</v>
      </c>
      <c r="H3033" t="s">
        <v>15</v>
      </c>
      <c r="I3033" t="s">
        <v>16</v>
      </c>
      <c r="J3033" t="s">
        <v>16</v>
      </c>
      <c r="K3033" t="str">
        <f>VLOOKUP(C3033,CheckName!A:B,2,0)</f>
        <v>Edu</v>
      </c>
      <c r="L3033">
        <v>0</v>
      </c>
      <c r="M3033">
        <f t="shared" ref="M3033:M3037" si="414">DAY(E3033)</f>
        <v>18</v>
      </c>
      <c r="N3033" t="str">
        <f>TEXT(MTDRejection[[#This Row],[RejectionDate]],"dddd")</f>
        <v>Wednesday</v>
      </c>
    </row>
    <row r="3034" spans="1:14">
      <c r="A3034" t="s">
        <v>116</v>
      </c>
      <c r="B3034" t="s">
        <v>5288</v>
      </c>
      <c r="C3034" t="s">
        <v>93</v>
      </c>
      <c r="D3034" t="s">
        <v>13</v>
      </c>
      <c r="E3034" s="7">
        <v>45644</v>
      </c>
      <c r="F3034" t="s">
        <v>579</v>
      </c>
      <c r="G3034">
        <v>1</v>
      </c>
      <c r="H3034" t="s">
        <v>15</v>
      </c>
      <c r="I3034" t="s">
        <v>16</v>
      </c>
      <c r="J3034" t="s">
        <v>16</v>
      </c>
      <c r="K3034" t="str">
        <f>VLOOKUP(C3034,CheckName!A:B,2,0)</f>
        <v>Edu</v>
      </c>
      <c r="L3034">
        <v>0</v>
      </c>
      <c r="M3034">
        <f t="shared" si="414"/>
        <v>18</v>
      </c>
      <c r="N3034" t="str">
        <f>TEXT(MTDRejection[[#This Row],[RejectionDate]],"dddd")</f>
        <v>Wednesday</v>
      </c>
    </row>
    <row r="3035" spans="1:14">
      <c r="A3035" t="s">
        <v>40</v>
      </c>
      <c r="B3035" t="s">
        <v>5289</v>
      </c>
      <c r="C3035" t="s">
        <v>71</v>
      </c>
      <c r="D3035" t="s">
        <v>13</v>
      </c>
      <c r="E3035" s="7">
        <v>45644</v>
      </c>
      <c r="F3035" t="s">
        <v>2332</v>
      </c>
      <c r="G3035">
        <v>1</v>
      </c>
      <c r="H3035" t="s">
        <v>15</v>
      </c>
      <c r="I3035" t="s">
        <v>16</v>
      </c>
      <c r="J3035" t="s">
        <v>16</v>
      </c>
      <c r="K3035" t="str">
        <f>VLOOKUP(C3035,CheckName!A:B,2,0)</f>
        <v>CRC</v>
      </c>
      <c r="L3035">
        <v>0</v>
      </c>
      <c r="M3035">
        <f t="shared" si="414"/>
        <v>18</v>
      </c>
      <c r="N3035" t="str">
        <f>TEXT(MTDRejection[[#This Row],[RejectionDate]],"dddd")</f>
        <v>Wednesday</v>
      </c>
    </row>
    <row r="3036" spans="1:14">
      <c r="A3036" t="s">
        <v>866</v>
      </c>
      <c r="B3036" t="s">
        <v>5290</v>
      </c>
      <c r="C3036" t="s">
        <v>19</v>
      </c>
      <c r="D3036" t="s">
        <v>13</v>
      </c>
      <c r="E3036" s="7">
        <v>45644</v>
      </c>
      <c r="F3036" t="s">
        <v>2332</v>
      </c>
      <c r="G3036">
        <v>1</v>
      </c>
      <c r="H3036" t="s">
        <v>15</v>
      </c>
      <c r="I3036" t="s">
        <v>16</v>
      </c>
      <c r="J3036" t="s">
        <v>16</v>
      </c>
      <c r="K3036" t="str">
        <f>VLOOKUP(C3036,CheckName!A:B,2,0)</f>
        <v>Add</v>
      </c>
      <c r="L3036">
        <v>0</v>
      </c>
      <c r="M3036">
        <f t="shared" si="414"/>
        <v>18</v>
      </c>
      <c r="N3036" t="str">
        <f>TEXT(MTDRejection[[#This Row],[RejectionDate]],"dddd")</f>
        <v>Wednesday</v>
      </c>
    </row>
    <row r="3037" spans="1:14">
      <c r="A3037" t="s">
        <v>2033</v>
      </c>
      <c r="B3037" t="s">
        <v>5291</v>
      </c>
      <c r="C3037" t="s">
        <v>36</v>
      </c>
      <c r="D3037" t="s">
        <v>26</v>
      </c>
      <c r="E3037" s="7">
        <v>45644</v>
      </c>
      <c r="F3037" t="s">
        <v>159</v>
      </c>
      <c r="G3037">
        <v>1</v>
      </c>
      <c r="H3037" t="s">
        <v>27</v>
      </c>
      <c r="I3037" t="s">
        <v>16</v>
      </c>
      <c r="J3037" t="s">
        <v>16</v>
      </c>
      <c r="K3037" t="str">
        <f>VLOOKUP(C3037,CheckName!A:B,2,0)</f>
        <v>Emp</v>
      </c>
      <c r="L3037">
        <v>0</v>
      </c>
      <c r="M3037">
        <f t="shared" si="414"/>
        <v>18</v>
      </c>
      <c r="N3037" t="str">
        <f>TEXT(MTDRejection[[#This Row],[RejectionDate]],"dddd")</f>
        <v>Wednesday</v>
      </c>
    </row>
    <row r="3038" spans="1:14">
      <c r="A3038" t="s">
        <v>47</v>
      </c>
      <c r="B3038" t="s">
        <v>5292</v>
      </c>
      <c r="C3038" t="s">
        <v>49</v>
      </c>
      <c r="D3038" t="s">
        <v>13</v>
      </c>
      <c r="E3038" s="7">
        <v>45644</v>
      </c>
      <c r="F3038" t="s">
        <v>156</v>
      </c>
      <c r="G3038">
        <v>1</v>
      </c>
      <c r="H3038" t="s">
        <v>15</v>
      </c>
      <c r="I3038" t="s">
        <v>16</v>
      </c>
      <c r="J3038" t="s">
        <v>16</v>
      </c>
      <c r="K3038" t="str">
        <f>VLOOKUP(C3038,CheckName!A:B,2,0)</f>
        <v>CRC</v>
      </c>
      <c r="L3038">
        <v>0</v>
      </c>
      <c r="M3038">
        <f>DAY(E3038)</f>
        <v>18</v>
      </c>
      <c r="N3038" t="str">
        <f>TEXT(MTDRejection[[#This Row],[RejectionDate]],"dddd")</f>
        <v>Wednesday</v>
      </c>
    </row>
    <row r="3039" spans="1:14">
      <c r="A3039" t="s">
        <v>73</v>
      </c>
      <c r="B3039" t="s">
        <v>5293</v>
      </c>
      <c r="C3039" t="s">
        <v>54</v>
      </c>
      <c r="D3039" t="s">
        <v>26</v>
      </c>
      <c r="E3039" s="7">
        <v>45644</v>
      </c>
      <c r="F3039" t="s">
        <v>535</v>
      </c>
      <c r="G3039">
        <v>1</v>
      </c>
      <c r="H3039" t="s">
        <v>27</v>
      </c>
      <c r="I3039" t="s">
        <v>16</v>
      </c>
      <c r="J3039" t="s">
        <v>16</v>
      </c>
      <c r="K3039" t="str">
        <f>VLOOKUP(C3039,CheckName!A:B,2,0)</f>
        <v>Edu</v>
      </c>
      <c r="L3039">
        <v>0</v>
      </c>
      <c r="M3039">
        <f t="shared" ref="M3039:M3044" si="415">DAY(E3039)</f>
        <v>18</v>
      </c>
      <c r="N3039" t="str">
        <f>TEXT(MTDRejection[[#This Row],[RejectionDate]],"dddd")</f>
        <v>Wednesday</v>
      </c>
    </row>
    <row r="3040" spans="1:14">
      <c r="A3040" t="s">
        <v>1570</v>
      </c>
      <c r="B3040" t="s">
        <v>5294</v>
      </c>
      <c r="C3040" t="s">
        <v>19</v>
      </c>
      <c r="D3040" t="s">
        <v>13</v>
      </c>
      <c r="E3040" s="7">
        <v>45644</v>
      </c>
      <c r="F3040" t="s">
        <v>1421</v>
      </c>
      <c r="G3040">
        <v>1</v>
      </c>
      <c r="H3040" t="s">
        <v>15</v>
      </c>
      <c r="I3040" t="s">
        <v>16</v>
      </c>
      <c r="J3040" t="s">
        <v>16</v>
      </c>
      <c r="K3040" t="str">
        <f>VLOOKUP(C3040,CheckName!A:B,2,0)</f>
        <v>Add</v>
      </c>
      <c r="L3040">
        <v>0</v>
      </c>
      <c r="M3040">
        <f t="shared" si="415"/>
        <v>18</v>
      </c>
      <c r="N3040" t="str">
        <f>TEXT(MTDRejection[[#This Row],[RejectionDate]],"dddd")</f>
        <v>Wednesday</v>
      </c>
    </row>
    <row r="3041" spans="1:14">
      <c r="A3041" t="s">
        <v>119</v>
      </c>
      <c r="B3041" t="s">
        <v>5295</v>
      </c>
      <c r="C3041" t="s">
        <v>54</v>
      </c>
      <c r="D3041" t="s">
        <v>26</v>
      </c>
      <c r="E3041" s="7">
        <v>45644</v>
      </c>
      <c r="F3041" t="s">
        <v>535</v>
      </c>
      <c r="G3041">
        <v>1</v>
      </c>
      <c r="H3041" t="s">
        <v>27</v>
      </c>
      <c r="I3041" t="s">
        <v>16</v>
      </c>
      <c r="J3041" t="s">
        <v>16</v>
      </c>
      <c r="K3041" t="str">
        <f>VLOOKUP(C3041,CheckName!A:B,2,0)</f>
        <v>Edu</v>
      </c>
      <c r="L3041">
        <v>0</v>
      </c>
      <c r="M3041">
        <f t="shared" si="415"/>
        <v>18</v>
      </c>
      <c r="N3041" t="str">
        <f>TEXT(MTDRejection[[#This Row],[RejectionDate]],"dddd")</f>
        <v>Wednesday</v>
      </c>
    </row>
    <row r="3042" spans="1:14">
      <c r="A3042" t="s">
        <v>43</v>
      </c>
      <c r="B3042" t="s">
        <v>5296</v>
      </c>
      <c r="C3042" t="s">
        <v>54</v>
      </c>
      <c r="D3042" t="s">
        <v>26</v>
      </c>
      <c r="E3042" s="7">
        <v>45644</v>
      </c>
      <c r="F3042" t="s">
        <v>535</v>
      </c>
      <c r="G3042">
        <v>1</v>
      </c>
      <c r="H3042" t="s">
        <v>27</v>
      </c>
      <c r="I3042" t="s">
        <v>16</v>
      </c>
      <c r="J3042" t="s">
        <v>16</v>
      </c>
      <c r="K3042" t="str">
        <f>VLOOKUP(C3042,CheckName!A:B,2,0)</f>
        <v>Edu</v>
      </c>
      <c r="L3042">
        <v>0</v>
      </c>
      <c r="M3042">
        <f t="shared" si="415"/>
        <v>18</v>
      </c>
      <c r="N3042" t="str">
        <f>TEXT(MTDRejection[[#This Row],[RejectionDate]],"dddd")</f>
        <v>Wednesday</v>
      </c>
    </row>
    <row r="3043" spans="1:14">
      <c r="A3043" t="s">
        <v>45</v>
      </c>
      <c r="B3043" t="s">
        <v>2691</v>
      </c>
      <c r="C3043" t="s">
        <v>54</v>
      </c>
      <c r="D3043" t="s">
        <v>26</v>
      </c>
      <c r="E3043" s="7">
        <v>45644</v>
      </c>
      <c r="F3043" t="s">
        <v>852</v>
      </c>
      <c r="G3043">
        <v>1</v>
      </c>
      <c r="H3043" t="s">
        <v>27</v>
      </c>
      <c r="I3043" t="s">
        <v>16</v>
      </c>
      <c r="J3043" t="s">
        <v>16</v>
      </c>
      <c r="K3043" t="str">
        <f>VLOOKUP(C3043,CheckName!A:B,2,0)</f>
        <v>Edu</v>
      </c>
      <c r="L3043">
        <v>0</v>
      </c>
      <c r="M3043">
        <f t="shared" si="415"/>
        <v>18</v>
      </c>
      <c r="N3043" t="str">
        <f>TEXT(MTDRejection[[#This Row],[RejectionDate]],"dddd")</f>
        <v>Wednesday</v>
      </c>
    </row>
    <row r="3044" spans="1:14">
      <c r="A3044" t="s">
        <v>91</v>
      </c>
      <c r="B3044" t="s">
        <v>5297</v>
      </c>
      <c r="C3044" t="s">
        <v>12</v>
      </c>
      <c r="D3044" t="s">
        <v>26</v>
      </c>
      <c r="E3044" s="7">
        <v>45644</v>
      </c>
      <c r="F3044" t="s">
        <v>184</v>
      </c>
      <c r="G3044">
        <v>1</v>
      </c>
      <c r="H3044" t="s">
        <v>27</v>
      </c>
      <c r="I3044" t="s">
        <v>16</v>
      </c>
      <c r="J3044" t="s">
        <v>16</v>
      </c>
      <c r="K3044" t="str">
        <f>VLOOKUP(C3044,CheckName!A:B,2,0)</f>
        <v>Emp</v>
      </c>
      <c r="L3044">
        <v>0</v>
      </c>
      <c r="M3044">
        <f t="shared" si="415"/>
        <v>18</v>
      </c>
      <c r="N3044" t="str">
        <f>TEXT(MTDRejection[[#This Row],[RejectionDate]],"dddd")</f>
        <v>Wednesday</v>
      </c>
    </row>
    <row r="3045" spans="1:14">
      <c r="A3045" t="s">
        <v>84</v>
      </c>
      <c r="B3045" t="s">
        <v>5298</v>
      </c>
      <c r="C3045" t="s">
        <v>12</v>
      </c>
      <c r="D3045" t="s">
        <v>26</v>
      </c>
      <c r="E3045" s="7">
        <v>45644</v>
      </c>
      <c r="F3045" t="s">
        <v>83</v>
      </c>
      <c r="G3045">
        <v>1</v>
      </c>
      <c r="H3045" t="s">
        <v>27</v>
      </c>
      <c r="I3045" t="s">
        <v>16</v>
      </c>
      <c r="J3045" t="s">
        <v>16</v>
      </c>
      <c r="K3045" t="str">
        <f>VLOOKUP(C3045,CheckName!A:B,2,0)</f>
        <v>Emp</v>
      </c>
      <c r="L3045">
        <v>0</v>
      </c>
      <c r="M3045">
        <f>DAY(E3045)</f>
        <v>18</v>
      </c>
      <c r="N3045" t="str">
        <f>TEXT(MTDRejection[[#This Row],[RejectionDate]],"dddd")</f>
        <v>Wednesday</v>
      </c>
    </row>
    <row r="3046" spans="1:14">
      <c r="A3046" t="s">
        <v>43</v>
      </c>
      <c r="B3046" t="s">
        <v>5299</v>
      </c>
      <c r="C3046" t="s">
        <v>54</v>
      </c>
      <c r="D3046" t="s">
        <v>26</v>
      </c>
      <c r="E3046" s="7">
        <v>45644</v>
      </c>
      <c r="F3046" t="s">
        <v>351</v>
      </c>
      <c r="G3046">
        <v>1</v>
      </c>
      <c r="H3046" t="s">
        <v>27</v>
      </c>
      <c r="I3046" t="s">
        <v>16</v>
      </c>
      <c r="J3046" t="s">
        <v>16</v>
      </c>
      <c r="K3046" t="str">
        <f>VLOOKUP(C3046,CheckName!A:B,2,0)</f>
        <v>Edu</v>
      </c>
      <c r="L3046">
        <v>0</v>
      </c>
      <c r="M3046">
        <f>DAY(E3046)</f>
        <v>18</v>
      </c>
      <c r="N3046" t="str">
        <f>TEXT(MTDRejection[[#This Row],[RejectionDate]],"dddd")</f>
        <v>Wednesday</v>
      </c>
    </row>
    <row r="3047" spans="1:14">
      <c r="A3047" t="s">
        <v>91</v>
      </c>
      <c r="B3047" t="s">
        <v>5300</v>
      </c>
      <c r="C3047" t="s">
        <v>12</v>
      </c>
      <c r="D3047" t="s">
        <v>26</v>
      </c>
      <c r="E3047" s="7">
        <v>45644</v>
      </c>
      <c r="F3047" t="s">
        <v>182</v>
      </c>
      <c r="G3047">
        <v>1</v>
      </c>
      <c r="H3047" t="s">
        <v>27</v>
      </c>
      <c r="I3047" t="s">
        <v>16</v>
      </c>
      <c r="J3047" t="s">
        <v>16</v>
      </c>
      <c r="K3047" t="str">
        <f>VLOOKUP(C3047,CheckName!A:B,2,0)</f>
        <v>Emp</v>
      </c>
      <c r="L3047">
        <v>0</v>
      </c>
      <c r="M3047">
        <f>DAY(E3047)</f>
        <v>18</v>
      </c>
      <c r="N3047" t="str">
        <f>TEXT(MTDRejection[[#This Row],[RejectionDate]],"dddd")</f>
        <v>Wednesday</v>
      </c>
    </row>
    <row r="3048" spans="1:14">
      <c r="A3048" t="s">
        <v>391</v>
      </c>
      <c r="B3048" t="s">
        <v>5301</v>
      </c>
      <c r="C3048" t="s">
        <v>12</v>
      </c>
      <c r="D3048" t="s">
        <v>26</v>
      </c>
      <c r="E3048" s="7">
        <v>45644</v>
      </c>
      <c r="F3048" t="s">
        <v>182</v>
      </c>
      <c r="G3048">
        <v>1</v>
      </c>
      <c r="H3048" t="s">
        <v>27</v>
      </c>
      <c r="I3048" t="s">
        <v>16</v>
      </c>
      <c r="J3048" t="s">
        <v>16</v>
      </c>
      <c r="K3048" t="str">
        <f>VLOOKUP(C3048,CheckName!A:B,2,0)</f>
        <v>Emp</v>
      </c>
      <c r="L3048">
        <v>0</v>
      </c>
      <c r="M3048">
        <f t="shared" ref="M3048:M3050" si="416">DAY(E3048)</f>
        <v>18</v>
      </c>
      <c r="N3048" t="str">
        <f>TEXT(MTDRejection[[#This Row],[RejectionDate]],"dddd")</f>
        <v>Wednesday</v>
      </c>
    </row>
    <row r="3049" spans="1:14">
      <c r="A3049" t="s">
        <v>100</v>
      </c>
      <c r="B3049" t="s">
        <v>5302</v>
      </c>
      <c r="C3049" t="s">
        <v>255</v>
      </c>
      <c r="D3049" t="s">
        <v>13</v>
      </c>
      <c r="E3049" s="7">
        <v>45644</v>
      </c>
      <c r="F3049" t="s">
        <v>1861</v>
      </c>
      <c r="G3049">
        <v>1</v>
      </c>
      <c r="H3049" t="s">
        <v>15</v>
      </c>
      <c r="I3049" t="s">
        <v>16</v>
      </c>
      <c r="J3049" t="s">
        <v>16</v>
      </c>
      <c r="K3049" t="str">
        <f>VLOOKUP(C3049,CheckName!A:B,2,0)</f>
        <v>Special Check</v>
      </c>
      <c r="L3049">
        <v>0</v>
      </c>
      <c r="M3049">
        <f t="shared" si="416"/>
        <v>18</v>
      </c>
      <c r="N3049" t="str">
        <f>TEXT(MTDRejection[[#This Row],[RejectionDate]],"dddd")</f>
        <v>Wednesday</v>
      </c>
    </row>
    <row r="3050" spans="1:14">
      <c r="A3050" t="s">
        <v>100</v>
      </c>
      <c r="B3050" t="s">
        <v>5303</v>
      </c>
      <c r="C3050" t="s">
        <v>235</v>
      </c>
      <c r="D3050" t="s">
        <v>13</v>
      </c>
      <c r="E3050" s="7">
        <v>45644</v>
      </c>
      <c r="F3050" t="s">
        <v>1861</v>
      </c>
      <c r="G3050">
        <v>1</v>
      </c>
      <c r="H3050" t="s">
        <v>15</v>
      </c>
      <c r="I3050" t="s">
        <v>16</v>
      </c>
      <c r="J3050" t="s">
        <v>16</v>
      </c>
      <c r="K3050" t="str">
        <f>VLOOKUP(C3050,CheckName!A:B,2,0)</f>
        <v>Special Check</v>
      </c>
      <c r="L3050">
        <v>0</v>
      </c>
      <c r="M3050">
        <f t="shared" si="416"/>
        <v>18</v>
      </c>
      <c r="N3050" t="str">
        <f>TEXT(MTDRejection[[#This Row],[RejectionDate]],"dddd")</f>
        <v>Wednesday</v>
      </c>
    </row>
    <row r="3051" spans="1:14">
      <c r="A3051" t="s">
        <v>84</v>
      </c>
      <c r="B3051" t="s">
        <v>5304</v>
      </c>
      <c r="C3051" t="s">
        <v>125</v>
      </c>
      <c r="D3051" t="s">
        <v>38</v>
      </c>
      <c r="E3051" s="7">
        <v>45644</v>
      </c>
      <c r="F3051" t="s">
        <v>39</v>
      </c>
      <c r="G3051">
        <v>1</v>
      </c>
      <c r="H3051" t="s">
        <v>42</v>
      </c>
      <c r="I3051" t="s">
        <v>16</v>
      </c>
      <c r="J3051" t="s">
        <v>16</v>
      </c>
      <c r="K3051" t="str">
        <f>VLOOKUP(C3051,CheckName!A:B,2,0)</f>
        <v>Emp</v>
      </c>
      <c r="L3051">
        <v>0</v>
      </c>
      <c r="M3051">
        <f>DAY(E3051)</f>
        <v>18</v>
      </c>
      <c r="N3051" t="str">
        <f>TEXT(MTDRejection[[#This Row],[RejectionDate]],"dddd")</f>
        <v>Wednesday</v>
      </c>
    </row>
    <row r="3052" spans="1:14">
      <c r="A3052" t="s">
        <v>996</v>
      </c>
      <c r="B3052" t="s">
        <v>2689</v>
      </c>
      <c r="C3052" t="s">
        <v>12</v>
      </c>
      <c r="D3052" t="s">
        <v>26</v>
      </c>
      <c r="E3052" s="7">
        <v>45644</v>
      </c>
      <c r="F3052" t="s">
        <v>222</v>
      </c>
      <c r="G3052">
        <v>1</v>
      </c>
      <c r="H3052" t="s">
        <v>27</v>
      </c>
      <c r="I3052" t="s">
        <v>16</v>
      </c>
      <c r="J3052" t="s">
        <v>16</v>
      </c>
      <c r="K3052" t="str">
        <f>VLOOKUP(C3052,CheckName!A:B,2,0)</f>
        <v>Emp</v>
      </c>
      <c r="L3052">
        <v>0</v>
      </c>
      <c r="M3052">
        <f t="shared" ref="M3052:M3054" si="417">DAY(E3052)</f>
        <v>18</v>
      </c>
      <c r="N3052" t="str">
        <f>TEXT(MTDRejection[[#This Row],[RejectionDate]],"dddd")</f>
        <v>Wednesday</v>
      </c>
    </row>
    <row r="3053" spans="1:14">
      <c r="A3053" t="s">
        <v>1192</v>
      </c>
      <c r="B3053" t="s">
        <v>5305</v>
      </c>
      <c r="C3053" t="s">
        <v>12</v>
      </c>
      <c r="D3053" t="s">
        <v>13</v>
      </c>
      <c r="E3053" s="7">
        <v>45644</v>
      </c>
      <c r="F3053" t="s">
        <v>492</v>
      </c>
      <c r="G3053">
        <v>1</v>
      </c>
      <c r="H3053" t="s">
        <v>15</v>
      </c>
      <c r="I3053" t="s">
        <v>16</v>
      </c>
      <c r="J3053" t="s">
        <v>16</v>
      </c>
      <c r="K3053" t="str">
        <f>VLOOKUP(C3053,CheckName!A:B,2,0)</f>
        <v>Emp</v>
      </c>
      <c r="L3053">
        <v>0</v>
      </c>
      <c r="M3053">
        <f t="shared" si="417"/>
        <v>18</v>
      </c>
      <c r="N3053" t="str">
        <f>TEXT(MTDRejection[[#This Row],[RejectionDate]],"dddd")</f>
        <v>Wednesday</v>
      </c>
    </row>
    <row r="3054" spans="1:14">
      <c r="A3054" t="s">
        <v>45</v>
      </c>
      <c r="B3054" t="s">
        <v>5306</v>
      </c>
      <c r="C3054" t="s">
        <v>12</v>
      </c>
      <c r="D3054" t="s">
        <v>26</v>
      </c>
      <c r="E3054" s="7">
        <v>45644</v>
      </c>
      <c r="F3054" t="s">
        <v>224</v>
      </c>
      <c r="G3054">
        <v>1</v>
      </c>
      <c r="H3054" t="s">
        <v>22</v>
      </c>
      <c r="I3054" t="s">
        <v>16</v>
      </c>
      <c r="J3054" t="s">
        <v>16</v>
      </c>
      <c r="K3054" t="str">
        <f>VLOOKUP(C3054,CheckName!A:B,2,0)</f>
        <v>Emp</v>
      </c>
      <c r="L3054">
        <v>0</v>
      </c>
      <c r="M3054">
        <f t="shared" si="417"/>
        <v>18</v>
      </c>
      <c r="N3054" t="str">
        <f>TEXT(MTDRejection[[#This Row],[RejectionDate]],"dddd")</f>
        <v>Wednesday</v>
      </c>
    </row>
    <row r="3055" spans="1:14">
      <c r="A3055" t="s">
        <v>263</v>
      </c>
      <c r="B3055" t="s">
        <v>5307</v>
      </c>
      <c r="C3055" t="s">
        <v>25</v>
      </c>
      <c r="D3055" t="s">
        <v>26</v>
      </c>
      <c r="E3055" s="7">
        <v>45644</v>
      </c>
      <c r="F3055" t="s">
        <v>66</v>
      </c>
      <c r="G3055">
        <v>1</v>
      </c>
      <c r="H3055" t="s">
        <v>27</v>
      </c>
      <c r="I3055" t="s">
        <v>16</v>
      </c>
      <c r="J3055" t="s">
        <v>16</v>
      </c>
      <c r="K3055" t="str">
        <f>VLOOKUP(C3055,CheckName!A:B,2,0)</f>
        <v>Add</v>
      </c>
      <c r="L3055">
        <v>0</v>
      </c>
      <c r="M3055">
        <f t="shared" ref="M3055:M3056" si="418">DAY(E3055)</f>
        <v>18</v>
      </c>
      <c r="N3055" t="str">
        <f>TEXT(MTDRejection[[#This Row],[RejectionDate]],"dddd")</f>
        <v>Wednesday</v>
      </c>
    </row>
    <row r="3056" spans="1:14">
      <c r="A3056" t="s">
        <v>945</v>
      </c>
      <c r="B3056" t="s">
        <v>5308</v>
      </c>
      <c r="C3056" t="s">
        <v>25</v>
      </c>
      <c r="D3056" t="s">
        <v>20</v>
      </c>
      <c r="E3056" s="7">
        <v>45644</v>
      </c>
      <c r="F3056" t="s">
        <v>2330</v>
      </c>
      <c r="G3056">
        <v>1</v>
      </c>
      <c r="H3056" t="s">
        <v>22</v>
      </c>
      <c r="I3056" t="s">
        <v>16</v>
      </c>
      <c r="J3056" t="s">
        <v>16</v>
      </c>
      <c r="K3056" t="str">
        <f>VLOOKUP(C3056,CheckName!A:B,2,0)</f>
        <v>Add</v>
      </c>
      <c r="L3056">
        <v>0</v>
      </c>
      <c r="M3056">
        <f t="shared" si="418"/>
        <v>18</v>
      </c>
      <c r="N3056" t="str">
        <f>TEXT(MTDRejection[[#This Row],[RejectionDate]],"dddd")</f>
        <v>Wednesday</v>
      </c>
    </row>
    <row r="3057" spans="1:14">
      <c r="A3057" t="s">
        <v>45</v>
      </c>
      <c r="B3057" t="s">
        <v>5309</v>
      </c>
      <c r="C3057" t="s">
        <v>54</v>
      </c>
      <c r="D3057" t="s">
        <v>26</v>
      </c>
      <c r="E3057" s="7">
        <v>45644</v>
      </c>
      <c r="F3057" t="s">
        <v>63</v>
      </c>
      <c r="G3057">
        <v>1</v>
      </c>
      <c r="H3057" t="s">
        <v>95</v>
      </c>
      <c r="I3057" t="s">
        <v>16</v>
      </c>
      <c r="J3057" t="s">
        <v>16</v>
      </c>
      <c r="K3057" t="str">
        <f>VLOOKUP(C3057,CheckName!A:B,2,0)</f>
        <v>Edu</v>
      </c>
      <c r="L3057">
        <v>0</v>
      </c>
      <c r="M3057">
        <f t="shared" ref="M3057:M3058" si="419">DAY(E3057)</f>
        <v>18</v>
      </c>
      <c r="N3057" t="str">
        <f>TEXT(MTDRejection[[#This Row],[RejectionDate]],"dddd")</f>
        <v>Wednesday</v>
      </c>
    </row>
    <row r="3058" spans="1:14">
      <c r="A3058" t="s">
        <v>1204</v>
      </c>
      <c r="B3058" t="s">
        <v>5310</v>
      </c>
      <c r="C3058" t="s">
        <v>54</v>
      </c>
      <c r="D3058" t="s">
        <v>26</v>
      </c>
      <c r="E3058" s="7">
        <v>45644</v>
      </c>
      <c r="F3058" t="s">
        <v>63</v>
      </c>
      <c r="G3058">
        <v>1</v>
      </c>
      <c r="H3058" t="s">
        <v>30</v>
      </c>
      <c r="I3058" t="s">
        <v>16</v>
      </c>
      <c r="J3058" t="s">
        <v>16</v>
      </c>
      <c r="K3058" t="str">
        <f>VLOOKUP(C3058,CheckName!A:B,2,0)</f>
        <v>Edu</v>
      </c>
      <c r="L3058">
        <v>0</v>
      </c>
      <c r="M3058">
        <f t="shared" si="419"/>
        <v>18</v>
      </c>
      <c r="N3058" t="str">
        <f>TEXT(MTDRejection[[#This Row],[RejectionDate]],"dddd")</f>
        <v>Wednesday</v>
      </c>
    </row>
    <row r="3059" spans="1:14">
      <c r="A3059" t="s">
        <v>10</v>
      </c>
      <c r="B3059" t="s">
        <v>5311</v>
      </c>
      <c r="C3059" t="s">
        <v>1869</v>
      </c>
      <c r="D3059" t="s">
        <v>26</v>
      </c>
      <c r="E3059" s="7">
        <v>45644</v>
      </c>
      <c r="F3059" t="s">
        <v>236</v>
      </c>
      <c r="G3059">
        <v>1</v>
      </c>
      <c r="H3059" t="s">
        <v>27</v>
      </c>
      <c r="I3059" t="s">
        <v>16</v>
      </c>
      <c r="J3059" t="s">
        <v>16</v>
      </c>
      <c r="K3059" t="str">
        <f>VLOOKUP(C3059,CheckName!A:B,2,0)</f>
        <v>Special Check</v>
      </c>
      <c r="L3059">
        <v>1</v>
      </c>
      <c r="M3059">
        <f t="shared" ref="M3059:M3060" si="420">DAY(E3059)</f>
        <v>18</v>
      </c>
      <c r="N3059" t="str">
        <f>TEXT(MTDRejection[[#This Row],[RejectionDate]],"dddd")</f>
        <v>Wednesday</v>
      </c>
    </row>
    <row r="3060" spans="1:14">
      <c r="A3060" t="s">
        <v>10</v>
      </c>
      <c r="B3060" t="s">
        <v>5312</v>
      </c>
      <c r="C3060" t="s">
        <v>1869</v>
      </c>
      <c r="D3060" t="s">
        <v>26</v>
      </c>
      <c r="E3060" s="7">
        <v>45644</v>
      </c>
      <c r="F3060" t="s">
        <v>236</v>
      </c>
      <c r="G3060">
        <v>1</v>
      </c>
      <c r="H3060" t="s">
        <v>27</v>
      </c>
      <c r="I3060" t="s">
        <v>16</v>
      </c>
      <c r="J3060" t="s">
        <v>16</v>
      </c>
      <c r="K3060" t="str">
        <f>VLOOKUP(C3060,CheckName!A:B,2,0)</f>
        <v>Special Check</v>
      </c>
      <c r="L3060">
        <v>1</v>
      </c>
      <c r="M3060">
        <f t="shared" si="420"/>
        <v>18</v>
      </c>
      <c r="N3060" t="str">
        <f>TEXT(MTDRejection[[#This Row],[RejectionDate]],"dddd")</f>
        <v>Wednesday</v>
      </c>
    </row>
    <row r="3061" spans="1:14">
      <c r="A3061" t="s">
        <v>40</v>
      </c>
      <c r="B3061" t="s">
        <v>5313</v>
      </c>
      <c r="C3061" t="s">
        <v>71</v>
      </c>
      <c r="D3061" t="s">
        <v>13</v>
      </c>
      <c r="E3061" s="7">
        <v>45644</v>
      </c>
      <c r="F3061" t="s">
        <v>33</v>
      </c>
      <c r="G3061">
        <v>1</v>
      </c>
      <c r="H3061" t="s">
        <v>15</v>
      </c>
      <c r="I3061" t="s">
        <v>16</v>
      </c>
      <c r="J3061" t="s">
        <v>16</v>
      </c>
      <c r="K3061" t="str">
        <f>VLOOKUP(C3061,CheckName!A:B,2,0)</f>
        <v>CRC</v>
      </c>
      <c r="L3061">
        <v>0</v>
      </c>
      <c r="M3061">
        <f t="shared" ref="M3061:M3063" si="421">DAY(E3061)</f>
        <v>18</v>
      </c>
      <c r="N3061" t="str">
        <f>TEXT(MTDRejection[[#This Row],[RejectionDate]],"dddd")</f>
        <v>Wednesday</v>
      </c>
    </row>
    <row r="3062" spans="1:14">
      <c r="A3062" t="s">
        <v>281</v>
      </c>
      <c r="B3062" t="s">
        <v>2690</v>
      </c>
      <c r="C3062" t="s">
        <v>12</v>
      </c>
      <c r="D3062" t="s">
        <v>26</v>
      </c>
      <c r="E3062" s="7">
        <v>45644</v>
      </c>
      <c r="F3062" t="s">
        <v>37</v>
      </c>
      <c r="G3062">
        <v>1</v>
      </c>
      <c r="H3062" t="s">
        <v>27</v>
      </c>
      <c r="I3062" t="s">
        <v>16</v>
      </c>
      <c r="J3062" t="s">
        <v>16</v>
      </c>
      <c r="K3062" t="str">
        <f>VLOOKUP(C3062,CheckName!A:B,2,0)</f>
        <v>Emp</v>
      </c>
      <c r="L3062">
        <v>0</v>
      </c>
      <c r="M3062">
        <f t="shared" si="421"/>
        <v>18</v>
      </c>
      <c r="N3062" t="str">
        <f>TEXT(MTDRejection[[#This Row],[RejectionDate]],"dddd")</f>
        <v>Wednesday</v>
      </c>
    </row>
    <row r="3063" spans="1:14">
      <c r="A3063" t="s">
        <v>91</v>
      </c>
      <c r="B3063" t="s">
        <v>5314</v>
      </c>
      <c r="C3063" t="s">
        <v>12</v>
      </c>
      <c r="D3063" t="s">
        <v>26</v>
      </c>
      <c r="E3063" s="7">
        <v>45644</v>
      </c>
      <c r="F3063" t="s">
        <v>675</v>
      </c>
      <c r="G3063">
        <v>1</v>
      </c>
      <c r="H3063" t="s">
        <v>22</v>
      </c>
      <c r="I3063" t="s">
        <v>16</v>
      </c>
      <c r="J3063" t="s">
        <v>16</v>
      </c>
      <c r="K3063" t="str">
        <f>VLOOKUP(C3063,CheckName!A:B,2,0)</f>
        <v>Emp</v>
      </c>
      <c r="L3063">
        <v>0</v>
      </c>
      <c r="M3063">
        <f t="shared" si="421"/>
        <v>18</v>
      </c>
      <c r="N3063" t="str">
        <f>TEXT(MTDRejection[[#This Row],[RejectionDate]],"dddd")</f>
        <v>Wednesday</v>
      </c>
    </row>
    <row r="3064" spans="1:14">
      <c r="A3064" t="s">
        <v>100</v>
      </c>
      <c r="B3064" t="s">
        <v>5315</v>
      </c>
      <c r="C3064" t="s">
        <v>357</v>
      </c>
      <c r="D3064" t="s">
        <v>26</v>
      </c>
      <c r="E3064" s="7">
        <v>45642</v>
      </c>
      <c r="F3064" t="s">
        <v>380</v>
      </c>
      <c r="G3064">
        <v>3</v>
      </c>
      <c r="H3064" t="s">
        <v>30</v>
      </c>
      <c r="I3064" t="s">
        <v>16</v>
      </c>
      <c r="J3064" t="s">
        <v>16</v>
      </c>
      <c r="K3064" t="str">
        <f>VLOOKUP(C3064,CheckName!A:B,2,0)</f>
        <v>Emp</v>
      </c>
      <c r="L3064">
        <v>0</v>
      </c>
      <c r="M3064">
        <f>DAY(E3064)</f>
        <v>16</v>
      </c>
      <c r="N3064" t="str">
        <f>TEXT(MTDRejection[[#This Row],[RejectionDate]],"dddd")</f>
        <v>Monday</v>
      </c>
    </row>
    <row r="3065" spans="1:14">
      <c r="A3065" t="s">
        <v>2034</v>
      </c>
      <c r="B3065" t="s">
        <v>5316</v>
      </c>
      <c r="C3065" t="s">
        <v>12</v>
      </c>
      <c r="D3065" t="s">
        <v>26</v>
      </c>
      <c r="E3065" s="7">
        <v>45637</v>
      </c>
      <c r="F3065" t="s">
        <v>2335</v>
      </c>
      <c r="G3065">
        <v>8</v>
      </c>
      <c r="H3065" t="s">
        <v>27</v>
      </c>
      <c r="I3065" t="s">
        <v>16</v>
      </c>
      <c r="J3065" t="s">
        <v>16</v>
      </c>
      <c r="K3065" t="str">
        <f>VLOOKUP(C3065,CheckName!A:B,2,0)</f>
        <v>Emp</v>
      </c>
      <c r="L3065">
        <v>0</v>
      </c>
      <c r="M3065">
        <f>DAY(E3065)</f>
        <v>11</v>
      </c>
      <c r="N3065" t="str">
        <f>TEXT(MTDRejection[[#This Row],[RejectionDate]],"dddd")</f>
        <v>Wednesday</v>
      </c>
    </row>
    <row r="3066" spans="1:14">
      <c r="A3066" t="s">
        <v>288</v>
      </c>
      <c r="B3066" t="s">
        <v>5317</v>
      </c>
      <c r="C3066" t="s">
        <v>12</v>
      </c>
      <c r="D3066" t="s">
        <v>26</v>
      </c>
      <c r="E3066" s="7">
        <v>45629</v>
      </c>
      <c r="F3066" t="s">
        <v>1139</v>
      </c>
      <c r="G3066">
        <v>16</v>
      </c>
      <c r="H3066" t="s">
        <v>27</v>
      </c>
      <c r="I3066" t="s">
        <v>16</v>
      </c>
      <c r="J3066" t="s">
        <v>16</v>
      </c>
      <c r="K3066" t="str">
        <f>VLOOKUP(C3066,CheckName!A:B,2,0)</f>
        <v>Emp</v>
      </c>
      <c r="L3066">
        <v>0</v>
      </c>
      <c r="M3066">
        <f>DAY(E3066)</f>
        <v>3</v>
      </c>
      <c r="N3066" t="str">
        <f>TEXT(MTDRejection[[#This Row],[RejectionDate]],"dddd")</f>
        <v>Tuesday</v>
      </c>
    </row>
    <row r="3067" spans="1:14">
      <c r="A3067" t="s">
        <v>45</v>
      </c>
      <c r="B3067" t="s">
        <v>5318</v>
      </c>
      <c r="C3067" t="s">
        <v>59</v>
      </c>
      <c r="D3067" t="s">
        <v>26</v>
      </c>
      <c r="E3067" s="7">
        <v>45645</v>
      </c>
      <c r="F3067" t="s">
        <v>236</v>
      </c>
      <c r="G3067">
        <v>0</v>
      </c>
      <c r="H3067" t="s">
        <v>22</v>
      </c>
      <c r="I3067" t="s">
        <v>16</v>
      </c>
      <c r="J3067" t="s">
        <v>16</v>
      </c>
      <c r="K3067" t="str">
        <f>VLOOKUP(C3067,CheckName!A:B,2,0)</f>
        <v>Special Check</v>
      </c>
      <c r="L3067">
        <v>0</v>
      </c>
      <c r="M3067">
        <f t="shared" ref="M3067:M3068" si="422">DAY(E3067)</f>
        <v>19</v>
      </c>
      <c r="N3067" t="str">
        <f>TEXT(MTDRejection[[#This Row],[RejectionDate]],"dddd")</f>
        <v>Thursday</v>
      </c>
    </row>
    <row r="3068" spans="1:14">
      <c r="A3068" t="s">
        <v>45</v>
      </c>
      <c r="B3068" t="s">
        <v>5319</v>
      </c>
      <c r="C3068" t="s">
        <v>25</v>
      </c>
      <c r="D3068" t="s">
        <v>20</v>
      </c>
      <c r="E3068" s="7">
        <v>45645</v>
      </c>
      <c r="F3068" t="s">
        <v>2327</v>
      </c>
      <c r="G3068">
        <v>0</v>
      </c>
      <c r="H3068" t="s">
        <v>130</v>
      </c>
      <c r="I3068" t="s">
        <v>16</v>
      </c>
      <c r="J3068" t="s">
        <v>16</v>
      </c>
      <c r="K3068" t="str">
        <f>VLOOKUP(C3068,CheckName!A:B,2,0)</f>
        <v>Add</v>
      </c>
      <c r="L3068">
        <v>0</v>
      </c>
      <c r="M3068">
        <f t="shared" si="422"/>
        <v>19</v>
      </c>
      <c r="N3068" t="str">
        <f>TEXT(MTDRejection[[#This Row],[RejectionDate]],"dddd")</f>
        <v>Thursday</v>
      </c>
    </row>
    <row r="3069" spans="1:14">
      <c r="A3069" t="s">
        <v>627</v>
      </c>
      <c r="B3069" t="s">
        <v>5320</v>
      </c>
      <c r="C3069" t="s">
        <v>25</v>
      </c>
      <c r="D3069" t="s">
        <v>26</v>
      </c>
      <c r="E3069" s="7">
        <v>45645</v>
      </c>
      <c r="F3069" t="s">
        <v>66</v>
      </c>
      <c r="G3069">
        <v>0</v>
      </c>
      <c r="H3069" t="s">
        <v>27</v>
      </c>
      <c r="I3069" t="s">
        <v>16</v>
      </c>
      <c r="J3069" t="s">
        <v>16</v>
      </c>
      <c r="K3069" t="str">
        <f>VLOOKUP(C3069,CheckName!A:B,2,0)</f>
        <v>Add</v>
      </c>
      <c r="L3069">
        <v>0</v>
      </c>
      <c r="M3069">
        <f t="shared" ref="M3069:M3076" si="423">DAY(E3069)</f>
        <v>19</v>
      </c>
      <c r="N3069" t="str">
        <f>TEXT(MTDRejection[[#This Row],[RejectionDate]],"dddd")</f>
        <v>Thursday</v>
      </c>
    </row>
    <row r="3070" spans="1:14">
      <c r="A3070" t="s">
        <v>45</v>
      </c>
      <c r="B3070" t="s">
        <v>5321</v>
      </c>
      <c r="C3070" t="s">
        <v>1103</v>
      </c>
      <c r="D3070" t="s">
        <v>38</v>
      </c>
      <c r="E3070" s="7">
        <v>45645</v>
      </c>
      <c r="F3070" t="s">
        <v>108</v>
      </c>
      <c r="G3070">
        <v>0</v>
      </c>
      <c r="H3070" t="s">
        <v>42</v>
      </c>
      <c r="I3070" t="s">
        <v>16</v>
      </c>
      <c r="J3070" t="s">
        <v>16</v>
      </c>
      <c r="K3070" t="str">
        <f>VLOOKUP(C3070,CheckName!A:B,2,0)</f>
        <v>CRC</v>
      </c>
      <c r="L3070">
        <v>0</v>
      </c>
      <c r="M3070">
        <f t="shared" si="423"/>
        <v>19</v>
      </c>
      <c r="N3070" t="str">
        <f>TEXT(MTDRejection[[#This Row],[RejectionDate]],"dddd")</f>
        <v>Thursday</v>
      </c>
    </row>
    <row r="3071" spans="1:14">
      <c r="A3071" t="s">
        <v>45</v>
      </c>
      <c r="B3071" t="s">
        <v>5322</v>
      </c>
      <c r="C3071" t="s">
        <v>49</v>
      </c>
      <c r="D3071" t="s">
        <v>38</v>
      </c>
      <c r="E3071" s="7">
        <v>45645</v>
      </c>
      <c r="F3071" t="s">
        <v>108</v>
      </c>
      <c r="G3071">
        <v>0</v>
      </c>
      <c r="H3071" t="s">
        <v>42</v>
      </c>
      <c r="I3071" t="s">
        <v>16</v>
      </c>
      <c r="J3071" t="s">
        <v>16</v>
      </c>
      <c r="K3071" t="str">
        <f>VLOOKUP(C3071,CheckName!A:B,2,0)</f>
        <v>CRC</v>
      </c>
      <c r="L3071">
        <v>0</v>
      </c>
      <c r="M3071">
        <f t="shared" si="423"/>
        <v>19</v>
      </c>
      <c r="N3071" t="str">
        <f>TEXT(MTDRejection[[#This Row],[RejectionDate]],"dddd")</f>
        <v>Thursday</v>
      </c>
    </row>
    <row r="3072" spans="1:14">
      <c r="A3072" t="s">
        <v>391</v>
      </c>
      <c r="B3072" t="s">
        <v>5323</v>
      </c>
      <c r="C3072" t="s">
        <v>56</v>
      </c>
      <c r="D3072" t="s">
        <v>13</v>
      </c>
      <c r="E3072" s="7">
        <v>45645</v>
      </c>
      <c r="F3072" t="s">
        <v>706</v>
      </c>
      <c r="G3072">
        <v>0</v>
      </c>
      <c r="H3072" t="s">
        <v>15</v>
      </c>
      <c r="I3072" t="s">
        <v>16</v>
      </c>
      <c r="J3072" t="s">
        <v>16</v>
      </c>
      <c r="K3072" t="str">
        <f>VLOOKUP(C3072,CheckName!A:B,2,0)</f>
        <v>Special Check</v>
      </c>
      <c r="L3072">
        <v>0</v>
      </c>
      <c r="M3072">
        <f t="shared" si="423"/>
        <v>19</v>
      </c>
      <c r="N3072" t="str">
        <f>TEXT(MTDRejection[[#This Row],[RejectionDate]],"dddd")</f>
        <v>Thursday</v>
      </c>
    </row>
    <row r="3073" spans="1:14">
      <c r="A3073" t="s">
        <v>664</v>
      </c>
      <c r="B3073" t="s">
        <v>5324</v>
      </c>
      <c r="C3073" t="s">
        <v>467</v>
      </c>
      <c r="D3073" t="s">
        <v>13</v>
      </c>
      <c r="E3073" s="7">
        <v>45645</v>
      </c>
      <c r="F3073" t="s">
        <v>72</v>
      </c>
      <c r="G3073">
        <v>0</v>
      </c>
      <c r="H3073" t="s">
        <v>15</v>
      </c>
      <c r="I3073" t="s">
        <v>16</v>
      </c>
      <c r="J3073" t="s">
        <v>16</v>
      </c>
      <c r="K3073" t="str">
        <f>VLOOKUP(C3073,CheckName!A:B,2,0)</f>
        <v>Special Check</v>
      </c>
      <c r="L3073">
        <v>0</v>
      </c>
      <c r="M3073">
        <f t="shared" si="423"/>
        <v>19</v>
      </c>
      <c r="N3073" t="str">
        <f>TEXT(MTDRejection[[#This Row],[RejectionDate]],"dddd")</f>
        <v>Thursday</v>
      </c>
    </row>
    <row r="3074" spans="1:14">
      <c r="A3074" t="s">
        <v>211</v>
      </c>
      <c r="B3074" t="s">
        <v>5325</v>
      </c>
      <c r="C3074" t="s">
        <v>1321</v>
      </c>
      <c r="D3074" t="s">
        <v>13</v>
      </c>
      <c r="E3074" s="7">
        <v>45645</v>
      </c>
      <c r="F3074" t="s">
        <v>72</v>
      </c>
      <c r="G3074">
        <v>0</v>
      </c>
      <c r="H3074" t="s">
        <v>30</v>
      </c>
      <c r="I3074" t="s">
        <v>16</v>
      </c>
      <c r="J3074" t="s">
        <v>16</v>
      </c>
      <c r="K3074" t="str">
        <f>VLOOKUP(C3074,CheckName!A:B,2,0)</f>
        <v>Special Check</v>
      </c>
      <c r="L3074">
        <v>0</v>
      </c>
      <c r="M3074">
        <f t="shared" si="423"/>
        <v>19</v>
      </c>
      <c r="N3074" t="str">
        <f>TEXT(MTDRejection[[#This Row],[RejectionDate]],"dddd")</f>
        <v>Thursday</v>
      </c>
    </row>
    <row r="3075" spans="1:14">
      <c r="A3075" t="s">
        <v>131</v>
      </c>
      <c r="B3075" t="s">
        <v>5326</v>
      </c>
      <c r="C3075" t="s">
        <v>59</v>
      </c>
      <c r="D3075" t="s">
        <v>13</v>
      </c>
      <c r="E3075" s="7">
        <v>45645</v>
      </c>
      <c r="F3075" t="s">
        <v>72</v>
      </c>
      <c r="G3075">
        <v>0</v>
      </c>
      <c r="H3075" t="s">
        <v>15</v>
      </c>
      <c r="I3075" t="s">
        <v>16</v>
      </c>
      <c r="J3075" t="s">
        <v>16</v>
      </c>
      <c r="K3075" t="str">
        <f>VLOOKUP(C3075,CheckName!A:B,2,0)</f>
        <v>Special Check</v>
      </c>
      <c r="L3075">
        <v>0</v>
      </c>
      <c r="M3075">
        <f t="shared" si="423"/>
        <v>19</v>
      </c>
      <c r="N3075" t="str">
        <f>TEXT(MTDRejection[[#This Row],[RejectionDate]],"dddd")</f>
        <v>Thursday</v>
      </c>
    </row>
    <row r="3076" spans="1:14">
      <c r="A3076" t="s">
        <v>45</v>
      </c>
      <c r="B3076" t="s">
        <v>5327</v>
      </c>
      <c r="C3076" t="s">
        <v>12</v>
      </c>
      <c r="D3076" t="s">
        <v>26</v>
      </c>
      <c r="E3076" s="7">
        <v>45645</v>
      </c>
      <c r="F3076" t="s">
        <v>2354</v>
      </c>
      <c r="G3076">
        <v>0</v>
      </c>
      <c r="H3076" t="s">
        <v>22</v>
      </c>
      <c r="I3076" t="s">
        <v>16</v>
      </c>
      <c r="J3076" t="s">
        <v>16</v>
      </c>
      <c r="K3076" t="str">
        <f>VLOOKUP(C3076,CheckName!A:B,2,0)</f>
        <v>Emp</v>
      </c>
      <c r="L3076">
        <v>1</v>
      </c>
      <c r="M3076">
        <f t="shared" si="423"/>
        <v>19</v>
      </c>
      <c r="N3076" t="str">
        <f>TEXT(MTDRejection[[#This Row],[RejectionDate]],"dddd")</f>
        <v>Thursday</v>
      </c>
    </row>
    <row r="3077" spans="1:14">
      <c r="A3077" t="s">
        <v>84</v>
      </c>
      <c r="B3077" t="s">
        <v>5328</v>
      </c>
      <c r="C3077" t="s">
        <v>125</v>
      </c>
      <c r="D3077" t="s">
        <v>26</v>
      </c>
      <c r="E3077" s="7">
        <v>45645</v>
      </c>
      <c r="F3077" t="s">
        <v>83</v>
      </c>
      <c r="G3077">
        <v>0</v>
      </c>
      <c r="H3077" t="s">
        <v>27</v>
      </c>
      <c r="I3077" t="s">
        <v>16</v>
      </c>
      <c r="J3077" t="s">
        <v>16</v>
      </c>
      <c r="K3077" t="str">
        <f>VLOOKUP(C3077,CheckName!A:B,2,0)</f>
        <v>Emp</v>
      </c>
      <c r="L3077">
        <v>0</v>
      </c>
      <c r="M3077">
        <f>DAY(E3077)</f>
        <v>19</v>
      </c>
      <c r="N3077" t="str">
        <f>TEXT(MTDRejection[[#This Row],[RejectionDate]],"dddd")</f>
        <v>Thursday</v>
      </c>
    </row>
    <row r="3078" spans="1:14">
      <c r="A3078" t="s">
        <v>100</v>
      </c>
      <c r="B3078" t="s">
        <v>5329</v>
      </c>
      <c r="C3078" t="s">
        <v>775</v>
      </c>
      <c r="D3078" t="s">
        <v>26</v>
      </c>
      <c r="E3078" s="7">
        <v>45645</v>
      </c>
      <c r="F3078" t="s">
        <v>380</v>
      </c>
      <c r="G3078">
        <v>0</v>
      </c>
      <c r="H3078" t="s">
        <v>27</v>
      </c>
      <c r="I3078" t="s">
        <v>16</v>
      </c>
      <c r="J3078" t="s">
        <v>16</v>
      </c>
      <c r="K3078" t="str">
        <f>VLOOKUP(C3078,CheckName!A:B,2,0)</f>
        <v>Emp</v>
      </c>
      <c r="L3078">
        <v>0</v>
      </c>
      <c r="M3078">
        <f t="shared" ref="M3078:M3088" si="424">DAY(E3078)</f>
        <v>19</v>
      </c>
      <c r="N3078" t="str">
        <f>TEXT(MTDRejection[[#This Row],[RejectionDate]],"dddd")</f>
        <v>Thursday</v>
      </c>
    </row>
    <row r="3079" spans="1:14">
      <c r="A3079" t="s">
        <v>211</v>
      </c>
      <c r="B3079" t="s">
        <v>5330</v>
      </c>
      <c r="C3079" t="s">
        <v>12</v>
      </c>
      <c r="D3079" t="s">
        <v>26</v>
      </c>
      <c r="E3079" s="7">
        <v>45645</v>
      </c>
      <c r="F3079" t="s">
        <v>184</v>
      </c>
      <c r="G3079">
        <v>0</v>
      </c>
      <c r="H3079" t="s">
        <v>27</v>
      </c>
      <c r="I3079" t="s">
        <v>16</v>
      </c>
      <c r="J3079" t="s">
        <v>16</v>
      </c>
      <c r="K3079" t="str">
        <f>VLOOKUP(C3079,CheckName!A:B,2,0)</f>
        <v>Emp</v>
      </c>
      <c r="L3079">
        <v>0</v>
      </c>
      <c r="M3079">
        <f t="shared" si="424"/>
        <v>19</v>
      </c>
      <c r="N3079" t="str">
        <f>TEXT(MTDRejection[[#This Row],[RejectionDate]],"dddd")</f>
        <v>Thursday</v>
      </c>
    </row>
    <row r="3080" spans="1:14">
      <c r="A3080" t="s">
        <v>40</v>
      </c>
      <c r="B3080" t="s">
        <v>5331</v>
      </c>
      <c r="C3080" t="s">
        <v>71</v>
      </c>
      <c r="D3080" t="s">
        <v>38</v>
      </c>
      <c r="E3080" s="7">
        <v>45645</v>
      </c>
      <c r="F3080" t="s">
        <v>108</v>
      </c>
      <c r="G3080">
        <v>0</v>
      </c>
      <c r="H3080" t="s">
        <v>42</v>
      </c>
      <c r="I3080" t="s">
        <v>16</v>
      </c>
      <c r="J3080" t="s">
        <v>16</v>
      </c>
      <c r="K3080" t="str">
        <f>VLOOKUP(C3080,CheckName!A:B,2,0)</f>
        <v>CRC</v>
      </c>
      <c r="L3080">
        <v>0</v>
      </c>
      <c r="M3080">
        <f t="shared" si="424"/>
        <v>19</v>
      </c>
      <c r="N3080" t="str">
        <f>TEXT(MTDRejection[[#This Row],[RejectionDate]],"dddd")</f>
        <v>Thursday</v>
      </c>
    </row>
    <row r="3081" spans="1:14">
      <c r="A3081" t="s">
        <v>1758</v>
      </c>
      <c r="B3081" t="s">
        <v>2692</v>
      </c>
      <c r="C3081" t="s">
        <v>54</v>
      </c>
      <c r="D3081" t="s">
        <v>26</v>
      </c>
      <c r="E3081" s="7">
        <v>45645</v>
      </c>
      <c r="F3081" t="s">
        <v>535</v>
      </c>
      <c r="G3081">
        <v>0</v>
      </c>
      <c r="H3081" t="s">
        <v>27</v>
      </c>
      <c r="I3081" t="s">
        <v>16</v>
      </c>
      <c r="J3081" t="s">
        <v>16</v>
      </c>
      <c r="K3081" t="str">
        <f>VLOOKUP(C3081,CheckName!A:B,2,0)</f>
        <v>Edu</v>
      </c>
      <c r="L3081">
        <v>0</v>
      </c>
      <c r="M3081">
        <f t="shared" si="424"/>
        <v>19</v>
      </c>
      <c r="N3081" t="str">
        <f>TEXT(MTDRejection[[#This Row],[RejectionDate]],"dddd")</f>
        <v>Thursday</v>
      </c>
    </row>
    <row r="3082" spans="1:14">
      <c r="A3082" t="s">
        <v>1758</v>
      </c>
      <c r="B3082" t="s">
        <v>2693</v>
      </c>
      <c r="C3082" t="s">
        <v>54</v>
      </c>
      <c r="D3082" t="s">
        <v>26</v>
      </c>
      <c r="E3082" s="7">
        <v>45645</v>
      </c>
      <c r="F3082" t="s">
        <v>535</v>
      </c>
      <c r="G3082">
        <v>0</v>
      </c>
      <c r="H3082" t="s">
        <v>27</v>
      </c>
      <c r="I3082" t="s">
        <v>16</v>
      </c>
      <c r="J3082" t="s">
        <v>16</v>
      </c>
      <c r="K3082" t="str">
        <f>VLOOKUP(C3082,CheckName!A:B,2,0)</f>
        <v>Edu</v>
      </c>
      <c r="L3082">
        <v>0</v>
      </c>
      <c r="M3082">
        <f t="shared" si="424"/>
        <v>19</v>
      </c>
      <c r="N3082" t="str">
        <f>TEXT(MTDRejection[[#This Row],[RejectionDate]],"dddd")</f>
        <v>Thursday</v>
      </c>
    </row>
    <row r="3083" spans="1:14">
      <c r="A3083" t="s">
        <v>1758</v>
      </c>
      <c r="B3083" t="s">
        <v>5332</v>
      </c>
      <c r="C3083" t="s">
        <v>54</v>
      </c>
      <c r="D3083" t="s">
        <v>26</v>
      </c>
      <c r="E3083" s="7">
        <v>45645</v>
      </c>
      <c r="F3083" t="s">
        <v>535</v>
      </c>
      <c r="G3083">
        <v>0</v>
      </c>
      <c r="H3083" t="s">
        <v>130</v>
      </c>
      <c r="I3083" t="s">
        <v>16</v>
      </c>
      <c r="J3083" t="s">
        <v>16</v>
      </c>
      <c r="K3083" t="str">
        <f>VLOOKUP(C3083,CheckName!A:B,2,0)</f>
        <v>Edu</v>
      </c>
      <c r="L3083">
        <v>0</v>
      </c>
      <c r="M3083">
        <f t="shared" si="424"/>
        <v>19</v>
      </c>
      <c r="N3083" t="str">
        <f>TEXT(MTDRejection[[#This Row],[RejectionDate]],"dddd")</f>
        <v>Thursday</v>
      </c>
    </row>
    <row r="3084" spans="1:14">
      <c r="A3084" t="s">
        <v>2035</v>
      </c>
      <c r="B3084" t="s">
        <v>5333</v>
      </c>
      <c r="C3084" t="s">
        <v>54</v>
      </c>
      <c r="D3084" t="s">
        <v>26</v>
      </c>
      <c r="E3084" s="7">
        <v>45645</v>
      </c>
      <c r="F3084" t="s">
        <v>535</v>
      </c>
      <c r="G3084">
        <v>0</v>
      </c>
      <c r="H3084" t="s">
        <v>130</v>
      </c>
      <c r="I3084" t="s">
        <v>16</v>
      </c>
      <c r="J3084" t="s">
        <v>16</v>
      </c>
      <c r="K3084" t="str">
        <f>VLOOKUP(C3084,CheckName!A:B,2,0)</f>
        <v>Edu</v>
      </c>
      <c r="L3084">
        <v>0</v>
      </c>
      <c r="M3084">
        <f t="shared" si="424"/>
        <v>19</v>
      </c>
      <c r="N3084" t="str">
        <f>TEXT(MTDRejection[[#This Row],[RejectionDate]],"dddd")</f>
        <v>Thursday</v>
      </c>
    </row>
    <row r="3085" spans="1:14">
      <c r="A3085" t="s">
        <v>1802</v>
      </c>
      <c r="B3085" t="s">
        <v>5334</v>
      </c>
      <c r="C3085" t="s">
        <v>54</v>
      </c>
      <c r="D3085" t="s">
        <v>26</v>
      </c>
      <c r="E3085" s="7">
        <v>45645</v>
      </c>
      <c r="F3085" t="s">
        <v>535</v>
      </c>
      <c r="G3085">
        <v>0</v>
      </c>
      <c r="H3085" t="s">
        <v>130</v>
      </c>
      <c r="I3085" t="s">
        <v>16</v>
      </c>
      <c r="J3085" t="s">
        <v>16</v>
      </c>
      <c r="K3085" t="str">
        <f>VLOOKUP(C3085,CheckName!A:B,2,0)</f>
        <v>Edu</v>
      </c>
      <c r="L3085">
        <v>0</v>
      </c>
      <c r="M3085">
        <f t="shared" si="424"/>
        <v>19</v>
      </c>
      <c r="N3085" t="str">
        <f>TEXT(MTDRejection[[#This Row],[RejectionDate]],"dddd")</f>
        <v>Thursday</v>
      </c>
    </row>
    <row r="3086" spans="1:14">
      <c r="A3086" t="s">
        <v>996</v>
      </c>
      <c r="B3086" t="s">
        <v>5335</v>
      </c>
      <c r="C3086" t="s">
        <v>54</v>
      </c>
      <c r="D3086" t="s">
        <v>26</v>
      </c>
      <c r="E3086" s="7">
        <v>45645</v>
      </c>
      <c r="F3086" t="s">
        <v>535</v>
      </c>
      <c r="G3086">
        <v>0</v>
      </c>
      <c r="H3086" t="s">
        <v>27</v>
      </c>
      <c r="I3086" t="s">
        <v>16</v>
      </c>
      <c r="J3086" t="s">
        <v>16</v>
      </c>
      <c r="K3086" t="str">
        <f>VLOOKUP(C3086,CheckName!A:B,2,0)</f>
        <v>Edu</v>
      </c>
      <c r="L3086">
        <v>0</v>
      </c>
      <c r="M3086">
        <f t="shared" si="424"/>
        <v>19</v>
      </c>
      <c r="N3086" t="str">
        <f>TEXT(MTDRejection[[#This Row],[RejectionDate]],"dddd")</f>
        <v>Thursday</v>
      </c>
    </row>
    <row r="3087" spans="1:14">
      <c r="A3087" t="s">
        <v>845</v>
      </c>
      <c r="B3087" t="s">
        <v>5336</v>
      </c>
      <c r="C3087" t="s">
        <v>54</v>
      </c>
      <c r="D3087" t="s">
        <v>26</v>
      </c>
      <c r="E3087" s="7">
        <v>45645</v>
      </c>
      <c r="F3087" t="s">
        <v>535</v>
      </c>
      <c r="G3087">
        <v>0</v>
      </c>
      <c r="H3087" t="s">
        <v>27</v>
      </c>
      <c r="I3087" t="s">
        <v>16</v>
      </c>
      <c r="J3087" t="s">
        <v>16</v>
      </c>
      <c r="K3087" t="str">
        <f>VLOOKUP(C3087,CheckName!A:B,2,0)</f>
        <v>Edu</v>
      </c>
      <c r="L3087">
        <v>0</v>
      </c>
      <c r="M3087">
        <f t="shared" si="424"/>
        <v>19</v>
      </c>
      <c r="N3087" t="str">
        <f>TEXT(MTDRejection[[#This Row],[RejectionDate]],"dddd")</f>
        <v>Thursday</v>
      </c>
    </row>
    <row r="3088" spans="1:14">
      <c r="A3088" t="s">
        <v>43</v>
      </c>
      <c r="B3088" t="s">
        <v>5337</v>
      </c>
      <c r="C3088" t="s">
        <v>54</v>
      </c>
      <c r="D3088" t="s">
        <v>26</v>
      </c>
      <c r="E3088" s="7">
        <v>45645</v>
      </c>
      <c r="F3088" t="s">
        <v>535</v>
      </c>
      <c r="G3088">
        <v>0</v>
      </c>
      <c r="H3088" t="s">
        <v>27</v>
      </c>
      <c r="I3088" t="s">
        <v>16</v>
      </c>
      <c r="J3088" t="s">
        <v>16</v>
      </c>
      <c r="K3088" t="str">
        <f>VLOOKUP(C3088,CheckName!A:B,2,0)</f>
        <v>Edu</v>
      </c>
      <c r="L3088">
        <v>0</v>
      </c>
      <c r="M3088">
        <f t="shared" si="424"/>
        <v>19</v>
      </c>
      <c r="N3088" t="str">
        <f>TEXT(MTDRejection[[#This Row],[RejectionDate]],"dddd")</f>
        <v>Thursday</v>
      </c>
    </row>
    <row r="3089" spans="1:14">
      <c r="A3089" t="s">
        <v>1131</v>
      </c>
      <c r="B3089" t="s">
        <v>5338</v>
      </c>
      <c r="C3089" t="s">
        <v>12</v>
      </c>
      <c r="D3089" t="s">
        <v>26</v>
      </c>
      <c r="E3089" s="7">
        <v>45645</v>
      </c>
      <c r="F3089" t="s">
        <v>169</v>
      </c>
      <c r="G3089">
        <v>0</v>
      </c>
      <c r="H3089" t="s">
        <v>95</v>
      </c>
      <c r="I3089" t="s">
        <v>16</v>
      </c>
      <c r="J3089" t="s">
        <v>16</v>
      </c>
      <c r="K3089" t="str">
        <f>VLOOKUP(C3089,CheckName!A:B,2,0)</f>
        <v>Emp</v>
      </c>
      <c r="L3089">
        <v>0</v>
      </c>
      <c r="M3089">
        <f t="shared" ref="M3089:M3091" si="425">DAY(E3089)</f>
        <v>19</v>
      </c>
      <c r="N3089" t="str">
        <f>TEXT(MTDRejection[[#This Row],[RejectionDate]],"dddd")</f>
        <v>Thursday</v>
      </c>
    </row>
    <row r="3090" spans="1:14">
      <c r="A3090" t="s">
        <v>119</v>
      </c>
      <c r="B3090" t="s">
        <v>5339</v>
      </c>
      <c r="C3090" t="s">
        <v>36</v>
      </c>
      <c r="D3090" t="s">
        <v>51</v>
      </c>
      <c r="E3090" s="7">
        <v>45645</v>
      </c>
      <c r="F3090" t="s">
        <v>52</v>
      </c>
      <c r="G3090">
        <v>0</v>
      </c>
      <c r="H3090" t="s">
        <v>53</v>
      </c>
      <c r="I3090" t="s">
        <v>16</v>
      </c>
      <c r="J3090" t="s">
        <v>16</v>
      </c>
      <c r="K3090" t="str">
        <f>VLOOKUP(C3090,CheckName!A:B,2,0)</f>
        <v>Emp</v>
      </c>
      <c r="L3090">
        <v>0</v>
      </c>
      <c r="M3090">
        <f t="shared" si="425"/>
        <v>19</v>
      </c>
      <c r="N3090" t="str">
        <f>TEXT(MTDRejection[[#This Row],[RejectionDate]],"dddd")</f>
        <v>Thursday</v>
      </c>
    </row>
    <row r="3091" spans="1:14">
      <c r="A3091" t="s">
        <v>119</v>
      </c>
      <c r="B3091" t="s">
        <v>5340</v>
      </c>
      <c r="C3091" t="s">
        <v>125</v>
      </c>
      <c r="D3091" t="s">
        <v>51</v>
      </c>
      <c r="E3091" s="7">
        <v>45645</v>
      </c>
      <c r="F3091" t="s">
        <v>52</v>
      </c>
      <c r="G3091">
        <v>0</v>
      </c>
      <c r="H3091" t="s">
        <v>53</v>
      </c>
      <c r="I3091" t="s">
        <v>16</v>
      </c>
      <c r="J3091" t="s">
        <v>16</v>
      </c>
      <c r="K3091" t="str">
        <f>VLOOKUP(C3091,CheckName!A:B,2,0)</f>
        <v>Emp</v>
      </c>
      <c r="L3091">
        <v>0</v>
      </c>
      <c r="M3091">
        <f t="shared" si="425"/>
        <v>19</v>
      </c>
      <c r="N3091" t="str">
        <f>TEXT(MTDRejection[[#This Row],[RejectionDate]],"dddd")</f>
        <v>Thursday</v>
      </c>
    </row>
    <row r="3092" spans="1:14">
      <c r="A3092" t="s">
        <v>40</v>
      </c>
      <c r="B3092" t="s">
        <v>5341</v>
      </c>
      <c r="C3092" t="s">
        <v>12</v>
      </c>
      <c r="D3092" t="s">
        <v>26</v>
      </c>
      <c r="E3092" s="7">
        <v>45645</v>
      </c>
      <c r="F3092" t="s">
        <v>115</v>
      </c>
      <c r="G3092">
        <v>0</v>
      </c>
      <c r="H3092" t="s">
        <v>27</v>
      </c>
      <c r="I3092" t="s">
        <v>16</v>
      </c>
      <c r="J3092" t="s">
        <v>16</v>
      </c>
      <c r="K3092" t="str">
        <f>VLOOKUP(C3092,CheckName!A:B,2,0)</f>
        <v>Emp</v>
      </c>
      <c r="L3092">
        <v>0</v>
      </c>
      <c r="M3092">
        <f>DAY(E3092)</f>
        <v>19</v>
      </c>
      <c r="N3092" t="str">
        <f>TEXT(MTDRejection[[#This Row],[RejectionDate]],"dddd")</f>
        <v>Thursday</v>
      </c>
    </row>
    <row r="3093" spans="1:14">
      <c r="A3093" t="s">
        <v>45</v>
      </c>
      <c r="B3093" t="s">
        <v>5342</v>
      </c>
      <c r="C3093" t="s">
        <v>59</v>
      </c>
      <c r="D3093" t="s">
        <v>26</v>
      </c>
      <c r="E3093" s="7">
        <v>45642</v>
      </c>
      <c r="F3093" t="s">
        <v>236</v>
      </c>
      <c r="G3093">
        <v>3</v>
      </c>
      <c r="H3093" t="s">
        <v>27</v>
      </c>
      <c r="I3093" t="s">
        <v>16</v>
      </c>
      <c r="J3093" t="s">
        <v>16</v>
      </c>
      <c r="K3093" t="str">
        <f>VLOOKUP(C3093,CheckName!A:B,2,0)</f>
        <v>Special Check</v>
      </c>
      <c r="L3093">
        <v>0</v>
      </c>
      <c r="M3093">
        <f t="shared" ref="M3093:M3095" si="426">DAY(E3093)</f>
        <v>16</v>
      </c>
      <c r="N3093" t="str">
        <f>TEXT(MTDRejection[[#This Row],[RejectionDate]],"dddd")</f>
        <v>Monday</v>
      </c>
    </row>
    <row r="3094" spans="1:14">
      <c r="A3094" t="s">
        <v>45</v>
      </c>
      <c r="B3094" t="s">
        <v>5343</v>
      </c>
      <c r="C3094" t="s">
        <v>59</v>
      </c>
      <c r="D3094" t="s">
        <v>26</v>
      </c>
      <c r="E3094" s="7">
        <v>45642</v>
      </c>
      <c r="F3094" t="s">
        <v>236</v>
      </c>
      <c r="G3094">
        <v>3</v>
      </c>
      <c r="H3094" t="s">
        <v>22</v>
      </c>
      <c r="I3094" t="s">
        <v>16</v>
      </c>
      <c r="J3094" t="s">
        <v>16</v>
      </c>
      <c r="K3094" t="str">
        <f>VLOOKUP(C3094,CheckName!A:B,2,0)</f>
        <v>Special Check</v>
      </c>
      <c r="L3094">
        <v>0</v>
      </c>
      <c r="M3094">
        <f t="shared" si="426"/>
        <v>16</v>
      </c>
      <c r="N3094" t="str">
        <f>TEXT(MTDRejection[[#This Row],[RejectionDate]],"dddd")</f>
        <v>Monday</v>
      </c>
    </row>
    <row r="3095" spans="1:14">
      <c r="A3095" t="s">
        <v>45</v>
      </c>
      <c r="B3095" t="s">
        <v>5344</v>
      </c>
      <c r="C3095" t="s">
        <v>59</v>
      </c>
      <c r="D3095" t="s">
        <v>26</v>
      </c>
      <c r="E3095" s="7">
        <v>45642</v>
      </c>
      <c r="F3095" t="s">
        <v>236</v>
      </c>
      <c r="G3095">
        <v>3</v>
      </c>
      <c r="H3095" t="s">
        <v>130</v>
      </c>
      <c r="I3095" t="s">
        <v>16</v>
      </c>
      <c r="J3095" t="s">
        <v>16</v>
      </c>
      <c r="K3095" t="str">
        <f>VLOOKUP(C3095,CheckName!A:B,2,0)</f>
        <v>Special Check</v>
      </c>
      <c r="L3095">
        <v>0</v>
      </c>
      <c r="M3095">
        <f t="shared" si="426"/>
        <v>16</v>
      </c>
      <c r="N3095" t="str">
        <f>TEXT(MTDRejection[[#This Row],[RejectionDate]],"dddd")</f>
        <v>Monday</v>
      </c>
    </row>
    <row r="3096" spans="1:14">
      <c r="A3096" t="s">
        <v>519</v>
      </c>
      <c r="B3096" t="s">
        <v>5345</v>
      </c>
      <c r="C3096" t="s">
        <v>1293</v>
      </c>
      <c r="D3096" t="s">
        <v>26</v>
      </c>
      <c r="E3096" s="7">
        <v>45638</v>
      </c>
      <c r="F3096" t="s">
        <v>535</v>
      </c>
      <c r="G3096">
        <v>7</v>
      </c>
      <c r="H3096" t="s">
        <v>27</v>
      </c>
      <c r="I3096" t="s">
        <v>16</v>
      </c>
      <c r="J3096" t="s">
        <v>16</v>
      </c>
      <c r="K3096" t="str">
        <f>VLOOKUP(C3096,CheckName!A:B,2,0)</f>
        <v>Edu</v>
      </c>
      <c r="L3096">
        <v>0</v>
      </c>
      <c r="M3096">
        <f>DAY(E3096)</f>
        <v>12</v>
      </c>
      <c r="N3096" t="str">
        <f>TEXT(MTDRejection[[#This Row],[RejectionDate]],"dddd")</f>
        <v>Thursday</v>
      </c>
    </row>
    <row r="3097" spans="1:14">
      <c r="A3097" t="s">
        <v>100</v>
      </c>
      <c r="B3097" t="s">
        <v>5346</v>
      </c>
      <c r="C3097" t="s">
        <v>357</v>
      </c>
      <c r="D3097" t="s">
        <v>26</v>
      </c>
      <c r="E3097" s="7">
        <v>45630</v>
      </c>
      <c r="F3097" t="s">
        <v>380</v>
      </c>
      <c r="G3097">
        <v>15</v>
      </c>
      <c r="H3097" t="s">
        <v>27</v>
      </c>
      <c r="I3097" t="s">
        <v>16</v>
      </c>
      <c r="J3097" t="s">
        <v>16</v>
      </c>
      <c r="K3097" t="str">
        <f>VLOOKUP(C3097,CheckName!A:B,2,0)</f>
        <v>Emp</v>
      </c>
      <c r="L3097">
        <v>0</v>
      </c>
      <c r="M3097">
        <f>DAY(E3097)</f>
        <v>4</v>
      </c>
      <c r="N3097" t="str">
        <f>TEXT(MTDRejection[[#This Row],[RejectionDate]],"dddd")</f>
        <v>Wednesday</v>
      </c>
    </row>
    <row r="3098" spans="1:14">
      <c r="A3098" t="s">
        <v>456</v>
      </c>
      <c r="B3098" t="s">
        <v>5347</v>
      </c>
      <c r="C3098" t="s">
        <v>25</v>
      </c>
      <c r="D3098" t="s">
        <v>20</v>
      </c>
      <c r="E3098" s="7">
        <v>45645</v>
      </c>
      <c r="F3098" t="s">
        <v>273</v>
      </c>
      <c r="G3098">
        <v>0</v>
      </c>
      <c r="H3098" t="s">
        <v>22</v>
      </c>
      <c r="I3098" t="s">
        <v>16</v>
      </c>
      <c r="J3098" t="s">
        <v>16</v>
      </c>
      <c r="K3098" t="str">
        <f>VLOOKUP(C3098,CheckName!A:B,2,0)</f>
        <v>Add</v>
      </c>
      <c r="L3098">
        <v>0</v>
      </c>
      <c r="M3098">
        <f>DAY(E3098)</f>
        <v>19</v>
      </c>
      <c r="N3098" t="str">
        <f>TEXT(MTDRejection[[#This Row],[RejectionDate]],"dddd")</f>
        <v>Thursday</v>
      </c>
    </row>
    <row r="3099" spans="1:14">
      <c r="A3099" t="s">
        <v>45</v>
      </c>
      <c r="B3099" t="s">
        <v>5348</v>
      </c>
      <c r="C3099" t="s">
        <v>25</v>
      </c>
      <c r="D3099" t="s">
        <v>20</v>
      </c>
      <c r="E3099" s="7">
        <v>45645</v>
      </c>
      <c r="F3099" t="s">
        <v>2327</v>
      </c>
      <c r="G3099">
        <v>0</v>
      </c>
      <c r="H3099" t="s">
        <v>130</v>
      </c>
      <c r="I3099" t="s">
        <v>16</v>
      </c>
      <c r="J3099" t="s">
        <v>16</v>
      </c>
      <c r="K3099" t="str">
        <f>VLOOKUP(C3099,CheckName!A:B,2,0)</f>
        <v>Add</v>
      </c>
      <c r="L3099">
        <v>0</v>
      </c>
      <c r="M3099">
        <f t="shared" ref="M3099:M3107" si="427">DAY(E3099)</f>
        <v>19</v>
      </c>
      <c r="N3099" t="str">
        <f>TEXT(MTDRejection[[#This Row],[RejectionDate]],"dddd")</f>
        <v>Thursday</v>
      </c>
    </row>
    <row r="3100" spans="1:14">
      <c r="A3100" t="s">
        <v>1110</v>
      </c>
      <c r="B3100" t="s">
        <v>5349</v>
      </c>
      <c r="C3100" t="s">
        <v>965</v>
      </c>
      <c r="D3100" t="s">
        <v>26</v>
      </c>
      <c r="E3100" s="7">
        <v>45645</v>
      </c>
      <c r="F3100" t="s">
        <v>2327</v>
      </c>
      <c r="G3100">
        <v>0</v>
      </c>
      <c r="H3100" t="s">
        <v>27</v>
      </c>
      <c r="I3100" t="s">
        <v>16</v>
      </c>
      <c r="J3100" t="s">
        <v>16</v>
      </c>
      <c r="K3100" t="str">
        <f>VLOOKUP(C3100,CheckName!A:B,2,0)</f>
        <v>Add</v>
      </c>
      <c r="L3100">
        <v>0</v>
      </c>
      <c r="M3100">
        <f t="shared" si="427"/>
        <v>19</v>
      </c>
      <c r="N3100" t="str">
        <f>TEXT(MTDRejection[[#This Row],[RejectionDate]],"dddd")</f>
        <v>Thursday</v>
      </c>
    </row>
    <row r="3101" spans="1:14">
      <c r="A3101" t="s">
        <v>1804</v>
      </c>
      <c r="B3101" t="s">
        <v>5350</v>
      </c>
      <c r="C3101" t="s">
        <v>54</v>
      </c>
      <c r="D3101" t="s">
        <v>26</v>
      </c>
      <c r="E3101" s="7">
        <v>45645</v>
      </c>
      <c r="F3101" t="s">
        <v>663</v>
      </c>
      <c r="G3101">
        <v>0</v>
      </c>
      <c r="H3101" t="s">
        <v>27</v>
      </c>
      <c r="I3101" t="s">
        <v>16</v>
      </c>
      <c r="J3101" t="s">
        <v>16</v>
      </c>
      <c r="K3101" t="str">
        <f>VLOOKUP(C3101,CheckName!A:B,2,0)</f>
        <v>Edu</v>
      </c>
      <c r="L3101">
        <v>0</v>
      </c>
      <c r="M3101">
        <f t="shared" si="427"/>
        <v>19</v>
      </c>
      <c r="N3101" t="str">
        <f>TEXT(MTDRejection[[#This Row],[RejectionDate]],"dddd")</f>
        <v>Thursday</v>
      </c>
    </row>
    <row r="3102" spans="1:14">
      <c r="A3102" t="s">
        <v>1610</v>
      </c>
      <c r="B3102" t="s">
        <v>5351</v>
      </c>
      <c r="C3102" t="s">
        <v>106</v>
      </c>
      <c r="D3102" t="s">
        <v>13</v>
      </c>
      <c r="E3102" s="7">
        <v>45645</v>
      </c>
      <c r="F3102" t="s">
        <v>33</v>
      </c>
      <c r="G3102">
        <v>0</v>
      </c>
      <c r="H3102" t="s">
        <v>30</v>
      </c>
      <c r="I3102" t="s">
        <v>16</v>
      </c>
      <c r="J3102" t="s">
        <v>16</v>
      </c>
      <c r="K3102" t="str">
        <f>VLOOKUP(C3102,CheckName!A:B,2,0)</f>
        <v>Ref</v>
      </c>
      <c r="L3102">
        <v>0</v>
      </c>
      <c r="M3102">
        <f t="shared" si="427"/>
        <v>19</v>
      </c>
      <c r="N3102" t="str">
        <f>TEXT(MTDRejection[[#This Row],[RejectionDate]],"dddd")</f>
        <v>Thursday</v>
      </c>
    </row>
    <row r="3103" spans="1:14">
      <c r="A3103" t="s">
        <v>45</v>
      </c>
      <c r="B3103" t="s">
        <v>5352</v>
      </c>
      <c r="C3103" t="s">
        <v>54</v>
      </c>
      <c r="D3103" t="s">
        <v>26</v>
      </c>
      <c r="E3103" s="7">
        <v>45645</v>
      </c>
      <c r="F3103" t="s">
        <v>1798</v>
      </c>
      <c r="G3103">
        <v>0</v>
      </c>
      <c r="H3103" t="s">
        <v>27</v>
      </c>
      <c r="I3103" t="s">
        <v>16</v>
      </c>
      <c r="J3103" t="s">
        <v>16</v>
      </c>
      <c r="K3103" t="str">
        <f>VLOOKUP(C3103,CheckName!A:B,2,0)</f>
        <v>Edu</v>
      </c>
      <c r="L3103">
        <v>0</v>
      </c>
      <c r="M3103">
        <f t="shared" si="427"/>
        <v>19</v>
      </c>
      <c r="N3103" t="str">
        <f>TEXT(MTDRejection[[#This Row],[RejectionDate]],"dddd")</f>
        <v>Thursday</v>
      </c>
    </row>
    <row r="3104" spans="1:14">
      <c r="A3104" t="s">
        <v>45</v>
      </c>
      <c r="B3104" t="s">
        <v>5353</v>
      </c>
      <c r="C3104" t="s">
        <v>1068</v>
      </c>
      <c r="D3104" t="s">
        <v>13</v>
      </c>
      <c r="E3104" s="7">
        <v>45645</v>
      </c>
      <c r="F3104" t="s">
        <v>1219</v>
      </c>
      <c r="G3104">
        <v>0</v>
      </c>
      <c r="H3104" t="s">
        <v>15</v>
      </c>
      <c r="I3104" t="s">
        <v>16</v>
      </c>
      <c r="J3104" t="s">
        <v>16</v>
      </c>
      <c r="K3104" t="str">
        <f>VLOOKUP(C3104,CheckName!A:B,2,0)</f>
        <v>Special Check</v>
      </c>
      <c r="L3104">
        <v>0</v>
      </c>
      <c r="M3104">
        <f t="shared" si="427"/>
        <v>19</v>
      </c>
      <c r="N3104" t="str">
        <f>TEXT(MTDRejection[[#This Row],[RejectionDate]],"dddd")</f>
        <v>Thursday</v>
      </c>
    </row>
    <row r="3105" spans="1:14">
      <c r="A3105" t="s">
        <v>45</v>
      </c>
      <c r="B3105" t="s">
        <v>5354</v>
      </c>
      <c r="C3105" t="s">
        <v>59</v>
      </c>
      <c r="D3105" t="s">
        <v>13</v>
      </c>
      <c r="E3105" s="7">
        <v>45645</v>
      </c>
      <c r="F3105" t="s">
        <v>1219</v>
      </c>
      <c r="G3105">
        <v>0</v>
      </c>
      <c r="H3105" t="s">
        <v>15</v>
      </c>
      <c r="I3105" t="s">
        <v>16</v>
      </c>
      <c r="J3105" t="s">
        <v>16</v>
      </c>
      <c r="K3105" t="str">
        <f>VLOOKUP(C3105,CheckName!A:B,2,0)</f>
        <v>Special Check</v>
      </c>
      <c r="L3105">
        <v>0</v>
      </c>
      <c r="M3105">
        <f t="shared" si="427"/>
        <v>19</v>
      </c>
      <c r="N3105" t="str">
        <f>TEXT(MTDRejection[[#This Row],[RejectionDate]],"dddd")</f>
        <v>Thursday</v>
      </c>
    </row>
    <row r="3106" spans="1:14">
      <c r="A3106" t="s">
        <v>45</v>
      </c>
      <c r="B3106" t="s">
        <v>5355</v>
      </c>
      <c r="C3106" t="s">
        <v>49</v>
      </c>
      <c r="D3106" t="s">
        <v>13</v>
      </c>
      <c r="E3106" s="7">
        <v>45645</v>
      </c>
      <c r="F3106" t="s">
        <v>1219</v>
      </c>
      <c r="G3106">
        <v>0</v>
      </c>
      <c r="H3106" t="s">
        <v>15</v>
      </c>
      <c r="I3106" t="s">
        <v>16</v>
      </c>
      <c r="J3106" t="s">
        <v>16</v>
      </c>
      <c r="K3106" t="str">
        <f>VLOOKUP(C3106,CheckName!A:B,2,0)</f>
        <v>CRC</v>
      </c>
      <c r="L3106">
        <v>0</v>
      </c>
      <c r="M3106">
        <f t="shared" si="427"/>
        <v>19</v>
      </c>
      <c r="N3106" t="str">
        <f>TEXT(MTDRejection[[#This Row],[RejectionDate]],"dddd")</f>
        <v>Thursday</v>
      </c>
    </row>
    <row r="3107" spans="1:14">
      <c r="A3107" t="s">
        <v>45</v>
      </c>
      <c r="B3107" t="s">
        <v>5356</v>
      </c>
      <c r="C3107" t="s">
        <v>1723</v>
      </c>
      <c r="D3107" t="s">
        <v>13</v>
      </c>
      <c r="E3107" s="7">
        <v>45645</v>
      </c>
      <c r="F3107" t="s">
        <v>1219</v>
      </c>
      <c r="G3107">
        <v>0</v>
      </c>
      <c r="H3107" t="s">
        <v>15</v>
      </c>
      <c r="I3107" t="s">
        <v>16</v>
      </c>
      <c r="J3107" t="s">
        <v>16</v>
      </c>
      <c r="K3107" t="str">
        <f>VLOOKUP(C3107,CheckName!A:B,2,0)</f>
        <v>Special Check</v>
      </c>
      <c r="L3107">
        <v>0</v>
      </c>
      <c r="M3107">
        <f t="shared" si="427"/>
        <v>19</v>
      </c>
      <c r="N3107" t="str">
        <f>TEXT(MTDRejection[[#This Row],[RejectionDate]],"dddd")</f>
        <v>Thursday</v>
      </c>
    </row>
    <row r="3108" spans="1:14">
      <c r="A3108" t="s">
        <v>362</v>
      </c>
      <c r="B3108" t="s">
        <v>5357</v>
      </c>
      <c r="C3108" t="s">
        <v>25</v>
      </c>
      <c r="D3108" t="s">
        <v>26</v>
      </c>
      <c r="E3108" s="7">
        <v>45645</v>
      </c>
      <c r="F3108" t="s">
        <v>66</v>
      </c>
      <c r="G3108">
        <v>0</v>
      </c>
      <c r="H3108" t="s">
        <v>95</v>
      </c>
      <c r="I3108" t="s">
        <v>16</v>
      </c>
      <c r="J3108" t="s">
        <v>16</v>
      </c>
      <c r="K3108" t="str">
        <f>VLOOKUP(C3108,CheckName!A:B,2,0)</f>
        <v>Add</v>
      </c>
      <c r="L3108">
        <v>0</v>
      </c>
      <c r="M3108">
        <f t="shared" ref="M3108:M3114" si="428">DAY(E3108)</f>
        <v>19</v>
      </c>
      <c r="N3108" t="str">
        <f>TEXT(MTDRejection[[#This Row],[RejectionDate]],"dddd")</f>
        <v>Thursday</v>
      </c>
    </row>
    <row r="3109" spans="1:14">
      <c r="A3109" t="s">
        <v>362</v>
      </c>
      <c r="B3109" t="s">
        <v>5358</v>
      </c>
      <c r="C3109" t="s">
        <v>25</v>
      </c>
      <c r="D3109" t="s">
        <v>26</v>
      </c>
      <c r="E3109" s="7">
        <v>45645</v>
      </c>
      <c r="F3109" t="s">
        <v>66</v>
      </c>
      <c r="G3109">
        <v>0</v>
      </c>
      <c r="H3109" t="s">
        <v>1169</v>
      </c>
      <c r="I3109" t="s">
        <v>16</v>
      </c>
      <c r="J3109" t="s">
        <v>16</v>
      </c>
      <c r="K3109" t="str">
        <f>VLOOKUP(C3109,CheckName!A:B,2,0)</f>
        <v>Add</v>
      </c>
      <c r="L3109">
        <v>0</v>
      </c>
      <c r="M3109">
        <f t="shared" si="428"/>
        <v>19</v>
      </c>
      <c r="N3109" t="str">
        <f>TEXT(MTDRejection[[#This Row],[RejectionDate]],"dddd")</f>
        <v>Thursday</v>
      </c>
    </row>
    <row r="3110" spans="1:14">
      <c r="A3110" t="s">
        <v>84</v>
      </c>
      <c r="B3110" t="s">
        <v>5359</v>
      </c>
      <c r="C3110" t="s">
        <v>19</v>
      </c>
      <c r="D3110" t="s">
        <v>26</v>
      </c>
      <c r="E3110" s="7">
        <v>45645</v>
      </c>
      <c r="F3110" t="s">
        <v>66</v>
      </c>
      <c r="G3110">
        <v>0</v>
      </c>
      <c r="H3110" t="s">
        <v>27</v>
      </c>
      <c r="I3110" t="s">
        <v>16</v>
      </c>
      <c r="J3110" t="s">
        <v>16</v>
      </c>
      <c r="K3110" t="str">
        <f>VLOOKUP(C3110,CheckName!A:B,2,0)</f>
        <v>Add</v>
      </c>
      <c r="L3110">
        <v>0</v>
      </c>
      <c r="M3110">
        <f t="shared" si="428"/>
        <v>19</v>
      </c>
      <c r="N3110" t="str">
        <f>TEXT(MTDRejection[[#This Row],[RejectionDate]],"dddd")</f>
        <v>Thursday</v>
      </c>
    </row>
    <row r="3111" spans="1:14">
      <c r="A3111" t="s">
        <v>84</v>
      </c>
      <c r="B3111" t="s">
        <v>5360</v>
      </c>
      <c r="C3111" t="s">
        <v>54</v>
      </c>
      <c r="D3111" t="s">
        <v>26</v>
      </c>
      <c r="E3111" s="7">
        <v>45645</v>
      </c>
      <c r="F3111" t="s">
        <v>63</v>
      </c>
      <c r="G3111">
        <v>0</v>
      </c>
      <c r="H3111" t="s">
        <v>290</v>
      </c>
      <c r="I3111" t="s">
        <v>16</v>
      </c>
      <c r="J3111" t="s">
        <v>16</v>
      </c>
      <c r="K3111" t="str">
        <f>VLOOKUP(C3111,CheckName!A:B,2,0)</f>
        <v>Edu</v>
      </c>
      <c r="L3111">
        <v>0</v>
      </c>
      <c r="M3111">
        <f t="shared" si="428"/>
        <v>19</v>
      </c>
      <c r="N3111" t="str">
        <f>TEXT(MTDRejection[[#This Row],[RejectionDate]],"dddd")</f>
        <v>Thursday</v>
      </c>
    </row>
    <row r="3112" spans="1:14">
      <c r="A3112" t="s">
        <v>84</v>
      </c>
      <c r="B3112" t="s">
        <v>5361</v>
      </c>
      <c r="C3112" t="s">
        <v>54</v>
      </c>
      <c r="D3112" t="s">
        <v>26</v>
      </c>
      <c r="E3112" s="7">
        <v>45645</v>
      </c>
      <c r="F3112" t="s">
        <v>210</v>
      </c>
      <c r="G3112">
        <v>0</v>
      </c>
      <c r="H3112" t="s">
        <v>27</v>
      </c>
      <c r="I3112" t="s">
        <v>16</v>
      </c>
      <c r="J3112" t="s">
        <v>16</v>
      </c>
      <c r="K3112" t="str">
        <f>VLOOKUP(C3112,CheckName!A:B,2,0)</f>
        <v>Edu</v>
      </c>
      <c r="L3112">
        <v>0</v>
      </c>
      <c r="M3112">
        <f t="shared" si="428"/>
        <v>19</v>
      </c>
      <c r="N3112" t="str">
        <f>TEXT(MTDRejection[[#This Row],[RejectionDate]],"dddd")</f>
        <v>Thursday</v>
      </c>
    </row>
    <row r="3113" spans="1:14">
      <c r="A3113" t="s">
        <v>519</v>
      </c>
      <c r="B3113" t="s">
        <v>5362</v>
      </c>
      <c r="C3113" t="s">
        <v>71</v>
      </c>
      <c r="D3113" t="s">
        <v>38</v>
      </c>
      <c r="E3113" s="7">
        <v>45645</v>
      </c>
      <c r="F3113" t="s">
        <v>108</v>
      </c>
      <c r="G3113">
        <v>0</v>
      </c>
      <c r="H3113" t="s">
        <v>42</v>
      </c>
      <c r="I3113" t="s">
        <v>16</v>
      </c>
      <c r="J3113" t="s">
        <v>16</v>
      </c>
      <c r="K3113" t="str">
        <f>VLOOKUP(C3113,CheckName!A:B,2,0)</f>
        <v>CRC</v>
      </c>
      <c r="L3113">
        <v>0</v>
      </c>
      <c r="M3113">
        <f t="shared" si="428"/>
        <v>19</v>
      </c>
      <c r="N3113" t="str">
        <f>TEXT(MTDRejection[[#This Row],[RejectionDate]],"dddd")</f>
        <v>Thursday</v>
      </c>
    </row>
    <row r="3114" spans="1:14">
      <c r="A3114" t="s">
        <v>465</v>
      </c>
      <c r="B3114" t="s">
        <v>5363</v>
      </c>
      <c r="C3114" t="s">
        <v>71</v>
      </c>
      <c r="D3114" t="s">
        <v>38</v>
      </c>
      <c r="E3114" s="7">
        <v>45645</v>
      </c>
      <c r="F3114" t="s">
        <v>108</v>
      </c>
      <c r="G3114">
        <v>0</v>
      </c>
      <c r="H3114" t="s">
        <v>42</v>
      </c>
      <c r="I3114" t="s">
        <v>16</v>
      </c>
      <c r="J3114" t="s">
        <v>16</v>
      </c>
      <c r="K3114" t="str">
        <f>VLOOKUP(C3114,CheckName!A:B,2,0)</f>
        <v>CRC</v>
      </c>
      <c r="L3114">
        <v>0</v>
      </c>
      <c r="M3114">
        <f t="shared" si="428"/>
        <v>19</v>
      </c>
      <c r="N3114" t="str">
        <f>TEXT(MTDRejection[[#This Row],[RejectionDate]],"dddd")</f>
        <v>Thursday</v>
      </c>
    </row>
    <row r="3115" spans="1:14">
      <c r="A3115" t="s">
        <v>999</v>
      </c>
      <c r="B3115" t="s">
        <v>5364</v>
      </c>
      <c r="C3115" t="s">
        <v>54</v>
      </c>
      <c r="D3115" t="s">
        <v>26</v>
      </c>
      <c r="E3115" s="7">
        <v>45645</v>
      </c>
      <c r="F3115" t="s">
        <v>535</v>
      </c>
      <c r="G3115">
        <v>0</v>
      </c>
      <c r="H3115" t="s">
        <v>130</v>
      </c>
      <c r="I3115" t="s">
        <v>16</v>
      </c>
      <c r="J3115" t="s">
        <v>16</v>
      </c>
      <c r="K3115" t="str">
        <f>VLOOKUP(C3115,CheckName!A:B,2,0)</f>
        <v>Edu</v>
      </c>
      <c r="L3115">
        <v>0</v>
      </c>
      <c r="M3115">
        <f t="shared" ref="M3115:M3116" si="429">DAY(E3115)</f>
        <v>19</v>
      </c>
      <c r="N3115" t="str">
        <f>TEXT(MTDRejection[[#This Row],[RejectionDate]],"dddd")</f>
        <v>Thursday</v>
      </c>
    </row>
    <row r="3116" spans="1:14">
      <c r="A3116" t="s">
        <v>1886</v>
      </c>
      <c r="B3116" t="s">
        <v>5365</v>
      </c>
      <c r="C3116" t="s">
        <v>54</v>
      </c>
      <c r="D3116" t="s">
        <v>26</v>
      </c>
      <c r="E3116" s="7">
        <v>45645</v>
      </c>
      <c r="F3116" t="s">
        <v>535</v>
      </c>
      <c r="G3116">
        <v>0</v>
      </c>
      <c r="H3116" t="s">
        <v>27</v>
      </c>
      <c r="I3116" t="s">
        <v>16</v>
      </c>
      <c r="J3116" t="s">
        <v>16</v>
      </c>
      <c r="K3116" t="str">
        <f>VLOOKUP(C3116,CheckName!A:B,2,0)</f>
        <v>Edu</v>
      </c>
      <c r="L3116">
        <v>0</v>
      </c>
      <c r="M3116">
        <f t="shared" si="429"/>
        <v>19</v>
      </c>
      <c r="N3116" t="str">
        <f>TEXT(MTDRejection[[#This Row],[RejectionDate]],"dddd")</f>
        <v>Thursday</v>
      </c>
    </row>
    <row r="3117" spans="1:14">
      <c r="A3117" t="s">
        <v>84</v>
      </c>
      <c r="B3117" t="s">
        <v>5366</v>
      </c>
      <c r="C3117" t="s">
        <v>54</v>
      </c>
      <c r="D3117" t="s">
        <v>26</v>
      </c>
      <c r="E3117" s="7">
        <v>45645</v>
      </c>
      <c r="F3117" t="s">
        <v>538</v>
      </c>
      <c r="G3117">
        <v>0</v>
      </c>
      <c r="H3117" t="s">
        <v>27</v>
      </c>
      <c r="I3117" t="s">
        <v>16</v>
      </c>
      <c r="J3117" t="s">
        <v>16</v>
      </c>
      <c r="K3117" t="str">
        <f>VLOOKUP(C3117,CheckName!A:B,2,0)</f>
        <v>Edu</v>
      </c>
      <c r="L3117">
        <v>0</v>
      </c>
      <c r="M3117">
        <f>DAY(E3117)</f>
        <v>19</v>
      </c>
      <c r="N3117" t="str">
        <f>TEXT(MTDRejection[[#This Row],[RejectionDate]],"dddd")</f>
        <v>Thursday</v>
      </c>
    </row>
    <row r="3118" spans="1:14">
      <c r="A3118" t="s">
        <v>312</v>
      </c>
      <c r="B3118" t="s">
        <v>5367</v>
      </c>
      <c r="C3118" t="s">
        <v>36</v>
      </c>
      <c r="D3118" t="s">
        <v>26</v>
      </c>
      <c r="E3118" s="7">
        <v>45645</v>
      </c>
      <c r="F3118" t="s">
        <v>169</v>
      </c>
      <c r="G3118">
        <v>0</v>
      </c>
      <c r="H3118" t="s">
        <v>22</v>
      </c>
      <c r="I3118" t="s">
        <v>16</v>
      </c>
      <c r="J3118" t="s">
        <v>16</v>
      </c>
      <c r="K3118" t="str">
        <f>VLOOKUP(C3118,CheckName!A:B,2,0)</f>
        <v>Emp</v>
      </c>
      <c r="L3118">
        <v>0</v>
      </c>
      <c r="M3118">
        <f t="shared" ref="M3118:M3121" si="430">DAY(E3118)</f>
        <v>19</v>
      </c>
      <c r="N3118" t="str">
        <f>TEXT(MTDRejection[[#This Row],[RejectionDate]],"dddd")</f>
        <v>Thursday</v>
      </c>
    </row>
    <row r="3119" spans="1:14">
      <c r="A3119" t="s">
        <v>81</v>
      </c>
      <c r="B3119" t="s">
        <v>5368</v>
      </c>
      <c r="C3119" t="s">
        <v>54</v>
      </c>
      <c r="D3119" t="s">
        <v>26</v>
      </c>
      <c r="E3119" s="7">
        <v>45645</v>
      </c>
      <c r="F3119" t="s">
        <v>103</v>
      </c>
      <c r="G3119">
        <v>0</v>
      </c>
      <c r="H3119" t="s">
        <v>27</v>
      </c>
      <c r="I3119" t="s">
        <v>16</v>
      </c>
      <c r="J3119" t="s">
        <v>16</v>
      </c>
      <c r="K3119" t="str">
        <f>VLOOKUP(C3119,CheckName!A:B,2,0)</f>
        <v>Edu</v>
      </c>
      <c r="L3119">
        <v>0</v>
      </c>
      <c r="M3119">
        <f t="shared" si="430"/>
        <v>19</v>
      </c>
      <c r="N3119" t="str">
        <f>TEXT(MTDRejection[[#This Row],[RejectionDate]],"dddd")</f>
        <v>Thursday</v>
      </c>
    </row>
    <row r="3120" spans="1:14">
      <c r="A3120" t="s">
        <v>84</v>
      </c>
      <c r="B3120" t="s">
        <v>2694</v>
      </c>
      <c r="C3120" t="s">
        <v>36</v>
      </c>
      <c r="D3120" t="s">
        <v>26</v>
      </c>
      <c r="E3120" s="7">
        <v>45645</v>
      </c>
      <c r="F3120" t="s">
        <v>2333</v>
      </c>
      <c r="G3120">
        <v>0</v>
      </c>
      <c r="H3120" t="s">
        <v>95</v>
      </c>
      <c r="I3120" t="s">
        <v>16</v>
      </c>
      <c r="J3120" t="s">
        <v>16</v>
      </c>
      <c r="K3120" t="str">
        <f>VLOOKUP(C3120,CheckName!A:B,2,0)</f>
        <v>Emp</v>
      </c>
      <c r="L3120">
        <v>0</v>
      </c>
      <c r="M3120">
        <f t="shared" si="430"/>
        <v>19</v>
      </c>
      <c r="N3120" t="str">
        <f>TEXT(MTDRejection[[#This Row],[RejectionDate]],"dddd")</f>
        <v>Thursday</v>
      </c>
    </row>
    <row r="3121" spans="1:14">
      <c r="A3121" t="s">
        <v>84</v>
      </c>
      <c r="B3121" t="s">
        <v>5369</v>
      </c>
      <c r="C3121" t="s">
        <v>12</v>
      </c>
      <c r="D3121" t="s">
        <v>26</v>
      </c>
      <c r="E3121" s="7">
        <v>45645</v>
      </c>
      <c r="F3121" t="s">
        <v>2333</v>
      </c>
      <c r="G3121">
        <v>0</v>
      </c>
      <c r="H3121" t="s">
        <v>22</v>
      </c>
      <c r="I3121" t="s">
        <v>16</v>
      </c>
      <c r="J3121" t="s">
        <v>16</v>
      </c>
      <c r="K3121" t="str">
        <f>VLOOKUP(C3121,CheckName!A:B,2,0)</f>
        <v>Emp</v>
      </c>
      <c r="L3121">
        <v>1</v>
      </c>
      <c r="M3121">
        <f t="shared" si="430"/>
        <v>19</v>
      </c>
      <c r="N3121" t="str">
        <f>TEXT(MTDRejection[[#This Row],[RejectionDate]],"dddd")</f>
        <v>Thursday</v>
      </c>
    </row>
    <row r="3122" spans="1:14">
      <c r="A3122" t="s">
        <v>100</v>
      </c>
      <c r="B3122" t="s">
        <v>5370</v>
      </c>
      <c r="C3122" t="s">
        <v>775</v>
      </c>
      <c r="D3122" t="s">
        <v>26</v>
      </c>
      <c r="E3122" s="7">
        <v>45645</v>
      </c>
      <c r="F3122" t="s">
        <v>2355</v>
      </c>
      <c r="G3122">
        <v>0</v>
      </c>
      <c r="H3122" t="s">
        <v>22</v>
      </c>
      <c r="I3122" t="s">
        <v>16</v>
      </c>
      <c r="J3122" t="s">
        <v>16</v>
      </c>
      <c r="K3122" t="str">
        <f>VLOOKUP(C3122,CheckName!A:B,2,0)</f>
        <v>Emp</v>
      </c>
      <c r="L3122">
        <v>0</v>
      </c>
      <c r="M3122">
        <f t="shared" ref="M3122:M3124" si="431">DAY(E3122)</f>
        <v>19</v>
      </c>
      <c r="N3122" t="str">
        <f>TEXT(MTDRejection[[#This Row],[RejectionDate]],"dddd")</f>
        <v>Thursday</v>
      </c>
    </row>
    <row r="3123" spans="1:14">
      <c r="A3123" t="s">
        <v>119</v>
      </c>
      <c r="B3123" t="s">
        <v>5371</v>
      </c>
      <c r="C3123" t="s">
        <v>19</v>
      </c>
      <c r="D3123" t="s">
        <v>20</v>
      </c>
      <c r="E3123" s="7">
        <v>45645</v>
      </c>
      <c r="F3123" t="s">
        <v>129</v>
      </c>
      <c r="G3123">
        <v>0</v>
      </c>
      <c r="H3123" t="s">
        <v>22</v>
      </c>
      <c r="I3123" t="s">
        <v>16</v>
      </c>
      <c r="J3123" t="s">
        <v>16</v>
      </c>
      <c r="K3123" t="str">
        <f>VLOOKUP(C3123,CheckName!A:B,2,0)</f>
        <v>Add</v>
      </c>
      <c r="L3123">
        <v>0</v>
      </c>
      <c r="M3123">
        <f t="shared" si="431"/>
        <v>19</v>
      </c>
      <c r="N3123" t="str">
        <f>TEXT(MTDRejection[[#This Row],[RejectionDate]],"dddd")</f>
        <v>Thursday</v>
      </c>
    </row>
    <row r="3124" spans="1:14">
      <c r="A3124" t="s">
        <v>176</v>
      </c>
      <c r="B3124" t="s">
        <v>5372</v>
      </c>
      <c r="C3124" t="s">
        <v>71</v>
      </c>
      <c r="D3124" t="s">
        <v>38</v>
      </c>
      <c r="E3124" s="7">
        <v>45645</v>
      </c>
      <c r="F3124" t="s">
        <v>108</v>
      </c>
      <c r="G3124">
        <v>0</v>
      </c>
      <c r="H3124" t="s">
        <v>42</v>
      </c>
      <c r="I3124" t="s">
        <v>16</v>
      </c>
      <c r="J3124" t="s">
        <v>16</v>
      </c>
      <c r="K3124" t="str">
        <f>VLOOKUP(C3124,CheckName!A:B,2,0)</f>
        <v>CRC</v>
      </c>
      <c r="L3124">
        <v>0</v>
      </c>
      <c r="M3124">
        <f t="shared" si="431"/>
        <v>19</v>
      </c>
      <c r="N3124" t="str">
        <f>TEXT(MTDRejection[[#This Row],[RejectionDate]],"dddd")</f>
        <v>Thursday</v>
      </c>
    </row>
    <row r="3125" spans="1:14">
      <c r="A3125" t="s">
        <v>176</v>
      </c>
      <c r="B3125" t="s">
        <v>5373</v>
      </c>
      <c r="C3125" t="s">
        <v>12</v>
      </c>
      <c r="D3125" t="s">
        <v>26</v>
      </c>
      <c r="E3125" s="7">
        <v>45639</v>
      </c>
      <c r="F3125" t="s">
        <v>80</v>
      </c>
      <c r="G3125">
        <v>6</v>
      </c>
      <c r="H3125" t="s">
        <v>27</v>
      </c>
      <c r="I3125" t="s">
        <v>16</v>
      </c>
      <c r="J3125" t="s">
        <v>16</v>
      </c>
      <c r="K3125" t="str">
        <f>VLOOKUP(C3125,CheckName!A:B,2,0)</f>
        <v>Emp</v>
      </c>
      <c r="L3125">
        <v>0</v>
      </c>
      <c r="M3125">
        <f>DAY(E3125)</f>
        <v>13</v>
      </c>
      <c r="N3125" t="str">
        <f>TEXT(MTDRejection[[#This Row],[RejectionDate]],"dddd")</f>
        <v>Friday</v>
      </c>
    </row>
    <row r="3126" spans="1:14">
      <c r="A3126" t="s">
        <v>945</v>
      </c>
      <c r="B3126" t="s">
        <v>5374</v>
      </c>
      <c r="C3126" t="s">
        <v>54</v>
      </c>
      <c r="D3126" t="s">
        <v>26</v>
      </c>
      <c r="E3126" s="7">
        <v>45639</v>
      </c>
      <c r="F3126" t="s">
        <v>535</v>
      </c>
      <c r="G3126">
        <v>6</v>
      </c>
      <c r="H3126" t="s">
        <v>27</v>
      </c>
      <c r="I3126" t="s">
        <v>16</v>
      </c>
      <c r="J3126" t="s">
        <v>16</v>
      </c>
      <c r="K3126" t="str">
        <f>VLOOKUP(C3126,CheckName!A:B,2,0)</f>
        <v>Edu</v>
      </c>
      <c r="L3126">
        <v>0</v>
      </c>
      <c r="M3126">
        <f t="shared" ref="M3126:M3127" si="432">DAY(E3126)</f>
        <v>13</v>
      </c>
      <c r="N3126" t="str">
        <f>TEXT(MTDRejection[[#This Row],[RejectionDate]],"dddd")</f>
        <v>Friday</v>
      </c>
    </row>
    <row r="3127" spans="1:14">
      <c r="A3127" t="s">
        <v>180</v>
      </c>
      <c r="B3127" t="s">
        <v>5375</v>
      </c>
      <c r="C3127" t="s">
        <v>54</v>
      </c>
      <c r="D3127" t="s">
        <v>26</v>
      </c>
      <c r="E3127" s="7">
        <v>45638</v>
      </c>
      <c r="F3127" t="s">
        <v>94</v>
      </c>
      <c r="G3127">
        <v>7</v>
      </c>
      <c r="H3127" t="s">
        <v>130</v>
      </c>
      <c r="I3127" t="s">
        <v>16</v>
      </c>
      <c r="J3127" t="s">
        <v>16</v>
      </c>
      <c r="K3127" t="str">
        <f>VLOOKUP(C3127,CheckName!A:B,2,0)</f>
        <v>Edu</v>
      </c>
      <c r="L3127">
        <v>0</v>
      </c>
      <c r="M3127">
        <f t="shared" si="432"/>
        <v>12</v>
      </c>
      <c r="N3127" t="str">
        <f>TEXT(MTDRejection[[#This Row],[RejectionDate]],"dddd")</f>
        <v>Thursday</v>
      </c>
    </row>
    <row r="3128" spans="1:14">
      <c r="A3128" t="s">
        <v>263</v>
      </c>
      <c r="B3128" t="s">
        <v>5376</v>
      </c>
      <c r="C3128" t="s">
        <v>19</v>
      </c>
      <c r="D3128" t="s">
        <v>26</v>
      </c>
      <c r="E3128" s="7">
        <v>45645</v>
      </c>
      <c r="F3128" t="s">
        <v>273</v>
      </c>
      <c r="G3128">
        <v>0</v>
      </c>
      <c r="H3128" t="s">
        <v>22</v>
      </c>
      <c r="I3128" t="s">
        <v>16</v>
      </c>
      <c r="J3128" t="s">
        <v>16</v>
      </c>
      <c r="K3128" t="str">
        <f>VLOOKUP(C3128,CheckName!A:B,2,0)</f>
        <v>Add</v>
      </c>
      <c r="L3128">
        <v>1</v>
      </c>
      <c r="M3128">
        <f>DAY(E3128)</f>
        <v>19</v>
      </c>
      <c r="N3128" t="str">
        <f>TEXT(MTDRejection[[#This Row],[RejectionDate]],"dddd")</f>
        <v>Thursday</v>
      </c>
    </row>
    <row r="3129" spans="1:14">
      <c r="A3129" t="s">
        <v>1353</v>
      </c>
      <c r="B3129" t="s">
        <v>5377</v>
      </c>
      <c r="C3129" t="s">
        <v>25</v>
      </c>
      <c r="D3129" t="s">
        <v>20</v>
      </c>
      <c r="E3129" s="7">
        <v>45645</v>
      </c>
      <c r="F3129" t="s">
        <v>273</v>
      </c>
      <c r="G3129">
        <v>0</v>
      </c>
      <c r="H3129" t="s">
        <v>22</v>
      </c>
      <c r="I3129" t="s">
        <v>16</v>
      </c>
      <c r="J3129" t="s">
        <v>16</v>
      </c>
      <c r="K3129" t="str">
        <f>VLOOKUP(C3129,CheckName!A:B,2,0)</f>
        <v>Add</v>
      </c>
      <c r="L3129">
        <v>0</v>
      </c>
      <c r="M3129">
        <f t="shared" ref="M3129:M3130" si="433">DAY(E3129)</f>
        <v>19</v>
      </c>
      <c r="N3129" t="str">
        <f>TEXT(MTDRejection[[#This Row],[RejectionDate]],"dddd")</f>
        <v>Thursday</v>
      </c>
    </row>
    <row r="3130" spans="1:14">
      <c r="A3130" t="s">
        <v>165</v>
      </c>
      <c r="B3130" t="s">
        <v>5378</v>
      </c>
      <c r="C3130" t="s">
        <v>19</v>
      </c>
      <c r="D3130" t="s">
        <v>20</v>
      </c>
      <c r="E3130" s="7">
        <v>45645</v>
      </c>
      <c r="F3130" t="s">
        <v>2327</v>
      </c>
      <c r="G3130">
        <v>0</v>
      </c>
      <c r="H3130" t="s">
        <v>27</v>
      </c>
      <c r="I3130" t="s">
        <v>16</v>
      </c>
      <c r="J3130" t="s">
        <v>16</v>
      </c>
      <c r="K3130" t="str">
        <f>VLOOKUP(C3130,CheckName!A:B,2,0)</f>
        <v>Add</v>
      </c>
      <c r="L3130">
        <v>0</v>
      </c>
      <c r="M3130">
        <f t="shared" si="433"/>
        <v>19</v>
      </c>
      <c r="N3130" t="str">
        <f>TEXT(MTDRejection[[#This Row],[RejectionDate]],"dddd")</f>
        <v>Thursday</v>
      </c>
    </row>
    <row r="3131" spans="1:14">
      <c r="A3131" t="s">
        <v>1080</v>
      </c>
      <c r="B3131" t="s">
        <v>5379</v>
      </c>
      <c r="C3131" t="s">
        <v>25</v>
      </c>
      <c r="D3131" t="s">
        <v>20</v>
      </c>
      <c r="E3131" s="7">
        <v>45645</v>
      </c>
      <c r="F3131" t="s">
        <v>2327</v>
      </c>
      <c r="G3131">
        <v>0</v>
      </c>
      <c r="H3131" t="s">
        <v>22</v>
      </c>
      <c r="I3131" t="s">
        <v>16</v>
      </c>
      <c r="J3131" t="s">
        <v>16</v>
      </c>
      <c r="K3131" t="str">
        <f>VLOOKUP(C3131,CheckName!A:B,2,0)</f>
        <v>Add</v>
      </c>
      <c r="L3131">
        <v>0</v>
      </c>
      <c r="M3131">
        <f t="shared" ref="M3131:M3141" si="434">DAY(E3131)</f>
        <v>19</v>
      </c>
      <c r="N3131" t="str">
        <f>TEXT(MTDRejection[[#This Row],[RejectionDate]],"dddd")</f>
        <v>Thursday</v>
      </c>
    </row>
    <row r="3132" spans="1:14">
      <c r="A3132" t="s">
        <v>73</v>
      </c>
      <c r="B3132" t="s">
        <v>2696</v>
      </c>
      <c r="C3132" t="s">
        <v>12</v>
      </c>
      <c r="D3132" t="s">
        <v>51</v>
      </c>
      <c r="E3132" s="7">
        <v>45645</v>
      </c>
      <c r="F3132" t="s">
        <v>2331</v>
      </c>
      <c r="G3132">
        <v>0</v>
      </c>
      <c r="H3132" t="s">
        <v>53</v>
      </c>
      <c r="I3132" t="s">
        <v>16</v>
      </c>
      <c r="J3132" t="s">
        <v>16</v>
      </c>
      <c r="K3132" t="str">
        <f>VLOOKUP(C3132,CheckName!A:B,2,0)</f>
        <v>Emp</v>
      </c>
      <c r="L3132">
        <v>0</v>
      </c>
      <c r="M3132">
        <f t="shared" si="434"/>
        <v>19</v>
      </c>
      <c r="N3132" t="str">
        <f>TEXT(MTDRejection[[#This Row],[RejectionDate]],"dddd")</f>
        <v>Thursday</v>
      </c>
    </row>
    <row r="3133" spans="1:14">
      <c r="A3133" t="s">
        <v>100</v>
      </c>
      <c r="B3133" t="s">
        <v>5380</v>
      </c>
      <c r="C3133" t="s">
        <v>102</v>
      </c>
      <c r="D3133" t="s">
        <v>13</v>
      </c>
      <c r="E3133" s="7">
        <v>45645</v>
      </c>
      <c r="F3133" t="s">
        <v>492</v>
      </c>
      <c r="G3133">
        <v>0</v>
      </c>
      <c r="H3133" t="s">
        <v>15</v>
      </c>
      <c r="I3133" t="s">
        <v>16</v>
      </c>
      <c r="J3133" t="s">
        <v>16</v>
      </c>
      <c r="K3133" t="str">
        <f>VLOOKUP(C3133,CheckName!A:B,2,0)</f>
        <v>Edu</v>
      </c>
      <c r="L3133">
        <v>0</v>
      </c>
      <c r="M3133">
        <f t="shared" si="434"/>
        <v>19</v>
      </c>
      <c r="N3133" t="str">
        <f>TEXT(MTDRejection[[#This Row],[RejectionDate]],"dddd")</f>
        <v>Thursday</v>
      </c>
    </row>
    <row r="3134" spans="1:14">
      <c r="A3134" t="s">
        <v>1131</v>
      </c>
      <c r="B3134" t="s">
        <v>5381</v>
      </c>
      <c r="C3134" t="s">
        <v>25</v>
      </c>
      <c r="D3134" t="s">
        <v>20</v>
      </c>
      <c r="E3134" s="7">
        <v>45645</v>
      </c>
      <c r="F3134" t="s">
        <v>2330</v>
      </c>
      <c r="G3134">
        <v>0</v>
      </c>
      <c r="H3134" t="s">
        <v>22</v>
      </c>
      <c r="I3134" t="s">
        <v>16</v>
      </c>
      <c r="J3134" t="s">
        <v>16</v>
      </c>
      <c r="K3134" t="str">
        <f>VLOOKUP(C3134,CheckName!A:B,2,0)</f>
        <v>Add</v>
      </c>
      <c r="L3134">
        <v>0</v>
      </c>
      <c r="M3134">
        <f t="shared" si="434"/>
        <v>19</v>
      </c>
      <c r="N3134" t="str">
        <f>TEXT(MTDRejection[[#This Row],[RejectionDate]],"dddd")</f>
        <v>Thursday</v>
      </c>
    </row>
    <row r="3135" spans="1:14">
      <c r="A3135" t="s">
        <v>465</v>
      </c>
      <c r="B3135" t="s">
        <v>5382</v>
      </c>
      <c r="C3135" t="s">
        <v>71</v>
      </c>
      <c r="D3135" t="s">
        <v>38</v>
      </c>
      <c r="E3135" s="7">
        <v>45645</v>
      </c>
      <c r="F3135" t="s">
        <v>108</v>
      </c>
      <c r="G3135">
        <v>0</v>
      </c>
      <c r="H3135" t="s">
        <v>42</v>
      </c>
      <c r="I3135" t="s">
        <v>16</v>
      </c>
      <c r="J3135" t="s">
        <v>16</v>
      </c>
      <c r="K3135" t="str">
        <f>VLOOKUP(C3135,CheckName!A:B,2,0)</f>
        <v>CRC</v>
      </c>
      <c r="L3135">
        <v>0</v>
      </c>
      <c r="M3135">
        <f t="shared" si="434"/>
        <v>19</v>
      </c>
      <c r="N3135" t="str">
        <f>TEXT(MTDRejection[[#This Row],[RejectionDate]],"dddd")</f>
        <v>Thursday</v>
      </c>
    </row>
    <row r="3136" spans="1:14">
      <c r="A3136" t="s">
        <v>2037</v>
      </c>
      <c r="B3136" t="s">
        <v>5383</v>
      </c>
      <c r="C3136" t="s">
        <v>12</v>
      </c>
      <c r="D3136" t="s">
        <v>26</v>
      </c>
      <c r="E3136" s="7">
        <v>45645</v>
      </c>
      <c r="F3136" t="s">
        <v>182</v>
      </c>
      <c r="G3136">
        <v>0</v>
      </c>
      <c r="H3136" t="s">
        <v>27</v>
      </c>
      <c r="I3136" t="s">
        <v>16</v>
      </c>
      <c r="J3136" t="s">
        <v>16</v>
      </c>
      <c r="K3136" t="str">
        <f>VLOOKUP(C3136,CheckName!A:B,2,0)</f>
        <v>Emp</v>
      </c>
      <c r="L3136">
        <v>0</v>
      </c>
      <c r="M3136">
        <f t="shared" si="434"/>
        <v>19</v>
      </c>
      <c r="N3136" t="str">
        <f>TEXT(MTDRejection[[#This Row],[RejectionDate]],"dddd")</f>
        <v>Thursday</v>
      </c>
    </row>
    <row r="3137" spans="1:14">
      <c r="A3137" t="s">
        <v>461</v>
      </c>
      <c r="B3137" t="s">
        <v>5384</v>
      </c>
      <c r="C3137" t="s">
        <v>125</v>
      </c>
      <c r="D3137" t="s">
        <v>26</v>
      </c>
      <c r="E3137" s="7">
        <v>45645</v>
      </c>
      <c r="F3137" t="s">
        <v>83</v>
      </c>
      <c r="G3137">
        <v>0</v>
      </c>
      <c r="H3137" t="s">
        <v>22</v>
      </c>
      <c r="I3137" t="s">
        <v>16</v>
      </c>
      <c r="J3137" t="s">
        <v>16</v>
      </c>
      <c r="K3137" t="str">
        <f>VLOOKUP(C3137,CheckName!A:B,2,0)</f>
        <v>Emp</v>
      </c>
      <c r="L3137">
        <v>0</v>
      </c>
      <c r="M3137">
        <f t="shared" si="434"/>
        <v>19</v>
      </c>
      <c r="N3137" t="str">
        <f>TEXT(MTDRejection[[#This Row],[RejectionDate]],"dddd")</f>
        <v>Thursday</v>
      </c>
    </row>
    <row r="3138" spans="1:14">
      <c r="A3138" t="s">
        <v>385</v>
      </c>
      <c r="B3138" t="s">
        <v>5385</v>
      </c>
      <c r="C3138" t="s">
        <v>36</v>
      </c>
      <c r="D3138" t="s">
        <v>26</v>
      </c>
      <c r="E3138" s="7">
        <v>45645</v>
      </c>
      <c r="F3138" t="s">
        <v>2347</v>
      </c>
      <c r="G3138">
        <v>0</v>
      </c>
      <c r="H3138" t="s">
        <v>27</v>
      </c>
      <c r="I3138" t="s">
        <v>16</v>
      </c>
      <c r="J3138" t="s">
        <v>16</v>
      </c>
      <c r="K3138" t="str">
        <f>VLOOKUP(C3138,CheckName!A:B,2,0)</f>
        <v>Emp</v>
      </c>
      <c r="L3138">
        <v>0</v>
      </c>
      <c r="M3138">
        <f t="shared" si="434"/>
        <v>19</v>
      </c>
      <c r="N3138" t="str">
        <f>TEXT(MTDRejection[[#This Row],[RejectionDate]],"dddd")</f>
        <v>Thursday</v>
      </c>
    </row>
    <row r="3139" spans="1:14">
      <c r="A3139" t="s">
        <v>216</v>
      </c>
      <c r="B3139" t="s">
        <v>5386</v>
      </c>
      <c r="C3139" t="s">
        <v>49</v>
      </c>
      <c r="D3139" t="s">
        <v>13</v>
      </c>
      <c r="E3139" s="7">
        <v>45645</v>
      </c>
      <c r="F3139" t="s">
        <v>844</v>
      </c>
      <c r="G3139">
        <v>0</v>
      </c>
      <c r="H3139" t="s">
        <v>15</v>
      </c>
      <c r="I3139" t="s">
        <v>16</v>
      </c>
      <c r="J3139" t="s">
        <v>16</v>
      </c>
      <c r="K3139" t="str">
        <f>VLOOKUP(C3139,CheckName!A:B,2,0)</f>
        <v>CRC</v>
      </c>
      <c r="L3139">
        <v>0</v>
      </c>
      <c r="M3139">
        <f t="shared" si="434"/>
        <v>19</v>
      </c>
      <c r="N3139" t="str">
        <f>TEXT(MTDRejection[[#This Row],[RejectionDate]],"dddd")</f>
        <v>Thursday</v>
      </c>
    </row>
    <row r="3140" spans="1:14">
      <c r="A3140" t="s">
        <v>100</v>
      </c>
      <c r="B3140" t="s">
        <v>5387</v>
      </c>
      <c r="C3140" t="s">
        <v>102</v>
      </c>
      <c r="D3140" t="s">
        <v>26</v>
      </c>
      <c r="E3140" s="7">
        <v>45645</v>
      </c>
      <c r="F3140" t="s">
        <v>538</v>
      </c>
      <c r="G3140">
        <v>0</v>
      </c>
      <c r="H3140" t="s">
        <v>22</v>
      </c>
      <c r="I3140" t="s">
        <v>16</v>
      </c>
      <c r="J3140" t="s">
        <v>16</v>
      </c>
      <c r="K3140" t="str">
        <f>VLOOKUP(C3140,CheckName!A:B,2,0)</f>
        <v>Edu</v>
      </c>
      <c r="L3140">
        <v>0</v>
      </c>
      <c r="M3140">
        <f t="shared" si="434"/>
        <v>19</v>
      </c>
      <c r="N3140" t="str">
        <f>TEXT(MTDRejection[[#This Row],[RejectionDate]],"dddd")</f>
        <v>Thursday</v>
      </c>
    </row>
    <row r="3141" spans="1:14">
      <c r="A3141" t="s">
        <v>160</v>
      </c>
      <c r="B3141" t="s">
        <v>5388</v>
      </c>
      <c r="C3141" t="s">
        <v>36</v>
      </c>
      <c r="D3141" t="s">
        <v>26</v>
      </c>
      <c r="E3141" s="7">
        <v>45645</v>
      </c>
      <c r="F3141" t="s">
        <v>169</v>
      </c>
      <c r="G3141">
        <v>0</v>
      </c>
      <c r="H3141" t="s">
        <v>27</v>
      </c>
      <c r="I3141" t="s">
        <v>16</v>
      </c>
      <c r="J3141" t="s">
        <v>16</v>
      </c>
      <c r="K3141" t="str">
        <f>VLOOKUP(C3141,CheckName!A:B,2,0)</f>
        <v>Emp</v>
      </c>
      <c r="L3141">
        <v>1</v>
      </c>
      <c r="M3141">
        <f t="shared" si="434"/>
        <v>19</v>
      </c>
      <c r="N3141" t="str">
        <f>TEXT(MTDRejection[[#This Row],[RejectionDate]],"dddd")</f>
        <v>Thursday</v>
      </c>
    </row>
    <row r="3142" spans="1:14">
      <c r="A3142" t="s">
        <v>402</v>
      </c>
      <c r="B3142" t="s">
        <v>5389</v>
      </c>
      <c r="C3142" t="s">
        <v>54</v>
      </c>
      <c r="D3142" t="s">
        <v>26</v>
      </c>
      <c r="E3142" s="7">
        <v>45645</v>
      </c>
      <c r="F3142" t="s">
        <v>103</v>
      </c>
      <c r="G3142">
        <v>0</v>
      </c>
      <c r="H3142" t="s">
        <v>27</v>
      </c>
      <c r="I3142" t="s">
        <v>16</v>
      </c>
      <c r="J3142" t="s">
        <v>16</v>
      </c>
      <c r="K3142" t="str">
        <f>VLOOKUP(C3142,CheckName!A:B,2,0)</f>
        <v>Edu</v>
      </c>
      <c r="L3142">
        <v>0</v>
      </c>
      <c r="M3142">
        <f t="shared" ref="M3142:M3146" si="435">DAY(E3142)</f>
        <v>19</v>
      </c>
      <c r="N3142" t="str">
        <f>TEXT(MTDRejection[[#This Row],[RejectionDate]],"dddd")</f>
        <v>Thursday</v>
      </c>
    </row>
    <row r="3143" spans="1:14">
      <c r="A3143" t="s">
        <v>1455</v>
      </c>
      <c r="B3143" t="s">
        <v>5390</v>
      </c>
      <c r="C3143" t="s">
        <v>71</v>
      </c>
      <c r="D3143" t="s">
        <v>13</v>
      </c>
      <c r="E3143" s="7">
        <v>45645</v>
      </c>
      <c r="F3143" t="s">
        <v>107</v>
      </c>
      <c r="G3143">
        <v>0</v>
      </c>
      <c r="H3143" t="s">
        <v>15</v>
      </c>
      <c r="I3143" t="s">
        <v>16</v>
      </c>
      <c r="J3143" t="s">
        <v>16</v>
      </c>
      <c r="K3143" t="str">
        <f>VLOOKUP(C3143,CheckName!A:B,2,0)</f>
        <v>CRC</v>
      </c>
      <c r="L3143">
        <v>0</v>
      </c>
      <c r="M3143">
        <f t="shared" si="435"/>
        <v>19</v>
      </c>
      <c r="N3143" t="str">
        <f>TEXT(MTDRejection[[#This Row],[RejectionDate]],"dddd")</f>
        <v>Thursday</v>
      </c>
    </row>
    <row r="3144" spans="1:14">
      <c r="A3144" t="s">
        <v>288</v>
      </c>
      <c r="B3144" t="s">
        <v>5391</v>
      </c>
      <c r="C3144" t="s">
        <v>125</v>
      </c>
      <c r="D3144" t="s">
        <v>13</v>
      </c>
      <c r="E3144" s="7">
        <v>45645</v>
      </c>
      <c r="F3144" t="s">
        <v>579</v>
      </c>
      <c r="G3144">
        <v>0</v>
      </c>
      <c r="H3144" t="s">
        <v>15</v>
      </c>
      <c r="I3144" t="s">
        <v>16</v>
      </c>
      <c r="J3144" t="s">
        <v>16</v>
      </c>
      <c r="K3144" t="str">
        <f>VLOOKUP(C3144,CheckName!A:B,2,0)</f>
        <v>Emp</v>
      </c>
      <c r="L3144">
        <v>0</v>
      </c>
      <c r="M3144">
        <f t="shared" si="435"/>
        <v>19</v>
      </c>
      <c r="N3144" t="str">
        <f>TEXT(MTDRejection[[#This Row],[RejectionDate]],"dddd")</f>
        <v>Thursday</v>
      </c>
    </row>
    <row r="3145" spans="1:14">
      <c r="A3145" t="s">
        <v>281</v>
      </c>
      <c r="B3145" t="s">
        <v>5392</v>
      </c>
      <c r="C3145" t="s">
        <v>54</v>
      </c>
      <c r="D3145" t="s">
        <v>26</v>
      </c>
      <c r="E3145" s="7">
        <v>45645</v>
      </c>
      <c r="F3145" t="s">
        <v>2351</v>
      </c>
      <c r="G3145">
        <v>0</v>
      </c>
      <c r="H3145" t="s">
        <v>27</v>
      </c>
      <c r="I3145" t="s">
        <v>16</v>
      </c>
      <c r="J3145" t="s">
        <v>16</v>
      </c>
      <c r="K3145" t="str">
        <f>VLOOKUP(C3145,CheckName!A:B,2,0)</f>
        <v>Edu</v>
      </c>
      <c r="L3145">
        <v>0</v>
      </c>
      <c r="M3145">
        <f t="shared" si="435"/>
        <v>19</v>
      </c>
      <c r="N3145" t="str">
        <f>TEXT(MTDRejection[[#This Row],[RejectionDate]],"dddd")</f>
        <v>Thursday</v>
      </c>
    </row>
    <row r="3146" spans="1:14">
      <c r="A3146" t="s">
        <v>119</v>
      </c>
      <c r="B3146" t="s">
        <v>5393</v>
      </c>
      <c r="C3146" t="s">
        <v>54</v>
      </c>
      <c r="D3146" t="s">
        <v>26</v>
      </c>
      <c r="E3146" s="7">
        <v>45645</v>
      </c>
      <c r="F3146" t="s">
        <v>297</v>
      </c>
      <c r="G3146">
        <v>0</v>
      </c>
      <c r="H3146" t="s">
        <v>27</v>
      </c>
      <c r="I3146" t="s">
        <v>16</v>
      </c>
      <c r="J3146" t="s">
        <v>16</v>
      </c>
      <c r="K3146" t="str">
        <f>VLOOKUP(C3146,CheckName!A:B,2,0)</f>
        <v>Edu</v>
      </c>
      <c r="L3146">
        <v>0</v>
      </c>
      <c r="M3146">
        <f t="shared" si="435"/>
        <v>19</v>
      </c>
      <c r="N3146" t="str">
        <f>TEXT(MTDRejection[[#This Row],[RejectionDate]],"dddd")</f>
        <v>Thursday</v>
      </c>
    </row>
    <row r="3147" spans="1:14">
      <c r="A3147" t="s">
        <v>100</v>
      </c>
      <c r="B3147" t="s">
        <v>5394</v>
      </c>
      <c r="C3147" t="s">
        <v>255</v>
      </c>
      <c r="D3147" t="s">
        <v>38</v>
      </c>
      <c r="E3147" s="7">
        <v>45645</v>
      </c>
      <c r="F3147" t="s">
        <v>118</v>
      </c>
      <c r="G3147">
        <v>0</v>
      </c>
      <c r="H3147" t="s">
        <v>42</v>
      </c>
      <c r="I3147" t="s">
        <v>16</v>
      </c>
      <c r="J3147" t="s">
        <v>16</v>
      </c>
      <c r="K3147" t="str">
        <f>VLOOKUP(C3147,CheckName!A:B,2,0)</f>
        <v>Special Check</v>
      </c>
      <c r="L3147">
        <v>0</v>
      </c>
      <c r="M3147">
        <f t="shared" ref="M3147:M3148" si="436">DAY(E3147)</f>
        <v>19</v>
      </c>
      <c r="N3147" t="str">
        <f>TEXT(MTDRejection[[#This Row],[RejectionDate]],"dddd")</f>
        <v>Thursday</v>
      </c>
    </row>
    <row r="3148" spans="1:14">
      <c r="A3148" t="s">
        <v>100</v>
      </c>
      <c r="B3148" t="s">
        <v>2613</v>
      </c>
      <c r="C3148" t="s">
        <v>235</v>
      </c>
      <c r="D3148" t="s">
        <v>38</v>
      </c>
      <c r="E3148" s="7">
        <v>45645</v>
      </c>
      <c r="F3148" t="s">
        <v>118</v>
      </c>
      <c r="G3148">
        <v>0</v>
      </c>
      <c r="H3148" t="s">
        <v>42</v>
      </c>
      <c r="I3148" t="s">
        <v>16</v>
      </c>
      <c r="J3148" t="s">
        <v>16</v>
      </c>
      <c r="K3148" t="str">
        <f>VLOOKUP(C3148,CheckName!A:B,2,0)</f>
        <v>Special Check</v>
      </c>
      <c r="L3148">
        <v>0</v>
      </c>
      <c r="M3148">
        <f t="shared" si="436"/>
        <v>19</v>
      </c>
      <c r="N3148" t="str">
        <f>TEXT(MTDRejection[[#This Row],[RejectionDate]],"dddd")</f>
        <v>Thursday</v>
      </c>
    </row>
    <row r="3149" spans="1:14">
      <c r="A3149" t="s">
        <v>45</v>
      </c>
      <c r="B3149" t="s">
        <v>5395</v>
      </c>
      <c r="C3149" t="s">
        <v>12</v>
      </c>
      <c r="D3149" t="s">
        <v>26</v>
      </c>
      <c r="E3149" s="7">
        <v>45645</v>
      </c>
      <c r="F3149" t="s">
        <v>115</v>
      </c>
      <c r="G3149">
        <v>0</v>
      </c>
      <c r="H3149" t="s">
        <v>27</v>
      </c>
      <c r="I3149" t="s">
        <v>16</v>
      </c>
      <c r="J3149" t="s">
        <v>16</v>
      </c>
      <c r="K3149" t="str">
        <f>VLOOKUP(C3149,CheckName!A:B,2,0)</f>
        <v>Emp</v>
      </c>
      <c r="L3149">
        <v>0</v>
      </c>
      <c r="M3149">
        <f>DAY(E3149)</f>
        <v>19</v>
      </c>
      <c r="N3149" t="str">
        <f>TEXT(MTDRejection[[#This Row],[RejectionDate]],"dddd")</f>
        <v>Thursday</v>
      </c>
    </row>
    <row r="3150" spans="1:14">
      <c r="A3150" t="s">
        <v>263</v>
      </c>
      <c r="B3150" t="s">
        <v>5396</v>
      </c>
      <c r="C3150" t="s">
        <v>12</v>
      </c>
      <c r="D3150" t="s">
        <v>26</v>
      </c>
      <c r="E3150" s="7">
        <v>45644</v>
      </c>
      <c r="F3150" t="s">
        <v>179</v>
      </c>
      <c r="G3150">
        <v>1</v>
      </c>
      <c r="H3150" t="s">
        <v>27</v>
      </c>
      <c r="I3150" t="s">
        <v>16</v>
      </c>
      <c r="J3150" t="s">
        <v>16</v>
      </c>
      <c r="K3150" t="str">
        <f>VLOOKUP(C3150,CheckName!A:B,2,0)</f>
        <v>Emp</v>
      </c>
      <c r="L3150">
        <v>1</v>
      </c>
      <c r="M3150">
        <f>DAY(E3150)</f>
        <v>18</v>
      </c>
      <c r="N3150" t="str">
        <f>TEXT(MTDRejection[[#This Row],[RejectionDate]],"dddd")</f>
        <v>Wednesday</v>
      </c>
    </row>
    <row r="3151" spans="1:14">
      <c r="A3151" t="s">
        <v>84</v>
      </c>
      <c r="B3151" t="s">
        <v>2054</v>
      </c>
      <c r="C3151" t="s">
        <v>54</v>
      </c>
      <c r="D3151" t="s">
        <v>26</v>
      </c>
      <c r="E3151" s="7">
        <v>45643</v>
      </c>
      <c r="F3151" t="s">
        <v>2329</v>
      </c>
      <c r="G3151">
        <v>2</v>
      </c>
      <c r="H3151" t="s">
        <v>27</v>
      </c>
      <c r="I3151" t="s">
        <v>16</v>
      </c>
      <c r="J3151" t="s">
        <v>16</v>
      </c>
      <c r="K3151" t="str">
        <f>VLOOKUP(C3151,CheckName!A:B,2,0)</f>
        <v>Edu</v>
      </c>
      <c r="L3151">
        <v>0</v>
      </c>
      <c r="M3151">
        <f>DAY(E3151)</f>
        <v>17</v>
      </c>
      <c r="N3151" t="str">
        <f>TEXT(MTDRejection[[#This Row],[RejectionDate]],"dddd")</f>
        <v>Tuesday</v>
      </c>
    </row>
    <row r="3152" spans="1:14">
      <c r="A3152" t="s">
        <v>176</v>
      </c>
      <c r="B3152" t="s">
        <v>5397</v>
      </c>
      <c r="C3152" t="s">
        <v>1725</v>
      </c>
      <c r="D3152" t="s">
        <v>13</v>
      </c>
      <c r="E3152" s="7">
        <v>45645</v>
      </c>
      <c r="F3152" t="s">
        <v>2343</v>
      </c>
      <c r="G3152">
        <v>0</v>
      </c>
      <c r="H3152" t="s">
        <v>15</v>
      </c>
      <c r="I3152" t="s">
        <v>16</v>
      </c>
      <c r="J3152" t="s">
        <v>16</v>
      </c>
      <c r="K3152" t="str">
        <f>VLOOKUP(C3152,CheckName!A:B,2,0)</f>
        <v>Special Check</v>
      </c>
      <c r="L3152">
        <v>0</v>
      </c>
      <c r="M3152">
        <f>DAY(E3152)</f>
        <v>19</v>
      </c>
      <c r="N3152" t="str">
        <f>TEXT(MTDRejection[[#This Row],[RejectionDate]],"dddd")</f>
        <v>Thursday</v>
      </c>
    </row>
    <row r="3153" spans="1:14">
      <c r="A3153" t="s">
        <v>84</v>
      </c>
      <c r="B3153" t="s">
        <v>5398</v>
      </c>
      <c r="C3153" t="s">
        <v>467</v>
      </c>
      <c r="D3153" t="s">
        <v>26</v>
      </c>
      <c r="E3153" s="7">
        <v>45645</v>
      </c>
      <c r="F3153" t="s">
        <v>236</v>
      </c>
      <c r="G3153">
        <v>0</v>
      </c>
      <c r="H3153" t="s">
        <v>22</v>
      </c>
      <c r="I3153" t="s">
        <v>16</v>
      </c>
      <c r="J3153" t="s">
        <v>16</v>
      </c>
      <c r="K3153" t="str">
        <f>VLOOKUP(C3153,CheckName!A:B,2,0)</f>
        <v>Special Check</v>
      </c>
      <c r="L3153">
        <v>0</v>
      </c>
      <c r="M3153">
        <f>DAY(E3153)</f>
        <v>19</v>
      </c>
      <c r="N3153" t="str">
        <f>TEXT(MTDRejection[[#This Row],[RejectionDate]],"dddd")</f>
        <v>Thursday</v>
      </c>
    </row>
    <row r="3154" spans="1:14">
      <c r="A3154" t="s">
        <v>127</v>
      </c>
      <c r="B3154" t="s">
        <v>5399</v>
      </c>
      <c r="C3154" t="s">
        <v>19</v>
      </c>
      <c r="D3154" t="s">
        <v>20</v>
      </c>
      <c r="E3154" s="7">
        <v>45645</v>
      </c>
      <c r="F3154" t="s">
        <v>2327</v>
      </c>
      <c r="G3154">
        <v>0</v>
      </c>
      <c r="H3154" t="s">
        <v>27</v>
      </c>
      <c r="I3154" t="s">
        <v>16</v>
      </c>
      <c r="J3154" t="s">
        <v>16</v>
      </c>
      <c r="K3154" t="str">
        <f>VLOOKUP(C3154,CheckName!A:B,2,0)</f>
        <v>Add</v>
      </c>
      <c r="L3154">
        <v>0</v>
      </c>
      <c r="M3154">
        <f t="shared" ref="M3154:M3156" si="437">DAY(E3154)</f>
        <v>19</v>
      </c>
      <c r="N3154" t="str">
        <f>TEXT(MTDRejection[[#This Row],[RejectionDate]],"dddd")</f>
        <v>Thursday</v>
      </c>
    </row>
    <row r="3155" spans="1:14">
      <c r="A3155" t="s">
        <v>242</v>
      </c>
      <c r="B3155" t="s">
        <v>5400</v>
      </c>
      <c r="C3155" t="s">
        <v>25</v>
      </c>
      <c r="D3155" t="s">
        <v>20</v>
      </c>
      <c r="E3155" s="7">
        <v>45645</v>
      </c>
      <c r="F3155" t="s">
        <v>2327</v>
      </c>
      <c r="G3155">
        <v>0</v>
      </c>
      <c r="H3155" t="s">
        <v>22</v>
      </c>
      <c r="I3155" t="s">
        <v>16</v>
      </c>
      <c r="J3155" t="s">
        <v>16</v>
      </c>
      <c r="K3155" t="str">
        <f>VLOOKUP(C3155,CheckName!A:B,2,0)</f>
        <v>Add</v>
      </c>
      <c r="L3155">
        <v>0</v>
      </c>
      <c r="M3155">
        <f t="shared" si="437"/>
        <v>19</v>
      </c>
      <c r="N3155" t="str">
        <f>TEXT(MTDRejection[[#This Row],[RejectionDate]],"dddd")</f>
        <v>Thursday</v>
      </c>
    </row>
    <row r="3156" spans="1:14">
      <c r="A3156" t="s">
        <v>119</v>
      </c>
      <c r="B3156" t="s">
        <v>2697</v>
      </c>
      <c r="C3156" t="s">
        <v>25</v>
      </c>
      <c r="D3156" t="s">
        <v>20</v>
      </c>
      <c r="E3156" s="7">
        <v>45645</v>
      </c>
      <c r="F3156" t="s">
        <v>2327</v>
      </c>
      <c r="G3156">
        <v>0</v>
      </c>
      <c r="H3156" t="s">
        <v>27</v>
      </c>
      <c r="I3156" t="s">
        <v>16</v>
      </c>
      <c r="J3156" t="s">
        <v>16</v>
      </c>
      <c r="K3156" t="str">
        <f>VLOOKUP(C3156,CheckName!A:B,2,0)</f>
        <v>Add</v>
      </c>
      <c r="L3156">
        <v>1</v>
      </c>
      <c r="M3156">
        <f t="shared" si="437"/>
        <v>19</v>
      </c>
      <c r="N3156" t="str">
        <f>TEXT(MTDRejection[[#This Row],[RejectionDate]],"dddd")</f>
        <v>Thursday</v>
      </c>
    </row>
    <row r="3157" spans="1:14">
      <c r="A3157" t="s">
        <v>119</v>
      </c>
      <c r="B3157" t="s">
        <v>5401</v>
      </c>
      <c r="C3157" t="s">
        <v>19</v>
      </c>
      <c r="D3157" t="s">
        <v>20</v>
      </c>
      <c r="E3157" s="7">
        <v>45645</v>
      </c>
      <c r="F3157" t="s">
        <v>2327</v>
      </c>
      <c r="G3157">
        <v>0</v>
      </c>
      <c r="H3157" t="s">
        <v>27</v>
      </c>
      <c r="I3157" t="s">
        <v>16</v>
      </c>
      <c r="J3157" t="s">
        <v>16</v>
      </c>
      <c r="K3157" t="str">
        <f>VLOOKUP(C3157,CheckName!A:B,2,0)</f>
        <v>Add</v>
      </c>
      <c r="L3157">
        <v>0</v>
      </c>
      <c r="M3157">
        <f>DAY(E3157)</f>
        <v>19</v>
      </c>
      <c r="N3157" t="str">
        <f>TEXT(MTDRejection[[#This Row],[RejectionDate]],"dddd")</f>
        <v>Thursday</v>
      </c>
    </row>
    <row r="3158" spans="1:14">
      <c r="A3158" t="s">
        <v>1882</v>
      </c>
      <c r="B3158" t="s">
        <v>5402</v>
      </c>
      <c r="C3158" t="s">
        <v>36</v>
      </c>
      <c r="D3158" t="s">
        <v>26</v>
      </c>
      <c r="E3158" s="7">
        <v>45645</v>
      </c>
      <c r="F3158" t="s">
        <v>1817</v>
      </c>
      <c r="G3158">
        <v>0</v>
      </c>
      <c r="H3158" t="s">
        <v>27</v>
      </c>
      <c r="I3158" t="s">
        <v>16</v>
      </c>
      <c r="J3158" t="s">
        <v>16</v>
      </c>
      <c r="K3158" t="str">
        <f>VLOOKUP(C3158,CheckName!A:B,2,0)</f>
        <v>Emp</v>
      </c>
      <c r="L3158">
        <v>0</v>
      </c>
      <c r="M3158">
        <f t="shared" ref="M3158:M3159" si="438">DAY(E3158)</f>
        <v>19</v>
      </c>
      <c r="N3158" t="str">
        <f>TEXT(MTDRejection[[#This Row],[RejectionDate]],"dddd")</f>
        <v>Thursday</v>
      </c>
    </row>
    <row r="3159" spans="1:14">
      <c r="A3159" t="s">
        <v>432</v>
      </c>
      <c r="B3159" t="s">
        <v>5403</v>
      </c>
      <c r="C3159" t="s">
        <v>36</v>
      </c>
      <c r="D3159" t="s">
        <v>26</v>
      </c>
      <c r="E3159" s="7">
        <v>45645</v>
      </c>
      <c r="F3159" t="s">
        <v>222</v>
      </c>
      <c r="G3159">
        <v>0</v>
      </c>
      <c r="H3159" t="s">
        <v>27</v>
      </c>
      <c r="I3159" t="s">
        <v>16</v>
      </c>
      <c r="J3159" t="s">
        <v>16</v>
      </c>
      <c r="K3159" t="str">
        <f>VLOOKUP(C3159,CheckName!A:B,2,0)</f>
        <v>Emp</v>
      </c>
      <c r="L3159">
        <v>0</v>
      </c>
      <c r="M3159">
        <f t="shared" si="438"/>
        <v>19</v>
      </c>
      <c r="N3159" t="str">
        <f>TEXT(MTDRejection[[#This Row],[RejectionDate]],"dddd")</f>
        <v>Thursday</v>
      </c>
    </row>
    <row r="3160" spans="1:14">
      <c r="A3160" t="s">
        <v>239</v>
      </c>
      <c r="B3160" t="s">
        <v>5404</v>
      </c>
      <c r="C3160" t="s">
        <v>19</v>
      </c>
      <c r="D3160" t="s">
        <v>26</v>
      </c>
      <c r="E3160" s="7">
        <v>45645</v>
      </c>
      <c r="F3160" t="s">
        <v>2330</v>
      </c>
      <c r="G3160">
        <v>0</v>
      </c>
      <c r="H3160" t="s">
        <v>27</v>
      </c>
      <c r="I3160" t="s">
        <v>16</v>
      </c>
      <c r="J3160" t="s">
        <v>16</v>
      </c>
      <c r="K3160" t="str">
        <f>VLOOKUP(C3160,CheckName!A:B,2,0)</f>
        <v>Add</v>
      </c>
      <c r="L3160">
        <v>0</v>
      </c>
      <c r="M3160">
        <f>DAY(E3160)</f>
        <v>19</v>
      </c>
      <c r="N3160" t="str">
        <f>TEXT(MTDRejection[[#This Row],[RejectionDate]],"dddd")</f>
        <v>Thursday</v>
      </c>
    </row>
    <row r="3161" spans="1:14">
      <c r="A3161" t="s">
        <v>100</v>
      </c>
      <c r="B3161" t="s">
        <v>5405</v>
      </c>
      <c r="C3161" t="s">
        <v>102</v>
      </c>
      <c r="D3161" t="s">
        <v>13</v>
      </c>
      <c r="E3161" s="7">
        <v>45645</v>
      </c>
      <c r="F3161" t="s">
        <v>706</v>
      </c>
      <c r="G3161">
        <v>0</v>
      </c>
      <c r="H3161" t="s">
        <v>15</v>
      </c>
      <c r="I3161" t="s">
        <v>16</v>
      </c>
      <c r="J3161" t="s">
        <v>16</v>
      </c>
      <c r="K3161" t="str">
        <f>VLOOKUP(C3161,CheckName!A:B,2,0)</f>
        <v>Edu</v>
      </c>
      <c r="L3161">
        <v>0</v>
      </c>
      <c r="M3161">
        <f>DAY(E3161)</f>
        <v>19</v>
      </c>
      <c r="N3161" t="str">
        <f>TEXT(MTDRejection[[#This Row],[RejectionDate]],"dddd")</f>
        <v>Thursday</v>
      </c>
    </row>
    <row r="3162" spans="1:14">
      <c r="A3162" t="s">
        <v>81</v>
      </c>
      <c r="B3162" t="s">
        <v>5406</v>
      </c>
      <c r="C3162" t="s">
        <v>36</v>
      </c>
      <c r="D3162" t="s">
        <v>26</v>
      </c>
      <c r="E3162" s="7">
        <v>45645</v>
      </c>
      <c r="F3162" t="s">
        <v>277</v>
      </c>
      <c r="G3162">
        <v>0</v>
      </c>
      <c r="H3162" t="s">
        <v>27</v>
      </c>
      <c r="I3162" t="s">
        <v>16</v>
      </c>
      <c r="J3162" t="s">
        <v>16</v>
      </c>
      <c r="K3162" t="str">
        <f>VLOOKUP(C3162,CheckName!A:B,2,0)</f>
        <v>Emp</v>
      </c>
      <c r="L3162">
        <v>0</v>
      </c>
      <c r="M3162">
        <f>DAY(E3162)</f>
        <v>19</v>
      </c>
      <c r="N3162" t="str">
        <f>TEXT(MTDRejection[[#This Row],[RejectionDate]],"dddd")</f>
        <v>Thursday</v>
      </c>
    </row>
    <row r="3163" spans="1:14">
      <c r="A3163" t="s">
        <v>580</v>
      </c>
      <c r="B3163" t="s">
        <v>2698</v>
      </c>
      <c r="C3163" t="s">
        <v>36</v>
      </c>
      <c r="D3163" t="s">
        <v>26</v>
      </c>
      <c r="E3163" s="7">
        <v>45645</v>
      </c>
      <c r="F3163" t="s">
        <v>721</v>
      </c>
      <c r="G3163">
        <v>0</v>
      </c>
      <c r="H3163" t="s">
        <v>130</v>
      </c>
      <c r="I3163" t="s">
        <v>16</v>
      </c>
      <c r="J3163" t="s">
        <v>16</v>
      </c>
      <c r="K3163" t="str">
        <f>VLOOKUP(C3163,CheckName!A:B,2,0)</f>
        <v>Emp</v>
      </c>
      <c r="L3163">
        <v>0</v>
      </c>
      <c r="M3163">
        <f>DAY(E3163)</f>
        <v>19</v>
      </c>
      <c r="N3163" t="str">
        <f>TEXT(MTDRejection[[#This Row],[RejectionDate]],"dddd")</f>
        <v>Thursday</v>
      </c>
    </row>
    <row r="3164" spans="1:14">
      <c r="A3164" t="s">
        <v>1173</v>
      </c>
      <c r="B3164" t="s">
        <v>5407</v>
      </c>
      <c r="C3164" t="s">
        <v>106</v>
      </c>
      <c r="D3164" t="s">
        <v>26</v>
      </c>
      <c r="E3164" s="7">
        <v>45645</v>
      </c>
      <c r="F3164" t="s">
        <v>330</v>
      </c>
      <c r="G3164">
        <v>0</v>
      </c>
      <c r="H3164" t="s">
        <v>27</v>
      </c>
      <c r="I3164" t="s">
        <v>16</v>
      </c>
      <c r="J3164" t="s">
        <v>16</v>
      </c>
      <c r="K3164" t="str">
        <f>VLOOKUP(C3164,CheckName!A:B,2,0)</f>
        <v>Ref</v>
      </c>
      <c r="L3164">
        <v>1</v>
      </c>
      <c r="M3164">
        <f t="shared" ref="M3164:M3165" si="439">DAY(E3164)</f>
        <v>19</v>
      </c>
      <c r="N3164" t="str">
        <f>TEXT(MTDRejection[[#This Row],[RejectionDate]],"dddd")</f>
        <v>Thursday</v>
      </c>
    </row>
    <row r="3165" spans="1:14">
      <c r="A3165" t="s">
        <v>385</v>
      </c>
      <c r="B3165" t="s">
        <v>5408</v>
      </c>
      <c r="C3165" t="s">
        <v>387</v>
      </c>
      <c r="D3165" t="s">
        <v>26</v>
      </c>
      <c r="E3165" s="7">
        <v>45645</v>
      </c>
      <c r="F3165" t="s">
        <v>330</v>
      </c>
      <c r="G3165">
        <v>0</v>
      </c>
      <c r="H3165" t="s">
        <v>30</v>
      </c>
      <c r="I3165" t="s">
        <v>16</v>
      </c>
      <c r="J3165" t="s">
        <v>16</v>
      </c>
      <c r="K3165" t="str">
        <f>VLOOKUP(C3165,CheckName!A:B,2,0)</f>
        <v>Ref</v>
      </c>
      <c r="L3165">
        <v>0</v>
      </c>
      <c r="M3165">
        <f t="shared" si="439"/>
        <v>19</v>
      </c>
      <c r="N3165" t="str">
        <f>TEXT(MTDRejection[[#This Row],[RejectionDate]],"dddd")</f>
        <v>Thursday</v>
      </c>
    </row>
    <row r="3166" spans="1:14">
      <c r="A3166" t="s">
        <v>306</v>
      </c>
      <c r="B3166" t="s">
        <v>5409</v>
      </c>
      <c r="C3166" t="s">
        <v>12</v>
      </c>
      <c r="D3166" t="s">
        <v>26</v>
      </c>
      <c r="E3166" s="7">
        <v>45645</v>
      </c>
      <c r="F3166" t="s">
        <v>2336</v>
      </c>
      <c r="G3166">
        <v>0</v>
      </c>
      <c r="H3166" t="s">
        <v>27</v>
      </c>
      <c r="I3166" t="s">
        <v>16</v>
      </c>
      <c r="J3166" t="s">
        <v>16</v>
      </c>
      <c r="K3166" t="str">
        <f>VLOOKUP(C3166,CheckName!A:B,2,0)</f>
        <v>Emp</v>
      </c>
      <c r="L3166">
        <v>0</v>
      </c>
      <c r="M3166">
        <f t="shared" ref="M3166:M3167" si="440">DAY(E3166)</f>
        <v>19</v>
      </c>
      <c r="N3166" t="str">
        <f>TEXT(MTDRejection[[#This Row],[RejectionDate]],"dddd")</f>
        <v>Thursday</v>
      </c>
    </row>
    <row r="3167" spans="1:14">
      <c r="A3167" t="s">
        <v>2038</v>
      </c>
      <c r="B3167" t="s">
        <v>5410</v>
      </c>
      <c r="C3167" t="s">
        <v>54</v>
      </c>
      <c r="D3167" t="s">
        <v>26</v>
      </c>
      <c r="E3167" s="7">
        <v>45645</v>
      </c>
      <c r="F3167" t="s">
        <v>1304</v>
      </c>
      <c r="G3167">
        <v>0</v>
      </c>
      <c r="H3167" t="s">
        <v>22</v>
      </c>
      <c r="I3167" t="s">
        <v>16</v>
      </c>
      <c r="J3167" t="s">
        <v>16</v>
      </c>
      <c r="K3167" t="str">
        <f>VLOOKUP(C3167,CheckName!A:B,2,0)</f>
        <v>Edu</v>
      </c>
      <c r="L3167">
        <v>0</v>
      </c>
      <c r="M3167">
        <f t="shared" si="440"/>
        <v>19</v>
      </c>
      <c r="N3167" t="str">
        <f>TEXT(MTDRejection[[#This Row],[RejectionDate]],"dddd")</f>
        <v>Thursday</v>
      </c>
    </row>
    <row r="3168" spans="1:14">
      <c r="A3168" t="s">
        <v>2039</v>
      </c>
      <c r="B3168" t="s">
        <v>5411</v>
      </c>
      <c r="C3168" t="s">
        <v>125</v>
      </c>
      <c r="D3168" t="s">
        <v>13</v>
      </c>
      <c r="E3168" s="7">
        <v>45638</v>
      </c>
      <c r="F3168" t="s">
        <v>2343</v>
      </c>
      <c r="G3168">
        <v>7</v>
      </c>
      <c r="H3168" t="s">
        <v>15</v>
      </c>
      <c r="I3168" t="s">
        <v>16</v>
      </c>
      <c r="J3168" t="s">
        <v>16</v>
      </c>
      <c r="K3168" t="str">
        <f>VLOOKUP(C3168,CheckName!A:B,2,0)</f>
        <v>Emp</v>
      </c>
      <c r="L3168">
        <v>0</v>
      </c>
      <c r="M3168">
        <f>DAY(E3168)</f>
        <v>12</v>
      </c>
      <c r="N3168" t="str">
        <f>TEXT(MTDRejection[[#This Row],[RejectionDate]],"dddd")</f>
        <v>Thursday</v>
      </c>
    </row>
    <row r="3169" spans="1:14">
      <c r="A3169" t="s">
        <v>45</v>
      </c>
      <c r="B3169" t="s">
        <v>5412</v>
      </c>
      <c r="C3169" t="s">
        <v>12</v>
      </c>
      <c r="D3169" t="s">
        <v>26</v>
      </c>
      <c r="E3169" s="7">
        <v>45628</v>
      </c>
      <c r="F3169" t="s">
        <v>2354</v>
      </c>
      <c r="G3169">
        <v>17</v>
      </c>
      <c r="H3169" t="s">
        <v>27</v>
      </c>
      <c r="I3169" t="s">
        <v>16</v>
      </c>
      <c r="J3169" t="s">
        <v>16</v>
      </c>
      <c r="K3169" t="str">
        <f>VLOOKUP(C3169,CheckName!A:B,2,0)</f>
        <v>Emp</v>
      </c>
      <c r="L3169">
        <v>0</v>
      </c>
      <c r="M3169">
        <f>DAY(E3169)</f>
        <v>2</v>
      </c>
      <c r="N3169" t="str">
        <f>TEXT(MTDRejection[[#This Row],[RejectionDate]],"dddd")</f>
        <v>Monday</v>
      </c>
    </row>
    <row r="3170" spans="1:14">
      <c r="A3170" t="s">
        <v>139</v>
      </c>
      <c r="B3170" t="s">
        <v>5413</v>
      </c>
      <c r="C3170" t="s">
        <v>25</v>
      </c>
      <c r="D3170" t="s">
        <v>20</v>
      </c>
      <c r="E3170" s="7">
        <v>45645</v>
      </c>
      <c r="F3170" t="s">
        <v>273</v>
      </c>
      <c r="G3170">
        <v>0</v>
      </c>
      <c r="H3170" t="s">
        <v>22</v>
      </c>
      <c r="I3170" t="s">
        <v>16</v>
      </c>
      <c r="J3170" t="s">
        <v>16</v>
      </c>
      <c r="K3170" t="str">
        <f>VLOOKUP(C3170,CheckName!A:B,2,0)</f>
        <v>Add</v>
      </c>
      <c r="L3170">
        <v>0</v>
      </c>
      <c r="M3170">
        <f t="shared" ref="M3170:M3171" si="441">DAY(E3170)</f>
        <v>19</v>
      </c>
      <c r="N3170" t="str">
        <f>TEXT(MTDRejection[[#This Row],[RejectionDate]],"dddd")</f>
        <v>Thursday</v>
      </c>
    </row>
    <row r="3171" spans="1:14">
      <c r="A3171" t="s">
        <v>137</v>
      </c>
      <c r="B3171" t="s">
        <v>5414</v>
      </c>
      <c r="C3171" t="s">
        <v>25</v>
      </c>
      <c r="D3171" t="s">
        <v>20</v>
      </c>
      <c r="E3171" s="7">
        <v>45645</v>
      </c>
      <c r="F3171" t="s">
        <v>273</v>
      </c>
      <c r="G3171">
        <v>0</v>
      </c>
      <c r="H3171" t="s">
        <v>22</v>
      </c>
      <c r="I3171" t="s">
        <v>16</v>
      </c>
      <c r="J3171" t="s">
        <v>16</v>
      </c>
      <c r="K3171" t="str">
        <f>VLOOKUP(C3171,CheckName!A:B,2,0)</f>
        <v>Add</v>
      </c>
      <c r="L3171">
        <v>0</v>
      </c>
      <c r="M3171">
        <f t="shared" si="441"/>
        <v>19</v>
      </c>
      <c r="N3171" t="str">
        <f>TEXT(MTDRejection[[#This Row],[RejectionDate]],"dddd")</f>
        <v>Thursday</v>
      </c>
    </row>
    <row r="3172" spans="1:14">
      <c r="A3172" t="s">
        <v>60</v>
      </c>
      <c r="B3172" t="s">
        <v>5415</v>
      </c>
      <c r="C3172" t="s">
        <v>106</v>
      </c>
      <c r="D3172" t="s">
        <v>13</v>
      </c>
      <c r="E3172" s="7">
        <v>45645</v>
      </c>
      <c r="F3172" t="s">
        <v>33</v>
      </c>
      <c r="G3172">
        <v>0</v>
      </c>
      <c r="H3172" t="s">
        <v>15</v>
      </c>
      <c r="I3172" t="s">
        <v>16</v>
      </c>
      <c r="J3172" t="s">
        <v>16</v>
      </c>
      <c r="K3172" t="str">
        <f>VLOOKUP(C3172,CheckName!A:B,2,0)</f>
        <v>Ref</v>
      </c>
      <c r="L3172">
        <v>0</v>
      </c>
      <c r="M3172">
        <f t="shared" ref="M3172:M3179" si="442">DAY(E3172)</f>
        <v>19</v>
      </c>
      <c r="N3172" t="str">
        <f>TEXT(MTDRejection[[#This Row],[RejectionDate]],"dddd")</f>
        <v>Thursday</v>
      </c>
    </row>
    <row r="3173" spans="1:14">
      <c r="A3173" t="s">
        <v>60</v>
      </c>
      <c r="B3173" t="s">
        <v>5416</v>
      </c>
      <c r="C3173" t="s">
        <v>106</v>
      </c>
      <c r="D3173" t="s">
        <v>13</v>
      </c>
      <c r="E3173" s="7">
        <v>45645</v>
      </c>
      <c r="F3173" t="s">
        <v>33</v>
      </c>
      <c r="G3173">
        <v>0</v>
      </c>
      <c r="H3173" t="s">
        <v>15</v>
      </c>
      <c r="I3173" t="s">
        <v>16</v>
      </c>
      <c r="J3173" t="s">
        <v>16</v>
      </c>
      <c r="K3173" t="str">
        <f>VLOOKUP(C3173,CheckName!A:B,2,0)</f>
        <v>Ref</v>
      </c>
      <c r="L3173">
        <v>0</v>
      </c>
      <c r="M3173">
        <f t="shared" si="442"/>
        <v>19</v>
      </c>
      <c r="N3173" t="str">
        <f>TEXT(MTDRejection[[#This Row],[RejectionDate]],"dddd")</f>
        <v>Thursday</v>
      </c>
    </row>
    <row r="3174" spans="1:14">
      <c r="A3174" t="s">
        <v>60</v>
      </c>
      <c r="B3174" t="s">
        <v>5417</v>
      </c>
      <c r="C3174" t="s">
        <v>220</v>
      </c>
      <c r="D3174" t="s">
        <v>13</v>
      </c>
      <c r="E3174" s="7">
        <v>45645</v>
      </c>
      <c r="F3174" t="s">
        <v>33</v>
      </c>
      <c r="G3174">
        <v>0</v>
      </c>
      <c r="H3174" t="s">
        <v>15</v>
      </c>
      <c r="I3174" t="s">
        <v>16</v>
      </c>
      <c r="J3174" t="s">
        <v>16</v>
      </c>
      <c r="K3174" t="str">
        <f>VLOOKUP(C3174,CheckName!A:B,2,0)</f>
        <v>Ref</v>
      </c>
      <c r="L3174">
        <v>0</v>
      </c>
      <c r="M3174">
        <f t="shared" si="442"/>
        <v>19</v>
      </c>
      <c r="N3174" t="str">
        <f>TEXT(MTDRejection[[#This Row],[RejectionDate]],"dddd")</f>
        <v>Thursday</v>
      </c>
    </row>
    <row r="3175" spans="1:14">
      <c r="A3175" t="s">
        <v>60</v>
      </c>
      <c r="B3175" t="s">
        <v>5418</v>
      </c>
      <c r="C3175" t="s">
        <v>220</v>
      </c>
      <c r="D3175" t="s">
        <v>13</v>
      </c>
      <c r="E3175" s="7">
        <v>45645</v>
      </c>
      <c r="F3175" t="s">
        <v>33</v>
      </c>
      <c r="G3175">
        <v>0</v>
      </c>
      <c r="H3175" t="s">
        <v>15</v>
      </c>
      <c r="I3175" t="s">
        <v>16</v>
      </c>
      <c r="J3175" t="s">
        <v>16</v>
      </c>
      <c r="K3175" t="str">
        <f>VLOOKUP(C3175,CheckName!A:B,2,0)</f>
        <v>Ref</v>
      </c>
      <c r="L3175">
        <v>0</v>
      </c>
      <c r="M3175">
        <f t="shared" si="442"/>
        <v>19</v>
      </c>
      <c r="N3175" t="str">
        <f>TEXT(MTDRejection[[#This Row],[RejectionDate]],"dddd")</f>
        <v>Thursday</v>
      </c>
    </row>
    <row r="3176" spans="1:14">
      <c r="A3176" t="s">
        <v>84</v>
      </c>
      <c r="B3176" t="s">
        <v>5419</v>
      </c>
      <c r="C3176" t="s">
        <v>36</v>
      </c>
      <c r="D3176" t="s">
        <v>51</v>
      </c>
      <c r="E3176" s="7">
        <v>45645</v>
      </c>
      <c r="F3176" t="s">
        <v>2349</v>
      </c>
      <c r="G3176">
        <v>0</v>
      </c>
      <c r="H3176" t="s">
        <v>53</v>
      </c>
      <c r="I3176" t="s">
        <v>16</v>
      </c>
      <c r="J3176" t="s">
        <v>16</v>
      </c>
      <c r="K3176" t="str">
        <f>VLOOKUP(C3176,CheckName!A:B,2,0)</f>
        <v>Emp</v>
      </c>
      <c r="L3176">
        <v>0</v>
      </c>
      <c r="M3176">
        <f t="shared" si="442"/>
        <v>19</v>
      </c>
      <c r="N3176" t="str">
        <f>TEXT(MTDRejection[[#This Row],[RejectionDate]],"dddd")</f>
        <v>Thursday</v>
      </c>
    </row>
    <row r="3177" spans="1:14">
      <c r="A3177" t="s">
        <v>84</v>
      </c>
      <c r="B3177" t="s">
        <v>5420</v>
      </c>
      <c r="C3177" t="s">
        <v>125</v>
      </c>
      <c r="D3177" t="s">
        <v>51</v>
      </c>
      <c r="E3177" s="7">
        <v>45645</v>
      </c>
      <c r="F3177" t="s">
        <v>2349</v>
      </c>
      <c r="G3177">
        <v>0</v>
      </c>
      <c r="H3177" t="s">
        <v>53</v>
      </c>
      <c r="I3177" t="s">
        <v>16</v>
      </c>
      <c r="J3177" t="s">
        <v>16</v>
      </c>
      <c r="K3177" t="str">
        <f>VLOOKUP(C3177,CheckName!A:B,2,0)</f>
        <v>Emp</v>
      </c>
      <c r="L3177">
        <v>0</v>
      </c>
      <c r="M3177">
        <f t="shared" si="442"/>
        <v>19</v>
      </c>
      <c r="N3177" t="str">
        <f>TEXT(MTDRejection[[#This Row],[RejectionDate]],"dddd")</f>
        <v>Thursday</v>
      </c>
    </row>
    <row r="3178" spans="1:14">
      <c r="A3178" t="s">
        <v>176</v>
      </c>
      <c r="B3178" t="s">
        <v>5421</v>
      </c>
      <c r="C3178" t="s">
        <v>125</v>
      </c>
      <c r="D3178" t="s">
        <v>26</v>
      </c>
      <c r="E3178" s="7">
        <v>45645</v>
      </c>
      <c r="F3178" t="s">
        <v>224</v>
      </c>
      <c r="G3178">
        <v>0</v>
      </c>
      <c r="H3178" t="s">
        <v>27</v>
      </c>
      <c r="I3178" t="s">
        <v>16</v>
      </c>
      <c r="J3178" t="s">
        <v>16</v>
      </c>
      <c r="K3178" t="str">
        <f>VLOOKUP(C3178,CheckName!A:B,2,0)</f>
        <v>Emp</v>
      </c>
      <c r="L3178">
        <v>0</v>
      </c>
      <c r="M3178">
        <f t="shared" si="442"/>
        <v>19</v>
      </c>
      <c r="N3178" t="str">
        <f>TEXT(MTDRejection[[#This Row],[RejectionDate]],"dddd")</f>
        <v>Thursday</v>
      </c>
    </row>
    <row r="3179" spans="1:14">
      <c r="A3179" t="s">
        <v>1822</v>
      </c>
      <c r="B3179" t="s">
        <v>5422</v>
      </c>
      <c r="C3179" t="s">
        <v>12</v>
      </c>
      <c r="D3179" t="s">
        <v>26</v>
      </c>
      <c r="E3179" s="7">
        <v>45645</v>
      </c>
      <c r="F3179" t="s">
        <v>1055</v>
      </c>
      <c r="G3179">
        <v>0</v>
      </c>
      <c r="H3179" t="s">
        <v>22</v>
      </c>
      <c r="I3179" t="s">
        <v>16</v>
      </c>
      <c r="J3179" t="s">
        <v>16</v>
      </c>
      <c r="K3179" t="str">
        <f>VLOOKUP(C3179,CheckName!A:B,2,0)</f>
        <v>Emp</v>
      </c>
      <c r="L3179">
        <v>0</v>
      </c>
      <c r="M3179">
        <f t="shared" si="442"/>
        <v>19</v>
      </c>
      <c r="N3179" t="str">
        <f>TEXT(MTDRejection[[#This Row],[RejectionDate]],"dddd")</f>
        <v>Thursday</v>
      </c>
    </row>
    <row r="3180" spans="1:14">
      <c r="A3180" t="s">
        <v>60</v>
      </c>
      <c r="B3180" t="s">
        <v>5423</v>
      </c>
      <c r="C3180" t="s">
        <v>12</v>
      </c>
      <c r="D3180" t="s">
        <v>13</v>
      </c>
      <c r="E3180" s="7">
        <v>45645</v>
      </c>
      <c r="F3180" t="s">
        <v>1421</v>
      </c>
      <c r="G3180">
        <v>0</v>
      </c>
      <c r="H3180" t="s">
        <v>15</v>
      </c>
      <c r="I3180" t="s">
        <v>16</v>
      </c>
      <c r="J3180" t="s">
        <v>16</v>
      </c>
      <c r="K3180" t="str">
        <f>VLOOKUP(C3180,CheckName!A:B,2,0)</f>
        <v>Emp</v>
      </c>
      <c r="L3180">
        <v>0</v>
      </c>
      <c r="M3180">
        <f t="shared" ref="M3180:M3184" si="443">DAY(E3180)</f>
        <v>19</v>
      </c>
      <c r="N3180" t="str">
        <f>TEXT(MTDRejection[[#This Row],[RejectionDate]],"dddd")</f>
        <v>Thursday</v>
      </c>
    </row>
    <row r="3181" spans="1:14">
      <c r="A3181" t="s">
        <v>45</v>
      </c>
      <c r="B3181" t="s">
        <v>5424</v>
      </c>
      <c r="C3181" t="s">
        <v>36</v>
      </c>
      <c r="D3181" t="s">
        <v>26</v>
      </c>
      <c r="E3181" s="7">
        <v>45645</v>
      </c>
      <c r="F3181" t="s">
        <v>175</v>
      </c>
      <c r="G3181">
        <v>0</v>
      </c>
      <c r="H3181" t="s">
        <v>27</v>
      </c>
      <c r="I3181" t="s">
        <v>16</v>
      </c>
      <c r="J3181" t="s">
        <v>16</v>
      </c>
      <c r="K3181" t="str">
        <f>VLOOKUP(C3181,CheckName!A:B,2,0)</f>
        <v>Emp</v>
      </c>
      <c r="L3181">
        <v>0</v>
      </c>
      <c r="M3181">
        <f t="shared" si="443"/>
        <v>19</v>
      </c>
      <c r="N3181" t="str">
        <f>TEXT(MTDRejection[[#This Row],[RejectionDate]],"dddd")</f>
        <v>Thursday</v>
      </c>
    </row>
    <row r="3182" spans="1:14">
      <c r="A3182" t="s">
        <v>1090</v>
      </c>
      <c r="B3182" t="s">
        <v>5425</v>
      </c>
      <c r="C3182" t="s">
        <v>12</v>
      </c>
      <c r="D3182" t="s">
        <v>26</v>
      </c>
      <c r="E3182" s="7">
        <v>45645</v>
      </c>
      <c r="F3182" t="s">
        <v>721</v>
      </c>
      <c r="G3182">
        <v>0</v>
      </c>
      <c r="H3182" t="s">
        <v>22</v>
      </c>
      <c r="I3182" t="s">
        <v>16</v>
      </c>
      <c r="J3182" t="s">
        <v>16</v>
      </c>
      <c r="K3182" t="str">
        <f>VLOOKUP(C3182,CheckName!A:B,2,0)</f>
        <v>Emp</v>
      </c>
      <c r="L3182">
        <v>0</v>
      </c>
      <c r="M3182">
        <f t="shared" si="443"/>
        <v>19</v>
      </c>
      <c r="N3182" t="str">
        <f>TEXT(MTDRejection[[#This Row],[RejectionDate]],"dddd")</f>
        <v>Thursday</v>
      </c>
    </row>
    <row r="3183" spans="1:14">
      <c r="A3183" t="s">
        <v>446</v>
      </c>
      <c r="B3183" t="s">
        <v>5426</v>
      </c>
      <c r="C3183" t="s">
        <v>12</v>
      </c>
      <c r="D3183" t="s">
        <v>26</v>
      </c>
      <c r="E3183" s="7">
        <v>45645</v>
      </c>
      <c r="F3183" t="s">
        <v>721</v>
      </c>
      <c r="G3183">
        <v>0</v>
      </c>
      <c r="H3183" t="s">
        <v>27</v>
      </c>
      <c r="I3183" t="s">
        <v>16</v>
      </c>
      <c r="J3183" t="s">
        <v>16</v>
      </c>
      <c r="K3183" t="str">
        <f>VLOOKUP(C3183,CheckName!A:B,2,0)</f>
        <v>Emp</v>
      </c>
      <c r="L3183">
        <v>0</v>
      </c>
      <c r="M3183">
        <f t="shared" si="443"/>
        <v>19</v>
      </c>
      <c r="N3183" t="str">
        <f>TEXT(MTDRejection[[#This Row],[RejectionDate]],"dddd")</f>
        <v>Thursday</v>
      </c>
    </row>
    <row r="3184" spans="1:14">
      <c r="A3184" t="s">
        <v>176</v>
      </c>
      <c r="B3184" t="s">
        <v>5427</v>
      </c>
      <c r="C3184" t="s">
        <v>36</v>
      </c>
      <c r="D3184" t="s">
        <v>26</v>
      </c>
      <c r="E3184" s="7">
        <v>45645</v>
      </c>
      <c r="F3184" t="s">
        <v>311</v>
      </c>
      <c r="G3184">
        <v>0</v>
      </c>
      <c r="H3184" t="s">
        <v>27</v>
      </c>
      <c r="I3184" t="s">
        <v>16</v>
      </c>
      <c r="J3184" t="s">
        <v>16</v>
      </c>
      <c r="K3184" t="str">
        <f>VLOOKUP(C3184,CheckName!A:B,2,0)</f>
        <v>Emp</v>
      </c>
      <c r="L3184">
        <v>0</v>
      </c>
      <c r="M3184">
        <f t="shared" si="443"/>
        <v>19</v>
      </c>
      <c r="N3184" t="str">
        <f>TEXT(MTDRejection[[#This Row],[RejectionDate]],"dddd")</f>
        <v>Thursday</v>
      </c>
    </row>
    <row r="3185" spans="1:14">
      <c r="A3185" t="s">
        <v>64</v>
      </c>
      <c r="B3185" t="s">
        <v>5428</v>
      </c>
      <c r="C3185" t="s">
        <v>25</v>
      </c>
      <c r="D3185" t="s">
        <v>26</v>
      </c>
      <c r="E3185" s="7">
        <v>45645</v>
      </c>
      <c r="F3185" t="s">
        <v>2352</v>
      </c>
      <c r="G3185">
        <v>0</v>
      </c>
      <c r="H3185" t="s">
        <v>27</v>
      </c>
      <c r="I3185" t="s">
        <v>16</v>
      </c>
      <c r="J3185" t="s">
        <v>16</v>
      </c>
      <c r="K3185" t="str">
        <f>VLOOKUP(C3185,CheckName!A:B,2,0)</f>
        <v>Add</v>
      </c>
      <c r="L3185">
        <v>0</v>
      </c>
      <c r="M3185">
        <f>DAY(E3185)</f>
        <v>19</v>
      </c>
      <c r="N3185" t="str">
        <f>TEXT(MTDRejection[[#This Row],[RejectionDate]],"dddd")</f>
        <v>Thursday</v>
      </c>
    </row>
    <row r="3186" spans="1:14">
      <c r="A3186" t="s">
        <v>81</v>
      </c>
      <c r="B3186" t="s">
        <v>5429</v>
      </c>
      <c r="C3186" t="s">
        <v>12</v>
      </c>
      <c r="D3186" t="s">
        <v>26</v>
      </c>
      <c r="E3186" s="7">
        <v>45645</v>
      </c>
      <c r="F3186" t="s">
        <v>2333</v>
      </c>
      <c r="G3186">
        <v>0</v>
      </c>
      <c r="H3186" t="s">
        <v>27</v>
      </c>
      <c r="I3186" t="s">
        <v>16</v>
      </c>
      <c r="J3186" t="s">
        <v>16</v>
      </c>
      <c r="K3186" t="str">
        <f>VLOOKUP(C3186,CheckName!A:B,2,0)</f>
        <v>Emp</v>
      </c>
      <c r="L3186">
        <v>0</v>
      </c>
      <c r="M3186">
        <f t="shared" ref="M3186:M3188" si="444">DAY(E3186)</f>
        <v>19</v>
      </c>
      <c r="N3186" t="str">
        <f>TEXT(MTDRejection[[#This Row],[RejectionDate]],"dddd")</f>
        <v>Thursday</v>
      </c>
    </row>
    <row r="3187" spans="1:14">
      <c r="A3187" t="s">
        <v>2041</v>
      </c>
      <c r="B3187" t="s">
        <v>5430</v>
      </c>
      <c r="C3187" t="s">
        <v>12</v>
      </c>
      <c r="D3187" t="s">
        <v>26</v>
      </c>
      <c r="E3187" s="7">
        <v>45645</v>
      </c>
      <c r="F3187" t="s">
        <v>2335</v>
      </c>
      <c r="G3187">
        <v>0</v>
      </c>
      <c r="H3187" t="s">
        <v>22</v>
      </c>
      <c r="I3187" t="s">
        <v>16</v>
      </c>
      <c r="J3187" t="s">
        <v>16</v>
      </c>
      <c r="K3187" t="str">
        <f>VLOOKUP(C3187,CheckName!A:B,2,0)</f>
        <v>Emp</v>
      </c>
      <c r="L3187">
        <v>0</v>
      </c>
      <c r="M3187">
        <f t="shared" si="444"/>
        <v>19</v>
      </c>
      <c r="N3187" t="str">
        <f>TEXT(MTDRejection[[#This Row],[RejectionDate]],"dddd")</f>
        <v>Thursday</v>
      </c>
    </row>
    <row r="3188" spans="1:14">
      <c r="A3188" t="s">
        <v>86</v>
      </c>
      <c r="B3188" t="s">
        <v>5431</v>
      </c>
      <c r="C3188" t="s">
        <v>12</v>
      </c>
      <c r="D3188" t="s">
        <v>38</v>
      </c>
      <c r="E3188" s="7">
        <v>45645</v>
      </c>
      <c r="F3188" t="s">
        <v>39</v>
      </c>
      <c r="G3188">
        <v>0</v>
      </c>
      <c r="H3188" t="s">
        <v>42</v>
      </c>
      <c r="I3188" t="s">
        <v>16</v>
      </c>
      <c r="J3188" t="s">
        <v>16</v>
      </c>
      <c r="K3188" t="str">
        <f>VLOOKUP(C3188,CheckName!A:B,2,0)</f>
        <v>Emp</v>
      </c>
      <c r="L3188">
        <v>0</v>
      </c>
      <c r="M3188">
        <f t="shared" si="444"/>
        <v>19</v>
      </c>
      <c r="N3188" t="str">
        <f>TEXT(MTDRejection[[#This Row],[RejectionDate]],"dddd")</f>
        <v>Thursday</v>
      </c>
    </row>
    <row r="3189" spans="1:14">
      <c r="A3189" t="s">
        <v>584</v>
      </c>
      <c r="B3189" t="s">
        <v>5432</v>
      </c>
      <c r="C3189" t="s">
        <v>19</v>
      </c>
      <c r="D3189" t="s">
        <v>20</v>
      </c>
      <c r="E3189" s="7">
        <v>45645</v>
      </c>
      <c r="F3189" t="s">
        <v>129</v>
      </c>
      <c r="G3189">
        <v>0</v>
      </c>
      <c r="H3189" t="s">
        <v>22</v>
      </c>
      <c r="I3189" t="s">
        <v>16</v>
      </c>
      <c r="J3189" t="s">
        <v>16</v>
      </c>
      <c r="K3189" t="str">
        <f>VLOOKUP(C3189,CheckName!A:B,2,0)</f>
        <v>Add</v>
      </c>
      <c r="L3189">
        <v>0</v>
      </c>
      <c r="M3189">
        <f t="shared" ref="M3189:M3190" si="445">DAY(E3189)</f>
        <v>19</v>
      </c>
      <c r="N3189" t="str">
        <f>TEXT(MTDRejection[[#This Row],[RejectionDate]],"dddd")</f>
        <v>Thursday</v>
      </c>
    </row>
    <row r="3190" spans="1:14">
      <c r="A3190" t="s">
        <v>64</v>
      </c>
      <c r="B3190" t="s">
        <v>5433</v>
      </c>
      <c r="C3190" t="s">
        <v>1648</v>
      </c>
      <c r="D3190" t="s">
        <v>26</v>
      </c>
      <c r="E3190" s="7">
        <v>45645</v>
      </c>
      <c r="F3190" t="s">
        <v>129</v>
      </c>
      <c r="G3190">
        <v>0</v>
      </c>
      <c r="H3190" t="s">
        <v>27</v>
      </c>
      <c r="I3190" t="s">
        <v>16</v>
      </c>
      <c r="J3190" t="s">
        <v>16</v>
      </c>
      <c r="K3190" t="str">
        <f>VLOOKUP(C3190,CheckName!A:B,2,0)</f>
        <v>Add</v>
      </c>
      <c r="L3190">
        <v>0</v>
      </c>
      <c r="M3190">
        <f t="shared" si="445"/>
        <v>19</v>
      </c>
      <c r="N3190" t="str">
        <f>TEXT(MTDRejection[[#This Row],[RejectionDate]],"dddd")</f>
        <v>Thursday</v>
      </c>
    </row>
    <row r="3191" spans="1:14">
      <c r="A3191" t="s">
        <v>682</v>
      </c>
      <c r="B3191" t="s">
        <v>5434</v>
      </c>
      <c r="C3191" t="s">
        <v>12</v>
      </c>
      <c r="D3191" t="s">
        <v>26</v>
      </c>
      <c r="E3191" s="7">
        <v>45643</v>
      </c>
      <c r="F3191" t="s">
        <v>37</v>
      </c>
      <c r="G3191">
        <v>2</v>
      </c>
      <c r="H3191" t="s">
        <v>27</v>
      </c>
      <c r="I3191" t="s">
        <v>16</v>
      </c>
      <c r="J3191" t="s">
        <v>16</v>
      </c>
      <c r="K3191" t="str">
        <f>VLOOKUP(C3191,CheckName!A:B,2,0)</f>
        <v>Emp</v>
      </c>
      <c r="L3191">
        <v>0</v>
      </c>
      <c r="M3191">
        <f t="shared" ref="M3191:M3199" si="446">DAY(E3191)</f>
        <v>17</v>
      </c>
      <c r="N3191" t="str">
        <f>TEXT(MTDRejection[[#This Row],[RejectionDate]],"dddd")</f>
        <v>Tuesday</v>
      </c>
    </row>
    <row r="3192" spans="1:14">
      <c r="A3192" t="s">
        <v>263</v>
      </c>
      <c r="B3192" t="s">
        <v>5435</v>
      </c>
      <c r="C3192" t="s">
        <v>12</v>
      </c>
      <c r="D3192" t="s">
        <v>26</v>
      </c>
      <c r="E3192" s="7">
        <v>45643</v>
      </c>
      <c r="F3192" t="s">
        <v>2354</v>
      </c>
      <c r="G3192">
        <v>2</v>
      </c>
      <c r="H3192" t="s">
        <v>22</v>
      </c>
      <c r="I3192" t="s">
        <v>16</v>
      </c>
      <c r="J3192" t="s">
        <v>16</v>
      </c>
      <c r="K3192" t="str">
        <f>VLOOKUP(C3192,CheckName!A:B,2,0)</f>
        <v>Emp</v>
      </c>
      <c r="L3192">
        <v>1</v>
      </c>
      <c r="M3192">
        <f t="shared" si="446"/>
        <v>17</v>
      </c>
      <c r="N3192" t="str">
        <f>TEXT(MTDRejection[[#This Row],[RejectionDate]],"dddd")</f>
        <v>Tuesday</v>
      </c>
    </row>
    <row r="3193" spans="1:14">
      <c r="A3193" t="s">
        <v>1181</v>
      </c>
      <c r="B3193" t="s">
        <v>5436</v>
      </c>
      <c r="C3193" t="s">
        <v>36</v>
      </c>
      <c r="D3193" t="s">
        <v>26</v>
      </c>
      <c r="E3193" s="7">
        <v>45642</v>
      </c>
      <c r="F3193" t="s">
        <v>355</v>
      </c>
      <c r="G3193">
        <v>3</v>
      </c>
      <c r="H3193" t="s">
        <v>22</v>
      </c>
      <c r="I3193" t="s">
        <v>16</v>
      </c>
      <c r="J3193" t="s">
        <v>16</v>
      </c>
      <c r="K3193" t="str">
        <f>VLOOKUP(C3193,CheckName!A:B,2,0)</f>
        <v>Emp</v>
      </c>
      <c r="L3193">
        <v>0</v>
      </c>
      <c r="M3193">
        <f t="shared" si="446"/>
        <v>16</v>
      </c>
      <c r="N3193" t="str">
        <f>TEXT(MTDRejection[[#This Row],[RejectionDate]],"dddd")</f>
        <v>Monday</v>
      </c>
    </row>
    <row r="3194" spans="1:14">
      <c r="A3194" t="s">
        <v>360</v>
      </c>
      <c r="B3194" t="s">
        <v>5437</v>
      </c>
      <c r="C3194" t="s">
        <v>36</v>
      </c>
      <c r="D3194" t="s">
        <v>26</v>
      </c>
      <c r="E3194" s="7">
        <v>45638</v>
      </c>
      <c r="F3194" t="s">
        <v>325</v>
      </c>
      <c r="G3194">
        <v>7</v>
      </c>
      <c r="H3194" t="s">
        <v>27</v>
      </c>
      <c r="I3194" t="s">
        <v>16</v>
      </c>
      <c r="J3194" t="s">
        <v>16</v>
      </c>
      <c r="K3194" t="str">
        <f>VLOOKUP(C3194,CheckName!A:B,2,0)</f>
        <v>Emp</v>
      </c>
      <c r="L3194">
        <v>0</v>
      </c>
      <c r="M3194">
        <f t="shared" si="446"/>
        <v>12</v>
      </c>
      <c r="N3194" t="str">
        <f>TEXT(MTDRejection[[#This Row],[RejectionDate]],"dddd")</f>
        <v>Thursday</v>
      </c>
    </row>
    <row r="3195" spans="1:14">
      <c r="A3195" t="s">
        <v>160</v>
      </c>
      <c r="B3195" t="s">
        <v>5438</v>
      </c>
      <c r="C3195" t="s">
        <v>49</v>
      </c>
      <c r="D3195" t="s">
        <v>13</v>
      </c>
      <c r="E3195" s="7">
        <v>45645</v>
      </c>
      <c r="F3195" t="s">
        <v>2326</v>
      </c>
      <c r="G3195">
        <v>0</v>
      </c>
      <c r="H3195" t="s">
        <v>15</v>
      </c>
      <c r="I3195" t="s">
        <v>16</v>
      </c>
      <c r="J3195" t="s">
        <v>16</v>
      </c>
      <c r="K3195" t="str">
        <f>VLOOKUP(C3195,CheckName!A:B,2,0)</f>
        <v>CRC</v>
      </c>
      <c r="L3195">
        <v>0</v>
      </c>
      <c r="M3195">
        <f t="shared" si="446"/>
        <v>19</v>
      </c>
      <c r="N3195" t="str">
        <f>TEXT(MTDRejection[[#This Row],[RejectionDate]],"dddd")</f>
        <v>Thursday</v>
      </c>
    </row>
    <row r="3196" spans="1:14">
      <c r="A3196" t="s">
        <v>64</v>
      </c>
      <c r="B3196" t="s">
        <v>5439</v>
      </c>
      <c r="C3196" t="s">
        <v>71</v>
      </c>
      <c r="D3196" t="s">
        <v>13</v>
      </c>
      <c r="E3196" s="7">
        <v>45645</v>
      </c>
      <c r="F3196" t="s">
        <v>1310</v>
      </c>
      <c r="G3196">
        <v>0</v>
      </c>
      <c r="H3196" t="s">
        <v>15</v>
      </c>
      <c r="I3196" t="s">
        <v>16</v>
      </c>
      <c r="J3196" t="s">
        <v>16</v>
      </c>
      <c r="K3196" t="str">
        <f>VLOOKUP(C3196,CheckName!A:B,2,0)</f>
        <v>CRC</v>
      </c>
      <c r="L3196">
        <v>0</v>
      </c>
      <c r="M3196">
        <f t="shared" si="446"/>
        <v>19</v>
      </c>
      <c r="N3196" t="str">
        <f>TEXT(MTDRejection[[#This Row],[RejectionDate]],"dddd")</f>
        <v>Thursday</v>
      </c>
    </row>
    <row r="3197" spans="1:14">
      <c r="A3197" t="s">
        <v>853</v>
      </c>
      <c r="B3197" t="s">
        <v>5440</v>
      </c>
      <c r="C3197" t="s">
        <v>25</v>
      </c>
      <c r="D3197" t="s">
        <v>20</v>
      </c>
      <c r="E3197" s="7">
        <v>45645</v>
      </c>
      <c r="F3197" t="s">
        <v>273</v>
      </c>
      <c r="G3197">
        <v>0</v>
      </c>
      <c r="H3197" t="s">
        <v>22</v>
      </c>
      <c r="I3197" t="s">
        <v>16</v>
      </c>
      <c r="J3197" t="s">
        <v>16</v>
      </c>
      <c r="K3197" t="str">
        <f>VLOOKUP(C3197,CheckName!A:B,2,0)</f>
        <v>Add</v>
      </c>
      <c r="L3197">
        <v>0</v>
      </c>
      <c r="M3197">
        <f t="shared" si="446"/>
        <v>19</v>
      </c>
      <c r="N3197" t="str">
        <f>TEXT(MTDRejection[[#This Row],[RejectionDate]],"dddd")</f>
        <v>Thursday</v>
      </c>
    </row>
    <row r="3198" spans="1:14">
      <c r="A3198" t="s">
        <v>172</v>
      </c>
      <c r="B3198" t="s">
        <v>5441</v>
      </c>
      <c r="C3198" t="s">
        <v>25</v>
      </c>
      <c r="D3198" t="s">
        <v>20</v>
      </c>
      <c r="E3198" s="7">
        <v>45645</v>
      </c>
      <c r="F3198" t="s">
        <v>2327</v>
      </c>
      <c r="G3198">
        <v>0</v>
      </c>
      <c r="H3198" t="s">
        <v>22</v>
      </c>
      <c r="I3198" t="s">
        <v>16</v>
      </c>
      <c r="J3198" t="s">
        <v>16</v>
      </c>
      <c r="K3198" t="str">
        <f>VLOOKUP(C3198,CheckName!A:B,2,0)</f>
        <v>Add</v>
      </c>
      <c r="L3198">
        <v>0</v>
      </c>
      <c r="M3198">
        <f t="shared" si="446"/>
        <v>19</v>
      </c>
      <c r="N3198" t="str">
        <f>TEXT(MTDRejection[[#This Row],[RejectionDate]],"dddd")</f>
        <v>Thursday</v>
      </c>
    </row>
    <row r="3199" spans="1:14">
      <c r="A3199" t="s">
        <v>119</v>
      </c>
      <c r="B3199" t="s">
        <v>5442</v>
      </c>
      <c r="C3199" t="s">
        <v>19</v>
      </c>
      <c r="D3199" t="s">
        <v>20</v>
      </c>
      <c r="E3199" s="7">
        <v>45645</v>
      </c>
      <c r="F3199" t="s">
        <v>2327</v>
      </c>
      <c r="G3199">
        <v>0</v>
      </c>
      <c r="H3199" t="s">
        <v>22</v>
      </c>
      <c r="I3199" t="s">
        <v>16</v>
      </c>
      <c r="J3199" t="s">
        <v>16</v>
      </c>
      <c r="K3199" t="str">
        <f>VLOOKUP(C3199,CheckName!A:B,2,0)</f>
        <v>Add</v>
      </c>
      <c r="L3199">
        <v>1</v>
      </c>
      <c r="M3199">
        <f t="shared" si="446"/>
        <v>19</v>
      </c>
      <c r="N3199" t="str">
        <f>TEXT(MTDRejection[[#This Row],[RejectionDate]],"dddd")</f>
        <v>Thursday</v>
      </c>
    </row>
    <row r="3200" spans="1:14">
      <c r="A3200" t="s">
        <v>1787</v>
      </c>
      <c r="B3200" t="s">
        <v>5443</v>
      </c>
      <c r="C3200" t="s">
        <v>1665</v>
      </c>
      <c r="D3200" t="s">
        <v>13</v>
      </c>
      <c r="E3200" s="7">
        <v>45645</v>
      </c>
      <c r="F3200" t="s">
        <v>230</v>
      </c>
      <c r="G3200">
        <v>0</v>
      </c>
      <c r="H3200" t="s">
        <v>15</v>
      </c>
      <c r="I3200" t="s">
        <v>16</v>
      </c>
      <c r="J3200" t="s">
        <v>16</v>
      </c>
      <c r="K3200" t="str">
        <f>VLOOKUP(C3200,CheckName!A:B,2,0)</f>
        <v>Edu</v>
      </c>
      <c r="L3200">
        <v>0</v>
      </c>
      <c r="M3200">
        <f t="shared" ref="M3200:M3207" si="447">DAY(E3200)</f>
        <v>19</v>
      </c>
      <c r="N3200" t="str">
        <f>TEXT(MTDRejection[[#This Row],[RejectionDate]],"dddd")</f>
        <v>Thursday</v>
      </c>
    </row>
    <row r="3201" spans="1:14">
      <c r="A3201" t="s">
        <v>499</v>
      </c>
      <c r="B3201" t="s">
        <v>5444</v>
      </c>
      <c r="C3201" t="s">
        <v>71</v>
      </c>
      <c r="D3201" t="s">
        <v>13</v>
      </c>
      <c r="E3201" s="7">
        <v>45645</v>
      </c>
      <c r="F3201" t="s">
        <v>33</v>
      </c>
      <c r="G3201">
        <v>0</v>
      </c>
      <c r="H3201" t="s">
        <v>15</v>
      </c>
      <c r="I3201" t="s">
        <v>16</v>
      </c>
      <c r="J3201" t="s">
        <v>16</v>
      </c>
      <c r="K3201" t="str">
        <f>VLOOKUP(C3201,CheckName!A:B,2,0)</f>
        <v>CRC</v>
      </c>
      <c r="L3201">
        <v>0</v>
      </c>
      <c r="M3201">
        <f t="shared" si="447"/>
        <v>19</v>
      </c>
      <c r="N3201" t="str">
        <f>TEXT(MTDRejection[[#This Row],[RejectionDate]],"dddd")</f>
        <v>Thursday</v>
      </c>
    </row>
    <row r="3202" spans="1:14">
      <c r="A3202" t="s">
        <v>1221</v>
      </c>
      <c r="B3202" t="s">
        <v>5445</v>
      </c>
      <c r="C3202" t="s">
        <v>12</v>
      </c>
      <c r="D3202" t="s">
        <v>13</v>
      </c>
      <c r="E3202" s="7">
        <v>45645</v>
      </c>
      <c r="F3202" t="s">
        <v>492</v>
      </c>
      <c r="G3202">
        <v>0</v>
      </c>
      <c r="H3202" t="s">
        <v>15</v>
      </c>
      <c r="I3202" t="s">
        <v>16</v>
      </c>
      <c r="J3202" t="s">
        <v>16</v>
      </c>
      <c r="K3202" t="str">
        <f>VLOOKUP(C3202,CheckName!A:B,2,0)</f>
        <v>Emp</v>
      </c>
      <c r="L3202">
        <v>0</v>
      </c>
      <c r="M3202">
        <f t="shared" si="447"/>
        <v>19</v>
      </c>
      <c r="N3202" t="str">
        <f>TEXT(MTDRejection[[#This Row],[RejectionDate]],"dddd")</f>
        <v>Thursday</v>
      </c>
    </row>
    <row r="3203" spans="1:14">
      <c r="A3203" t="s">
        <v>96</v>
      </c>
      <c r="B3203" t="s">
        <v>5446</v>
      </c>
      <c r="C3203" t="s">
        <v>106</v>
      </c>
      <c r="D3203" t="s">
        <v>13</v>
      </c>
      <c r="E3203" s="7">
        <v>45645</v>
      </c>
      <c r="F3203" t="s">
        <v>492</v>
      </c>
      <c r="G3203">
        <v>0</v>
      </c>
      <c r="H3203" t="s">
        <v>15</v>
      </c>
      <c r="I3203" t="s">
        <v>16</v>
      </c>
      <c r="J3203" t="s">
        <v>16</v>
      </c>
      <c r="K3203" t="str">
        <f>VLOOKUP(C3203,CheckName!A:B,2,0)</f>
        <v>Ref</v>
      </c>
      <c r="L3203">
        <v>0</v>
      </c>
      <c r="M3203">
        <f t="shared" si="447"/>
        <v>19</v>
      </c>
      <c r="N3203" t="str">
        <f>TEXT(MTDRejection[[#This Row],[RejectionDate]],"dddd")</f>
        <v>Thursday</v>
      </c>
    </row>
    <row r="3204" spans="1:14">
      <c r="A3204" t="s">
        <v>96</v>
      </c>
      <c r="B3204" t="s">
        <v>5447</v>
      </c>
      <c r="C3204" t="s">
        <v>71</v>
      </c>
      <c r="D3204" t="s">
        <v>13</v>
      </c>
      <c r="E3204" s="7">
        <v>45645</v>
      </c>
      <c r="F3204" t="s">
        <v>492</v>
      </c>
      <c r="G3204">
        <v>0</v>
      </c>
      <c r="H3204" t="s">
        <v>15</v>
      </c>
      <c r="I3204" t="s">
        <v>16</v>
      </c>
      <c r="J3204" t="s">
        <v>16</v>
      </c>
      <c r="K3204" t="str">
        <f>VLOOKUP(C3204,CheckName!A:B,2,0)</f>
        <v>CRC</v>
      </c>
      <c r="L3204">
        <v>0</v>
      </c>
      <c r="M3204">
        <f t="shared" si="447"/>
        <v>19</v>
      </c>
      <c r="N3204" t="str">
        <f>TEXT(MTDRejection[[#This Row],[RejectionDate]],"dddd")</f>
        <v>Thursday</v>
      </c>
    </row>
    <row r="3205" spans="1:14">
      <c r="A3205" t="s">
        <v>96</v>
      </c>
      <c r="B3205" t="s">
        <v>5448</v>
      </c>
      <c r="C3205" t="s">
        <v>1818</v>
      </c>
      <c r="D3205" t="s">
        <v>13</v>
      </c>
      <c r="E3205" s="7">
        <v>45645</v>
      </c>
      <c r="F3205" t="s">
        <v>492</v>
      </c>
      <c r="G3205">
        <v>0</v>
      </c>
      <c r="H3205" t="s">
        <v>15</v>
      </c>
      <c r="I3205" t="s">
        <v>16</v>
      </c>
      <c r="J3205" t="s">
        <v>16</v>
      </c>
      <c r="K3205" t="str">
        <f>VLOOKUP(C3205,CheckName!A:B,2,0)</f>
        <v>Special Check</v>
      </c>
      <c r="L3205">
        <v>0</v>
      </c>
      <c r="M3205">
        <f t="shared" si="447"/>
        <v>19</v>
      </c>
      <c r="N3205" t="str">
        <f>TEXT(MTDRejection[[#This Row],[RejectionDate]],"dddd")</f>
        <v>Thursday</v>
      </c>
    </row>
    <row r="3206" spans="1:14">
      <c r="A3206" t="s">
        <v>96</v>
      </c>
      <c r="B3206" t="s">
        <v>5449</v>
      </c>
      <c r="C3206" t="s">
        <v>59</v>
      </c>
      <c r="D3206" t="s">
        <v>13</v>
      </c>
      <c r="E3206" s="7">
        <v>45645</v>
      </c>
      <c r="F3206" t="s">
        <v>492</v>
      </c>
      <c r="G3206">
        <v>0</v>
      </c>
      <c r="H3206" t="s">
        <v>15</v>
      </c>
      <c r="I3206" t="s">
        <v>16</v>
      </c>
      <c r="J3206" t="s">
        <v>16</v>
      </c>
      <c r="K3206" t="str">
        <f>VLOOKUP(C3206,CheckName!A:B,2,0)</f>
        <v>Special Check</v>
      </c>
      <c r="L3206">
        <v>0</v>
      </c>
      <c r="M3206">
        <f t="shared" si="447"/>
        <v>19</v>
      </c>
      <c r="N3206" t="str">
        <f>TEXT(MTDRejection[[#This Row],[RejectionDate]],"dddd")</f>
        <v>Thursday</v>
      </c>
    </row>
    <row r="3207" spans="1:14">
      <c r="A3207" t="s">
        <v>96</v>
      </c>
      <c r="B3207" t="s">
        <v>5450</v>
      </c>
      <c r="C3207" t="s">
        <v>56</v>
      </c>
      <c r="D3207" t="s">
        <v>13</v>
      </c>
      <c r="E3207" s="7">
        <v>45645</v>
      </c>
      <c r="F3207" t="s">
        <v>492</v>
      </c>
      <c r="G3207">
        <v>0</v>
      </c>
      <c r="H3207" t="s">
        <v>15</v>
      </c>
      <c r="I3207" t="s">
        <v>16</v>
      </c>
      <c r="J3207" t="s">
        <v>16</v>
      </c>
      <c r="K3207" t="str">
        <f>VLOOKUP(C3207,CheckName!A:B,2,0)</f>
        <v>Special Check</v>
      </c>
      <c r="L3207">
        <v>0</v>
      </c>
      <c r="M3207">
        <f t="shared" si="447"/>
        <v>19</v>
      </c>
      <c r="N3207" t="str">
        <f>TEXT(MTDRejection[[#This Row],[RejectionDate]],"dddd")</f>
        <v>Thursday</v>
      </c>
    </row>
    <row r="3208" spans="1:14">
      <c r="A3208" t="s">
        <v>239</v>
      </c>
      <c r="B3208" t="s">
        <v>5451</v>
      </c>
      <c r="C3208" t="s">
        <v>19</v>
      </c>
      <c r="D3208" t="s">
        <v>26</v>
      </c>
      <c r="E3208" s="7">
        <v>45645</v>
      </c>
      <c r="F3208" t="s">
        <v>2330</v>
      </c>
      <c r="G3208">
        <v>0</v>
      </c>
      <c r="H3208" t="s">
        <v>27</v>
      </c>
      <c r="I3208" t="s">
        <v>16</v>
      </c>
      <c r="J3208" t="s">
        <v>16</v>
      </c>
      <c r="K3208" t="str">
        <f>VLOOKUP(C3208,CheckName!A:B,2,0)</f>
        <v>Add</v>
      </c>
      <c r="L3208">
        <v>0</v>
      </c>
      <c r="M3208">
        <f>DAY(E3208)</f>
        <v>19</v>
      </c>
      <c r="N3208" t="str">
        <f>TEXT(MTDRejection[[#This Row],[RejectionDate]],"dddd")</f>
        <v>Thursday</v>
      </c>
    </row>
    <row r="3209" spans="1:14">
      <c r="A3209" t="s">
        <v>100</v>
      </c>
      <c r="B3209" t="s">
        <v>5452</v>
      </c>
      <c r="C3209" t="s">
        <v>102</v>
      </c>
      <c r="D3209" t="s">
        <v>26</v>
      </c>
      <c r="E3209" s="7">
        <v>45645</v>
      </c>
      <c r="F3209" t="s">
        <v>210</v>
      </c>
      <c r="G3209">
        <v>0</v>
      </c>
      <c r="H3209" t="s">
        <v>27</v>
      </c>
      <c r="I3209" t="s">
        <v>16</v>
      </c>
      <c r="J3209" t="s">
        <v>16</v>
      </c>
      <c r="K3209" t="str">
        <f>VLOOKUP(C3209,CheckName!A:B,2,0)</f>
        <v>Edu</v>
      </c>
      <c r="L3209">
        <v>0</v>
      </c>
      <c r="M3209">
        <f t="shared" ref="M3209:M3213" si="448">DAY(E3209)</f>
        <v>19</v>
      </c>
      <c r="N3209" t="str">
        <f>TEXT(MTDRejection[[#This Row],[RejectionDate]],"dddd")</f>
        <v>Thursday</v>
      </c>
    </row>
    <row r="3210" spans="1:14">
      <c r="A3210" t="s">
        <v>912</v>
      </c>
      <c r="B3210" t="s">
        <v>5453</v>
      </c>
      <c r="C3210" t="s">
        <v>36</v>
      </c>
      <c r="D3210" t="s">
        <v>38</v>
      </c>
      <c r="E3210" s="7">
        <v>45645</v>
      </c>
      <c r="F3210" t="s">
        <v>39</v>
      </c>
      <c r="G3210">
        <v>0</v>
      </c>
      <c r="H3210" t="s">
        <v>42</v>
      </c>
      <c r="I3210" t="s">
        <v>16</v>
      </c>
      <c r="J3210" t="s">
        <v>16</v>
      </c>
      <c r="K3210" t="str">
        <f>VLOOKUP(C3210,CheckName!A:B,2,0)</f>
        <v>Emp</v>
      </c>
      <c r="L3210">
        <v>0</v>
      </c>
      <c r="M3210">
        <f t="shared" si="448"/>
        <v>19</v>
      </c>
      <c r="N3210" t="str">
        <f>TEXT(MTDRejection[[#This Row],[RejectionDate]],"dddd")</f>
        <v>Thursday</v>
      </c>
    </row>
    <row r="3211" spans="1:14">
      <c r="A3211" t="s">
        <v>45</v>
      </c>
      <c r="B3211" t="s">
        <v>5454</v>
      </c>
      <c r="C3211" t="s">
        <v>36</v>
      </c>
      <c r="D3211" t="s">
        <v>38</v>
      </c>
      <c r="E3211" s="7">
        <v>45645</v>
      </c>
      <c r="F3211" t="s">
        <v>39</v>
      </c>
      <c r="G3211">
        <v>0</v>
      </c>
      <c r="H3211" t="s">
        <v>42</v>
      </c>
      <c r="I3211" t="s">
        <v>16</v>
      </c>
      <c r="J3211" t="s">
        <v>16</v>
      </c>
      <c r="K3211" t="str">
        <f>VLOOKUP(C3211,CheckName!A:B,2,0)</f>
        <v>Emp</v>
      </c>
      <c r="L3211">
        <v>0</v>
      </c>
      <c r="M3211">
        <f t="shared" si="448"/>
        <v>19</v>
      </c>
      <c r="N3211" t="str">
        <f>TEXT(MTDRejection[[#This Row],[RejectionDate]],"dddd")</f>
        <v>Thursday</v>
      </c>
    </row>
    <row r="3212" spans="1:14">
      <c r="A3212" t="s">
        <v>1455</v>
      </c>
      <c r="B3212" t="s">
        <v>5455</v>
      </c>
      <c r="C3212" t="s">
        <v>36</v>
      </c>
      <c r="D3212" t="s">
        <v>51</v>
      </c>
      <c r="E3212" s="7">
        <v>45645</v>
      </c>
      <c r="F3212" t="s">
        <v>2331</v>
      </c>
      <c r="G3212">
        <v>0</v>
      </c>
      <c r="H3212" t="s">
        <v>53</v>
      </c>
      <c r="I3212" t="s">
        <v>16</v>
      </c>
      <c r="J3212" t="s">
        <v>16</v>
      </c>
      <c r="K3212" t="str">
        <f>VLOOKUP(C3212,CheckName!A:B,2,0)</f>
        <v>Emp</v>
      </c>
      <c r="L3212">
        <v>0</v>
      </c>
      <c r="M3212">
        <f t="shared" si="448"/>
        <v>19</v>
      </c>
      <c r="N3212" t="str">
        <f>TEXT(MTDRejection[[#This Row],[RejectionDate]],"dddd")</f>
        <v>Thursday</v>
      </c>
    </row>
    <row r="3213" spans="1:14">
      <c r="A3213" t="s">
        <v>499</v>
      </c>
      <c r="B3213" t="s">
        <v>5456</v>
      </c>
      <c r="C3213" t="s">
        <v>125</v>
      </c>
      <c r="D3213" t="s">
        <v>13</v>
      </c>
      <c r="E3213" s="7">
        <v>45645</v>
      </c>
      <c r="F3213" t="s">
        <v>574</v>
      </c>
      <c r="G3213">
        <v>0</v>
      </c>
      <c r="H3213" t="s">
        <v>15</v>
      </c>
      <c r="I3213" t="s">
        <v>16</v>
      </c>
      <c r="J3213" t="s">
        <v>16</v>
      </c>
      <c r="K3213" t="str">
        <f>VLOOKUP(C3213,CheckName!A:B,2,0)</f>
        <v>Emp</v>
      </c>
      <c r="L3213">
        <v>0</v>
      </c>
      <c r="M3213">
        <f t="shared" si="448"/>
        <v>19</v>
      </c>
      <c r="N3213" t="str">
        <f>TEXT(MTDRejection[[#This Row],[RejectionDate]],"dddd")</f>
        <v>Thursday</v>
      </c>
    </row>
    <row r="3214" spans="1:14">
      <c r="A3214" t="s">
        <v>216</v>
      </c>
      <c r="B3214" t="s">
        <v>5457</v>
      </c>
      <c r="C3214" t="s">
        <v>49</v>
      </c>
      <c r="D3214" t="s">
        <v>13</v>
      </c>
      <c r="E3214" s="7">
        <v>45645</v>
      </c>
      <c r="F3214" t="s">
        <v>1861</v>
      </c>
      <c r="G3214">
        <v>0</v>
      </c>
      <c r="H3214" t="s">
        <v>15</v>
      </c>
      <c r="I3214" t="s">
        <v>16</v>
      </c>
      <c r="J3214" t="s">
        <v>16</v>
      </c>
      <c r="K3214" t="str">
        <f>VLOOKUP(C3214,CheckName!A:B,2,0)</f>
        <v>CRC</v>
      </c>
      <c r="L3214">
        <v>0</v>
      </c>
      <c r="M3214">
        <f t="shared" ref="M3214:M3215" si="449">DAY(E3214)</f>
        <v>19</v>
      </c>
      <c r="N3214" t="str">
        <f>TEXT(MTDRejection[[#This Row],[RejectionDate]],"dddd")</f>
        <v>Thursday</v>
      </c>
    </row>
    <row r="3215" spans="1:14">
      <c r="A3215" t="s">
        <v>216</v>
      </c>
      <c r="B3215" t="s">
        <v>5458</v>
      </c>
      <c r="C3215" t="s">
        <v>71</v>
      </c>
      <c r="D3215" t="s">
        <v>13</v>
      </c>
      <c r="E3215" s="7">
        <v>45645</v>
      </c>
      <c r="F3215" t="s">
        <v>1861</v>
      </c>
      <c r="G3215">
        <v>0</v>
      </c>
      <c r="H3215" t="s">
        <v>15</v>
      </c>
      <c r="I3215" t="s">
        <v>16</v>
      </c>
      <c r="J3215" t="s">
        <v>16</v>
      </c>
      <c r="K3215" t="str">
        <f>VLOOKUP(C3215,CheckName!A:B,2,0)</f>
        <v>CRC</v>
      </c>
      <c r="L3215">
        <v>0</v>
      </c>
      <c r="M3215">
        <f t="shared" si="449"/>
        <v>19</v>
      </c>
      <c r="N3215" t="str">
        <f>TEXT(MTDRejection[[#This Row],[RejectionDate]],"dddd")</f>
        <v>Thursday</v>
      </c>
    </row>
    <row r="3216" spans="1:14">
      <c r="A3216" t="s">
        <v>465</v>
      </c>
      <c r="B3216" t="s">
        <v>5459</v>
      </c>
      <c r="C3216" t="s">
        <v>12</v>
      </c>
      <c r="D3216" t="s">
        <v>26</v>
      </c>
      <c r="E3216" s="7">
        <v>45645</v>
      </c>
      <c r="F3216" t="s">
        <v>277</v>
      </c>
      <c r="G3216">
        <v>0</v>
      </c>
      <c r="H3216" t="s">
        <v>27</v>
      </c>
      <c r="I3216" t="s">
        <v>16</v>
      </c>
      <c r="J3216" t="s">
        <v>16</v>
      </c>
      <c r="K3216" t="str">
        <f>VLOOKUP(C3216,CheckName!A:B,2,0)</f>
        <v>Emp</v>
      </c>
      <c r="L3216">
        <v>0</v>
      </c>
      <c r="M3216">
        <f>DAY(E3216)</f>
        <v>19</v>
      </c>
      <c r="N3216" t="str">
        <f>TEXT(MTDRejection[[#This Row],[RejectionDate]],"dddd")</f>
        <v>Thursday</v>
      </c>
    </row>
    <row r="3217" spans="1:14">
      <c r="A3217" t="s">
        <v>1824</v>
      </c>
      <c r="B3217" t="s">
        <v>5460</v>
      </c>
      <c r="C3217" t="s">
        <v>123</v>
      </c>
      <c r="D3217" t="s">
        <v>13</v>
      </c>
      <c r="E3217" s="7">
        <v>45645</v>
      </c>
      <c r="F3217" t="s">
        <v>1421</v>
      </c>
      <c r="G3217">
        <v>0</v>
      </c>
      <c r="H3217" t="s">
        <v>30</v>
      </c>
      <c r="I3217" t="s">
        <v>16</v>
      </c>
      <c r="J3217" t="s">
        <v>16</v>
      </c>
      <c r="K3217" t="str">
        <f>VLOOKUP(C3217,CheckName!A:B,2,0)</f>
        <v>Special Check</v>
      </c>
      <c r="L3217">
        <v>0</v>
      </c>
      <c r="M3217">
        <f t="shared" ref="M3217:M3224" si="450">DAY(E3217)</f>
        <v>19</v>
      </c>
      <c r="N3217" t="str">
        <f>TEXT(MTDRejection[[#This Row],[RejectionDate]],"dddd")</f>
        <v>Thursday</v>
      </c>
    </row>
    <row r="3218" spans="1:14">
      <c r="A3218" t="s">
        <v>1824</v>
      </c>
      <c r="B3218" t="s">
        <v>5461</v>
      </c>
      <c r="C3218" t="s">
        <v>59</v>
      </c>
      <c r="D3218" t="s">
        <v>13</v>
      </c>
      <c r="E3218" s="7">
        <v>45645</v>
      </c>
      <c r="F3218" t="s">
        <v>1421</v>
      </c>
      <c r="G3218">
        <v>0</v>
      </c>
      <c r="H3218" t="s">
        <v>30</v>
      </c>
      <c r="I3218" t="s">
        <v>16</v>
      </c>
      <c r="J3218" t="s">
        <v>16</v>
      </c>
      <c r="K3218" t="str">
        <f>VLOOKUP(C3218,CheckName!A:B,2,0)</f>
        <v>Special Check</v>
      </c>
      <c r="L3218">
        <v>0</v>
      </c>
      <c r="M3218">
        <f t="shared" si="450"/>
        <v>19</v>
      </c>
      <c r="N3218" t="str">
        <f>TEXT(MTDRejection[[#This Row],[RejectionDate]],"dddd")</f>
        <v>Thursday</v>
      </c>
    </row>
    <row r="3219" spans="1:14">
      <c r="A3219" t="s">
        <v>1824</v>
      </c>
      <c r="B3219" t="s">
        <v>5462</v>
      </c>
      <c r="C3219" t="s">
        <v>56</v>
      </c>
      <c r="D3219" t="s">
        <v>13</v>
      </c>
      <c r="E3219" s="7">
        <v>45645</v>
      </c>
      <c r="F3219" t="s">
        <v>1421</v>
      </c>
      <c r="G3219">
        <v>0</v>
      </c>
      <c r="H3219" t="s">
        <v>30</v>
      </c>
      <c r="I3219" t="s">
        <v>16</v>
      </c>
      <c r="J3219" t="s">
        <v>16</v>
      </c>
      <c r="K3219" t="str">
        <f>VLOOKUP(C3219,CheckName!A:B,2,0)</f>
        <v>Special Check</v>
      </c>
      <c r="L3219">
        <v>0</v>
      </c>
      <c r="M3219">
        <f t="shared" si="450"/>
        <v>19</v>
      </c>
      <c r="N3219" t="str">
        <f>TEXT(MTDRejection[[#This Row],[RejectionDate]],"dddd")</f>
        <v>Thursday</v>
      </c>
    </row>
    <row r="3220" spans="1:14">
      <c r="A3220" t="s">
        <v>1824</v>
      </c>
      <c r="B3220" t="s">
        <v>5463</v>
      </c>
      <c r="C3220" t="s">
        <v>54</v>
      </c>
      <c r="D3220" t="s">
        <v>13</v>
      </c>
      <c r="E3220" s="7">
        <v>45645</v>
      </c>
      <c r="F3220" t="s">
        <v>1421</v>
      </c>
      <c r="G3220">
        <v>0</v>
      </c>
      <c r="H3220" t="s">
        <v>30</v>
      </c>
      <c r="I3220" t="s">
        <v>16</v>
      </c>
      <c r="J3220" t="s">
        <v>16</v>
      </c>
      <c r="K3220" t="str">
        <f>VLOOKUP(C3220,CheckName!A:B,2,0)</f>
        <v>Edu</v>
      </c>
      <c r="L3220">
        <v>0</v>
      </c>
      <c r="M3220">
        <f t="shared" si="450"/>
        <v>19</v>
      </c>
      <c r="N3220" t="str">
        <f>TEXT(MTDRejection[[#This Row],[RejectionDate]],"dddd")</f>
        <v>Thursday</v>
      </c>
    </row>
    <row r="3221" spans="1:14">
      <c r="A3221" t="s">
        <v>1824</v>
      </c>
      <c r="B3221" t="s">
        <v>2087</v>
      </c>
      <c r="C3221" t="s">
        <v>19</v>
      </c>
      <c r="D3221" t="s">
        <v>13</v>
      </c>
      <c r="E3221" s="7">
        <v>45645</v>
      </c>
      <c r="F3221" t="s">
        <v>1421</v>
      </c>
      <c r="G3221">
        <v>0</v>
      </c>
      <c r="H3221" t="s">
        <v>30</v>
      </c>
      <c r="I3221" t="s">
        <v>16</v>
      </c>
      <c r="J3221" t="s">
        <v>16</v>
      </c>
      <c r="K3221" t="str">
        <f>VLOOKUP(C3221,CheckName!A:B,2,0)</f>
        <v>Add</v>
      </c>
      <c r="L3221">
        <v>0</v>
      </c>
      <c r="M3221">
        <f t="shared" si="450"/>
        <v>19</v>
      </c>
      <c r="N3221" t="str">
        <f>TEXT(MTDRejection[[#This Row],[RejectionDate]],"dddd")</f>
        <v>Thursday</v>
      </c>
    </row>
    <row r="3222" spans="1:14">
      <c r="A3222" t="s">
        <v>1824</v>
      </c>
      <c r="B3222" t="s">
        <v>2087</v>
      </c>
      <c r="C3222" t="s">
        <v>1720</v>
      </c>
      <c r="D3222" t="s">
        <v>13</v>
      </c>
      <c r="E3222" s="7">
        <v>45645</v>
      </c>
      <c r="F3222" t="s">
        <v>1421</v>
      </c>
      <c r="G3222">
        <v>0</v>
      </c>
      <c r="H3222" t="s">
        <v>30</v>
      </c>
      <c r="I3222" t="s">
        <v>16</v>
      </c>
      <c r="J3222" t="s">
        <v>16</v>
      </c>
      <c r="K3222" t="str">
        <f>VLOOKUP(C3222,CheckName!A:B,2,0)</f>
        <v>Drug</v>
      </c>
      <c r="L3222">
        <v>0</v>
      </c>
      <c r="M3222">
        <f t="shared" si="450"/>
        <v>19</v>
      </c>
      <c r="N3222" t="str">
        <f>TEXT(MTDRejection[[#This Row],[RejectionDate]],"dddd")</f>
        <v>Thursday</v>
      </c>
    </row>
    <row r="3223" spans="1:14">
      <c r="A3223" t="s">
        <v>1824</v>
      </c>
      <c r="B3223" t="s">
        <v>5464</v>
      </c>
      <c r="C3223" t="s">
        <v>71</v>
      </c>
      <c r="D3223" t="s">
        <v>13</v>
      </c>
      <c r="E3223" s="7">
        <v>45645</v>
      </c>
      <c r="F3223" t="s">
        <v>1421</v>
      </c>
      <c r="G3223">
        <v>0</v>
      </c>
      <c r="H3223" t="s">
        <v>30</v>
      </c>
      <c r="I3223" t="s">
        <v>16</v>
      </c>
      <c r="J3223" t="s">
        <v>16</v>
      </c>
      <c r="K3223" t="str">
        <f>VLOOKUP(C3223,CheckName!A:B,2,0)</f>
        <v>CRC</v>
      </c>
      <c r="L3223">
        <v>0</v>
      </c>
      <c r="M3223">
        <f t="shared" si="450"/>
        <v>19</v>
      </c>
      <c r="N3223" t="str">
        <f>TEXT(MTDRejection[[#This Row],[RejectionDate]],"dddd")</f>
        <v>Thursday</v>
      </c>
    </row>
    <row r="3224" spans="1:14">
      <c r="A3224" t="s">
        <v>432</v>
      </c>
      <c r="B3224" t="s">
        <v>5465</v>
      </c>
      <c r="C3224" t="s">
        <v>71</v>
      </c>
      <c r="D3224" t="s">
        <v>13</v>
      </c>
      <c r="E3224" s="7">
        <v>45645</v>
      </c>
      <c r="F3224" t="s">
        <v>1421</v>
      </c>
      <c r="G3224">
        <v>0</v>
      </c>
      <c r="H3224" t="s">
        <v>15</v>
      </c>
      <c r="I3224" t="s">
        <v>16</v>
      </c>
      <c r="J3224" t="s">
        <v>16</v>
      </c>
      <c r="K3224" t="str">
        <f>VLOOKUP(C3224,CheckName!A:B,2,0)</f>
        <v>CRC</v>
      </c>
      <c r="L3224">
        <v>0</v>
      </c>
      <c r="M3224">
        <f t="shared" si="450"/>
        <v>19</v>
      </c>
      <c r="N3224" t="str">
        <f>TEXT(MTDRejection[[#This Row],[RejectionDate]],"dddd")</f>
        <v>Thursday</v>
      </c>
    </row>
    <row r="3225" spans="1:14">
      <c r="A3225" t="s">
        <v>446</v>
      </c>
      <c r="B3225" t="s">
        <v>5466</v>
      </c>
      <c r="C3225" t="s">
        <v>54</v>
      </c>
      <c r="D3225" t="s">
        <v>26</v>
      </c>
      <c r="E3225" s="7">
        <v>45645</v>
      </c>
      <c r="F3225" t="s">
        <v>94</v>
      </c>
      <c r="G3225">
        <v>0</v>
      </c>
      <c r="H3225" t="s">
        <v>95</v>
      </c>
      <c r="I3225" t="s">
        <v>16</v>
      </c>
      <c r="J3225" t="s">
        <v>16</v>
      </c>
      <c r="K3225" t="str">
        <f>VLOOKUP(C3225,CheckName!A:B,2,0)</f>
        <v>Edu</v>
      </c>
      <c r="L3225">
        <v>1</v>
      </c>
      <c r="M3225">
        <f>DAY(E3225)</f>
        <v>19</v>
      </c>
      <c r="N3225" t="str">
        <f>TEXT(MTDRejection[[#This Row],[RejectionDate]],"dddd")</f>
        <v>Thursday</v>
      </c>
    </row>
    <row r="3226" spans="1:14">
      <c r="A3226" t="s">
        <v>180</v>
      </c>
      <c r="B3226" t="s">
        <v>5467</v>
      </c>
      <c r="C3226" t="s">
        <v>54</v>
      </c>
      <c r="D3226" t="s">
        <v>13</v>
      </c>
      <c r="E3226" s="7">
        <v>45645</v>
      </c>
      <c r="F3226" t="s">
        <v>107</v>
      </c>
      <c r="G3226">
        <v>0</v>
      </c>
      <c r="H3226" t="s">
        <v>15</v>
      </c>
      <c r="I3226" t="s">
        <v>16</v>
      </c>
      <c r="J3226" t="s">
        <v>16</v>
      </c>
      <c r="K3226" t="str">
        <f>VLOOKUP(C3226,CheckName!A:B,2,0)</f>
        <v>Edu</v>
      </c>
      <c r="L3226">
        <v>0</v>
      </c>
      <c r="M3226">
        <f t="shared" ref="M3226:M3227" si="451">DAY(E3226)</f>
        <v>19</v>
      </c>
      <c r="N3226" t="str">
        <f>TEXT(MTDRejection[[#This Row],[RejectionDate]],"dddd")</f>
        <v>Thursday</v>
      </c>
    </row>
    <row r="3227" spans="1:14">
      <c r="A3227" t="s">
        <v>73</v>
      </c>
      <c r="B3227" t="s">
        <v>5468</v>
      </c>
      <c r="C3227" t="s">
        <v>71</v>
      </c>
      <c r="D3227" t="s">
        <v>13</v>
      </c>
      <c r="E3227" s="7">
        <v>45645</v>
      </c>
      <c r="F3227" t="s">
        <v>2332</v>
      </c>
      <c r="G3227">
        <v>0</v>
      </c>
      <c r="H3227" t="s">
        <v>15</v>
      </c>
      <c r="I3227" t="s">
        <v>16</v>
      </c>
      <c r="J3227" t="s">
        <v>16</v>
      </c>
      <c r="K3227" t="str">
        <f>VLOOKUP(C3227,CheckName!A:B,2,0)</f>
        <v>CRC</v>
      </c>
      <c r="L3227">
        <v>0</v>
      </c>
      <c r="M3227">
        <f t="shared" si="451"/>
        <v>19</v>
      </c>
      <c r="N3227" t="str">
        <f>TEXT(MTDRejection[[#This Row],[RejectionDate]],"dddd")</f>
        <v>Thursday</v>
      </c>
    </row>
    <row r="3228" spans="1:14">
      <c r="A3228" t="s">
        <v>1782</v>
      </c>
      <c r="B3228" t="s">
        <v>5469</v>
      </c>
      <c r="C3228" t="s">
        <v>12</v>
      </c>
      <c r="D3228" t="s">
        <v>26</v>
      </c>
      <c r="E3228" s="7">
        <v>45645</v>
      </c>
      <c r="F3228" t="s">
        <v>2335</v>
      </c>
      <c r="G3228">
        <v>0</v>
      </c>
      <c r="H3228" t="s">
        <v>27</v>
      </c>
      <c r="I3228" t="s">
        <v>16</v>
      </c>
      <c r="J3228" t="s">
        <v>16</v>
      </c>
      <c r="K3228" t="str">
        <f>VLOOKUP(C3228,CheckName!A:B,2,0)</f>
        <v>Emp</v>
      </c>
      <c r="L3228">
        <v>0</v>
      </c>
      <c r="M3228">
        <f>DAY(E3228)</f>
        <v>19</v>
      </c>
      <c r="N3228" t="str">
        <f>TEXT(MTDRejection[[#This Row],[RejectionDate]],"dddd")</f>
        <v>Thursday</v>
      </c>
    </row>
    <row r="3229" spans="1:14">
      <c r="A3229" t="s">
        <v>687</v>
      </c>
      <c r="B3229" t="s">
        <v>5470</v>
      </c>
      <c r="C3229" t="s">
        <v>59</v>
      </c>
      <c r="D3229" t="s">
        <v>51</v>
      </c>
      <c r="E3229" s="7">
        <v>45645</v>
      </c>
      <c r="F3229" t="s">
        <v>2331</v>
      </c>
      <c r="G3229">
        <v>0</v>
      </c>
      <c r="H3229" t="s">
        <v>53</v>
      </c>
      <c r="I3229" t="s">
        <v>16</v>
      </c>
      <c r="J3229" t="s">
        <v>16</v>
      </c>
      <c r="K3229" t="str">
        <f>VLOOKUP(C3229,CheckName!A:B,2,0)</f>
        <v>Special Check</v>
      </c>
      <c r="L3229">
        <v>0</v>
      </c>
      <c r="M3229">
        <f t="shared" ref="M3229:M3241" si="452">DAY(E3229)</f>
        <v>19</v>
      </c>
      <c r="N3229" t="str">
        <f>TEXT(MTDRejection[[#This Row],[RejectionDate]],"dddd")</f>
        <v>Thursday</v>
      </c>
    </row>
    <row r="3230" spans="1:14">
      <c r="A3230" t="s">
        <v>687</v>
      </c>
      <c r="B3230" t="s">
        <v>5471</v>
      </c>
      <c r="C3230" t="s">
        <v>19</v>
      </c>
      <c r="D3230" t="s">
        <v>51</v>
      </c>
      <c r="E3230" s="7">
        <v>45645</v>
      </c>
      <c r="F3230" t="s">
        <v>2331</v>
      </c>
      <c r="G3230">
        <v>0</v>
      </c>
      <c r="H3230" t="s">
        <v>53</v>
      </c>
      <c r="I3230" t="s">
        <v>16</v>
      </c>
      <c r="J3230" t="s">
        <v>16</v>
      </c>
      <c r="K3230" t="str">
        <f>VLOOKUP(C3230,CheckName!A:B,2,0)</f>
        <v>Add</v>
      </c>
      <c r="L3230">
        <v>0</v>
      </c>
      <c r="M3230">
        <f t="shared" si="452"/>
        <v>19</v>
      </c>
      <c r="N3230" t="str">
        <f>TEXT(MTDRejection[[#This Row],[RejectionDate]],"dddd")</f>
        <v>Thursday</v>
      </c>
    </row>
    <row r="3231" spans="1:14">
      <c r="A3231" t="s">
        <v>687</v>
      </c>
      <c r="B3231" t="s">
        <v>5471</v>
      </c>
      <c r="C3231" t="s">
        <v>49</v>
      </c>
      <c r="D3231" t="s">
        <v>51</v>
      </c>
      <c r="E3231" s="7">
        <v>45645</v>
      </c>
      <c r="F3231" t="s">
        <v>2331</v>
      </c>
      <c r="G3231">
        <v>0</v>
      </c>
      <c r="H3231" t="s">
        <v>53</v>
      </c>
      <c r="I3231" t="s">
        <v>16</v>
      </c>
      <c r="J3231" t="s">
        <v>16</v>
      </c>
      <c r="K3231" t="str">
        <f>VLOOKUP(C3231,CheckName!A:B,2,0)</f>
        <v>CRC</v>
      </c>
      <c r="L3231">
        <v>0</v>
      </c>
      <c r="M3231">
        <f t="shared" si="452"/>
        <v>19</v>
      </c>
      <c r="N3231" t="str">
        <f>TEXT(MTDRejection[[#This Row],[RejectionDate]],"dddd")</f>
        <v>Thursday</v>
      </c>
    </row>
    <row r="3232" spans="1:14">
      <c r="A3232" t="s">
        <v>687</v>
      </c>
      <c r="B3232" t="s">
        <v>5472</v>
      </c>
      <c r="C3232" t="s">
        <v>54</v>
      </c>
      <c r="D3232" t="s">
        <v>51</v>
      </c>
      <c r="E3232" s="7">
        <v>45645</v>
      </c>
      <c r="F3232" t="s">
        <v>2331</v>
      </c>
      <c r="G3232">
        <v>0</v>
      </c>
      <c r="H3232" t="s">
        <v>53</v>
      </c>
      <c r="I3232" t="s">
        <v>16</v>
      </c>
      <c r="J3232" t="s">
        <v>16</v>
      </c>
      <c r="K3232" t="str">
        <f>VLOOKUP(C3232,CheckName!A:B,2,0)</f>
        <v>Edu</v>
      </c>
      <c r="L3232">
        <v>0</v>
      </c>
      <c r="M3232">
        <f t="shared" si="452"/>
        <v>19</v>
      </c>
      <c r="N3232" t="str">
        <f>TEXT(MTDRejection[[#This Row],[RejectionDate]],"dddd")</f>
        <v>Thursday</v>
      </c>
    </row>
    <row r="3233" spans="1:14">
      <c r="A3233" t="s">
        <v>687</v>
      </c>
      <c r="B3233" t="s">
        <v>5473</v>
      </c>
      <c r="C3233" t="s">
        <v>56</v>
      </c>
      <c r="D3233" t="s">
        <v>51</v>
      </c>
      <c r="E3233" s="7">
        <v>45645</v>
      </c>
      <c r="F3233" t="s">
        <v>2331</v>
      </c>
      <c r="G3233">
        <v>0</v>
      </c>
      <c r="H3233" t="s">
        <v>53</v>
      </c>
      <c r="I3233" t="s">
        <v>16</v>
      </c>
      <c r="J3233" t="s">
        <v>16</v>
      </c>
      <c r="K3233" t="str">
        <f>VLOOKUP(C3233,CheckName!A:B,2,0)</f>
        <v>Special Check</v>
      </c>
      <c r="L3233">
        <v>0</v>
      </c>
      <c r="M3233">
        <f t="shared" si="452"/>
        <v>19</v>
      </c>
      <c r="N3233" t="str">
        <f>TEXT(MTDRejection[[#This Row],[RejectionDate]],"dddd")</f>
        <v>Thursday</v>
      </c>
    </row>
    <row r="3234" spans="1:14">
      <c r="A3234" t="s">
        <v>687</v>
      </c>
      <c r="B3234" t="s">
        <v>5474</v>
      </c>
      <c r="C3234" t="s">
        <v>1699</v>
      </c>
      <c r="D3234" t="s">
        <v>51</v>
      </c>
      <c r="E3234" s="7">
        <v>45645</v>
      </c>
      <c r="F3234" t="s">
        <v>2331</v>
      </c>
      <c r="G3234">
        <v>0</v>
      </c>
      <c r="H3234" t="s">
        <v>53</v>
      </c>
      <c r="I3234" t="s">
        <v>16</v>
      </c>
      <c r="J3234" t="s">
        <v>16</v>
      </c>
      <c r="K3234" t="str">
        <f>VLOOKUP(C3234,CheckName!A:B,2,0)</f>
        <v>CRC</v>
      </c>
      <c r="L3234">
        <v>0</v>
      </c>
      <c r="M3234">
        <f t="shared" si="452"/>
        <v>19</v>
      </c>
      <c r="N3234" t="str">
        <f>TEXT(MTDRejection[[#This Row],[RejectionDate]],"dddd")</f>
        <v>Thursday</v>
      </c>
    </row>
    <row r="3235" spans="1:14">
      <c r="A3235" t="s">
        <v>687</v>
      </c>
      <c r="B3235" t="s">
        <v>5475</v>
      </c>
      <c r="C3235" t="s">
        <v>93</v>
      </c>
      <c r="D3235" t="s">
        <v>51</v>
      </c>
      <c r="E3235" s="7">
        <v>45645</v>
      </c>
      <c r="F3235" t="s">
        <v>2331</v>
      </c>
      <c r="G3235">
        <v>0</v>
      </c>
      <c r="H3235" t="s">
        <v>53</v>
      </c>
      <c r="I3235" t="s">
        <v>16</v>
      </c>
      <c r="J3235" t="s">
        <v>16</v>
      </c>
      <c r="K3235" t="str">
        <f>VLOOKUP(C3235,CheckName!A:B,2,0)</f>
        <v>Edu</v>
      </c>
      <c r="L3235">
        <v>0</v>
      </c>
      <c r="M3235">
        <f t="shared" si="452"/>
        <v>19</v>
      </c>
      <c r="N3235" t="str">
        <f>TEXT(MTDRejection[[#This Row],[RejectionDate]],"dddd")</f>
        <v>Thursday</v>
      </c>
    </row>
    <row r="3236" spans="1:14">
      <c r="A3236" t="s">
        <v>687</v>
      </c>
      <c r="B3236" t="s">
        <v>2699</v>
      </c>
      <c r="C3236" t="s">
        <v>1730</v>
      </c>
      <c r="D3236" t="s">
        <v>51</v>
      </c>
      <c r="E3236" s="7">
        <v>45645</v>
      </c>
      <c r="F3236" t="s">
        <v>2331</v>
      </c>
      <c r="G3236">
        <v>0</v>
      </c>
      <c r="H3236" t="s">
        <v>53</v>
      </c>
      <c r="I3236" t="s">
        <v>16</v>
      </c>
      <c r="J3236" t="s">
        <v>16</v>
      </c>
      <c r="K3236" t="str">
        <f>VLOOKUP(C3236,CheckName!A:B,2,0)</f>
        <v>Special Check</v>
      </c>
      <c r="L3236">
        <v>0</v>
      </c>
      <c r="M3236">
        <f t="shared" si="452"/>
        <v>19</v>
      </c>
      <c r="N3236" t="str">
        <f>TEXT(MTDRejection[[#This Row],[RejectionDate]],"dddd")</f>
        <v>Thursday</v>
      </c>
    </row>
    <row r="3237" spans="1:14">
      <c r="A3237" t="s">
        <v>687</v>
      </c>
      <c r="B3237" t="s">
        <v>2700</v>
      </c>
      <c r="C3237" t="s">
        <v>1691</v>
      </c>
      <c r="D3237" t="s">
        <v>51</v>
      </c>
      <c r="E3237" s="7">
        <v>45645</v>
      </c>
      <c r="F3237" t="s">
        <v>2331</v>
      </c>
      <c r="G3237">
        <v>0</v>
      </c>
      <c r="H3237" t="s">
        <v>53</v>
      </c>
      <c r="I3237" t="s">
        <v>16</v>
      </c>
      <c r="J3237" t="s">
        <v>16</v>
      </c>
      <c r="K3237" t="str">
        <f>VLOOKUP(C3237,CheckName!A:B,2,0)</f>
        <v>CRC</v>
      </c>
      <c r="L3237">
        <v>0</v>
      </c>
      <c r="M3237">
        <f t="shared" si="452"/>
        <v>19</v>
      </c>
      <c r="N3237" t="str">
        <f>TEXT(MTDRejection[[#This Row],[RejectionDate]],"dddd")</f>
        <v>Thursday</v>
      </c>
    </row>
    <row r="3238" spans="1:14">
      <c r="A3238" t="s">
        <v>687</v>
      </c>
      <c r="B3238" t="s">
        <v>5476</v>
      </c>
      <c r="C3238" t="s">
        <v>25</v>
      </c>
      <c r="D3238" t="s">
        <v>51</v>
      </c>
      <c r="E3238" s="7">
        <v>45645</v>
      </c>
      <c r="F3238" t="s">
        <v>2331</v>
      </c>
      <c r="G3238">
        <v>0</v>
      </c>
      <c r="H3238" t="s">
        <v>53</v>
      </c>
      <c r="I3238" t="s">
        <v>16</v>
      </c>
      <c r="J3238" t="s">
        <v>16</v>
      </c>
      <c r="K3238" t="str">
        <f>VLOOKUP(C3238,CheckName!A:B,2,0)</f>
        <v>Add</v>
      </c>
      <c r="L3238">
        <v>0</v>
      </c>
      <c r="M3238">
        <f t="shared" si="452"/>
        <v>19</v>
      </c>
      <c r="N3238" t="str">
        <f>TEXT(MTDRejection[[#This Row],[RejectionDate]],"dddd")</f>
        <v>Thursday</v>
      </c>
    </row>
    <row r="3239" spans="1:14">
      <c r="A3239" t="s">
        <v>687</v>
      </c>
      <c r="B3239" t="s">
        <v>5477</v>
      </c>
      <c r="C3239" t="s">
        <v>122</v>
      </c>
      <c r="D3239" t="s">
        <v>51</v>
      </c>
      <c r="E3239" s="7">
        <v>45645</v>
      </c>
      <c r="F3239" t="s">
        <v>2331</v>
      </c>
      <c r="G3239">
        <v>0</v>
      </c>
      <c r="H3239" t="s">
        <v>53</v>
      </c>
      <c r="I3239" t="s">
        <v>16</v>
      </c>
      <c r="J3239" t="s">
        <v>16</v>
      </c>
      <c r="K3239" t="str">
        <f>VLOOKUP(C3239,CheckName!A:B,2,0)</f>
        <v>Special Check</v>
      </c>
      <c r="L3239">
        <v>0</v>
      </c>
      <c r="M3239">
        <f t="shared" si="452"/>
        <v>19</v>
      </c>
      <c r="N3239" t="str">
        <f>TEXT(MTDRejection[[#This Row],[RejectionDate]],"dddd")</f>
        <v>Thursday</v>
      </c>
    </row>
    <row r="3240" spans="1:14">
      <c r="A3240" t="s">
        <v>687</v>
      </c>
      <c r="B3240" t="s">
        <v>2701</v>
      </c>
      <c r="C3240" t="s">
        <v>71</v>
      </c>
      <c r="D3240" t="s">
        <v>51</v>
      </c>
      <c r="E3240" s="7">
        <v>45645</v>
      </c>
      <c r="F3240" t="s">
        <v>2331</v>
      </c>
      <c r="G3240">
        <v>0</v>
      </c>
      <c r="H3240" t="s">
        <v>53</v>
      </c>
      <c r="I3240" t="s">
        <v>16</v>
      </c>
      <c r="J3240" t="s">
        <v>16</v>
      </c>
      <c r="K3240" t="str">
        <f>VLOOKUP(C3240,CheckName!A:B,2,0)</f>
        <v>CRC</v>
      </c>
      <c r="L3240">
        <v>0</v>
      </c>
      <c r="M3240">
        <f t="shared" si="452"/>
        <v>19</v>
      </c>
      <c r="N3240" t="str">
        <f>TEXT(MTDRejection[[#This Row],[RejectionDate]],"dddd")</f>
        <v>Thursday</v>
      </c>
    </row>
    <row r="3241" spans="1:14">
      <c r="A3241" t="s">
        <v>687</v>
      </c>
      <c r="B3241" t="s">
        <v>5478</v>
      </c>
      <c r="C3241" t="s">
        <v>123</v>
      </c>
      <c r="D3241" t="s">
        <v>51</v>
      </c>
      <c r="E3241" s="7">
        <v>45645</v>
      </c>
      <c r="F3241" t="s">
        <v>2331</v>
      </c>
      <c r="G3241">
        <v>0</v>
      </c>
      <c r="H3241" t="s">
        <v>53</v>
      </c>
      <c r="I3241" t="s">
        <v>16</v>
      </c>
      <c r="J3241" t="s">
        <v>16</v>
      </c>
      <c r="K3241" t="str">
        <f>VLOOKUP(C3241,CheckName!A:B,2,0)</f>
        <v>Special Check</v>
      </c>
      <c r="L3241">
        <v>0</v>
      </c>
      <c r="M3241">
        <f t="shared" si="452"/>
        <v>19</v>
      </c>
      <c r="N3241" t="str">
        <f>TEXT(MTDRejection[[#This Row],[RejectionDate]],"dddd")</f>
        <v>Thursday</v>
      </c>
    </row>
    <row r="3242" spans="1:14">
      <c r="A3242" t="s">
        <v>306</v>
      </c>
      <c r="B3242" t="s">
        <v>5479</v>
      </c>
      <c r="C3242" t="s">
        <v>54</v>
      </c>
      <c r="D3242" t="s">
        <v>38</v>
      </c>
      <c r="E3242" s="7">
        <v>45645</v>
      </c>
      <c r="F3242" t="s">
        <v>1776</v>
      </c>
      <c r="G3242">
        <v>0</v>
      </c>
      <c r="H3242" t="s">
        <v>42</v>
      </c>
      <c r="I3242" t="s">
        <v>16</v>
      </c>
      <c r="J3242" t="s">
        <v>16</v>
      </c>
      <c r="K3242" t="str">
        <f>VLOOKUP(C3242,CheckName!A:B,2,0)</f>
        <v>Edu</v>
      </c>
      <c r="L3242">
        <v>0</v>
      </c>
      <c r="M3242">
        <f t="shared" ref="M3242:M3243" si="453">DAY(E3242)</f>
        <v>19</v>
      </c>
      <c r="N3242" t="str">
        <f>TEXT(MTDRejection[[#This Row],[RejectionDate]],"dddd")</f>
        <v>Thursday</v>
      </c>
    </row>
    <row r="3243" spans="1:14">
      <c r="A3243" t="s">
        <v>131</v>
      </c>
      <c r="B3243" t="s">
        <v>5480</v>
      </c>
      <c r="C3243" t="s">
        <v>19</v>
      </c>
      <c r="D3243" t="s">
        <v>26</v>
      </c>
      <c r="E3243" s="7">
        <v>45645</v>
      </c>
      <c r="F3243" t="s">
        <v>129</v>
      </c>
      <c r="G3243">
        <v>0</v>
      </c>
      <c r="H3243" t="s">
        <v>27</v>
      </c>
      <c r="I3243" t="s">
        <v>16</v>
      </c>
      <c r="J3243" t="s">
        <v>16</v>
      </c>
      <c r="K3243" t="str">
        <f>VLOOKUP(C3243,CheckName!A:B,2,0)</f>
        <v>Add</v>
      </c>
      <c r="L3243">
        <v>0</v>
      </c>
      <c r="M3243">
        <f t="shared" si="453"/>
        <v>19</v>
      </c>
      <c r="N3243" t="str">
        <f>TEXT(MTDRejection[[#This Row],[RejectionDate]],"dddd")</f>
        <v>Thursday</v>
      </c>
    </row>
    <row r="3244" spans="1:14">
      <c r="A3244" t="s">
        <v>996</v>
      </c>
      <c r="B3244" t="s">
        <v>2702</v>
      </c>
      <c r="C3244" t="s">
        <v>12</v>
      </c>
      <c r="D3244" t="s">
        <v>38</v>
      </c>
      <c r="E3244" s="7">
        <v>45645</v>
      </c>
      <c r="F3244" t="s">
        <v>39</v>
      </c>
      <c r="G3244">
        <v>0</v>
      </c>
      <c r="H3244" t="s">
        <v>42</v>
      </c>
      <c r="I3244" t="s">
        <v>16</v>
      </c>
      <c r="J3244" t="s">
        <v>16</v>
      </c>
      <c r="K3244" t="str">
        <f>VLOOKUP(C3244,CheckName!A:B,2,0)</f>
        <v>Emp</v>
      </c>
      <c r="L3244">
        <v>0</v>
      </c>
      <c r="M3244">
        <f t="shared" ref="M3244:M3249" si="454">DAY(E3244)</f>
        <v>19</v>
      </c>
      <c r="N3244" t="str">
        <f>TEXT(MTDRejection[[#This Row],[RejectionDate]],"dddd")</f>
        <v>Thursday</v>
      </c>
    </row>
    <row r="3245" spans="1:14">
      <c r="A3245" t="s">
        <v>281</v>
      </c>
      <c r="B3245" t="s">
        <v>5481</v>
      </c>
      <c r="C3245" t="s">
        <v>12</v>
      </c>
      <c r="D3245" t="s">
        <v>26</v>
      </c>
      <c r="E3245" s="7">
        <v>45644</v>
      </c>
      <c r="F3245" t="s">
        <v>37</v>
      </c>
      <c r="G3245">
        <v>1</v>
      </c>
      <c r="H3245" t="s">
        <v>27</v>
      </c>
      <c r="I3245" t="s">
        <v>16</v>
      </c>
      <c r="J3245" t="s">
        <v>16</v>
      </c>
      <c r="K3245" t="str">
        <f>VLOOKUP(C3245,CheckName!A:B,2,0)</f>
        <v>Emp</v>
      </c>
      <c r="L3245">
        <v>0</v>
      </c>
      <c r="M3245">
        <f t="shared" si="454"/>
        <v>18</v>
      </c>
      <c r="N3245" t="str">
        <f>TEXT(MTDRejection[[#This Row],[RejectionDate]],"dddd")</f>
        <v>Wednesday</v>
      </c>
    </row>
    <row r="3246" spans="1:14">
      <c r="A3246" t="s">
        <v>362</v>
      </c>
      <c r="B3246" t="s">
        <v>5482</v>
      </c>
      <c r="C3246" t="s">
        <v>12</v>
      </c>
      <c r="D3246" t="s">
        <v>38</v>
      </c>
      <c r="E3246" s="7">
        <v>45643</v>
      </c>
      <c r="F3246" t="s">
        <v>39</v>
      </c>
      <c r="G3246">
        <v>2</v>
      </c>
      <c r="H3246" t="s">
        <v>42</v>
      </c>
      <c r="I3246" t="s">
        <v>16</v>
      </c>
      <c r="J3246" t="s">
        <v>16</v>
      </c>
      <c r="K3246" t="str">
        <f>VLOOKUP(C3246,CheckName!A:B,2,0)</f>
        <v>Emp</v>
      </c>
      <c r="L3246">
        <v>0</v>
      </c>
      <c r="M3246">
        <f t="shared" si="454"/>
        <v>17</v>
      </c>
      <c r="N3246" t="str">
        <f>TEXT(MTDRejection[[#This Row],[RejectionDate]],"dddd")</f>
        <v>Tuesday</v>
      </c>
    </row>
    <row r="3247" spans="1:14">
      <c r="A3247" t="s">
        <v>469</v>
      </c>
      <c r="B3247" t="s">
        <v>5483</v>
      </c>
      <c r="C3247" t="s">
        <v>12</v>
      </c>
      <c r="D3247" t="s">
        <v>26</v>
      </c>
      <c r="E3247" s="7">
        <v>45642</v>
      </c>
      <c r="F3247" t="s">
        <v>2337</v>
      </c>
      <c r="G3247">
        <v>3</v>
      </c>
      <c r="H3247" t="s">
        <v>27</v>
      </c>
      <c r="I3247" t="s">
        <v>16</v>
      </c>
      <c r="J3247" t="s">
        <v>16</v>
      </c>
      <c r="K3247" t="str">
        <f>VLOOKUP(C3247,CheckName!A:B,2,0)</f>
        <v>Emp</v>
      </c>
      <c r="L3247">
        <v>0</v>
      </c>
      <c r="M3247">
        <f t="shared" si="454"/>
        <v>16</v>
      </c>
      <c r="N3247" t="str">
        <f>TEXT(MTDRejection[[#This Row],[RejectionDate]],"dddd")</f>
        <v>Monday</v>
      </c>
    </row>
    <row r="3248" spans="1:14">
      <c r="A3248" t="s">
        <v>142</v>
      </c>
      <c r="B3248" t="s">
        <v>5484</v>
      </c>
      <c r="C3248" t="s">
        <v>54</v>
      </c>
      <c r="D3248" t="s">
        <v>26</v>
      </c>
      <c r="E3248" s="7">
        <v>45638</v>
      </c>
      <c r="F3248" t="s">
        <v>210</v>
      </c>
      <c r="G3248">
        <v>7</v>
      </c>
      <c r="H3248" t="s">
        <v>130</v>
      </c>
      <c r="I3248" t="s">
        <v>16</v>
      </c>
      <c r="J3248" t="s">
        <v>16</v>
      </c>
      <c r="K3248" t="str">
        <f>VLOOKUP(C3248,CheckName!A:B,2,0)</f>
        <v>Edu</v>
      </c>
      <c r="L3248">
        <v>0</v>
      </c>
      <c r="M3248">
        <f t="shared" si="454"/>
        <v>12</v>
      </c>
      <c r="N3248" t="str">
        <f>TEXT(MTDRejection[[#This Row],[RejectionDate]],"dddd")</f>
        <v>Thursday</v>
      </c>
    </row>
    <row r="3249" spans="1:14">
      <c r="A3249" t="s">
        <v>231</v>
      </c>
      <c r="B3249" t="s">
        <v>5485</v>
      </c>
      <c r="C3249" t="s">
        <v>54</v>
      </c>
      <c r="D3249" t="s">
        <v>26</v>
      </c>
      <c r="E3249" s="7">
        <v>45631</v>
      </c>
      <c r="F3249" t="s">
        <v>1825</v>
      </c>
      <c r="G3249">
        <v>14</v>
      </c>
      <c r="H3249" t="s">
        <v>27</v>
      </c>
      <c r="I3249" t="s">
        <v>16</v>
      </c>
      <c r="J3249" t="s">
        <v>16</v>
      </c>
      <c r="K3249" t="str">
        <f>VLOOKUP(C3249,CheckName!A:B,2,0)</f>
        <v>Edu</v>
      </c>
      <c r="L3249">
        <v>0</v>
      </c>
      <c r="M3249">
        <f t="shared" si="454"/>
        <v>5</v>
      </c>
      <c r="N3249" t="str">
        <f>TEXT(MTDRejection[[#This Row],[RejectionDate]],"dddd")</f>
        <v>Thursday</v>
      </c>
    </row>
    <row r="3250" spans="1:14">
      <c r="A3250" t="s">
        <v>374</v>
      </c>
      <c r="B3250" t="s">
        <v>5486</v>
      </c>
      <c r="C3250" t="s">
        <v>12</v>
      </c>
      <c r="D3250" t="s">
        <v>13</v>
      </c>
      <c r="E3250" s="7">
        <v>45646</v>
      </c>
      <c r="F3250" t="s">
        <v>574</v>
      </c>
      <c r="G3250">
        <v>0</v>
      </c>
      <c r="H3250" t="s">
        <v>15</v>
      </c>
      <c r="I3250" t="s">
        <v>16</v>
      </c>
      <c r="J3250" t="s">
        <v>16</v>
      </c>
      <c r="K3250" t="str">
        <f>VLOOKUP(C3250,CheckName!A:B,2,0)</f>
        <v>Emp</v>
      </c>
      <c r="L3250">
        <v>0</v>
      </c>
      <c r="M3250">
        <f t="shared" ref="M3250:M3251" si="455">DAY(E3250)</f>
        <v>20</v>
      </c>
      <c r="N3250" t="str">
        <f>TEXT(MTDRejection[[#This Row],[RejectionDate]],"dddd")</f>
        <v>Friday</v>
      </c>
    </row>
    <row r="3251" spans="1:14">
      <c r="A3251" t="s">
        <v>299</v>
      </c>
      <c r="B3251" t="s">
        <v>5487</v>
      </c>
      <c r="C3251" t="s">
        <v>12</v>
      </c>
      <c r="D3251" t="s">
        <v>13</v>
      </c>
      <c r="E3251" s="7">
        <v>45646</v>
      </c>
      <c r="F3251" t="s">
        <v>2332</v>
      </c>
      <c r="G3251">
        <v>0</v>
      </c>
      <c r="H3251" t="s">
        <v>15</v>
      </c>
      <c r="I3251" t="s">
        <v>16</v>
      </c>
      <c r="J3251" t="s">
        <v>16</v>
      </c>
      <c r="K3251" t="str">
        <f>VLOOKUP(C3251,CheckName!A:B,2,0)</f>
        <v>Emp</v>
      </c>
      <c r="L3251">
        <v>0</v>
      </c>
      <c r="M3251">
        <f t="shared" si="455"/>
        <v>20</v>
      </c>
      <c r="N3251" t="str">
        <f>TEXT(MTDRejection[[#This Row],[RejectionDate]],"dddd")</f>
        <v>Friday</v>
      </c>
    </row>
    <row r="3252" spans="1:14">
      <c r="A3252" t="s">
        <v>1766</v>
      </c>
      <c r="B3252" t="s">
        <v>5488</v>
      </c>
      <c r="C3252" t="s">
        <v>49</v>
      </c>
      <c r="D3252" t="s">
        <v>13</v>
      </c>
      <c r="E3252" s="7">
        <v>45645</v>
      </c>
      <c r="F3252" t="s">
        <v>2332</v>
      </c>
      <c r="G3252">
        <v>1</v>
      </c>
      <c r="H3252" t="s">
        <v>15</v>
      </c>
      <c r="I3252" t="s">
        <v>16</v>
      </c>
      <c r="J3252" t="s">
        <v>16</v>
      </c>
      <c r="K3252" t="str">
        <f>VLOOKUP(C3252,CheckName!A:B,2,0)</f>
        <v>CRC</v>
      </c>
      <c r="L3252">
        <v>0</v>
      </c>
      <c r="M3252">
        <f t="shared" ref="M3252:M3253" si="456">DAY(E3252)</f>
        <v>19</v>
      </c>
      <c r="N3252" t="str">
        <f>TEXT(MTDRejection[[#This Row],[RejectionDate]],"dddd")</f>
        <v>Thursday</v>
      </c>
    </row>
    <row r="3253" spans="1:14">
      <c r="A3253" t="s">
        <v>1766</v>
      </c>
      <c r="B3253" t="s">
        <v>5489</v>
      </c>
      <c r="C3253" t="s">
        <v>1699</v>
      </c>
      <c r="D3253" t="s">
        <v>13</v>
      </c>
      <c r="E3253" s="7">
        <v>45645</v>
      </c>
      <c r="F3253" t="s">
        <v>2332</v>
      </c>
      <c r="G3253">
        <v>1</v>
      </c>
      <c r="H3253" t="s">
        <v>15</v>
      </c>
      <c r="I3253" t="s">
        <v>16</v>
      </c>
      <c r="J3253" t="s">
        <v>16</v>
      </c>
      <c r="K3253" t="str">
        <f>VLOOKUP(C3253,CheckName!A:B,2,0)</f>
        <v>CRC</v>
      </c>
      <c r="L3253">
        <v>0</v>
      </c>
      <c r="M3253">
        <f t="shared" si="456"/>
        <v>19</v>
      </c>
      <c r="N3253" t="str">
        <f>TEXT(MTDRejection[[#This Row],[RejectionDate]],"dddd")</f>
        <v>Thursday</v>
      </c>
    </row>
    <row r="3254" spans="1:14">
      <c r="A3254" t="s">
        <v>306</v>
      </c>
      <c r="B3254" t="s">
        <v>5490</v>
      </c>
      <c r="C3254" t="s">
        <v>71</v>
      </c>
      <c r="D3254" t="s">
        <v>26</v>
      </c>
      <c r="E3254" s="7">
        <v>45645</v>
      </c>
      <c r="F3254" t="s">
        <v>118</v>
      </c>
      <c r="G3254">
        <v>1</v>
      </c>
      <c r="H3254" t="s">
        <v>27</v>
      </c>
      <c r="I3254" t="s">
        <v>16</v>
      </c>
      <c r="J3254" t="s">
        <v>16</v>
      </c>
      <c r="K3254" t="str">
        <f>VLOOKUP(C3254,CheckName!A:B,2,0)</f>
        <v>CRC</v>
      </c>
      <c r="L3254">
        <v>0</v>
      </c>
      <c r="M3254">
        <f t="shared" ref="M3254:M3255" si="457">DAY(E3254)</f>
        <v>19</v>
      </c>
      <c r="N3254" t="str">
        <f>TEXT(MTDRejection[[#This Row],[RejectionDate]],"dddd")</f>
        <v>Thursday</v>
      </c>
    </row>
    <row r="3255" spans="1:14">
      <c r="A3255" t="s">
        <v>306</v>
      </c>
      <c r="B3255" t="s">
        <v>5491</v>
      </c>
      <c r="C3255" t="s">
        <v>71</v>
      </c>
      <c r="D3255" t="s">
        <v>26</v>
      </c>
      <c r="E3255" s="7">
        <v>45645</v>
      </c>
      <c r="F3255" t="s">
        <v>118</v>
      </c>
      <c r="G3255">
        <v>1</v>
      </c>
      <c r="H3255" t="s">
        <v>27</v>
      </c>
      <c r="I3255" t="s">
        <v>16</v>
      </c>
      <c r="J3255" t="s">
        <v>16</v>
      </c>
      <c r="K3255" t="str">
        <f>VLOOKUP(C3255,CheckName!A:B,2,0)</f>
        <v>CRC</v>
      </c>
      <c r="L3255">
        <v>0</v>
      </c>
      <c r="M3255">
        <f t="shared" si="457"/>
        <v>19</v>
      </c>
      <c r="N3255" t="str">
        <f>TEXT(MTDRejection[[#This Row],[RejectionDate]],"dddd")</f>
        <v>Thursday</v>
      </c>
    </row>
    <row r="3256" spans="1:14">
      <c r="A3256" t="s">
        <v>40</v>
      </c>
      <c r="B3256" t="s">
        <v>5492</v>
      </c>
      <c r="C3256" t="s">
        <v>12</v>
      </c>
      <c r="D3256" t="s">
        <v>26</v>
      </c>
      <c r="E3256" s="7">
        <v>45645</v>
      </c>
      <c r="F3256" t="s">
        <v>2337</v>
      </c>
      <c r="G3256">
        <v>1</v>
      </c>
      <c r="H3256" t="s">
        <v>27</v>
      </c>
      <c r="I3256" t="s">
        <v>16</v>
      </c>
      <c r="J3256" t="s">
        <v>16</v>
      </c>
      <c r="K3256" t="str">
        <f>VLOOKUP(C3256,CheckName!A:B,2,0)</f>
        <v>Emp</v>
      </c>
      <c r="L3256">
        <v>0</v>
      </c>
      <c r="M3256">
        <f t="shared" ref="M3256:M3263" si="458">DAY(E3256)</f>
        <v>19</v>
      </c>
      <c r="N3256" t="str">
        <f>TEXT(MTDRejection[[#This Row],[RejectionDate]],"dddd")</f>
        <v>Thursday</v>
      </c>
    </row>
    <row r="3257" spans="1:14">
      <c r="A3257" t="s">
        <v>242</v>
      </c>
      <c r="B3257" t="s">
        <v>2043</v>
      </c>
      <c r="C3257" t="s">
        <v>12</v>
      </c>
      <c r="D3257" t="s">
        <v>26</v>
      </c>
      <c r="E3257" s="7">
        <v>45645</v>
      </c>
      <c r="F3257" t="s">
        <v>614</v>
      </c>
      <c r="G3257">
        <v>1</v>
      </c>
      <c r="H3257" t="s">
        <v>27</v>
      </c>
      <c r="I3257" t="s">
        <v>16</v>
      </c>
      <c r="J3257" t="s">
        <v>16</v>
      </c>
      <c r="K3257" t="str">
        <f>VLOOKUP(C3257,CheckName!A:B,2,0)</f>
        <v>Emp</v>
      </c>
      <c r="L3257">
        <v>1</v>
      </c>
      <c r="M3257">
        <f t="shared" si="458"/>
        <v>19</v>
      </c>
      <c r="N3257" t="str">
        <f>TEXT(MTDRejection[[#This Row],[RejectionDate]],"dddd")</f>
        <v>Thursday</v>
      </c>
    </row>
    <row r="3258" spans="1:14">
      <c r="A3258" t="s">
        <v>499</v>
      </c>
      <c r="B3258" t="s">
        <v>2703</v>
      </c>
      <c r="C3258" t="s">
        <v>125</v>
      </c>
      <c r="D3258" t="s">
        <v>26</v>
      </c>
      <c r="E3258" s="7">
        <v>45645</v>
      </c>
      <c r="F3258" t="s">
        <v>182</v>
      </c>
      <c r="G3258">
        <v>1</v>
      </c>
      <c r="H3258" t="s">
        <v>27</v>
      </c>
      <c r="I3258" t="s">
        <v>16</v>
      </c>
      <c r="J3258" t="s">
        <v>16</v>
      </c>
      <c r="K3258" t="str">
        <f>VLOOKUP(C3258,CheckName!A:B,2,0)</f>
        <v>Emp</v>
      </c>
      <c r="L3258">
        <v>0</v>
      </c>
      <c r="M3258">
        <f t="shared" si="458"/>
        <v>19</v>
      </c>
      <c r="N3258" t="str">
        <f>TEXT(MTDRejection[[#This Row],[RejectionDate]],"dddd")</f>
        <v>Thursday</v>
      </c>
    </row>
    <row r="3259" spans="1:14">
      <c r="A3259" t="s">
        <v>160</v>
      </c>
      <c r="B3259" t="s">
        <v>5493</v>
      </c>
      <c r="C3259" t="s">
        <v>36</v>
      </c>
      <c r="D3259" t="s">
        <v>26</v>
      </c>
      <c r="E3259" s="7">
        <v>45645</v>
      </c>
      <c r="F3259" t="s">
        <v>277</v>
      </c>
      <c r="G3259">
        <v>1</v>
      </c>
      <c r="H3259" t="s">
        <v>27</v>
      </c>
      <c r="I3259" t="s">
        <v>16</v>
      </c>
      <c r="J3259" t="s">
        <v>16</v>
      </c>
      <c r="K3259" t="str">
        <f>VLOOKUP(C3259,CheckName!A:B,2,0)</f>
        <v>Emp</v>
      </c>
      <c r="L3259">
        <v>0</v>
      </c>
      <c r="M3259">
        <f t="shared" si="458"/>
        <v>19</v>
      </c>
      <c r="N3259" t="str">
        <f>TEXT(MTDRejection[[#This Row],[RejectionDate]],"dddd")</f>
        <v>Thursday</v>
      </c>
    </row>
    <row r="3260" spans="1:14">
      <c r="A3260" t="s">
        <v>100</v>
      </c>
      <c r="B3260" t="s">
        <v>5494</v>
      </c>
      <c r="C3260" t="s">
        <v>102</v>
      </c>
      <c r="D3260" t="s">
        <v>13</v>
      </c>
      <c r="E3260" s="7">
        <v>45645</v>
      </c>
      <c r="F3260" t="s">
        <v>2345</v>
      </c>
      <c r="G3260">
        <v>1</v>
      </c>
      <c r="H3260" t="s">
        <v>15</v>
      </c>
      <c r="I3260" t="s">
        <v>16</v>
      </c>
      <c r="J3260" t="s">
        <v>16</v>
      </c>
      <c r="K3260" t="str">
        <f>VLOOKUP(C3260,CheckName!A:B,2,0)</f>
        <v>Edu</v>
      </c>
      <c r="L3260">
        <v>0</v>
      </c>
      <c r="M3260">
        <f t="shared" si="458"/>
        <v>19</v>
      </c>
      <c r="N3260" t="str">
        <f>TEXT(MTDRejection[[#This Row],[RejectionDate]],"dddd")</f>
        <v>Thursday</v>
      </c>
    </row>
    <row r="3261" spans="1:14">
      <c r="A3261" t="s">
        <v>45</v>
      </c>
      <c r="B3261" t="s">
        <v>5495</v>
      </c>
      <c r="C3261" t="s">
        <v>36</v>
      </c>
      <c r="D3261" t="s">
        <v>26</v>
      </c>
      <c r="E3261" s="7">
        <v>45645</v>
      </c>
      <c r="F3261" t="s">
        <v>224</v>
      </c>
      <c r="G3261">
        <v>1</v>
      </c>
      <c r="H3261" t="s">
        <v>27</v>
      </c>
      <c r="I3261" t="s">
        <v>16</v>
      </c>
      <c r="J3261" t="s">
        <v>16</v>
      </c>
      <c r="K3261" t="str">
        <f>VLOOKUP(C3261,CheckName!A:B,2,0)</f>
        <v>Emp</v>
      </c>
      <c r="L3261">
        <v>0</v>
      </c>
      <c r="M3261">
        <f t="shared" si="458"/>
        <v>19</v>
      </c>
      <c r="N3261" t="str">
        <f>TEXT(MTDRejection[[#This Row],[RejectionDate]],"dddd")</f>
        <v>Thursday</v>
      </c>
    </row>
    <row r="3262" spans="1:14">
      <c r="A3262" t="s">
        <v>306</v>
      </c>
      <c r="B3262" t="s">
        <v>2392</v>
      </c>
      <c r="C3262" t="s">
        <v>25</v>
      </c>
      <c r="D3262" t="s">
        <v>26</v>
      </c>
      <c r="E3262" s="7">
        <v>45645</v>
      </c>
      <c r="F3262" t="s">
        <v>66</v>
      </c>
      <c r="G3262">
        <v>1</v>
      </c>
      <c r="H3262" t="s">
        <v>27</v>
      </c>
      <c r="I3262" t="s">
        <v>16</v>
      </c>
      <c r="J3262" t="s">
        <v>16</v>
      </c>
      <c r="K3262" t="str">
        <f>VLOOKUP(C3262,CheckName!A:B,2,0)</f>
        <v>Add</v>
      </c>
      <c r="L3262">
        <v>0</v>
      </c>
      <c r="M3262">
        <f t="shared" si="458"/>
        <v>19</v>
      </c>
      <c r="N3262" t="str">
        <f>TEXT(MTDRejection[[#This Row],[RejectionDate]],"dddd")</f>
        <v>Thursday</v>
      </c>
    </row>
    <row r="3263" spans="1:14">
      <c r="A3263" t="s">
        <v>216</v>
      </c>
      <c r="B3263" t="s">
        <v>2704</v>
      </c>
      <c r="C3263" t="s">
        <v>25</v>
      </c>
      <c r="D3263" t="s">
        <v>26</v>
      </c>
      <c r="E3263" s="7">
        <v>45645</v>
      </c>
      <c r="F3263" t="s">
        <v>66</v>
      </c>
      <c r="G3263">
        <v>1</v>
      </c>
      <c r="H3263" t="s">
        <v>27</v>
      </c>
      <c r="I3263" t="s">
        <v>16</v>
      </c>
      <c r="J3263" t="s">
        <v>16</v>
      </c>
      <c r="K3263" t="str">
        <f>VLOOKUP(C3263,CheckName!A:B,2,0)</f>
        <v>Add</v>
      </c>
      <c r="L3263">
        <v>0</v>
      </c>
      <c r="M3263">
        <f t="shared" si="458"/>
        <v>19</v>
      </c>
      <c r="N3263" t="str">
        <f>TEXT(MTDRejection[[#This Row],[RejectionDate]],"dddd")</f>
        <v>Thursday</v>
      </c>
    </row>
    <row r="3264" spans="1:14">
      <c r="A3264" t="s">
        <v>186</v>
      </c>
      <c r="B3264" t="s">
        <v>5496</v>
      </c>
      <c r="C3264" t="s">
        <v>54</v>
      </c>
      <c r="D3264" t="s">
        <v>26</v>
      </c>
      <c r="E3264" s="7">
        <v>45645</v>
      </c>
      <c r="F3264" t="s">
        <v>63</v>
      </c>
      <c r="G3264">
        <v>1</v>
      </c>
      <c r="H3264" t="s">
        <v>27</v>
      </c>
      <c r="I3264" t="s">
        <v>16</v>
      </c>
      <c r="J3264" t="s">
        <v>16</v>
      </c>
      <c r="K3264" t="str">
        <f>VLOOKUP(C3264,CheckName!A:B,2,0)</f>
        <v>Edu</v>
      </c>
      <c r="L3264">
        <v>0</v>
      </c>
      <c r="M3264">
        <f t="shared" ref="M3264:M3266" si="459">DAY(E3264)</f>
        <v>19</v>
      </c>
      <c r="N3264" t="str">
        <f>TEXT(MTDRejection[[#This Row],[RejectionDate]],"dddd")</f>
        <v>Thursday</v>
      </c>
    </row>
    <row r="3265" spans="1:14">
      <c r="A3265" t="s">
        <v>186</v>
      </c>
      <c r="B3265" t="s">
        <v>2044</v>
      </c>
      <c r="C3265" t="s">
        <v>54</v>
      </c>
      <c r="D3265" t="s">
        <v>26</v>
      </c>
      <c r="E3265" s="7">
        <v>45645</v>
      </c>
      <c r="F3265" t="s">
        <v>63</v>
      </c>
      <c r="G3265">
        <v>1</v>
      </c>
      <c r="H3265" t="s">
        <v>27</v>
      </c>
      <c r="I3265" t="s">
        <v>16</v>
      </c>
      <c r="J3265" t="s">
        <v>16</v>
      </c>
      <c r="K3265" t="str">
        <f>VLOOKUP(C3265,CheckName!A:B,2,0)</f>
        <v>Edu</v>
      </c>
      <c r="L3265">
        <v>0</v>
      </c>
      <c r="M3265">
        <f t="shared" si="459"/>
        <v>19</v>
      </c>
      <c r="N3265" t="str">
        <f>TEXT(MTDRejection[[#This Row],[RejectionDate]],"dddd")</f>
        <v>Thursday</v>
      </c>
    </row>
    <row r="3266" spans="1:14">
      <c r="A3266" t="s">
        <v>186</v>
      </c>
      <c r="B3266" t="s">
        <v>2705</v>
      </c>
      <c r="C3266" t="s">
        <v>54</v>
      </c>
      <c r="D3266" t="s">
        <v>26</v>
      </c>
      <c r="E3266" s="7">
        <v>45645</v>
      </c>
      <c r="F3266" t="s">
        <v>63</v>
      </c>
      <c r="G3266">
        <v>1</v>
      </c>
      <c r="H3266" t="s">
        <v>27</v>
      </c>
      <c r="I3266" t="s">
        <v>16</v>
      </c>
      <c r="J3266" t="s">
        <v>16</v>
      </c>
      <c r="K3266" t="str">
        <f>VLOOKUP(C3266,CheckName!A:B,2,0)</f>
        <v>Edu</v>
      </c>
      <c r="L3266">
        <v>0</v>
      </c>
      <c r="M3266">
        <f t="shared" si="459"/>
        <v>19</v>
      </c>
      <c r="N3266" t="str">
        <f>TEXT(MTDRejection[[#This Row],[RejectionDate]],"dddd")</f>
        <v>Thursday</v>
      </c>
    </row>
    <row r="3267" spans="1:14">
      <c r="A3267" t="s">
        <v>2031</v>
      </c>
      <c r="B3267" t="s">
        <v>5497</v>
      </c>
      <c r="C3267" t="s">
        <v>54</v>
      </c>
      <c r="D3267" t="s">
        <v>26</v>
      </c>
      <c r="E3267" s="7">
        <v>45645</v>
      </c>
      <c r="F3267" t="s">
        <v>63</v>
      </c>
      <c r="G3267">
        <v>1</v>
      </c>
      <c r="H3267" t="s">
        <v>22</v>
      </c>
      <c r="I3267" t="s">
        <v>16</v>
      </c>
      <c r="J3267" t="s">
        <v>16</v>
      </c>
      <c r="K3267" t="str">
        <f>VLOOKUP(C3267,CheckName!A:B,2,0)</f>
        <v>Edu</v>
      </c>
      <c r="L3267">
        <v>0</v>
      </c>
      <c r="M3267">
        <f t="shared" ref="M3267:M3270" si="460">DAY(E3267)</f>
        <v>19</v>
      </c>
      <c r="N3267" t="str">
        <f>TEXT(MTDRejection[[#This Row],[RejectionDate]],"dddd")</f>
        <v>Thursday</v>
      </c>
    </row>
    <row r="3268" spans="1:14">
      <c r="A3268" t="s">
        <v>360</v>
      </c>
      <c r="B3268" t="s">
        <v>2706</v>
      </c>
      <c r="C3268" t="s">
        <v>54</v>
      </c>
      <c r="D3268" t="s">
        <v>26</v>
      </c>
      <c r="E3268" s="7">
        <v>45645</v>
      </c>
      <c r="F3268" t="s">
        <v>63</v>
      </c>
      <c r="G3268">
        <v>1</v>
      </c>
      <c r="H3268" t="s">
        <v>425</v>
      </c>
      <c r="I3268" t="s">
        <v>16</v>
      </c>
      <c r="J3268" t="s">
        <v>16</v>
      </c>
      <c r="K3268" t="str">
        <f>VLOOKUP(C3268,CheckName!A:B,2,0)</f>
        <v>Edu</v>
      </c>
      <c r="L3268">
        <v>0</v>
      </c>
      <c r="M3268">
        <f t="shared" si="460"/>
        <v>19</v>
      </c>
      <c r="N3268" t="str">
        <f>TEXT(MTDRejection[[#This Row],[RejectionDate]],"dddd")</f>
        <v>Thursday</v>
      </c>
    </row>
    <row r="3269" spans="1:14">
      <c r="A3269" t="s">
        <v>1787</v>
      </c>
      <c r="B3269" t="s">
        <v>5498</v>
      </c>
      <c r="C3269" t="s">
        <v>1665</v>
      </c>
      <c r="D3269" t="s">
        <v>26</v>
      </c>
      <c r="E3269" s="7">
        <v>45645</v>
      </c>
      <c r="F3269" t="s">
        <v>63</v>
      </c>
      <c r="G3269">
        <v>1</v>
      </c>
      <c r="H3269" t="s">
        <v>27</v>
      </c>
      <c r="I3269" t="s">
        <v>16</v>
      </c>
      <c r="J3269" t="s">
        <v>16</v>
      </c>
      <c r="K3269" t="str">
        <f>VLOOKUP(C3269,CheckName!A:B,2,0)</f>
        <v>Edu</v>
      </c>
      <c r="L3269">
        <v>0</v>
      </c>
      <c r="M3269">
        <f t="shared" si="460"/>
        <v>19</v>
      </c>
      <c r="N3269" t="str">
        <f>TEXT(MTDRejection[[#This Row],[RejectionDate]],"dddd")</f>
        <v>Thursday</v>
      </c>
    </row>
    <row r="3270" spans="1:14">
      <c r="A3270" t="s">
        <v>84</v>
      </c>
      <c r="B3270" t="s">
        <v>5499</v>
      </c>
      <c r="C3270" t="s">
        <v>54</v>
      </c>
      <c r="D3270" t="s">
        <v>26</v>
      </c>
      <c r="E3270" s="7">
        <v>45645</v>
      </c>
      <c r="F3270" t="s">
        <v>210</v>
      </c>
      <c r="G3270">
        <v>1</v>
      </c>
      <c r="H3270" t="s">
        <v>27</v>
      </c>
      <c r="I3270" t="s">
        <v>16</v>
      </c>
      <c r="J3270" t="s">
        <v>16</v>
      </c>
      <c r="K3270" t="str">
        <f>VLOOKUP(C3270,CheckName!A:B,2,0)</f>
        <v>Edu</v>
      </c>
      <c r="L3270">
        <v>0</v>
      </c>
      <c r="M3270">
        <f t="shared" si="460"/>
        <v>19</v>
      </c>
      <c r="N3270" t="str">
        <f>TEXT(MTDRejection[[#This Row],[RejectionDate]],"dddd")</f>
        <v>Thursday</v>
      </c>
    </row>
    <row r="3271" spans="1:14">
      <c r="A3271" t="s">
        <v>242</v>
      </c>
      <c r="B3271" t="s">
        <v>5500</v>
      </c>
      <c r="C3271" t="s">
        <v>12</v>
      </c>
      <c r="D3271" t="s">
        <v>26</v>
      </c>
      <c r="E3271" s="7">
        <v>45645</v>
      </c>
      <c r="F3271" t="s">
        <v>2350</v>
      </c>
      <c r="G3271">
        <v>1</v>
      </c>
      <c r="H3271" t="s">
        <v>27</v>
      </c>
      <c r="I3271" t="s">
        <v>16</v>
      </c>
      <c r="J3271" t="s">
        <v>16</v>
      </c>
      <c r="K3271" t="str">
        <f>VLOOKUP(C3271,CheckName!A:B,2,0)</f>
        <v>Emp</v>
      </c>
      <c r="L3271">
        <v>0</v>
      </c>
      <c r="M3271">
        <f>DAY(E3271)</f>
        <v>19</v>
      </c>
      <c r="N3271" t="str">
        <f>TEXT(MTDRejection[[#This Row],[RejectionDate]],"dddd")</f>
        <v>Thursday</v>
      </c>
    </row>
    <row r="3272" spans="1:14">
      <c r="A3272" t="s">
        <v>1548</v>
      </c>
      <c r="B3272" t="s">
        <v>5501</v>
      </c>
      <c r="C3272" t="s">
        <v>36</v>
      </c>
      <c r="D3272" t="s">
        <v>51</v>
      </c>
      <c r="E3272" s="7">
        <v>45646</v>
      </c>
      <c r="F3272" t="s">
        <v>2331</v>
      </c>
      <c r="G3272">
        <v>0</v>
      </c>
      <c r="H3272" t="s">
        <v>53</v>
      </c>
      <c r="I3272" t="s">
        <v>16</v>
      </c>
      <c r="J3272" t="s">
        <v>16</v>
      </c>
      <c r="K3272" t="str">
        <f>VLOOKUP(C3272,CheckName!A:B,2,0)</f>
        <v>Emp</v>
      </c>
      <c r="L3272">
        <v>0</v>
      </c>
      <c r="M3272">
        <f t="shared" ref="M3272:M3286" si="461">DAY(E3272)</f>
        <v>20</v>
      </c>
      <c r="N3272" t="str">
        <f>TEXT(MTDRejection[[#This Row],[RejectionDate]],"dddd")</f>
        <v>Friday</v>
      </c>
    </row>
    <row r="3273" spans="1:14">
      <c r="A3273" t="s">
        <v>1548</v>
      </c>
      <c r="B3273" t="s">
        <v>5502</v>
      </c>
      <c r="C3273" t="s">
        <v>125</v>
      </c>
      <c r="D3273" t="s">
        <v>51</v>
      </c>
      <c r="E3273" s="7">
        <v>45646</v>
      </c>
      <c r="F3273" t="s">
        <v>2331</v>
      </c>
      <c r="G3273">
        <v>0</v>
      </c>
      <c r="H3273" t="s">
        <v>53</v>
      </c>
      <c r="I3273" t="s">
        <v>16</v>
      </c>
      <c r="J3273" t="s">
        <v>16</v>
      </c>
      <c r="K3273" t="str">
        <f>VLOOKUP(C3273,CheckName!A:B,2,0)</f>
        <v>Emp</v>
      </c>
      <c r="L3273">
        <v>0</v>
      </c>
      <c r="M3273">
        <f t="shared" si="461"/>
        <v>20</v>
      </c>
      <c r="N3273" t="str">
        <f>TEXT(MTDRejection[[#This Row],[RejectionDate]],"dddd")</f>
        <v>Friday</v>
      </c>
    </row>
    <row r="3274" spans="1:14">
      <c r="A3274" t="s">
        <v>1548</v>
      </c>
      <c r="B3274" t="s">
        <v>5503</v>
      </c>
      <c r="C3274" t="s">
        <v>122</v>
      </c>
      <c r="D3274" t="s">
        <v>51</v>
      </c>
      <c r="E3274" s="7">
        <v>45646</v>
      </c>
      <c r="F3274" t="s">
        <v>2331</v>
      </c>
      <c r="G3274">
        <v>0</v>
      </c>
      <c r="H3274" t="s">
        <v>53</v>
      </c>
      <c r="I3274" t="s">
        <v>16</v>
      </c>
      <c r="J3274" t="s">
        <v>16</v>
      </c>
      <c r="K3274" t="str">
        <f>VLOOKUP(C3274,CheckName!A:B,2,0)</f>
        <v>Special Check</v>
      </c>
      <c r="L3274">
        <v>0</v>
      </c>
      <c r="M3274">
        <f t="shared" si="461"/>
        <v>20</v>
      </c>
      <c r="N3274" t="str">
        <f>TEXT(MTDRejection[[#This Row],[RejectionDate]],"dddd")</f>
        <v>Friday</v>
      </c>
    </row>
    <row r="3275" spans="1:14">
      <c r="A3275" t="s">
        <v>88</v>
      </c>
      <c r="B3275" t="s">
        <v>5504</v>
      </c>
      <c r="C3275" t="s">
        <v>25</v>
      </c>
      <c r="D3275" t="s">
        <v>26</v>
      </c>
      <c r="E3275" s="7">
        <v>45646</v>
      </c>
      <c r="F3275" t="s">
        <v>66</v>
      </c>
      <c r="G3275">
        <v>0</v>
      </c>
      <c r="H3275" t="s">
        <v>30</v>
      </c>
      <c r="I3275" t="s">
        <v>16</v>
      </c>
      <c r="J3275" t="s">
        <v>16</v>
      </c>
      <c r="K3275" t="str">
        <f>VLOOKUP(C3275,CheckName!A:B,2,0)</f>
        <v>Add</v>
      </c>
      <c r="L3275">
        <v>0</v>
      </c>
      <c r="M3275">
        <f t="shared" si="461"/>
        <v>20</v>
      </c>
      <c r="N3275" t="str">
        <f>TEXT(MTDRejection[[#This Row],[RejectionDate]],"dddd")</f>
        <v>Friday</v>
      </c>
    </row>
    <row r="3276" spans="1:14">
      <c r="A3276" t="s">
        <v>362</v>
      </c>
      <c r="B3276" t="s">
        <v>5505</v>
      </c>
      <c r="C3276" t="s">
        <v>25</v>
      </c>
      <c r="D3276" t="s">
        <v>26</v>
      </c>
      <c r="E3276" s="7">
        <v>45646</v>
      </c>
      <c r="F3276" t="s">
        <v>66</v>
      </c>
      <c r="G3276">
        <v>0</v>
      </c>
      <c r="H3276" t="s">
        <v>22</v>
      </c>
      <c r="I3276" t="s">
        <v>16</v>
      </c>
      <c r="J3276" t="s">
        <v>16</v>
      </c>
      <c r="K3276" t="str">
        <f>VLOOKUP(C3276,CheckName!A:B,2,0)</f>
        <v>Add</v>
      </c>
      <c r="L3276">
        <v>0</v>
      </c>
      <c r="M3276">
        <f t="shared" si="461"/>
        <v>20</v>
      </c>
      <c r="N3276" t="str">
        <f>TEXT(MTDRejection[[#This Row],[RejectionDate]],"dddd")</f>
        <v>Friday</v>
      </c>
    </row>
    <row r="3277" spans="1:14">
      <c r="A3277" t="s">
        <v>362</v>
      </c>
      <c r="B3277" t="s">
        <v>5506</v>
      </c>
      <c r="C3277" t="s">
        <v>25</v>
      </c>
      <c r="D3277" t="s">
        <v>26</v>
      </c>
      <c r="E3277" s="7">
        <v>45646</v>
      </c>
      <c r="F3277" t="s">
        <v>66</v>
      </c>
      <c r="G3277">
        <v>0</v>
      </c>
      <c r="H3277" t="s">
        <v>95</v>
      </c>
      <c r="I3277" t="s">
        <v>16</v>
      </c>
      <c r="J3277" t="s">
        <v>16</v>
      </c>
      <c r="K3277" t="str">
        <f>VLOOKUP(C3277,CheckName!A:B,2,0)</f>
        <v>Add</v>
      </c>
      <c r="L3277">
        <v>0</v>
      </c>
      <c r="M3277">
        <f t="shared" si="461"/>
        <v>20</v>
      </c>
      <c r="N3277" t="str">
        <f>TEXT(MTDRejection[[#This Row],[RejectionDate]],"dddd")</f>
        <v>Friday</v>
      </c>
    </row>
    <row r="3278" spans="1:14">
      <c r="A3278" t="s">
        <v>362</v>
      </c>
      <c r="B3278" t="s">
        <v>5507</v>
      </c>
      <c r="C3278" t="s">
        <v>25</v>
      </c>
      <c r="D3278" t="s">
        <v>26</v>
      </c>
      <c r="E3278" s="7">
        <v>45646</v>
      </c>
      <c r="F3278" t="s">
        <v>66</v>
      </c>
      <c r="G3278">
        <v>0</v>
      </c>
      <c r="H3278" t="s">
        <v>130</v>
      </c>
      <c r="I3278" t="s">
        <v>16</v>
      </c>
      <c r="J3278" t="s">
        <v>16</v>
      </c>
      <c r="K3278" t="str">
        <f>VLOOKUP(C3278,CheckName!A:B,2,0)</f>
        <v>Add</v>
      </c>
      <c r="L3278">
        <v>0</v>
      </c>
      <c r="M3278">
        <f t="shared" si="461"/>
        <v>20</v>
      </c>
      <c r="N3278" t="str">
        <f>TEXT(MTDRejection[[#This Row],[RejectionDate]],"dddd")</f>
        <v>Friday</v>
      </c>
    </row>
    <row r="3279" spans="1:14">
      <c r="A3279" t="s">
        <v>362</v>
      </c>
      <c r="B3279" t="s">
        <v>5508</v>
      </c>
      <c r="C3279" t="s">
        <v>25</v>
      </c>
      <c r="D3279" t="s">
        <v>26</v>
      </c>
      <c r="E3279" s="7">
        <v>45646</v>
      </c>
      <c r="F3279" t="s">
        <v>66</v>
      </c>
      <c r="G3279">
        <v>0</v>
      </c>
      <c r="H3279" t="s">
        <v>95</v>
      </c>
      <c r="I3279" t="s">
        <v>16</v>
      </c>
      <c r="J3279" t="s">
        <v>16</v>
      </c>
      <c r="K3279" t="str">
        <f>VLOOKUP(C3279,CheckName!A:B,2,0)</f>
        <v>Add</v>
      </c>
      <c r="L3279">
        <v>0</v>
      </c>
      <c r="M3279">
        <f t="shared" si="461"/>
        <v>20</v>
      </c>
      <c r="N3279" t="str">
        <f>TEXT(MTDRejection[[#This Row],[RejectionDate]],"dddd")</f>
        <v>Friday</v>
      </c>
    </row>
    <row r="3280" spans="1:14">
      <c r="A3280" t="s">
        <v>362</v>
      </c>
      <c r="B3280" t="s">
        <v>5509</v>
      </c>
      <c r="C3280" t="s">
        <v>25</v>
      </c>
      <c r="D3280" t="s">
        <v>26</v>
      </c>
      <c r="E3280" s="7">
        <v>45646</v>
      </c>
      <c r="F3280" t="s">
        <v>66</v>
      </c>
      <c r="G3280">
        <v>0</v>
      </c>
      <c r="H3280" t="s">
        <v>30</v>
      </c>
      <c r="I3280" t="s">
        <v>16</v>
      </c>
      <c r="J3280" t="s">
        <v>16</v>
      </c>
      <c r="K3280" t="str">
        <f>VLOOKUP(C3280,CheckName!A:B,2,0)</f>
        <v>Add</v>
      </c>
      <c r="L3280">
        <v>0</v>
      </c>
      <c r="M3280">
        <f t="shared" si="461"/>
        <v>20</v>
      </c>
      <c r="N3280" t="str">
        <f>TEXT(MTDRejection[[#This Row],[RejectionDate]],"dddd")</f>
        <v>Friday</v>
      </c>
    </row>
    <row r="3281" spans="1:14">
      <c r="A3281" t="s">
        <v>362</v>
      </c>
      <c r="B3281" t="s">
        <v>5510</v>
      </c>
      <c r="C3281" t="s">
        <v>25</v>
      </c>
      <c r="D3281" t="s">
        <v>26</v>
      </c>
      <c r="E3281" s="7">
        <v>45646</v>
      </c>
      <c r="F3281" t="s">
        <v>66</v>
      </c>
      <c r="G3281">
        <v>0</v>
      </c>
      <c r="H3281" t="s">
        <v>95</v>
      </c>
      <c r="I3281" t="s">
        <v>16</v>
      </c>
      <c r="J3281" t="s">
        <v>16</v>
      </c>
      <c r="K3281" t="str">
        <f>VLOOKUP(C3281,CheckName!A:B,2,0)</f>
        <v>Add</v>
      </c>
      <c r="L3281">
        <v>0</v>
      </c>
      <c r="M3281">
        <f t="shared" si="461"/>
        <v>20</v>
      </c>
      <c r="N3281" t="str">
        <f>TEXT(MTDRejection[[#This Row],[RejectionDate]],"dddd")</f>
        <v>Friday</v>
      </c>
    </row>
    <row r="3282" spans="1:14">
      <c r="A3282" t="s">
        <v>45</v>
      </c>
      <c r="B3282" t="s">
        <v>5511</v>
      </c>
      <c r="C3282" t="s">
        <v>19</v>
      </c>
      <c r="D3282" t="s">
        <v>26</v>
      </c>
      <c r="E3282" s="7">
        <v>45646</v>
      </c>
      <c r="F3282" t="s">
        <v>66</v>
      </c>
      <c r="G3282">
        <v>0</v>
      </c>
      <c r="H3282" t="s">
        <v>27</v>
      </c>
      <c r="I3282" t="s">
        <v>16</v>
      </c>
      <c r="J3282" t="s">
        <v>16</v>
      </c>
      <c r="K3282" t="str">
        <f>VLOOKUP(C3282,CheckName!A:B,2,0)</f>
        <v>Add</v>
      </c>
      <c r="L3282">
        <v>0</v>
      </c>
      <c r="M3282">
        <f t="shared" si="461"/>
        <v>20</v>
      </c>
      <c r="N3282" t="str">
        <f>TEXT(MTDRejection[[#This Row],[RejectionDate]],"dddd")</f>
        <v>Friday</v>
      </c>
    </row>
    <row r="3283" spans="1:14">
      <c r="A3283" t="s">
        <v>893</v>
      </c>
      <c r="B3283" t="s">
        <v>5512</v>
      </c>
      <c r="C3283" t="s">
        <v>25</v>
      </c>
      <c r="D3283" t="s">
        <v>26</v>
      </c>
      <c r="E3283" s="7">
        <v>45646</v>
      </c>
      <c r="F3283" t="s">
        <v>2330</v>
      </c>
      <c r="G3283">
        <v>0</v>
      </c>
      <c r="H3283" t="s">
        <v>27</v>
      </c>
      <c r="I3283" t="s">
        <v>16</v>
      </c>
      <c r="J3283" t="s">
        <v>16</v>
      </c>
      <c r="K3283" t="str">
        <f>VLOOKUP(C3283,CheckName!A:B,2,0)</f>
        <v>Add</v>
      </c>
      <c r="L3283">
        <v>0</v>
      </c>
      <c r="M3283">
        <f t="shared" si="461"/>
        <v>20</v>
      </c>
      <c r="N3283" t="str">
        <f>TEXT(MTDRejection[[#This Row],[RejectionDate]],"dddd")</f>
        <v>Friday</v>
      </c>
    </row>
    <row r="3284" spans="1:14">
      <c r="A3284" t="s">
        <v>45</v>
      </c>
      <c r="B3284" t="s">
        <v>5513</v>
      </c>
      <c r="C3284" t="s">
        <v>36</v>
      </c>
      <c r="D3284" t="s">
        <v>26</v>
      </c>
      <c r="E3284" s="7">
        <v>45646</v>
      </c>
      <c r="F3284" t="s">
        <v>83</v>
      </c>
      <c r="G3284">
        <v>0</v>
      </c>
      <c r="H3284" t="s">
        <v>27</v>
      </c>
      <c r="I3284" t="s">
        <v>16</v>
      </c>
      <c r="J3284" t="s">
        <v>16</v>
      </c>
      <c r="K3284" t="str">
        <f>VLOOKUP(C3284,CheckName!A:B,2,0)</f>
        <v>Emp</v>
      </c>
      <c r="L3284">
        <v>0</v>
      </c>
      <c r="M3284">
        <f t="shared" si="461"/>
        <v>20</v>
      </c>
      <c r="N3284" t="str">
        <f>TEXT(MTDRejection[[#This Row],[RejectionDate]],"dddd")</f>
        <v>Friday</v>
      </c>
    </row>
    <row r="3285" spans="1:14">
      <c r="A3285" t="s">
        <v>160</v>
      </c>
      <c r="B3285" t="s">
        <v>5514</v>
      </c>
      <c r="C3285" t="s">
        <v>19</v>
      </c>
      <c r="D3285" t="s">
        <v>20</v>
      </c>
      <c r="E3285" s="7">
        <v>45646</v>
      </c>
      <c r="F3285" t="s">
        <v>2327</v>
      </c>
      <c r="G3285">
        <v>0</v>
      </c>
      <c r="H3285" t="s">
        <v>130</v>
      </c>
      <c r="I3285" t="s">
        <v>16</v>
      </c>
      <c r="J3285" t="s">
        <v>16</v>
      </c>
      <c r="K3285" t="str">
        <f>VLOOKUP(C3285,CheckName!A:B,2,0)</f>
        <v>Add</v>
      </c>
      <c r="L3285">
        <v>0</v>
      </c>
      <c r="M3285">
        <f t="shared" si="461"/>
        <v>20</v>
      </c>
      <c r="N3285" t="str">
        <f>TEXT(MTDRejection[[#This Row],[RejectionDate]],"dddd")</f>
        <v>Friday</v>
      </c>
    </row>
    <row r="3286" spans="1:14">
      <c r="A3286" t="s">
        <v>45</v>
      </c>
      <c r="B3286" t="s">
        <v>5515</v>
      </c>
      <c r="C3286" t="s">
        <v>19</v>
      </c>
      <c r="D3286" t="s">
        <v>20</v>
      </c>
      <c r="E3286" s="7">
        <v>45646</v>
      </c>
      <c r="F3286" t="s">
        <v>2327</v>
      </c>
      <c r="G3286">
        <v>0</v>
      </c>
      <c r="H3286" t="s">
        <v>22</v>
      </c>
      <c r="I3286" t="s">
        <v>16</v>
      </c>
      <c r="J3286" t="s">
        <v>16</v>
      </c>
      <c r="K3286" t="str">
        <f>VLOOKUP(C3286,CheckName!A:B,2,0)</f>
        <v>Add</v>
      </c>
      <c r="L3286">
        <v>0</v>
      </c>
      <c r="M3286">
        <f t="shared" si="461"/>
        <v>20</v>
      </c>
      <c r="N3286" t="str">
        <f>TEXT(MTDRejection[[#This Row],[RejectionDate]],"dddd")</f>
        <v>Friday</v>
      </c>
    </row>
    <row r="3287" spans="1:14">
      <c r="A3287" t="s">
        <v>2032</v>
      </c>
      <c r="B3287" t="s">
        <v>5516</v>
      </c>
      <c r="C3287" t="s">
        <v>12</v>
      </c>
      <c r="D3287" t="s">
        <v>26</v>
      </c>
      <c r="E3287" s="7">
        <v>45646</v>
      </c>
      <c r="F3287" t="s">
        <v>2335</v>
      </c>
      <c r="G3287">
        <v>0</v>
      </c>
      <c r="H3287" t="s">
        <v>22</v>
      </c>
      <c r="I3287" t="s">
        <v>16</v>
      </c>
      <c r="J3287" t="s">
        <v>16</v>
      </c>
      <c r="K3287" t="str">
        <f>VLOOKUP(C3287,CheckName!A:B,2,0)</f>
        <v>Emp</v>
      </c>
      <c r="L3287">
        <v>0</v>
      </c>
      <c r="M3287">
        <f>DAY(E3287)</f>
        <v>20</v>
      </c>
      <c r="N3287" t="str">
        <f>TEXT(MTDRejection[[#This Row],[RejectionDate]],"dddd")</f>
        <v>Friday</v>
      </c>
    </row>
    <row r="3288" spans="1:14">
      <c r="A3288" t="s">
        <v>893</v>
      </c>
      <c r="B3288" t="s">
        <v>2707</v>
      </c>
      <c r="C3288" t="s">
        <v>25</v>
      </c>
      <c r="D3288" t="s">
        <v>26</v>
      </c>
      <c r="E3288" s="7">
        <v>45645</v>
      </c>
      <c r="F3288" t="s">
        <v>2330</v>
      </c>
      <c r="G3288">
        <v>1</v>
      </c>
      <c r="H3288" t="s">
        <v>22</v>
      </c>
      <c r="I3288" t="s">
        <v>16</v>
      </c>
      <c r="J3288" t="s">
        <v>16</v>
      </c>
      <c r="K3288" t="str">
        <f>VLOOKUP(C3288,CheckName!A:B,2,0)</f>
        <v>Add</v>
      </c>
      <c r="L3288">
        <v>0</v>
      </c>
      <c r="M3288">
        <f>DAY(E3288)</f>
        <v>19</v>
      </c>
      <c r="N3288" t="str">
        <f>TEXT(MTDRejection[[#This Row],[RejectionDate]],"dddd")</f>
        <v>Thursday</v>
      </c>
    </row>
    <row r="3289" spans="1:14">
      <c r="A3289" t="s">
        <v>45</v>
      </c>
      <c r="B3289" t="s">
        <v>5517</v>
      </c>
      <c r="C3289" t="s">
        <v>25</v>
      </c>
      <c r="D3289" t="s">
        <v>26</v>
      </c>
      <c r="E3289" s="7">
        <v>45645</v>
      </c>
      <c r="F3289" t="s">
        <v>2330</v>
      </c>
      <c r="G3289">
        <v>1</v>
      </c>
      <c r="H3289" t="s">
        <v>27</v>
      </c>
      <c r="I3289" t="s">
        <v>16</v>
      </c>
      <c r="J3289" t="s">
        <v>16</v>
      </c>
      <c r="K3289" t="str">
        <f>VLOOKUP(C3289,CheckName!A:B,2,0)</f>
        <v>Add</v>
      </c>
      <c r="L3289">
        <v>0</v>
      </c>
      <c r="M3289">
        <f>DAY(E3289)</f>
        <v>19</v>
      </c>
      <c r="N3289" t="str">
        <f>TEXT(MTDRejection[[#This Row],[RejectionDate]],"dddd")</f>
        <v>Thursday</v>
      </c>
    </row>
    <row r="3290" spans="1:14">
      <c r="A3290" t="s">
        <v>415</v>
      </c>
      <c r="B3290" t="s">
        <v>2708</v>
      </c>
      <c r="C3290" t="s">
        <v>36</v>
      </c>
      <c r="D3290" t="s">
        <v>26</v>
      </c>
      <c r="E3290" s="7">
        <v>45645</v>
      </c>
      <c r="F3290" t="s">
        <v>2339</v>
      </c>
      <c r="G3290">
        <v>1</v>
      </c>
      <c r="H3290" t="s">
        <v>27</v>
      </c>
      <c r="I3290" t="s">
        <v>16</v>
      </c>
      <c r="J3290" t="s">
        <v>16</v>
      </c>
      <c r="K3290" t="str">
        <f>VLOOKUP(C3290,CheckName!A:B,2,0)</f>
        <v>Emp</v>
      </c>
      <c r="L3290">
        <v>0</v>
      </c>
      <c r="M3290">
        <f>DAY(E3290)</f>
        <v>19</v>
      </c>
      <c r="N3290" t="str">
        <f>TEXT(MTDRejection[[#This Row],[RejectionDate]],"dddd")</f>
        <v>Thursday</v>
      </c>
    </row>
    <row r="3291" spans="1:14">
      <c r="A3291" t="s">
        <v>84</v>
      </c>
      <c r="B3291" t="s">
        <v>5518</v>
      </c>
      <c r="C3291" t="s">
        <v>12</v>
      </c>
      <c r="D3291" t="s">
        <v>26</v>
      </c>
      <c r="E3291" s="7">
        <v>45638</v>
      </c>
      <c r="F3291" t="s">
        <v>2333</v>
      </c>
      <c r="G3291">
        <v>8</v>
      </c>
      <c r="H3291" t="s">
        <v>27</v>
      </c>
      <c r="I3291" t="s">
        <v>16</v>
      </c>
      <c r="J3291" t="s">
        <v>16</v>
      </c>
      <c r="K3291" t="str">
        <f>VLOOKUP(C3291,CheckName!A:B,2,0)</f>
        <v>Emp</v>
      </c>
      <c r="L3291">
        <v>0</v>
      </c>
      <c r="M3291">
        <f>DAY(E3291)</f>
        <v>12</v>
      </c>
      <c r="N3291" t="str">
        <f>TEXT(MTDRejection[[#This Row],[RejectionDate]],"dddd")</f>
        <v>Thursday</v>
      </c>
    </row>
    <row r="3292" spans="1:14">
      <c r="A3292" t="s">
        <v>100</v>
      </c>
      <c r="B3292" t="s">
        <v>5519</v>
      </c>
      <c r="C3292" t="s">
        <v>102</v>
      </c>
      <c r="D3292" t="s">
        <v>51</v>
      </c>
      <c r="E3292" s="7">
        <v>45646</v>
      </c>
      <c r="F3292" t="s">
        <v>2349</v>
      </c>
      <c r="G3292">
        <v>0</v>
      </c>
      <c r="H3292" t="s">
        <v>53</v>
      </c>
      <c r="I3292" t="s">
        <v>16</v>
      </c>
      <c r="J3292" t="s">
        <v>16</v>
      </c>
      <c r="K3292" t="str">
        <f>VLOOKUP(C3292,CheckName!A:B,2,0)</f>
        <v>Edu</v>
      </c>
      <c r="L3292">
        <v>0</v>
      </c>
      <c r="M3292">
        <f t="shared" ref="M3292:M3294" si="462">DAY(E3292)</f>
        <v>20</v>
      </c>
      <c r="N3292" t="str">
        <f>TEXT(MTDRejection[[#This Row],[RejectionDate]],"dddd")</f>
        <v>Friday</v>
      </c>
    </row>
    <row r="3293" spans="1:14">
      <c r="A3293" t="s">
        <v>91</v>
      </c>
      <c r="B3293" t="s">
        <v>5520</v>
      </c>
      <c r="C3293" t="s">
        <v>56</v>
      </c>
      <c r="D3293" t="s">
        <v>51</v>
      </c>
      <c r="E3293" s="7">
        <v>45646</v>
      </c>
      <c r="F3293" t="s">
        <v>52</v>
      </c>
      <c r="G3293">
        <v>0</v>
      </c>
      <c r="H3293" t="s">
        <v>53</v>
      </c>
      <c r="I3293" t="s">
        <v>16</v>
      </c>
      <c r="J3293" t="s">
        <v>16</v>
      </c>
      <c r="K3293" t="str">
        <f>VLOOKUP(C3293,CheckName!A:B,2,0)</f>
        <v>Special Check</v>
      </c>
      <c r="L3293">
        <v>0</v>
      </c>
      <c r="M3293">
        <f t="shared" si="462"/>
        <v>20</v>
      </c>
      <c r="N3293" t="str">
        <f>TEXT(MTDRejection[[#This Row],[RejectionDate]],"dddd")</f>
        <v>Friday</v>
      </c>
    </row>
    <row r="3294" spans="1:14">
      <c r="A3294" t="s">
        <v>84</v>
      </c>
      <c r="B3294" t="s">
        <v>1838</v>
      </c>
      <c r="C3294" t="s">
        <v>19</v>
      </c>
      <c r="D3294" t="s">
        <v>26</v>
      </c>
      <c r="E3294" s="7">
        <v>45646</v>
      </c>
      <c r="F3294" t="s">
        <v>66</v>
      </c>
      <c r="G3294">
        <v>0</v>
      </c>
      <c r="H3294" t="s">
        <v>22</v>
      </c>
      <c r="I3294" t="s">
        <v>16</v>
      </c>
      <c r="J3294" t="s">
        <v>16</v>
      </c>
      <c r="K3294" t="str">
        <f>VLOOKUP(C3294,CheckName!A:B,2,0)</f>
        <v>Add</v>
      </c>
      <c r="L3294">
        <v>0</v>
      </c>
      <c r="M3294">
        <f t="shared" si="462"/>
        <v>20</v>
      </c>
      <c r="N3294" t="str">
        <f>TEXT(MTDRejection[[#This Row],[RejectionDate]],"dddd")</f>
        <v>Friday</v>
      </c>
    </row>
    <row r="3295" spans="1:14">
      <c r="A3295" t="s">
        <v>362</v>
      </c>
      <c r="B3295" t="s">
        <v>5521</v>
      </c>
      <c r="C3295" t="s">
        <v>25</v>
      </c>
      <c r="D3295" t="s">
        <v>26</v>
      </c>
      <c r="E3295" s="7">
        <v>45646</v>
      </c>
      <c r="F3295" t="s">
        <v>66</v>
      </c>
      <c r="G3295">
        <v>0</v>
      </c>
      <c r="H3295" t="s">
        <v>130</v>
      </c>
      <c r="I3295" t="s">
        <v>16</v>
      </c>
      <c r="J3295" t="s">
        <v>16</v>
      </c>
      <c r="K3295" t="str">
        <f>VLOOKUP(C3295,CheckName!A:B,2,0)</f>
        <v>Add</v>
      </c>
      <c r="L3295">
        <v>0</v>
      </c>
      <c r="M3295">
        <f>DAY(E3295)</f>
        <v>20</v>
      </c>
      <c r="N3295" t="str">
        <f>TEXT(MTDRejection[[#This Row],[RejectionDate]],"dddd")</f>
        <v>Friday</v>
      </c>
    </row>
    <row r="3296" spans="1:14">
      <c r="A3296" t="s">
        <v>45</v>
      </c>
      <c r="B3296" t="s">
        <v>5522</v>
      </c>
      <c r="C3296" t="s">
        <v>19</v>
      </c>
      <c r="D3296" t="s">
        <v>26</v>
      </c>
      <c r="E3296" s="7">
        <v>45646</v>
      </c>
      <c r="F3296" t="s">
        <v>66</v>
      </c>
      <c r="G3296">
        <v>0</v>
      </c>
      <c r="H3296" t="s">
        <v>27</v>
      </c>
      <c r="I3296" t="s">
        <v>16</v>
      </c>
      <c r="J3296" t="s">
        <v>16</v>
      </c>
      <c r="K3296" t="str">
        <f>VLOOKUP(C3296,CheckName!A:B,2,0)</f>
        <v>Add</v>
      </c>
      <c r="L3296">
        <v>0</v>
      </c>
      <c r="M3296">
        <f t="shared" ref="M3296:M3298" si="463">DAY(E3296)</f>
        <v>20</v>
      </c>
      <c r="N3296" t="str">
        <f>TEXT(MTDRejection[[#This Row],[RejectionDate]],"dddd")</f>
        <v>Friday</v>
      </c>
    </row>
    <row r="3297" spans="1:14">
      <c r="A3297" t="s">
        <v>517</v>
      </c>
      <c r="B3297" t="s">
        <v>5523</v>
      </c>
      <c r="C3297" t="s">
        <v>25</v>
      </c>
      <c r="D3297" t="s">
        <v>20</v>
      </c>
      <c r="E3297" s="7">
        <v>45646</v>
      </c>
      <c r="F3297" t="s">
        <v>2330</v>
      </c>
      <c r="G3297">
        <v>0</v>
      </c>
      <c r="H3297" t="s">
        <v>22</v>
      </c>
      <c r="I3297" t="s">
        <v>16</v>
      </c>
      <c r="J3297" t="s">
        <v>16</v>
      </c>
      <c r="K3297" t="str">
        <f>VLOOKUP(C3297,CheckName!A:B,2,0)</f>
        <v>Add</v>
      </c>
      <c r="L3297">
        <v>0</v>
      </c>
      <c r="M3297">
        <f t="shared" si="463"/>
        <v>20</v>
      </c>
      <c r="N3297" t="str">
        <f>TEXT(MTDRejection[[#This Row],[RejectionDate]],"dddd")</f>
        <v>Friday</v>
      </c>
    </row>
    <row r="3298" spans="1:14">
      <c r="A3298" t="s">
        <v>84</v>
      </c>
      <c r="B3298" t="s">
        <v>5524</v>
      </c>
      <c r="C3298" t="s">
        <v>36</v>
      </c>
      <c r="D3298" t="s">
        <v>26</v>
      </c>
      <c r="E3298" s="7">
        <v>45646</v>
      </c>
      <c r="F3298" t="s">
        <v>115</v>
      </c>
      <c r="G3298">
        <v>0</v>
      </c>
      <c r="H3298" t="s">
        <v>27</v>
      </c>
      <c r="I3298" t="s">
        <v>16</v>
      </c>
      <c r="J3298" t="s">
        <v>16</v>
      </c>
      <c r="K3298" t="str">
        <f>VLOOKUP(C3298,CheckName!A:B,2,0)</f>
        <v>Emp</v>
      </c>
      <c r="L3298">
        <v>0</v>
      </c>
      <c r="M3298">
        <f t="shared" si="463"/>
        <v>20</v>
      </c>
      <c r="N3298" t="str">
        <f>TEXT(MTDRejection[[#This Row],[RejectionDate]],"dddd")</f>
        <v>Friday</v>
      </c>
    </row>
    <row r="3299" spans="1:14">
      <c r="A3299" t="s">
        <v>96</v>
      </c>
      <c r="B3299" t="s">
        <v>5525</v>
      </c>
      <c r="C3299" t="s">
        <v>54</v>
      </c>
      <c r="D3299" t="s">
        <v>26</v>
      </c>
      <c r="E3299" s="7">
        <v>45646</v>
      </c>
      <c r="F3299" t="s">
        <v>63</v>
      </c>
      <c r="G3299">
        <v>0</v>
      </c>
      <c r="H3299" t="s">
        <v>22</v>
      </c>
      <c r="I3299" t="s">
        <v>16</v>
      </c>
      <c r="J3299" t="s">
        <v>16</v>
      </c>
      <c r="K3299" t="str">
        <f>VLOOKUP(C3299,CheckName!A:B,2,0)</f>
        <v>Edu</v>
      </c>
      <c r="L3299">
        <v>0</v>
      </c>
      <c r="M3299">
        <f t="shared" ref="M3299:M3304" si="464">DAY(E3299)</f>
        <v>20</v>
      </c>
      <c r="N3299" t="str">
        <f>TEXT(MTDRejection[[#This Row],[RejectionDate]],"dddd")</f>
        <v>Friday</v>
      </c>
    </row>
    <row r="3300" spans="1:14">
      <c r="A3300" t="s">
        <v>96</v>
      </c>
      <c r="B3300" t="s">
        <v>5526</v>
      </c>
      <c r="C3300" t="s">
        <v>54</v>
      </c>
      <c r="D3300" t="s">
        <v>26</v>
      </c>
      <c r="E3300" s="7">
        <v>45646</v>
      </c>
      <c r="F3300" t="s">
        <v>63</v>
      </c>
      <c r="G3300">
        <v>0</v>
      </c>
      <c r="H3300" t="s">
        <v>27</v>
      </c>
      <c r="I3300" t="s">
        <v>16</v>
      </c>
      <c r="J3300" t="s">
        <v>16</v>
      </c>
      <c r="K3300" t="str">
        <f>VLOOKUP(C3300,CheckName!A:B,2,0)</f>
        <v>Edu</v>
      </c>
      <c r="L3300">
        <v>0</v>
      </c>
      <c r="M3300">
        <f t="shared" si="464"/>
        <v>20</v>
      </c>
      <c r="N3300" t="str">
        <f>TEXT(MTDRejection[[#This Row],[RejectionDate]],"dddd")</f>
        <v>Friday</v>
      </c>
    </row>
    <row r="3301" spans="1:14">
      <c r="A3301" t="s">
        <v>45</v>
      </c>
      <c r="B3301" t="s">
        <v>5318</v>
      </c>
      <c r="C3301" t="s">
        <v>36</v>
      </c>
      <c r="D3301" t="s">
        <v>26</v>
      </c>
      <c r="E3301" s="7">
        <v>45646</v>
      </c>
      <c r="F3301" t="s">
        <v>224</v>
      </c>
      <c r="G3301">
        <v>0</v>
      </c>
      <c r="H3301" t="s">
        <v>30</v>
      </c>
      <c r="I3301" t="s">
        <v>16</v>
      </c>
      <c r="J3301" t="s">
        <v>16</v>
      </c>
      <c r="K3301" t="str">
        <f>VLOOKUP(C3301,CheckName!A:B,2,0)</f>
        <v>Emp</v>
      </c>
      <c r="L3301">
        <v>0</v>
      </c>
      <c r="M3301">
        <f t="shared" si="464"/>
        <v>20</v>
      </c>
      <c r="N3301" t="str">
        <f>TEXT(MTDRejection[[#This Row],[RejectionDate]],"dddd")</f>
        <v>Friday</v>
      </c>
    </row>
    <row r="3302" spans="1:14">
      <c r="A3302" t="s">
        <v>142</v>
      </c>
      <c r="B3302" t="s">
        <v>5527</v>
      </c>
      <c r="C3302" t="s">
        <v>36</v>
      </c>
      <c r="D3302" t="s">
        <v>26</v>
      </c>
      <c r="E3302" s="7">
        <v>45646</v>
      </c>
      <c r="F3302" t="s">
        <v>83</v>
      </c>
      <c r="G3302">
        <v>0</v>
      </c>
      <c r="H3302" t="s">
        <v>22</v>
      </c>
      <c r="I3302" t="s">
        <v>16</v>
      </c>
      <c r="J3302" t="s">
        <v>16</v>
      </c>
      <c r="K3302" t="str">
        <f>VLOOKUP(C3302,CheckName!A:B,2,0)</f>
        <v>Emp</v>
      </c>
      <c r="L3302">
        <v>0</v>
      </c>
      <c r="M3302">
        <f t="shared" si="464"/>
        <v>20</v>
      </c>
      <c r="N3302" t="str">
        <f>TEXT(MTDRejection[[#This Row],[RejectionDate]],"dddd")</f>
        <v>Friday</v>
      </c>
    </row>
    <row r="3303" spans="1:14">
      <c r="A3303" t="s">
        <v>142</v>
      </c>
      <c r="B3303" t="s">
        <v>5528</v>
      </c>
      <c r="C3303" t="s">
        <v>36</v>
      </c>
      <c r="D3303" t="s">
        <v>26</v>
      </c>
      <c r="E3303" s="7">
        <v>45646</v>
      </c>
      <c r="F3303" t="s">
        <v>2333</v>
      </c>
      <c r="G3303">
        <v>0</v>
      </c>
      <c r="H3303" t="s">
        <v>27</v>
      </c>
      <c r="I3303" t="s">
        <v>16</v>
      </c>
      <c r="J3303" t="s">
        <v>16</v>
      </c>
      <c r="K3303" t="str">
        <f>VLOOKUP(C3303,CheckName!A:B,2,0)</f>
        <v>Emp</v>
      </c>
      <c r="L3303">
        <v>1</v>
      </c>
      <c r="M3303">
        <f t="shared" si="464"/>
        <v>20</v>
      </c>
      <c r="N3303" t="str">
        <f>TEXT(MTDRejection[[#This Row],[RejectionDate]],"dddd")</f>
        <v>Friday</v>
      </c>
    </row>
    <row r="3304" spans="1:14">
      <c r="A3304" t="s">
        <v>142</v>
      </c>
      <c r="B3304" t="s">
        <v>5529</v>
      </c>
      <c r="C3304" t="s">
        <v>36</v>
      </c>
      <c r="D3304" t="s">
        <v>26</v>
      </c>
      <c r="E3304" s="7">
        <v>45646</v>
      </c>
      <c r="F3304" t="s">
        <v>2333</v>
      </c>
      <c r="G3304">
        <v>0</v>
      </c>
      <c r="H3304" t="s">
        <v>22</v>
      </c>
      <c r="I3304" t="s">
        <v>16</v>
      </c>
      <c r="J3304" t="s">
        <v>16</v>
      </c>
      <c r="K3304" t="str">
        <f>VLOOKUP(C3304,CheckName!A:B,2,0)</f>
        <v>Emp</v>
      </c>
      <c r="L3304">
        <v>0</v>
      </c>
      <c r="M3304">
        <f t="shared" si="464"/>
        <v>20</v>
      </c>
      <c r="N3304" t="str">
        <f>TEXT(MTDRejection[[#This Row],[RejectionDate]],"dddd")</f>
        <v>Friday</v>
      </c>
    </row>
    <row r="3305" spans="1:14">
      <c r="A3305" t="s">
        <v>263</v>
      </c>
      <c r="B3305" t="s">
        <v>5530</v>
      </c>
      <c r="C3305" t="s">
        <v>19</v>
      </c>
      <c r="D3305" t="s">
        <v>20</v>
      </c>
      <c r="E3305" s="7">
        <v>45646</v>
      </c>
      <c r="F3305" t="s">
        <v>2327</v>
      </c>
      <c r="G3305">
        <v>0</v>
      </c>
      <c r="H3305" t="s">
        <v>27</v>
      </c>
      <c r="I3305" t="s">
        <v>16</v>
      </c>
      <c r="J3305" t="s">
        <v>16</v>
      </c>
      <c r="K3305" t="str">
        <f>VLOOKUP(C3305,CheckName!A:B,2,0)</f>
        <v>Add</v>
      </c>
      <c r="L3305">
        <v>0</v>
      </c>
      <c r="M3305">
        <f t="shared" ref="M3305:M3310" si="465">DAY(E3305)</f>
        <v>20</v>
      </c>
      <c r="N3305" t="str">
        <f>TEXT(MTDRejection[[#This Row],[RejectionDate]],"dddd")</f>
        <v>Friday</v>
      </c>
    </row>
    <row r="3306" spans="1:14">
      <c r="A3306" t="s">
        <v>1110</v>
      </c>
      <c r="B3306" t="s">
        <v>5531</v>
      </c>
      <c r="C3306" t="s">
        <v>965</v>
      </c>
      <c r="D3306" t="s">
        <v>20</v>
      </c>
      <c r="E3306" s="7">
        <v>45646</v>
      </c>
      <c r="F3306" t="s">
        <v>2327</v>
      </c>
      <c r="G3306">
        <v>0</v>
      </c>
      <c r="H3306" t="s">
        <v>22</v>
      </c>
      <c r="I3306" t="s">
        <v>16</v>
      </c>
      <c r="J3306" t="s">
        <v>16</v>
      </c>
      <c r="K3306" t="str">
        <f>VLOOKUP(C3306,CheckName!A:B,2,0)</f>
        <v>Add</v>
      </c>
      <c r="L3306">
        <v>1</v>
      </c>
      <c r="M3306">
        <f t="shared" si="465"/>
        <v>20</v>
      </c>
      <c r="N3306" t="str">
        <f>TEXT(MTDRejection[[#This Row],[RejectionDate]],"dddd")</f>
        <v>Friday</v>
      </c>
    </row>
    <row r="3307" spans="1:14">
      <c r="A3307" t="s">
        <v>1110</v>
      </c>
      <c r="B3307" t="s">
        <v>5532</v>
      </c>
      <c r="C3307" t="s">
        <v>965</v>
      </c>
      <c r="D3307" t="s">
        <v>20</v>
      </c>
      <c r="E3307" s="7">
        <v>45646</v>
      </c>
      <c r="F3307" t="s">
        <v>2327</v>
      </c>
      <c r="G3307">
        <v>0</v>
      </c>
      <c r="H3307" t="s">
        <v>22</v>
      </c>
      <c r="I3307" t="s">
        <v>16</v>
      </c>
      <c r="J3307" t="s">
        <v>16</v>
      </c>
      <c r="K3307" t="str">
        <f>VLOOKUP(C3307,CheckName!A:B,2,0)</f>
        <v>Add</v>
      </c>
      <c r="L3307">
        <v>1</v>
      </c>
      <c r="M3307">
        <f t="shared" si="465"/>
        <v>20</v>
      </c>
      <c r="N3307" t="str">
        <f>TEXT(MTDRejection[[#This Row],[RejectionDate]],"dddd")</f>
        <v>Friday</v>
      </c>
    </row>
    <row r="3308" spans="1:14">
      <c r="A3308" t="s">
        <v>2030</v>
      </c>
      <c r="B3308" t="s">
        <v>5533</v>
      </c>
      <c r="C3308" t="s">
        <v>25</v>
      </c>
      <c r="D3308" t="s">
        <v>20</v>
      </c>
      <c r="E3308" s="7">
        <v>45646</v>
      </c>
      <c r="F3308" t="s">
        <v>2327</v>
      </c>
      <c r="G3308">
        <v>0</v>
      </c>
      <c r="H3308" t="s">
        <v>22</v>
      </c>
      <c r="I3308" t="s">
        <v>16</v>
      </c>
      <c r="J3308" t="s">
        <v>16</v>
      </c>
      <c r="K3308" t="str">
        <f>VLOOKUP(C3308,CheckName!A:B,2,0)</f>
        <v>Add</v>
      </c>
      <c r="L3308">
        <v>0</v>
      </c>
      <c r="M3308">
        <f t="shared" si="465"/>
        <v>20</v>
      </c>
      <c r="N3308" t="str">
        <f>TEXT(MTDRejection[[#This Row],[RejectionDate]],"dddd")</f>
        <v>Friday</v>
      </c>
    </row>
    <row r="3309" spans="1:14">
      <c r="A3309" t="s">
        <v>160</v>
      </c>
      <c r="B3309" t="s">
        <v>2684</v>
      </c>
      <c r="C3309" t="s">
        <v>19</v>
      </c>
      <c r="D3309" t="s">
        <v>20</v>
      </c>
      <c r="E3309" s="7">
        <v>45646</v>
      </c>
      <c r="F3309" t="s">
        <v>2327</v>
      </c>
      <c r="G3309">
        <v>0</v>
      </c>
      <c r="H3309" t="s">
        <v>22</v>
      </c>
      <c r="I3309" t="s">
        <v>16</v>
      </c>
      <c r="J3309" t="s">
        <v>16</v>
      </c>
      <c r="K3309" t="str">
        <f>VLOOKUP(C3309,CheckName!A:B,2,0)</f>
        <v>Add</v>
      </c>
      <c r="L3309">
        <v>1</v>
      </c>
      <c r="M3309">
        <f t="shared" si="465"/>
        <v>20</v>
      </c>
      <c r="N3309" t="str">
        <f>TEXT(MTDRejection[[#This Row],[RejectionDate]],"dddd")</f>
        <v>Friday</v>
      </c>
    </row>
    <row r="3310" spans="1:14">
      <c r="A3310" t="s">
        <v>45</v>
      </c>
      <c r="B3310" t="s">
        <v>2709</v>
      </c>
      <c r="C3310" t="s">
        <v>19</v>
      </c>
      <c r="D3310" t="s">
        <v>20</v>
      </c>
      <c r="E3310" s="7">
        <v>45646</v>
      </c>
      <c r="F3310" t="s">
        <v>2327</v>
      </c>
      <c r="G3310">
        <v>0</v>
      </c>
      <c r="H3310" t="s">
        <v>15</v>
      </c>
      <c r="I3310" t="s">
        <v>16</v>
      </c>
      <c r="J3310" t="s">
        <v>16</v>
      </c>
      <c r="K3310" t="str">
        <f>VLOOKUP(C3310,CheckName!A:B,2,0)</f>
        <v>Add</v>
      </c>
      <c r="L3310">
        <v>0</v>
      </c>
      <c r="M3310">
        <f t="shared" si="465"/>
        <v>20</v>
      </c>
      <c r="N3310" t="str">
        <f>TEXT(MTDRejection[[#This Row],[RejectionDate]],"dddd")</f>
        <v>Friday</v>
      </c>
    </row>
    <row r="3311" spans="1:14">
      <c r="A3311" t="s">
        <v>45</v>
      </c>
      <c r="B3311" t="s">
        <v>5534</v>
      </c>
      <c r="C3311" t="s">
        <v>25</v>
      </c>
      <c r="D3311" t="s">
        <v>20</v>
      </c>
      <c r="E3311" s="7">
        <v>45646</v>
      </c>
      <c r="F3311" t="s">
        <v>2327</v>
      </c>
      <c r="G3311">
        <v>0</v>
      </c>
      <c r="H3311" t="s">
        <v>22</v>
      </c>
      <c r="I3311" t="s">
        <v>16</v>
      </c>
      <c r="J3311" t="s">
        <v>16</v>
      </c>
      <c r="K3311" t="str">
        <f>VLOOKUP(C3311,CheckName!A:B,2,0)</f>
        <v>Add</v>
      </c>
      <c r="L3311">
        <v>1</v>
      </c>
      <c r="M3311">
        <f>DAY(E3311)</f>
        <v>20</v>
      </c>
      <c r="N3311" t="str">
        <f>TEXT(MTDRejection[[#This Row],[RejectionDate]],"dddd")</f>
        <v>Friday</v>
      </c>
    </row>
    <row r="3312" spans="1:14">
      <c r="A3312" t="s">
        <v>45</v>
      </c>
      <c r="B3312" t="s">
        <v>5535</v>
      </c>
      <c r="C3312" t="s">
        <v>25</v>
      </c>
      <c r="D3312" t="s">
        <v>20</v>
      </c>
      <c r="E3312" s="7">
        <v>45646</v>
      </c>
      <c r="F3312" t="s">
        <v>2327</v>
      </c>
      <c r="G3312">
        <v>0</v>
      </c>
      <c r="H3312" t="s">
        <v>30</v>
      </c>
      <c r="I3312" t="s">
        <v>16</v>
      </c>
      <c r="J3312" t="s">
        <v>16</v>
      </c>
      <c r="K3312" t="str">
        <f>VLOOKUP(C3312,CheckName!A:B,2,0)</f>
        <v>Add</v>
      </c>
      <c r="L3312">
        <v>0</v>
      </c>
      <c r="M3312">
        <f>DAY(E3312)</f>
        <v>20</v>
      </c>
      <c r="N3312" t="str">
        <f>TEXT(MTDRejection[[#This Row],[RejectionDate]],"dddd")</f>
        <v>Friday</v>
      </c>
    </row>
    <row r="3313" spans="1:14">
      <c r="A3313" t="s">
        <v>100</v>
      </c>
      <c r="B3313" t="s">
        <v>2710</v>
      </c>
      <c r="C3313" t="s">
        <v>359</v>
      </c>
      <c r="D3313" t="s">
        <v>26</v>
      </c>
      <c r="E3313" s="7">
        <v>45646</v>
      </c>
      <c r="F3313" t="s">
        <v>380</v>
      </c>
      <c r="G3313">
        <v>0</v>
      </c>
      <c r="H3313" t="s">
        <v>30</v>
      </c>
      <c r="I3313" t="s">
        <v>16</v>
      </c>
      <c r="J3313" t="s">
        <v>16</v>
      </c>
      <c r="K3313" t="str">
        <f>VLOOKUP(C3313,CheckName!A:B,2,0)</f>
        <v>Emp</v>
      </c>
      <c r="L3313">
        <v>0</v>
      </c>
      <c r="M3313">
        <f t="shared" ref="M3313:M3323" si="466">DAY(E3313)</f>
        <v>20</v>
      </c>
      <c r="N3313" t="str">
        <f>TEXT(MTDRejection[[#This Row],[RejectionDate]],"dddd")</f>
        <v>Friday</v>
      </c>
    </row>
    <row r="3314" spans="1:14">
      <c r="A3314" t="s">
        <v>84</v>
      </c>
      <c r="B3314" t="s">
        <v>5536</v>
      </c>
      <c r="C3314" t="s">
        <v>125</v>
      </c>
      <c r="D3314" t="s">
        <v>26</v>
      </c>
      <c r="E3314" s="7">
        <v>45646</v>
      </c>
      <c r="F3314" t="s">
        <v>151</v>
      </c>
      <c r="G3314">
        <v>0</v>
      </c>
      <c r="H3314" t="s">
        <v>22</v>
      </c>
      <c r="I3314" t="s">
        <v>16</v>
      </c>
      <c r="J3314" t="s">
        <v>16</v>
      </c>
      <c r="K3314" t="str">
        <f>VLOOKUP(C3314,CheckName!A:B,2,0)</f>
        <v>Emp</v>
      </c>
      <c r="L3314">
        <v>0</v>
      </c>
      <c r="M3314">
        <f t="shared" si="466"/>
        <v>20</v>
      </c>
      <c r="N3314" t="str">
        <f>TEXT(MTDRejection[[#This Row],[RejectionDate]],"dddd")</f>
        <v>Friday</v>
      </c>
    </row>
    <row r="3315" spans="1:14">
      <c r="A3315" t="s">
        <v>211</v>
      </c>
      <c r="B3315" t="s">
        <v>5537</v>
      </c>
      <c r="C3315" t="s">
        <v>220</v>
      </c>
      <c r="D3315" t="s">
        <v>26</v>
      </c>
      <c r="E3315" s="7">
        <v>45646</v>
      </c>
      <c r="F3315" t="s">
        <v>294</v>
      </c>
      <c r="G3315">
        <v>0</v>
      </c>
      <c r="H3315" t="s">
        <v>27</v>
      </c>
      <c r="I3315" t="s">
        <v>16</v>
      </c>
      <c r="J3315" t="s">
        <v>16</v>
      </c>
      <c r="K3315" t="str">
        <f>VLOOKUP(C3315,CheckName!A:B,2,0)</f>
        <v>Ref</v>
      </c>
      <c r="L3315">
        <v>0</v>
      </c>
      <c r="M3315">
        <f t="shared" si="466"/>
        <v>20</v>
      </c>
      <c r="N3315" t="str">
        <f>TEXT(MTDRejection[[#This Row],[RejectionDate]],"dddd")</f>
        <v>Friday</v>
      </c>
    </row>
    <row r="3316" spans="1:14">
      <c r="A3316" t="s">
        <v>165</v>
      </c>
      <c r="B3316" t="s">
        <v>5538</v>
      </c>
      <c r="C3316" t="s">
        <v>125</v>
      </c>
      <c r="D3316" t="s">
        <v>26</v>
      </c>
      <c r="E3316" s="7">
        <v>45646</v>
      </c>
      <c r="F3316" t="s">
        <v>2337</v>
      </c>
      <c r="G3316">
        <v>0</v>
      </c>
      <c r="H3316" t="s">
        <v>130</v>
      </c>
      <c r="I3316" t="s">
        <v>16</v>
      </c>
      <c r="J3316" t="s">
        <v>16</v>
      </c>
      <c r="K3316" t="str">
        <f>VLOOKUP(C3316,CheckName!A:B,2,0)</f>
        <v>Emp</v>
      </c>
      <c r="L3316">
        <v>0</v>
      </c>
      <c r="M3316">
        <f t="shared" si="466"/>
        <v>20</v>
      </c>
      <c r="N3316" t="str">
        <f>TEXT(MTDRejection[[#This Row],[RejectionDate]],"dddd")</f>
        <v>Friday</v>
      </c>
    </row>
    <row r="3317" spans="1:14">
      <c r="A3317" t="s">
        <v>45</v>
      </c>
      <c r="B3317" t="s">
        <v>5539</v>
      </c>
      <c r="C3317" t="s">
        <v>36</v>
      </c>
      <c r="D3317" t="s">
        <v>26</v>
      </c>
      <c r="E3317" s="7">
        <v>45646</v>
      </c>
      <c r="F3317" t="s">
        <v>179</v>
      </c>
      <c r="G3317">
        <v>0</v>
      </c>
      <c r="H3317" t="s">
        <v>22</v>
      </c>
      <c r="I3317" t="s">
        <v>16</v>
      </c>
      <c r="J3317" t="s">
        <v>16</v>
      </c>
      <c r="K3317" t="str">
        <f>VLOOKUP(C3317,CheckName!A:B,2,0)</f>
        <v>Emp</v>
      </c>
      <c r="L3317">
        <v>0</v>
      </c>
      <c r="M3317">
        <f t="shared" si="466"/>
        <v>20</v>
      </c>
      <c r="N3317" t="str">
        <f>TEXT(MTDRejection[[#This Row],[RejectionDate]],"dddd")</f>
        <v>Friday</v>
      </c>
    </row>
    <row r="3318" spans="1:14">
      <c r="A3318" t="s">
        <v>2052</v>
      </c>
      <c r="B3318" t="s">
        <v>5540</v>
      </c>
      <c r="C3318" t="s">
        <v>93</v>
      </c>
      <c r="D3318" t="s">
        <v>26</v>
      </c>
      <c r="E3318" s="7">
        <v>45646</v>
      </c>
      <c r="F3318" t="s">
        <v>458</v>
      </c>
      <c r="G3318">
        <v>0</v>
      </c>
      <c r="H3318" t="s">
        <v>130</v>
      </c>
      <c r="I3318" t="s">
        <v>16</v>
      </c>
      <c r="J3318" t="s">
        <v>16</v>
      </c>
      <c r="K3318" t="str">
        <f>VLOOKUP(C3318,CheckName!A:B,2,0)</f>
        <v>Edu</v>
      </c>
      <c r="L3318">
        <v>0</v>
      </c>
      <c r="M3318">
        <f t="shared" si="466"/>
        <v>20</v>
      </c>
      <c r="N3318" t="str">
        <f>TEXT(MTDRejection[[#This Row],[RejectionDate]],"dddd")</f>
        <v>Friday</v>
      </c>
    </row>
    <row r="3319" spans="1:14">
      <c r="A3319" t="s">
        <v>96</v>
      </c>
      <c r="B3319" t="s">
        <v>2711</v>
      </c>
      <c r="C3319" t="s">
        <v>54</v>
      </c>
      <c r="D3319" t="s">
        <v>26</v>
      </c>
      <c r="E3319" s="7">
        <v>45646</v>
      </c>
      <c r="F3319" t="s">
        <v>458</v>
      </c>
      <c r="G3319">
        <v>0</v>
      </c>
      <c r="H3319" t="s">
        <v>425</v>
      </c>
      <c r="I3319" t="s">
        <v>16</v>
      </c>
      <c r="J3319" t="s">
        <v>16</v>
      </c>
      <c r="K3319" t="str">
        <f>VLOOKUP(C3319,CheckName!A:B,2,0)</f>
        <v>Edu</v>
      </c>
      <c r="L3319">
        <v>0</v>
      </c>
      <c r="M3319">
        <f t="shared" si="466"/>
        <v>20</v>
      </c>
      <c r="N3319" t="str">
        <f>TEXT(MTDRejection[[#This Row],[RejectionDate]],"dddd")</f>
        <v>Friday</v>
      </c>
    </row>
    <row r="3320" spans="1:14">
      <c r="A3320" t="s">
        <v>96</v>
      </c>
      <c r="B3320" t="s">
        <v>5541</v>
      </c>
      <c r="C3320" t="s">
        <v>54</v>
      </c>
      <c r="D3320" t="s">
        <v>26</v>
      </c>
      <c r="E3320" s="7">
        <v>45646</v>
      </c>
      <c r="F3320" t="s">
        <v>458</v>
      </c>
      <c r="G3320">
        <v>0</v>
      </c>
      <c r="H3320" t="s">
        <v>27</v>
      </c>
      <c r="I3320" t="s">
        <v>16</v>
      </c>
      <c r="J3320" t="s">
        <v>16</v>
      </c>
      <c r="K3320" t="str">
        <f>VLOOKUP(C3320,CheckName!A:B,2,0)</f>
        <v>Edu</v>
      </c>
      <c r="L3320">
        <v>0</v>
      </c>
      <c r="M3320">
        <f t="shared" si="466"/>
        <v>20</v>
      </c>
      <c r="N3320" t="str">
        <f>TEXT(MTDRejection[[#This Row],[RejectionDate]],"dddd")</f>
        <v>Friday</v>
      </c>
    </row>
    <row r="3321" spans="1:14">
      <c r="A3321" t="s">
        <v>133</v>
      </c>
      <c r="B3321" t="s">
        <v>2712</v>
      </c>
      <c r="C3321" t="s">
        <v>25</v>
      </c>
      <c r="D3321" t="s">
        <v>20</v>
      </c>
      <c r="E3321" s="7">
        <v>45646</v>
      </c>
      <c r="F3321" t="s">
        <v>129</v>
      </c>
      <c r="G3321">
        <v>0</v>
      </c>
      <c r="H3321" t="s">
        <v>22</v>
      </c>
      <c r="I3321" t="s">
        <v>16</v>
      </c>
      <c r="J3321" t="s">
        <v>16</v>
      </c>
      <c r="K3321" t="str">
        <f>VLOOKUP(C3321,CheckName!A:B,2,0)</f>
        <v>Add</v>
      </c>
      <c r="L3321">
        <v>0</v>
      </c>
      <c r="M3321">
        <f t="shared" si="466"/>
        <v>20</v>
      </c>
      <c r="N3321" t="str">
        <f>TEXT(MTDRejection[[#This Row],[RejectionDate]],"dddd")</f>
        <v>Friday</v>
      </c>
    </row>
    <row r="3322" spans="1:14">
      <c r="A3322" t="s">
        <v>100</v>
      </c>
      <c r="B3322" t="s">
        <v>5542</v>
      </c>
      <c r="C3322" t="s">
        <v>102</v>
      </c>
      <c r="D3322" t="s">
        <v>26</v>
      </c>
      <c r="E3322" s="7">
        <v>45646</v>
      </c>
      <c r="F3322" t="s">
        <v>1798</v>
      </c>
      <c r="G3322">
        <v>0</v>
      </c>
      <c r="H3322" t="s">
        <v>30</v>
      </c>
      <c r="I3322" t="s">
        <v>16</v>
      </c>
      <c r="J3322" t="s">
        <v>16</v>
      </c>
      <c r="K3322" t="str">
        <f>VLOOKUP(C3322,CheckName!A:B,2,0)</f>
        <v>Edu</v>
      </c>
      <c r="L3322">
        <v>0</v>
      </c>
      <c r="M3322">
        <f t="shared" si="466"/>
        <v>20</v>
      </c>
      <c r="N3322" t="str">
        <f>TEXT(MTDRejection[[#This Row],[RejectionDate]],"dddd")</f>
        <v>Friday</v>
      </c>
    </row>
    <row r="3323" spans="1:14">
      <c r="A3323" t="s">
        <v>176</v>
      </c>
      <c r="B3323" t="s">
        <v>5543</v>
      </c>
      <c r="C3323" t="s">
        <v>12</v>
      </c>
      <c r="D3323" t="s">
        <v>38</v>
      </c>
      <c r="E3323" s="7">
        <v>45646</v>
      </c>
      <c r="F3323" t="s">
        <v>39</v>
      </c>
      <c r="G3323">
        <v>0</v>
      </c>
      <c r="H3323" t="s">
        <v>42</v>
      </c>
      <c r="I3323" t="s">
        <v>16</v>
      </c>
      <c r="J3323" t="s">
        <v>16</v>
      </c>
      <c r="K3323" t="str">
        <f>VLOOKUP(C3323,CheckName!A:B,2,0)</f>
        <v>Emp</v>
      </c>
      <c r="L3323">
        <v>0</v>
      </c>
      <c r="M3323">
        <f t="shared" si="466"/>
        <v>20</v>
      </c>
      <c r="N3323" t="str">
        <f>TEXT(MTDRejection[[#This Row],[RejectionDate]],"dddd")</f>
        <v>Friday</v>
      </c>
    </row>
    <row r="3324" spans="1:14">
      <c r="A3324" t="s">
        <v>1040</v>
      </c>
      <c r="B3324" t="s">
        <v>5544</v>
      </c>
      <c r="C3324" t="s">
        <v>112</v>
      </c>
      <c r="D3324" t="s">
        <v>26</v>
      </c>
      <c r="E3324" s="7">
        <v>45645</v>
      </c>
      <c r="F3324" t="s">
        <v>355</v>
      </c>
      <c r="G3324">
        <v>1</v>
      </c>
      <c r="H3324" t="s">
        <v>27</v>
      </c>
      <c r="I3324" t="s">
        <v>16</v>
      </c>
      <c r="J3324" t="s">
        <v>16</v>
      </c>
      <c r="K3324" t="str">
        <f>VLOOKUP(C3324,CheckName!A:B,2,0)</f>
        <v>Emp</v>
      </c>
      <c r="L3324">
        <v>0</v>
      </c>
      <c r="M3324">
        <f>DAY(E3324)</f>
        <v>19</v>
      </c>
      <c r="N3324" t="str">
        <f>TEXT(MTDRejection[[#This Row],[RejectionDate]],"dddd")</f>
        <v>Thursday</v>
      </c>
    </row>
    <row r="3325" spans="1:14">
      <c r="A3325" t="s">
        <v>682</v>
      </c>
      <c r="B3325" t="s">
        <v>5545</v>
      </c>
      <c r="C3325" t="s">
        <v>12</v>
      </c>
      <c r="D3325" t="s">
        <v>38</v>
      </c>
      <c r="E3325" s="7">
        <v>45643</v>
      </c>
      <c r="F3325" t="s">
        <v>39</v>
      </c>
      <c r="G3325">
        <v>3</v>
      </c>
      <c r="H3325" t="s">
        <v>42</v>
      </c>
      <c r="I3325" t="s">
        <v>16</v>
      </c>
      <c r="J3325" t="s">
        <v>16</v>
      </c>
      <c r="K3325" t="str">
        <f>VLOOKUP(C3325,CheckName!A:B,2,0)</f>
        <v>Emp</v>
      </c>
      <c r="L3325">
        <v>0</v>
      </c>
      <c r="M3325">
        <f>DAY(E3325)</f>
        <v>17</v>
      </c>
      <c r="N3325" t="str">
        <f>TEXT(MTDRejection[[#This Row],[RejectionDate]],"dddd")</f>
        <v>Tuesday</v>
      </c>
    </row>
    <row r="3326" spans="1:14">
      <c r="A3326" t="s">
        <v>1835</v>
      </c>
      <c r="B3326" t="s">
        <v>5546</v>
      </c>
      <c r="C3326" t="s">
        <v>54</v>
      </c>
      <c r="D3326" t="s">
        <v>26</v>
      </c>
      <c r="E3326" s="7">
        <v>45646</v>
      </c>
      <c r="F3326" t="s">
        <v>663</v>
      </c>
      <c r="G3326">
        <v>0</v>
      </c>
      <c r="H3326" t="s">
        <v>27</v>
      </c>
      <c r="I3326" t="s">
        <v>16</v>
      </c>
      <c r="J3326" t="s">
        <v>16</v>
      </c>
      <c r="K3326" t="str">
        <f>VLOOKUP(C3326,CheckName!A:B,2,0)</f>
        <v>Edu</v>
      </c>
      <c r="L3326">
        <v>0</v>
      </c>
      <c r="M3326">
        <f t="shared" ref="M3326:M3329" si="467">DAY(E3326)</f>
        <v>20</v>
      </c>
      <c r="N3326" t="str">
        <f>TEXT(MTDRejection[[#This Row],[RejectionDate]],"dddd")</f>
        <v>Friday</v>
      </c>
    </row>
    <row r="3327" spans="1:14">
      <c r="A3327" t="s">
        <v>186</v>
      </c>
      <c r="B3327" t="s">
        <v>5547</v>
      </c>
      <c r="C3327" t="s">
        <v>12</v>
      </c>
      <c r="D3327" t="s">
        <v>13</v>
      </c>
      <c r="E3327" s="7">
        <v>45646</v>
      </c>
      <c r="F3327" t="s">
        <v>230</v>
      </c>
      <c r="G3327">
        <v>0</v>
      </c>
      <c r="H3327" t="s">
        <v>505</v>
      </c>
      <c r="I3327" t="s">
        <v>16</v>
      </c>
      <c r="J3327" t="s">
        <v>16</v>
      </c>
      <c r="K3327" t="str">
        <f>VLOOKUP(C3327,CheckName!A:B,2,0)</f>
        <v>Emp</v>
      </c>
      <c r="L3327">
        <v>0</v>
      </c>
      <c r="M3327">
        <f t="shared" si="467"/>
        <v>20</v>
      </c>
      <c r="N3327" t="str">
        <f>TEXT(MTDRejection[[#This Row],[RejectionDate]],"dddd")</f>
        <v>Friday</v>
      </c>
    </row>
    <row r="3328" spans="1:14">
      <c r="A3328" t="s">
        <v>360</v>
      </c>
      <c r="B3328" t="s">
        <v>2804</v>
      </c>
      <c r="C3328" t="s">
        <v>54</v>
      </c>
      <c r="D3328" t="s">
        <v>26</v>
      </c>
      <c r="E3328" s="7">
        <v>45646</v>
      </c>
      <c r="F3328" t="s">
        <v>458</v>
      </c>
      <c r="G3328">
        <v>0</v>
      </c>
      <c r="H3328" t="s">
        <v>505</v>
      </c>
      <c r="I3328" t="s">
        <v>16</v>
      </c>
      <c r="J3328" t="s">
        <v>16</v>
      </c>
      <c r="K3328" t="str">
        <f>VLOOKUP(C3328,CheckName!A:B,2,0)</f>
        <v>Edu</v>
      </c>
      <c r="L3328">
        <v>0</v>
      </c>
      <c r="M3328">
        <f t="shared" si="467"/>
        <v>20</v>
      </c>
      <c r="N3328" t="str">
        <f>TEXT(MTDRejection[[#This Row],[RejectionDate]],"dddd")</f>
        <v>Friday</v>
      </c>
    </row>
    <row r="3329" spans="1:14">
      <c r="A3329" t="s">
        <v>2053</v>
      </c>
      <c r="B3329" t="s">
        <v>2713</v>
      </c>
      <c r="C3329" t="s">
        <v>59</v>
      </c>
      <c r="D3329" t="s">
        <v>38</v>
      </c>
      <c r="E3329" s="7">
        <v>45646</v>
      </c>
      <c r="F3329" t="s">
        <v>118</v>
      </c>
      <c r="G3329">
        <v>0</v>
      </c>
      <c r="H3329" t="s">
        <v>42</v>
      </c>
      <c r="I3329" t="s">
        <v>16</v>
      </c>
      <c r="J3329" t="s">
        <v>16</v>
      </c>
      <c r="K3329" t="str">
        <f>VLOOKUP(C3329,CheckName!A:B,2,0)</f>
        <v>Special Check</v>
      </c>
      <c r="L3329">
        <v>0</v>
      </c>
      <c r="M3329">
        <f t="shared" si="467"/>
        <v>20</v>
      </c>
      <c r="N3329" t="str">
        <f>TEXT(MTDRejection[[#This Row],[RejectionDate]],"dddd")</f>
        <v>Friday</v>
      </c>
    </row>
    <row r="3330" spans="1:14">
      <c r="A3330" t="s">
        <v>685</v>
      </c>
      <c r="B3330" t="s">
        <v>5548</v>
      </c>
      <c r="C3330" t="s">
        <v>54</v>
      </c>
      <c r="D3330" t="s">
        <v>26</v>
      </c>
      <c r="E3330" s="7">
        <v>45646</v>
      </c>
      <c r="F3330" t="s">
        <v>63</v>
      </c>
      <c r="G3330">
        <v>0</v>
      </c>
      <c r="H3330" t="s">
        <v>27</v>
      </c>
      <c r="I3330" t="s">
        <v>16</v>
      </c>
      <c r="J3330" t="s">
        <v>16</v>
      </c>
      <c r="K3330" t="str">
        <f>VLOOKUP(C3330,CheckName!A:B,2,0)</f>
        <v>Edu</v>
      </c>
      <c r="L3330">
        <v>0</v>
      </c>
      <c r="M3330">
        <f t="shared" ref="M3330:M3332" si="468">DAY(E3330)</f>
        <v>20</v>
      </c>
      <c r="N3330" t="str">
        <f>TEXT(MTDRejection[[#This Row],[RejectionDate]],"dddd")</f>
        <v>Friday</v>
      </c>
    </row>
    <row r="3331" spans="1:14">
      <c r="A3331" t="s">
        <v>883</v>
      </c>
      <c r="B3331" t="s">
        <v>5549</v>
      </c>
      <c r="C3331" t="s">
        <v>25</v>
      </c>
      <c r="D3331" t="s">
        <v>20</v>
      </c>
      <c r="E3331" s="7">
        <v>45646</v>
      </c>
      <c r="F3331" t="s">
        <v>2330</v>
      </c>
      <c r="G3331">
        <v>0</v>
      </c>
      <c r="H3331" t="s">
        <v>22</v>
      </c>
      <c r="I3331" t="s">
        <v>16</v>
      </c>
      <c r="J3331" t="s">
        <v>16</v>
      </c>
      <c r="K3331" t="str">
        <f>VLOOKUP(C3331,CheckName!A:B,2,0)</f>
        <v>Add</v>
      </c>
      <c r="L3331">
        <v>1</v>
      </c>
      <c r="M3331">
        <f t="shared" si="468"/>
        <v>20</v>
      </c>
      <c r="N3331" t="str">
        <f>TEXT(MTDRejection[[#This Row],[RejectionDate]],"dddd")</f>
        <v>Friday</v>
      </c>
    </row>
    <row r="3332" spans="1:14">
      <c r="A3332" t="s">
        <v>186</v>
      </c>
      <c r="B3332" t="s">
        <v>5550</v>
      </c>
      <c r="C3332" t="s">
        <v>54</v>
      </c>
      <c r="D3332" t="s">
        <v>26</v>
      </c>
      <c r="E3332" s="7">
        <v>45646</v>
      </c>
      <c r="F3332" t="s">
        <v>188</v>
      </c>
      <c r="G3332">
        <v>0</v>
      </c>
      <c r="H3332" t="s">
        <v>27</v>
      </c>
      <c r="I3332" t="s">
        <v>16</v>
      </c>
      <c r="J3332" t="s">
        <v>16</v>
      </c>
      <c r="K3332" t="str">
        <f>VLOOKUP(C3332,CheckName!A:B,2,0)</f>
        <v>Edu</v>
      </c>
      <c r="L3332">
        <v>1</v>
      </c>
      <c r="M3332">
        <f t="shared" si="468"/>
        <v>20</v>
      </c>
      <c r="N3332" t="str">
        <f>TEXT(MTDRejection[[#This Row],[RejectionDate]],"dddd")</f>
        <v>Friday</v>
      </c>
    </row>
    <row r="3333" spans="1:14">
      <c r="A3333" t="s">
        <v>81</v>
      </c>
      <c r="B3333" t="s">
        <v>5551</v>
      </c>
      <c r="C3333" t="s">
        <v>12</v>
      </c>
      <c r="D3333" t="s">
        <v>38</v>
      </c>
      <c r="E3333" s="7">
        <v>45646</v>
      </c>
      <c r="F3333" t="s">
        <v>39</v>
      </c>
      <c r="G3333">
        <v>0</v>
      </c>
      <c r="H3333" t="s">
        <v>42</v>
      </c>
      <c r="I3333" t="s">
        <v>16</v>
      </c>
      <c r="J3333" t="s">
        <v>16</v>
      </c>
      <c r="K3333" t="str">
        <f>VLOOKUP(C3333,CheckName!A:B,2,0)</f>
        <v>Emp</v>
      </c>
      <c r="L3333">
        <v>0</v>
      </c>
      <c r="M3333">
        <f>DAY(E3333)</f>
        <v>20</v>
      </c>
      <c r="N3333" t="str">
        <f>TEXT(MTDRejection[[#This Row],[RejectionDate]],"dddd")</f>
        <v>Friday</v>
      </c>
    </row>
    <row r="3334" spans="1:14">
      <c r="A3334" t="s">
        <v>1221</v>
      </c>
      <c r="B3334" t="s">
        <v>5552</v>
      </c>
      <c r="C3334" t="s">
        <v>12</v>
      </c>
      <c r="D3334" t="s">
        <v>13</v>
      </c>
      <c r="E3334" s="7">
        <v>45646</v>
      </c>
      <c r="F3334" t="s">
        <v>90</v>
      </c>
      <c r="G3334">
        <v>0</v>
      </c>
      <c r="H3334" t="s">
        <v>15</v>
      </c>
      <c r="I3334" t="s">
        <v>16</v>
      </c>
      <c r="J3334" t="s">
        <v>16</v>
      </c>
      <c r="K3334" t="str">
        <f>VLOOKUP(C3334,CheckName!A:B,2,0)</f>
        <v>Emp</v>
      </c>
      <c r="L3334">
        <v>0</v>
      </c>
      <c r="M3334">
        <f t="shared" ref="M3334:M3337" si="469">DAY(E3334)</f>
        <v>20</v>
      </c>
      <c r="N3334" t="str">
        <f>TEXT(MTDRejection[[#This Row],[RejectionDate]],"dddd")</f>
        <v>Friday</v>
      </c>
    </row>
    <row r="3335" spans="1:14">
      <c r="A3335" t="s">
        <v>419</v>
      </c>
      <c r="B3335" t="s">
        <v>5553</v>
      </c>
      <c r="C3335" t="s">
        <v>36</v>
      </c>
      <c r="D3335" t="s">
        <v>13</v>
      </c>
      <c r="E3335" s="7">
        <v>45646</v>
      </c>
      <c r="F3335" t="s">
        <v>90</v>
      </c>
      <c r="G3335">
        <v>0</v>
      </c>
      <c r="H3335" t="s">
        <v>15</v>
      </c>
      <c r="I3335" t="s">
        <v>16</v>
      </c>
      <c r="J3335" t="s">
        <v>16</v>
      </c>
      <c r="K3335" t="str">
        <f>VLOOKUP(C3335,CheckName!A:B,2,0)</f>
        <v>Emp</v>
      </c>
      <c r="L3335">
        <v>0</v>
      </c>
      <c r="M3335">
        <f t="shared" si="469"/>
        <v>20</v>
      </c>
      <c r="N3335" t="str">
        <f>TEXT(MTDRejection[[#This Row],[RejectionDate]],"dddd")</f>
        <v>Friday</v>
      </c>
    </row>
    <row r="3336" spans="1:14">
      <c r="A3336" t="s">
        <v>912</v>
      </c>
      <c r="B3336" t="s">
        <v>5554</v>
      </c>
      <c r="C3336" t="s">
        <v>54</v>
      </c>
      <c r="D3336" t="s">
        <v>26</v>
      </c>
      <c r="E3336" s="7">
        <v>45646</v>
      </c>
      <c r="F3336" t="s">
        <v>604</v>
      </c>
      <c r="G3336">
        <v>0</v>
      </c>
      <c r="H3336" t="s">
        <v>27</v>
      </c>
      <c r="I3336" t="s">
        <v>16</v>
      </c>
      <c r="J3336" t="s">
        <v>16</v>
      </c>
      <c r="K3336" t="str">
        <f>VLOOKUP(C3336,CheckName!A:B,2,0)</f>
        <v>Edu</v>
      </c>
      <c r="L3336">
        <v>0</v>
      </c>
      <c r="M3336">
        <f t="shared" si="469"/>
        <v>20</v>
      </c>
      <c r="N3336" t="str">
        <f>TEXT(MTDRejection[[#This Row],[RejectionDate]],"dddd")</f>
        <v>Friday</v>
      </c>
    </row>
    <row r="3337" spans="1:14">
      <c r="A3337" t="s">
        <v>165</v>
      </c>
      <c r="B3337" t="s">
        <v>5555</v>
      </c>
      <c r="C3337" t="s">
        <v>12</v>
      </c>
      <c r="D3337" t="s">
        <v>38</v>
      </c>
      <c r="E3337" s="7">
        <v>45646</v>
      </c>
      <c r="F3337" t="s">
        <v>39</v>
      </c>
      <c r="G3337">
        <v>0</v>
      </c>
      <c r="H3337" t="s">
        <v>42</v>
      </c>
      <c r="I3337" t="s">
        <v>16</v>
      </c>
      <c r="J3337" t="s">
        <v>16</v>
      </c>
      <c r="K3337" t="str">
        <f>VLOOKUP(C3337,CheckName!A:B,2,0)</f>
        <v>Emp</v>
      </c>
      <c r="L3337">
        <v>0</v>
      </c>
      <c r="M3337">
        <f t="shared" si="469"/>
        <v>20</v>
      </c>
      <c r="N3337" t="str">
        <f>TEXT(MTDRejection[[#This Row],[RejectionDate]],"dddd")</f>
        <v>Friday</v>
      </c>
    </row>
    <row r="3338" spans="1:14">
      <c r="A3338" t="s">
        <v>1088</v>
      </c>
      <c r="B3338" t="s">
        <v>5556</v>
      </c>
      <c r="C3338" t="s">
        <v>1068</v>
      </c>
      <c r="D3338" t="s">
        <v>26</v>
      </c>
      <c r="E3338" s="7">
        <v>45646</v>
      </c>
      <c r="F3338" t="s">
        <v>118</v>
      </c>
      <c r="G3338">
        <v>0</v>
      </c>
      <c r="H3338" t="s">
        <v>27</v>
      </c>
      <c r="I3338" t="s">
        <v>16</v>
      </c>
      <c r="J3338" t="s">
        <v>16</v>
      </c>
      <c r="K3338" t="str">
        <f>VLOOKUP(C3338,CheckName!A:B,2,0)</f>
        <v>Special Check</v>
      </c>
      <c r="L3338">
        <v>0</v>
      </c>
      <c r="M3338">
        <f>DAY(E3338)</f>
        <v>20</v>
      </c>
      <c r="N3338" t="str">
        <f>TEXT(MTDRejection[[#This Row],[RejectionDate]],"dddd")</f>
        <v>Friday</v>
      </c>
    </row>
    <row r="3339" spans="1:14">
      <c r="A3339" t="s">
        <v>84</v>
      </c>
      <c r="B3339" t="s">
        <v>5557</v>
      </c>
      <c r="C3339" t="s">
        <v>54</v>
      </c>
      <c r="D3339" t="s">
        <v>13</v>
      </c>
      <c r="E3339" s="7">
        <v>45646</v>
      </c>
      <c r="F3339" t="s">
        <v>1013</v>
      </c>
      <c r="G3339">
        <v>0</v>
      </c>
      <c r="H3339" t="s">
        <v>130</v>
      </c>
      <c r="I3339" t="s">
        <v>16</v>
      </c>
      <c r="J3339" t="s">
        <v>16</v>
      </c>
      <c r="K3339" t="str">
        <f>VLOOKUP(C3339,CheckName!A:B,2,0)</f>
        <v>Edu</v>
      </c>
      <c r="L3339">
        <v>0</v>
      </c>
      <c r="M3339">
        <f>DAY(E3339)</f>
        <v>20</v>
      </c>
      <c r="N3339" t="str">
        <f>TEXT(MTDRejection[[#This Row],[RejectionDate]],"dddd")</f>
        <v>Friday</v>
      </c>
    </row>
    <row r="3340" spans="1:14">
      <c r="A3340" t="s">
        <v>2055</v>
      </c>
      <c r="B3340" t="s">
        <v>5558</v>
      </c>
      <c r="C3340" t="s">
        <v>12</v>
      </c>
      <c r="D3340" t="s">
        <v>26</v>
      </c>
      <c r="E3340" s="7">
        <v>45645</v>
      </c>
      <c r="F3340" t="s">
        <v>608</v>
      </c>
      <c r="G3340">
        <v>1</v>
      </c>
      <c r="H3340" t="s">
        <v>27</v>
      </c>
      <c r="I3340" t="s">
        <v>16</v>
      </c>
      <c r="J3340" t="s">
        <v>16</v>
      </c>
      <c r="K3340" t="str">
        <f>VLOOKUP(C3340,CheckName!A:B,2,0)</f>
        <v>Emp</v>
      </c>
      <c r="L3340">
        <v>0</v>
      </c>
      <c r="M3340">
        <f>DAY(E3340)</f>
        <v>19</v>
      </c>
      <c r="N3340" t="str">
        <f>TEXT(MTDRejection[[#This Row],[RejectionDate]],"dddd")</f>
        <v>Thursday</v>
      </c>
    </row>
    <row r="3341" spans="1:14">
      <c r="A3341" t="s">
        <v>1954</v>
      </c>
      <c r="B3341" t="s">
        <v>2714</v>
      </c>
      <c r="C3341" t="s">
        <v>54</v>
      </c>
      <c r="D3341" t="s">
        <v>26</v>
      </c>
      <c r="E3341" s="7">
        <v>45643</v>
      </c>
      <c r="F3341" t="s">
        <v>103</v>
      </c>
      <c r="G3341">
        <v>3</v>
      </c>
      <c r="H3341" t="s">
        <v>27</v>
      </c>
      <c r="I3341" t="s">
        <v>16</v>
      </c>
      <c r="J3341" t="s">
        <v>16</v>
      </c>
      <c r="K3341" t="str">
        <f>VLOOKUP(C3341,CheckName!A:B,2,0)</f>
        <v>Edu</v>
      </c>
      <c r="L3341">
        <v>0</v>
      </c>
      <c r="M3341">
        <f>DAY(E3341)</f>
        <v>17</v>
      </c>
      <c r="N3341" t="str">
        <f>TEXT(MTDRejection[[#This Row],[RejectionDate]],"dddd")</f>
        <v>Tuesday</v>
      </c>
    </row>
    <row r="3342" spans="1:14">
      <c r="A3342" t="s">
        <v>1237</v>
      </c>
      <c r="B3342" t="s">
        <v>5559</v>
      </c>
      <c r="C3342" t="s">
        <v>36</v>
      </c>
      <c r="D3342" t="s">
        <v>26</v>
      </c>
      <c r="E3342" s="7">
        <v>45637</v>
      </c>
      <c r="F3342" t="s">
        <v>1139</v>
      </c>
      <c r="G3342">
        <v>9</v>
      </c>
      <c r="H3342" t="s">
        <v>27</v>
      </c>
      <c r="I3342" t="s">
        <v>16</v>
      </c>
      <c r="J3342" t="s">
        <v>16</v>
      </c>
      <c r="K3342" t="str">
        <f>VLOOKUP(C3342,CheckName!A:B,2,0)</f>
        <v>Emp</v>
      </c>
      <c r="L3342">
        <v>0</v>
      </c>
      <c r="M3342">
        <f>DAY(E3342)</f>
        <v>11</v>
      </c>
      <c r="N3342" t="str">
        <f>TEXT(MTDRejection[[#This Row],[RejectionDate]],"dddd")</f>
        <v>Wednesday</v>
      </c>
    </row>
    <row r="3343" spans="1:14">
      <c r="A3343" t="s">
        <v>160</v>
      </c>
      <c r="B3343" t="s">
        <v>5560</v>
      </c>
      <c r="C3343" t="s">
        <v>49</v>
      </c>
      <c r="D3343" t="s">
        <v>13</v>
      </c>
      <c r="E3343" s="7">
        <v>45646</v>
      </c>
      <c r="F3343" t="s">
        <v>2326</v>
      </c>
      <c r="G3343">
        <v>0</v>
      </c>
      <c r="H3343" t="s">
        <v>15</v>
      </c>
      <c r="I3343" t="s">
        <v>16</v>
      </c>
      <c r="J3343" t="s">
        <v>16</v>
      </c>
      <c r="K3343" t="str">
        <f>VLOOKUP(C3343,CheckName!A:B,2,0)</f>
        <v>CRC</v>
      </c>
      <c r="L3343">
        <v>0</v>
      </c>
      <c r="M3343">
        <f t="shared" ref="M3343:M3346" si="470">DAY(E3343)</f>
        <v>20</v>
      </c>
      <c r="N3343" t="str">
        <f>TEXT(MTDRejection[[#This Row],[RejectionDate]],"dddd")</f>
        <v>Friday</v>
      </c>
    </row>
    <row r="3344" spans="1:14">
      <c r="A3344" t="s">
        <v>160</v>
      </c>
      <c r="B3344" t="s">
        <v>5561</v>
      </c>
      <c r="C3344" t="s">
        <v>49</v>
      </c>
      <c r="D3344" t="s">
        <v>13</v>
      </c>
      <c r="E3344" s="7">
        <v>45646</v>
      </c>
      <c r="F3344" t="s">
        <v>2326</v>
      </c>
      <c r="G3344">
        <v>0</v>
      </c>
      <c r="H3344" t="s">
        <v>15</v>
      </c>
      <c r="I3344" t="s">
        <v>16</v>
      </c>
      <c r="J3344" t="s">
        <v>16</v>
      </c>
      <c r="K3344" t="str">
        <f>VLOOKUP(C3344,CheckName!A:B,2,0)</f>
        <v>CRC</v>
      </c>
      <c r="L3344">
        <v>0</v>
      </c>
      <c r="M3344">
        <f t="shared" si="470"/>
        <v>20</v>
      </c>
      <c r="N3344" t="str">
        <f>TEXT(MTDRejection[[#This Row],[RejectionDate]],"dddd")</f>
        <v>Friday</v>
      </c>
    </row>
    <row r="3345" spans="1:14">
      <c r="A3345" t="s">
        <v>1348</v>
      </c>
      <c r="B3345" t="s">
        <v>5562</v>
      </c>
      <c r="C3345" t="s">
        <v>56</v>
      </c>
      <c r="D3345" t="s">
        <v>13</v>
      </c>
      <c r="E3345" s="7">
        <v>45646</v>
      </c>
      <c r="F3345" t="s">
        <v>2343</v>
      </c>
      <c r="G3345">
        <v>0</v>
      </c>
      <c r="H3345" t="s">
        <v>15</v>
      </c>
      <c r="I3345" t="s">
        <v>16</v>
      </c>
      <c r="J3345" t="s">
        <v>16</v>
      </c>
      <c r="K3345" t="str">
        <f>VLOOKUP(C3345,CheckName!A:B,2,0)</f>
        <v>Special Check</v>
      </c>
      <c r="L3345">
        <v>0</v>
      </c>
      <c r="M3345">
        <f t="shared" si="470"/>
        <v>20</v>
      </c>
      <c r="N3345" t="str">
        <f>TEXT(MTDRejection[[#This Row],[RejectionDate]],"dddd")</f>
        <v>Friday</v>
      </c>
    </row>
    <row r="3346" spans="1:14">
      <c r="A3346" t="s">
        <v>17</v>
      </c>
      <c r="B3346" t="s">
        <v>5563</v>
      </c>
      <c r="C3346" t="s">
        <v>25</v>
      </c>
      <c r="D3346" t="s">
        <v>20</v>
      </c>
      <c r="E3346" s="7">
        <v>45646</v>
      </c>
      <c r="F3346" t="s">
        <v>273</v>
      </c>
      <c r="G3346">
        <v>0</v>
      </c>
      <c r="H3346" t="s">
        <v>22</v>
      </c>
      <c r="I3346" t="s">
        <v>16</v>
      </c>
      <c r="J3346" t="s">
        <v>16</v>
      </c>
      <c r="K3346" t="str">
        <f>VLOOKUP(C3346,CheckName!A:B,2,0)</f>
        <v>Add</v>
      </c>
      <c r="L3346">
        <v>1</v>
      </c>
      <c r="M3346">
        <f t="shared" si="470"/>
        <v>20</v>
      </c>
      <c r="N3346" t="str">
        <f>TEXT(MTDRejection[[#This Row],[RejectionDate]],"dddd")</f>
        <v>Friday</v>
      </c>
    </row>
    <row r="3347" spans="1:14">
      <c r="A3347" t="s">
        <v>242</v>
      </c>
      <c r="B3347" t="s">
        <v>5564</v>
      </c>
      <c r="C3347" t="s">
        <v>25</v>
      </c>
      <c r="D3347" t="s">
        <v>20</v>
      </c>
      <c r="E3347" s="7">
        <v>45646</v>
      </c>
      <c r="F3347" t="s">
        <v>2327</v>
      </c>
      <c r="G3347">
        <v>0</v>
      </c>
      <c r="H3347" t="s">
        <v>22</v>
      </c>
      <c r="I3347" t="s">
        <v>16</v>
      </c>
      <c r="J3347" t="s">
        <v>16</v>
      </c>
      <c r="K3347" t="str">
        <f>VLOOKUP(C3347,CheckName!A:B,2,0)</f>
        <v>Add</v>
      </c>
      <c r="L3347">
        <v>0</v>
      </c>
      <c r="M3347">
        <f t="shared" ref="M3347:M3351" si="471">DAY(E3347)</f>
        <v>20</v>
      </c>
      <c r="N3347" t="str">
        <f>TEXT(MTDRejection[[#This Row],[RejectionDate]],"dddd")</f>
        <v>Friday</v>
      </c>
    </row>
    <row r="3348" spans="1:14">
      <c r="A3348" t="s">
        <v>242</v>
      </c>
      <c r="B3348" t="s">
        <v>5565</v>
      </c>
      <c r="C3348" t="s">
        <v>19</v>
      </c>
      <c r="D3348" t="s">
        <v>20</v>
      </c>
      <c r="E3348" s="7">
        <v>45646</v>
      </c>
      <c r="F3348" t="s">
        <v>2327</v>
      </c>
      <c r="G3348">
        <v>0</v>
      </c>
      <c r="H3348" t="s">
        <v>22</v>
      </c>
      <c r="I3348" t="s">
        <v>16</v>
      </c>
      <c r="J3348" t="s">
        <v>16</v>
      </c>
      <c r="K3348" t="str">
        <f>VLOOKUP(C3348,CheckName!A:B,2,0)</f>
        <v>Add</v>
      </c>
      <c r="L3348">
        <v>0</v>
      </c>
      <c r="M3348">
        <f t="shared" si="471"/>
        <v>20</v>
      </c>
      <c r="N3348" t="str">
        <f>TEXT(MTDRejection[[#This Row],[RejectionDate]],"dddd")</f>
        <v>Friday</v>
      </c>
    </row>
    <row r="3349" spans="1:14">
      <c r="A3349" t="s">
        <v>242</v>
      </c>
      <c r="B3349" t="s">
        <v>5566</v>
      </c>
      <c r="C3349" t="s">
        <v>19</v>
      </c>
      <c r="D3349" t="s">
        <v>20</v>
      </c>
      <c r="E3349" s="7">
        <v>45646</v>
      </c>
      <c r="F3349" t="s">
        <v>2327</v>
      </c>
      <c r="G3349">
        <v>0</v>
      </c>
      <c r="H3349" t="s">
        <v>130</v>
      </c>
      <c r="I3349" t="s">
        <v>16</v>
      </c>
      <c r="J3349" t="s">
        <v>16</v>
      </c>
      <c r="K3349" t="str">
        <f>VLOOKUP(C3349,CheckName!A:B,2,0)</f>
        <v>Add</v>
      </c>
      <c r="L3349">
        <v>0</v>
      </c>
      <c r="M3349">
        <f t="shared" si="471"/>
        <v>20</v>
      </c>
      <c r="N3349" t="str">
        <f>TEXT(MTDRejection[[#This Row],[RejectionDate]],"dddd")</f>
        <v>Friday</v>
      </c>
    </row>
    <row r="3350" spans="1:14">
      <c r="A3350" t="s">
        <v>242</v>
      </c>
      <c r="B3350" t="s">
        <v>2716</v>
      </c>
      <c r="C3350" t="s">
        <v>19</v>
      </c>
      <c r="D3350" t="s">
        <v>20</v>
      </c>
      <c r="E3350" s="7">
        <v>45646</v>
      </c>
      <c r="F3350" t="s">
        <v>2327</v>
      </c>
      <c r="G3350">
        <v>0</v>
      </c>
      <c r="H3350" t="s">
        <v>22</v>
      </c>
      <c r="I3350" t="s">
        <v>16</v>
      </c>
      <c r="J3350" t="s">
        <v>16</v>
      </c>
      <c r="K3350" t="str">
        <f>VLOOKUP(C3350,CheckName!A:B,2,0)</f>
        <v>Add</v>
      </c>
      <c r="L3350">
        <v>0</v>
      </c>
      <c r="M3350">
        <f t="shared" si="471"/>
        <v>20</v>
      </c>
      <c r="N3350" t="str">
        <f>TEXT(MTDRejection[[#This Row],[RejectionDate]],"dddd")</f>
        <v>Friday</v>
      </c>
    </row>
    <row r="3351" spans="1:14">
      <c r="A3351" t="s">
        <v>242</v>
      </c>
      <c r="B3351" t="s">
        <v>2715</v>
      </c>
      <c r="C3351" t="s">
        <v>19</v>
      </c>
      <c r="D3351" t="s">
        <v>20</v>
      </c>
      <c r="E3351" s="7">
        <v>45646</v>
      </c>
      <c r="F3351" t="s">
        <v>2327</v>
      </c>
      <c r="G3351">
        <v>0</v>
      </c>
      <c r="H3351" t="s">
        <v>22</v>
      </c>
      <c r="I3351" t="s">
        <v>16</v>
      </c>
      <c r="J3351" t="s">
        <v>16</v>
      </c>
      <c r="K3351" t="str">
        <f>VLOOKUP(C3351,CheckName!A:B,2,0)</f>
        <v>Add</v>
      </c>
      <c r="L3351">
        <v>0</v>
      </c>
      <c r="M3351">
        <f t="shared" si="471"/>
        <v>20</v>
      </c>
      <c r="N3351" t="str">
        <f>TEXT(MTDRejection[[#This Row],[RejectionDate]],"dddd")</f>
        <v>Friday</v>
      </c>
    </row>
    <row r="3352" spans="1:14">
      <c r="A3352" t="s">
        <v>216</v>
      </c>
      <c r="B3352" t="s">
        <v>5567</v>
      </c>
      <c r="C3352" t="s">
        <v>25</v>
      </c>
      <c r="D3352" t="s">
        <v>26</v>
      </c>
      <c r="E3352" s="7">
        <v>45646</v>
      </c>
      <c r="F3352" t="s">
        <v>66</v>
      </c>
      <c r="G3352">
        <v>0</v>
      </c>
      <c r="H3352" t="s">
        <v>22</v>
      </c>
      <c r="I3352" t="s">
        <v>16</v>
      </c>
      <c r="J3352" t="s">
        <v>16</v>
      </c>
      <c r="K3352" t="str">
        <f>VLOOKUP(C3352,CheckName!A:B,2,0)</f>
        <v>Add</v>
      </c>
      <c r="L3352">
        <v>0</v>
      </c>
      <c r="M3352">
        <f>DAY(E3352)</f>
        <v>20</v>
      </c>
      <c r="N3352" t="str">
        <f>TEXT(MTDRejection[[#This Row],[RejectionDate]],"dddd")</f>
        <v>Friday</v>
      </c>
    </row>
    <row r="3353" spans="1:14">
      <c r="A3353" t="s">
        <v>1455</v>
      </c>
      <c r="B3353" t="s">
        <v>5568</v>
      </c>
      <c r="C3353" t="s">
        <v>71</v>
      </c>
      <c r="D3353" t="s">
        <v>38</v>
      </c>
      <c r="E3353" s="7">
        <v>45646</v>
      </c>
      <c r="F3353" t="s">
        <v>108</v>
      </c>
      <c r="G3353">
        <v>0</v>
      </c>
      <c r="H3353" t="s">
        <v>42</v>
      </c>
      <c r="I3353" t="s">
        <v>16</v>
      </c>
      <c r="J3353" t="s">
        <v>16</v>
      </c>
      <c r="K3353" t="str">
        <f>VLOOKUP(C3353,CheckName!A:B,2,0)</f>
        <v>CRC</v>
      </c>
      <c r="L3353">
        <v>0</v>
      </c>
      <c r="M3353">
        <f>DAY(E3353)</f>
        <v>20</v>
      </c>
      <c r="N3353" t="str">
        <f>TEXT(MTDRejection[[#This Row],[RejectionDate]],"dddd")</f>
        <v>Friday</v>
      </c>
    </row>
    <row r="3354" spans="1:14">
      <c r="A3354" t="s">
        <v>452</v>
      </c>
      <c r="B3354" t="s">
        <v>5569</v>
      </c>
      <c r="C3354" t="s">
        <v>71</v>
      </c>
      <c r="D3354" t="s">
        <v>13</v>
      </c>
      <c r="E3354" s="7">
        <v>45646</v>
      </c>
      <c r="F3354" t="s">
        <v>2345</v>
      </c>
      <c r="G3354">
        <v>0</v>
      </c>
      <c r="H3354" t="s">
        <v>15</v>
      </c>
      <c r="I3354" t="s">
        <v>16</v>
      </c>
      <c r="J3354" t="s">
        <v>16</v>
      </c>
      <c r="K3354" t="str">
        <f>VLOOKUP(C3354,CheckName!A:B,2,0)</f>
        <v>CRC</v>
      </c>
      <c r="L3354">
        <v>0</v>
      </c>
      <c r="M3354">
        <f t="shared" ref="M3354:M3355" si="472">DAY(E3354)</f>
        <v>20</v>
      </c>
      <c r="N3354" t="str">
        <f>TEXT(MTDRejection[[#This Row],[RejectionDate]],"dddd")</f>
        <v>Friday</v>
      </c>
    </row>
    <row r="3355" spans="1:14">
      <c r="A3355" t="s">
        <v>452</v>
      </c>
      <c r="B3355" t="s">
        <v>5570</v>
      </c>
      <c r="C3355" t="s">
        <v>71</v>
      </c>
      <c r="D3355" t="s">
        <v>13</v>
      </c>
      <c r="E3355" s="7">
        <v>45646</v>
      </c>
      <c r="F3355" t="s">
        <v>2345</v>
      </c>
      <c r="G3355">
        <v>0</v>
      </c>
      <c r="H3355" t="s">
        <v>15</v>
      </c>
      <c r="I3355" t="s">
        <v>16</v>
      </c>
      <c r="J3355" t="s">
        <v>16</v>
      </c>
      <c r="K3355" t="str">
        <f>VLOOKUP(C3355,CheckName!A:B,2,0)</f>
        <v>CRC</v>
      </c>
      <c r="L3355">
        <v>0</v>
      </c>
      <c r="M3355">
        <f t="shared" si="472"/>
        <v>20</v>
      </c>
      <c r="N3355" t="str">
        <f>TEXT(MTDRejection[[#This Row],[RejectionDate]],"dddd")</f>
        <v>Friday</v>
      </c>
    </row>
    <row r="3356" spans="1:14">
      <c r="A3356" t="s">
        <v>100</v>
      </c>
      <c r="B3356" t="s">
        <v>5571</v>
      </c>
      <c r="C3356" t="s">
        <v>1335</v>
      </c>
      <c r="D3356" t="s">
        <v>51</v>
      </c>
      <c r="E3356" s="7">
        <v>45646</v>
      </c>
      <c r="F3356" t="s">
        <v>2349</v>
      </c>
      <c r="G3356">
        <v>0</v>
      </c>
      <c r="H3356" t="s">
        <v>53</v>
      </c>
      <c r="I3356" t="s">
        <v>16</v>
      </c>
      <c r="J3356" t="s">
        <v>16</v>
      </c>
      <c r="K3356" t="str">
        <f>VLOOKUP(C3356,CheckName!A:B,2,0)</f>
        <v>CRC</v>
      </c>
      <c r="L3356">
        <v>0</v>
      </c>
      <c r="M3356">
        <f t="shared" ref="M3356:M3358" si="473">DAY(E3356)</f>
        <v>20</v>
      </c>
      <c r="N3356" t="str">
        <f>TEXT(MTDRejection[[#This Row],[RejectionDate]],"dddd")</f>
        <v>Friday</v>
      </c>
    </row>
    <row r="3357" spans="1:14">
      <c r="A3357" t="s">
        <v>131</v>
      </c>
      <c r="B3357" t="s">
        <v>5572</v>
      </c>
      <c r="C3357" t="s">
        <v>71</v>
      </c>
      <c r="D3357" t="s">
        <v>13</v>
      </c>
      <c r="E3357" s="7">
        <v>45646</v>
      </c>
      <c r="F3357" t="s">
        <v>579</v>
      </c>
      <c r="G3357">
        <v>0</v>
      </c>
      <c r="H3357" t="s">
        <v>15</v>
      </c>
      <c r="I3357" t="s">
        <v>16</v>
      </c>
      <c r="J3357" t="s">
        <v>16</v>
      </c>
      <c r="K3357" t="str">
        <f>VLOOKUP(C3357,CheckName!A:B,2,0)</f>
        <v>CRC</v>
      </c>
      <c r="L3357">
        <v>0</v>
      </c>
      <c r="M3357">
        <f t="shared" si="473"/>
        <v>20</v>
      </c>
      <c r="N3357" t="str">
        <f>TEXT(MTDRejection[[#This Row],[RejectionDate]],"dddd")</f>
        <v>Friday</v>
      </c>
    </row>
    <row r="3358" spans="1:14">
      <c r="A3358" t="s">
        <v>91</v>
      </c>
      <c r="B3358" t="s">
        <v>5573</v>
      </c>
      <c r="C3358" t="s">
        <v>71</v>
      </c>
      <c r="D3358" t="s">
        <v>13</v>
      </c>
      <c r="E3358" s="7">
        <v>45646</v>
      </c>
      <c r="F3358" t="s">
        <v>579</v>
      </c>
      <c r="G3358">
        <v>0</v>
      </c>
      <c r="H3358" t="s">
        <v>30</v>
      </c>
      <c r="I3358" t="s">
        <v>16</v>
      </c>
      <c r="J3358" t="s">
        <v>16</v>
      </c>
      <c r="K3358" t="str">
        <f>VLOOKUP(C3358,CheckName!A:B,2,0)</f>
        <v>CRC</v>
      </c>
      <c r="L3358">
        <v>0</v>
      </c>
      <c r="M3358">
        <f t="shared" si="473"/>
        <v>20</v>
      </c>
      <c r="N3358" t="str">
        <f>TEXT(MTDRejection[[#This Row],[RejectionDate]],"dddd")</f>
        <v>Friday</v>
      </c>
    </row>
    <row r="3359" spans="1:14">
      <c r="A3359" t="s">
        <v>360</v>
      </c>
      <c r="B3359" t="s">
        <v>5574</v>
      </c>
      <c r="C3359" t="s">
        <v>54</v>
      </c>
      <c r="D3359" t="s">
        <v>26</v>
      </c>
      <c r="E3359" s="7">
        <v>45646</v>
      </c>
      <c r="F3359" t="s">
        <v>121</v>
      </c>
      <c r="G3359">
        <v>0</v>
      </c>
      <c r="H3359" t="s">
        <v>22</v>
      </c>
      <c r="I3359" t="s">
        <v>16</v>
      </c>
      <c r="J3359" t="s">
        <v>16</v>
      </c>
      <c r="K3359" t="str">
        <f>VLOOKUP(C3359,CheckName!A:B,2,0)</f>
        <v>Edu</v>
      </c>
      <c r="L3359">
        <v>0</v>
      </c>
      <c r="M3359">
        <f>DAY(E3359)</f>
        <v>20</v>
      </c>
      <c r="N3359" t="str">
        <f>TEXT(MTDRejection[[#This Row],[RejectionDate]],"dddd")</f>
        <v>Friday</v>
      </c>
    </row>
    <row r="3360" spans="1:14">
      <c r="A3360" t="s">
        <v>160</v>
      </c>
      <c r="B3360" t="s">
        <v>5575</v>
      </c>
      <c r="C3360" t="s">
        <v>125</v>
      </c>
      <c r="D3360" t="s">
        <v>38</v>
      </c>
      <c r="E3360" s="7">
        <v>45646</v>
      </c>
      <c r="F3360" t="s">
        <v>39</v>
      </c>
      <c r="G3360">
        <v>0</v>
      </c>
      <c r="H3360" t="s">
        <v>42</v>
      </c>
      <c r="I3360" t="s">
        <v>16</v>
      </c>
      <c r="J3360" t="s">
        <v>16</v>
      </c>
      <c r="K3360" t="str">
        <f>VLOOKUP(C3360,CheckName!A:B,2,0)</f>
        <v>Emp</v>
      </c>
      <c r="L3360">
        <v>0</v>
      </c>
      <c r="M3360">
        <f>DAY(E3360)</f>
        <v>20</v>
      </c>
      <c r="N3360" t="str">
        <f>TEXT(MTDRejection[[#This Row],[RejectionDate]],"dddd")</f>
        <v>Friday</v>
      </c>
    </row>
    <row r="3361" spans="1:14">
      <c r="A3361" t="s">
        <v>1437</v>
      </c>
      <c r="B3361" t="s">
        <v>5576</v>
      </c>
      <c r="C3361" t="s">
        <v>12</v>
      </c>
      <c r="D3361" t="s">
        <v>38</v>
      </c>
      <c r="E3361" s="7">
        <v>45639</v>
      </c>
      <c r="F3361" t="s">
        <v>39</v>
      </c>
      <c r="G3361">
        <v>7</v>
      </c>
      <c r="H3361" t="s">
        <v>42</v>
      </c>
      <c r="I3361" t="s">
        <v>16</v>
      </c>
      <c r="J3361" t="s">
        <v>16</v>
      </c>
      <c r="K3361" t="str">
        <f>VLOOKUP(C3361,CheckName!A:B,2,0)</f>
        <v>Emp</v>
      </c>
      <c r="L3361">
        <v>0</v>
      </c>
      <c r="M3361">
        <f>DAY(E3361)</f>
        <v>13</v>
      </c>
      <c r="N3361" t="str">
        <f>TEXT(MTDRejection[[#This Row],[RejectionDate]],"dddd")</f>
        <v>Friday</v>
      </c>
    </row>
    <row r="3362" spans="1:14">
      <c r="A3362" t="s">
        <v>452</v>
      </c>
      <c r="B3362" t="s">
        <v>5577</v>
      </c>
      <c r="C3362" t="s">
        <v>19</v>
      </c>
      <c r="D3362" t="s">
        <v>20</v>
      </c>
      <c r="E3362" s="7">
        <v>45646</v>
      </c>
      <c r="F3362" t="s">
        <v>2327</v>
      </c>
      <c r="G3362">
        <v>0</v>
      </c>
      <c r="H3362" t="s">
        <v>22</v>
      </c>
      <c r="I3362" t="s">
        <v>16</v>
      </c>
      <c r="J3362" t="s">
        <v>16</v>
      </c>
      <c r="K3362" t="str">
        <f>VLOOKUP(C3362,CheckName!A:B,2,0)</f>
        <v>Add</v>
      </c>
      <c r="L3362">
        <v>1</v>
      </c>
      <c r="M3362">
        <f>DAY(E3362)</f>
        <v>20</v>
      </c>
      <c r="N3362" t="str">
        <f>TEXT(MTDRejection[[#This Row],[RejectionDate]],"dddd")</f>
        <v>Friday</v>
      </c>
    </row>
    <row r="3363" spans="1:14">
      <c r="A3363" t="s">
        <v>893</v>
      </c>
      <c r="B3363" t="s">
        <v>2717</v>
      </c>
      <c r="C3363" t="s">
        <v>54</v>
      </c>
      <c r="D3363" t="s">
        <v>26</v>
      </c>
      <c r="E3363" s="7">
        <v>45646</v>
      </c>
      <c r="F3363" t="s">
        <v>1798</v>
      </c>
      <c r="G3363">
        <v>0</v>
      </c>
      <c r="H3363" t="s">
        <v>95</v>
      </c>
      <c r="I3363" t="s">
        <v>16</v>
      </c>
      <c r="J3363" t="s">
        <v>16</v>
      </c>
      <c r="K3363" t="str">
        <f>VLOOKUP(C3363,CheckName!A:B,2,0)</f>
        <v>Edu</v>
      </c>
      <c r="L3363">
        <v>0</v>
      </c>
      <c r="M3363">
        <f t="shared" ref="M3363:M3364" si="474">DAY(E3363)</f>
        <v>20</v>
      </c>
      <c r="N3363" t="str">
        <f>TEXT(MTDRejection[[#This Row],[RejectionDate]],"dddd")</f>
        <v>Friday</v>
      </c>
    </row>
    <row r="3364" spans="1:14">
      <c r="A3364" t="s">
        <v>47</v>
      </c>
      <c r="B3364" t="s">
        <v>5578</v>
      </c>
      <c r="C3364" t="s">
        <v>12</v>
      </c>
      <c r="D3364" t="s">
        <v>51</v>
      </c>
      <c r="E3364" s="7">
        <v>45646</v>
      </c>
      <c r="F3364" t="s">
        <v>52</v>
      </c>
      <c r="G3364">
        <v>0</v>
      </c>
      <c r="H3364" t="s">
        <v>53</v>
      </c>
      <c r="I3364" t="s">
        <v>16</v>
      </c>
      <c r="J3364" t="s">
        <v>16</v>
      </c>
      <c r="K3364" t="str">
        <f>VLOOKUP(C3364,CheckName!A:B,2,0)</f>
        <v>Emp</v>
      </c>
      <c r="L3364">
        <v>0</v>
      </c>
      <c r="M3364">
        <f t="shared" si="474"/>
        <v>20</v>
      </c>
      <c r="N3364" t="str">
        <f>TEXT(MTDRejection[[#This Row],[RejectionDate]],"dddd")</f>
        <v>Friday</v>
      </c>
    </row>
    <row r="3365" spans="1:14">
      <c r="A3365" t="s">
        <v>60</v>
      </c>
      <c r="B3365" t="s">
        <v>5579</v>
      </c>
      <c r="C3365" t="s">
        <v>36</v>
      </c>
      <c r="D3365" t="s">
        <v>26</v>
      </c>
      <c r="E3365" s="7">
        <v>45646</v>
      </c>
      <c r="F3365" t="s">
        <v>222</v>
      </c>
      <c r="G3365">
        <v>0</v>
      </c>
      <c r="H3365" t="s">
        <v>27</v>
      </c>
      <c r="I3365" t="s">
        <v>16</v>
      </c>
      <c r="J3365" t="s">
        <v>16</v>
      </c>
      <c r="K3365" t="str">
        <f>VLOOKUP(C3365,CheckName!A:B,2,0)</f>
        <v>Emp</v>
      </c>
      <c r="L3365">
        <v>0</v>
      </c>
      <c r="M3365">
        <f>DAY(E3365)</f>
        <v>20</v>
      </c>
      <c r="N3365" t="str">
        <f>TEXT(MTDRejection[[#This Row],[RejectionDate]],"dddd")</f>
        <v>Friday</v>
      </c>
    </row>
    <row r="3366" spans="1:14">
      <c r="A3366" t="s">
        <v>452</v>
      </c>
      <c r="B3366" t="s">
        <v>5580</v>
      </c>
      <c r="C3366" t="s">
        <v>19</v>
      </c>
      <c r="D3366" t="s">
        <v>20</v>
      </c>
      <c r="E3366" s="7">
        <v>45646</v>
      </c>
      <c r="F3366" t="s">
        <v>2330</v>
      </c>
      <c r="G3366">
        <v>0</v>
      </c>
      <c r="H3366" t="s">
        <v>22</v>
      </c>
      <c r="I3366" t="s">
        <v>16</v>
      </c>
      <c r="J3366" t="s">
        <v>16</v>
      </c>
      <c r="K3366" t="str">
        <f>VLOOKUP(C3366,CheckName!A:B,2,0)</f>
        <v>Add</v>
      </c>
      <c r="L3366">
        <v>0</v>
      </c>
      <c r="M3366">
        <f t="shared" ref="M3366:M3367" si="475">DAY(E3366)</f>
        <v>20</v>
      </c>
      <c r="N3366" t="str">
        <f>TEXT(MTDRejection[[#This Row],[RejectionDate]],"dddd")</f>
        <v>Friday</v>
      </c>
    </row>
    <row r="3367" spans="1:14">
      <c r="A3367" t="s">
        <v>452</v>
      </c>
      <c r="B3367" t="s">
        <v>5581</v>
      </c>
      <c r="C3367" t="s">
        <v>25</v>
      </c>
      <c r="D3367" t="s">
        <v>20</v>
      </c>
      <c r="E3367" s="7">
        <v>45646</v>
      </c>
      <c r="F3367" t="s">
        <v>2330</v>
      </c>
      <c r="G3367">
        <v>0</v>
      </c>
      <c r="H3367" t="s">
        <v>22</v>
      </c>
      <c r="I3367" t="s">
        <v>16</v>
      </c>
      <c r="J3367" t="s">
        <v>16</v>
      </c>
      <c r="K3367" t="str">
        <f>VLOOKUP(C3367,CheckName!A:B,2,0)</f>
        <v>Add</v>
      </c>
      <c r="L3367">
        <v>0</v>
      </c>
      <c r="M3367">
        <f t="shared" si="475"/>
        <v>20</v>
      </c>
      <c r="N3367" t="str">
        <f>TEXT(MTDRejection[[#This Row],[RejectionDate]],"dddd")</f>
        <v>Friday</v>
      </c>
    </row>
    <row r="3368" spans="1:14">
      <c r="A3368" t="s">
        <v>84</v>
      </c>
      <c r="B3368" t="s">
        <v>2718</v>
      </c>
      <c r="C3368" t="s">
        <v>54</v>
      </c>
      <c r="D3368" t="s">
        <v>26</v>
      </c>
      <c r="E3368" s="7">
        <v>45646</v>
      </c>
      <c r="F3368" t="s">
        <v>210</v>
      </c>
      <c r="G3368">
        <v>0</v>
      </c>
      <c r="H3368" t="s">
        <v>27</v>
      </c>
      <c r="I3368" t="s">
        <v>16</v>
      </c>
      <c r="J3368" t="s">
        <v>16</v>
      </c>
      <c r="K3368" t="str">
        <f>VLOOKUP(C3368,CheckName!A:B,2,0)</f>
        <v>Edu</v>
      </c>
      <c r="L3368">
        <v>1</v>
      </c>
      <c r="M3368">
        <f t="shared" ref="M3368:M3371" si="476">DAY(E3368)</f>
        <v>20</v>
      </c>
      <c r="N3368" t="str">
        <f>TEXT(MTDRejection[[#This Row],[RejectionDate]],"dddd")</f>
        <v>Friday</v>
      </c>
    </row>
    <row r="3369" spans="1:14">
      <c r="A3369" t="s">
        <v>281</v>
      </c>
      <c r="B3369" t="s">
        <v>5582</v>
      </c>
      <c r="C3369" t="s">
        <v>259</v>
      </c>
      <c r="D3369" t="s">
        <v>13</v>
      </c>
      <c r="E3369" s="7">
        <v>45646</v>
      </c>
      <c r="F3369" t="s">
        <v>706</v>
      </c>
      <c r="G3369">
        <v>0</v>
      </c>
      <c r="H3369" t="s">
        <v>15</v>
      </c>
      <c r="I3369" t="s">
        <v>16</v>
      </c>
      <c r="J3369" t="s">
        <v>16</v>
      </c>
      <c r="K3369" t="str">
        <f>VLOOKUP(C3369,CheckName!A:B,2,0)</f>
        <v>Emp</v>
      </c>
      <c r="L3369">
        <v>0</v>
      </c>
      <c r="M3369">
        <f t="shared" si="476"/>
        <v>20</v>
      </c>
      <c r="N3369" t="str">
        <f>TEXT(MTDRejection[[#This Row],[RejectionDate]],"dddd")</f>
        <v>Friday</v>
      </c>
    </row>
    <row r="3370" spans="1:14">
      <c r="A3370" t="s">
        <v>84</v>
      </c>
      <c r="B3370" t="s">
        <v>2040</v>
      </c>
      <c r="C3370" t="s">
        <v>1347</v>
      </c>
      <c r="D3370" t="s">
        <v>13</v>
      </c>
      <c r="E3370" s="7">
        <v>45646</v>
      </c>
      <c r="F3370" t="s">
        <v>706</v>
      </c>
      <c r="G3370">
        <v>0</v>
      </c>
      <c r="H3370" t="s">
        <v>15</v>
      </c>
      <c r="I3370" t="s">
        <v>16</v>
      </c>
      <c r="J3370" t="s">
        <v>16</v>
      </c>
      <c r="K3370" t="str">
        <f>VLOOKUP(C3370,CheckName!A:B,2,0)</f>
        <v>CRC</v>
      </c>
      <c r="L3370">
        <v>0</v>
      </c>
      <c r="M3370">
        <f t="shared" si="476"/>
        <v>20</v>
      </c>
      <c r="N3370" t="str">
        <f>TEXT(MTDRejection[[#This Row],[RejectionDate]],"dddd")</f>
        <v>Friday</v>
      </c>
    </row>
    <row r="3371" spans="1:14">
      <c r="A3371" t="s">
        <v>396</v>
      </c>
      <c r="B3371" t="s">
        <v>5583</v>
      </c>
      <c r="C3371" t="s">
        <v>1068</v>
      </c>
      <c r="D3371" t="s">
        <v>13</v>
      </c>
      <c r="E3371" s="7">
        <v>45646</v>
      </c>
      <c r="F3371" t="s">
        <v>2056</v>
      </c>
      <c r="G3371">
        <v>0</v>
      </c>
      <c r="H3371" t="s">
        <v>53</v>
      </c>
      <c r="I3371" t="s">
        <v>16</v>
      </c>
      <c r="J3371" t="s">
        <v>16</v>
      </c>
      <c r="K3371" t="str">
        <f>VLOOKUP(C3371,CheckName!A:B,2,0)</f>
        <v>Special Check</v>
      </c>
      <c r="L3371">
        <v>0</v>
      </c>
      <c r="M3371">
        <f t="shared" si="476"/>
        <v>20</v>
      </c>
      <c r="N3371" t="str">
        <f>TEXT(MTDRejection[[#This Row],[RejectionDate]],"dddd")</f>
        <v>Friday</v>
      </c>
    </row>
    <row r="3372" spans="1:14">
      <c r="A3372" t="s">
        <v>671</v>
      </c>
      <c r="B3372" t="s">
        <v>5584</v>
      </c>
      <c r="C3372" t="s">
        <v>36</v>
      </c>
      <c r="D3372" t="s">
        <v>26</v>
      </c>
      <c r="E3372" s="7">
        <v>45646</v>
      </c>
      <c r="F3372" t="s">
        <v>355</v>
      </c>
      <c r="G3372">
        <v>0</v>
      </c>
      <c r="H3372" t="s">
        <v>27</v>
      </c>
      <c r="I3372" t="s">
        <v>16</v>
      </c>
      <c r="J3372" t="s">
        <v>16</v>
      </c>
      <c r="K3372" t="str">
        <f>VLOOKUP(C3372,CheckName!A:B,2,0)</f>
        <v>Emp</v>
      </c>
      <c r="L3372">
        <v>0</v>
      </c>
      <c r="M3372">
        <f t="shared" ref="M3372:M3373" si="477">DAY(E3372)</f>
        <v>20</v>
      </c>
      <c r="N3372" t="str">
        <f>TEXT(MTDRejection[[#This Row],[RejectionDate]],"dddd")</f>
        <v>Friday</v>
      </c>
    </row>
    <row r="3373" spans="1:14">
      <c r="A3373" t="s">
        <v>180</v>
      </c>
      <c r="B3373" t="s">
        <v>5585</v>
      </c>
      <c r="C3373" t="s">
        <v>36</v>
      </c>
      <c r="D3373" t="s">
        <v>26</v>
      </c>
      <c r="E3373" s="7">
        <v>45646</v>
      </c>
      <c r="F3373" t="s">
        <v>182</v>
      </c>
      <c r="G3373">
        <v>0</v>
      </c>
      <c r="H3373" t="s">
        <v>22</v>
      </c>
      <c r="I3373" t="s">
        <v>16</v>
      </c>
      <c r="J3373" t="s">
        <v>16</v>
      </c>
      <c r="K3373" t="str">
        <f>VLOOKUP(C3373,CheckName!A:B,2,0)</f>
        <v>Emp</v>
      </c>
      <c r="L3373">
        <v>0</v>
      </c>
      <c r="M3373">
        <f t="shared" si="477"/>
        <v>20</v>
      </c>
      <c r="N3373" t="str">
        <f>TEXT(MTDRejection[[#This Row],[RejectionDate]],"dddd")</f>
        <v>Friday</v>
      </c>
    </row>
    <row r="3374" spans="1:14">
      <c r="A3374" t="s">
        <v>682</v>
      </c>
      <c r="B3374" t="s">
        <v>5586</v>
      </c>
      <c r="C3374" t="s">
        <v>12</v>
      </c>
      <c r="D3374" t="s">
        <v>26</v>
      </c>
      <c r="E3374" s="7">
        <v>45646</v>
      </c>
      <c r="F3374" t="s">
        <v>83</v>
      </c>
      <c r="G3374">
        <v>0</v>
      </c>
      <c r="H3374" t="s">
        <v>27</v>
      </c>
      <c r="I3374" t="s">
        <v>16</v>
      </c>
      <c r="J3374" t="s">
        <v>16</v>
      </c>
      <c r="K3374" t="str">
        <f>VLOOKUP(C3374,CheckName!A:B,2,0)</f>
        <v>Emp</v>
      </c>
      <c r="L3374">
        <v>0</v>
      </c>
      <c r="M3374">
        <f>DAY(E3374)</f>
        <v>20</v>
      </c>
      <c r="N3374" t="str">
        <f>TEXT(MTDRejection[[#This Row],[RejectionDate]],"dddd")</f>
        <v>Friday</v>
      </c>
    </row>
    <row r="3375" spans="1:14">
      <c r="A3375" t="s">
        <v>1408</v>
      </c>
      <c r="B3375" t="s">
        <v>5587</v>
      </c>
      <c r="C3375" t="s">
        <v>54</v>
      </c>
      <c r="D3375" t="s">
        <v>26</v>
      </c>
      <c r="E3375" s="7">
        <v>45646</v>
      </c>
      <c r="F3375" t="s">
        <v>535</v>
      </c>
      <c r="G3375">
        <v>0</v>
      </c>
      <c r="H3375" t="s">
        <v>27</v>
      </c>
      <c r="I3375" t="s">
        <v>16</v>
      </c>
      <c r="J3375" t="s">
        <v>16</v>
      </c>
      <c r="K3375" t="str">
        <f>VLOOKUP(C3375,CheckName!A:B,2,0)</f>
        <v>Edu</v>
      </c>
      <c r="L3375">
        <v>0</v>
      </c>
      <c r="M3375">
        <f t="shared" ref="M3375:M3379" si="478">DAY(E3375)</f>
        <v>20</v>
      </c>
      <c r="N3375" t="str">
        <f>TEXT(MTDRejection[[#This Row],[RejectionDate]],"dddd")</f>
        <v>Friday</v>
      </c>
    </row>
    <row r="3376" spans="1:14">
      <c r="A3376" t="s">
        <v>274</v>
      </c>
      <c r="B3376" t="s">
        <v>2719</v>
      </c>
      <c r="C3376" t="s">
        <v>54</v>
      </c>
      <c r="D3376" t="s">
        <v>26</v>
      </c>
      <c r="E3376" s="7">
        <v>45646</v>
      </c>
      <c r="F3376" t="s">
        <v>535</v>
      </c>
      <c r="G3376">
        <v>0</v>
      </c>
      <c r="H3376" t="s">
        <v>27</v>
      </c>
      <c r="I3376" t="s">
        <v>16</v>
      </c>
      <c r="J3376" t="s">
        <v>16</v>
      </c>
      <c r="K3376" t="str">
        <f>VLOOKUP(C3376,CheckName!A:B,2,0)</f>
        <v>Edu</v>
      </c>
      <c r="L3376">
        <v>0</v>
      </c>
      <c r="M3376">
        <f t="shared" si="478"/>
        <v>20</v>
      </c>
      <c r="N3376" t="str">
        <f>TEXT(MTDRejection[[#This Row],[RejectionDate]],"dddd")</f>
        <v>Friday</v>
      </c>
    </row>
    <row r="3377" spans="1:14">
      <c r="A3377" t="s">
        <v>1758</v>
      </c>
      <c r="B3377" t="s">
        <v>2058</v>
      </c>
      <c r="C3377" t="s">
        <v>54</v>
      </c>
      <c r="D3377" t="s">
        <v>26</v>
      </c>
      <c r="E3377" s="7">
        <v>45646</v>
      </c>
      <c r="F3377" t="s">
        <v>535</v>
      </c>
      <c r="G3377">
        <v>0</v>
      </c>
      <c r="H3377" t="s">
        <v>30</v>
      </c>
      <c r="I3377" t="s">
        <v>16</v>
      </c>
      <c r="J3377" t="s">
        <v>16</v>
      </c>
      <c r="K3377" t="str">
        <f>VLOOKUP(C3377,CheckName!A:B,2,0)</f>
        <v>Edu</v>
      </c>
      <c r="L3377">
        <v>0</v>
      </c>
      <c r="M3377">
        <f t="shared" si="478"/>
        <v>20</v>
      </c>
      <c r="N3377" t="str">
        <f>TEXT(MTDRejection[[#This Row],[RejectionDate]],"dddd")</f>
        <v>Friday</v>
      </c>
    </row>
    <row r="3378" spans="1:14">
      <c r="A3378" t="s">
        <v>172</v>
      </c>
      <c r="B3378" t="s">
        <v>5588</v>
      </c>
      <c r="C3378" t="s">
        <v>12</v>
      </c>
      <c r="D3378" t="s">
        <v>26</v>
      </c>
      <c r="E3378" s="7">
        <v>45646</v>
      </c>
      <c r="F3378" t="s">
        <v>1139</v>
      </c>
      <c r="G3378">
        <v>0</v>
      </c>
      <c r="H3378" t="s">
        <v>27</v>
      </c>
      <c r="I3378" t="s">
        <v>16</v>
      </c>
      <c r="J3378" t="s">
        <v>16</v>
      </c>
      <c r="K3378" t="str">
        <f>VLOOKUP(C3378,CheckName!A:B,2,0)</f>
        <v>Emp</v>
      </c>
      <c r="L3378">
        <v>0</v>
      </c>
      <c r="M3378">
        <f t="shared" si="478"/>
        <v>20</v>
      </c>
      <c r="N3378" t="str">
        <f>TEXT(MTDRejection[[#This Row],[RejectionDate]],"dddd")</f>
        <v>Friday</v>
      </c>
    </row>
    <row r="3379" spans="1:14">
      <c r="A3379" t="s">
        <v>245</v>
      </c>
      <c r="B3379" t="s">
        <v>5589</v>
      </c>
      <c r="C3379" t="s">
        <v>12</v>
      </c>
      <c r="D3379" t="s">
        <v>26</v>
      </c>
      <c r="E3379" s="7">
        <v>45646</v>
      </c>
      <c r="F3379" t="s">
        <v>1139</v>
      </c>
      <c r="G3379">
        <v>0</v>
      </c>
      <c r="H3379" t="s">
        <v>27</v>
      </c>
      <c r="I3379" t="s">
        <v>16</v>
      </c>
      <c r="J3379" t="s">
        <v>16</v>
      </c>
      <c r="K3379" t="str">
        <f>VLOOKUP(C3379,CheckName!A:B,2,0)</f>
        <v>Emp</v>
      </c>
      <c r="L3379">
        <v>0</v>
      </c>
      <c r="M3379">
        <f t="shared" si="478"/>
        <v>20</v>
      </c>
      <c r="N3379" t="str">
        <f>TEXT(MTDRejection[[#This Row],[RejectionDate]],"dddd")</f>
        <v>Friday</v>
      </c>
    </row>
    <row r="3380" spans="1:14">
      <c r="A3380" t="s">
        <v>2057</v>
      </c>
      <c r="B3380" t="s">
        <v>5590</v>
      </c>
      <c r="C3380" t="s">
        <v>54</v>
      </c>
      <c r="D3380" t="s">
        <v>26</v>
      </c>
      <c r="E3380" s="7">
        <v>45646</v>
      </c>
      <c r="F3380" t="s">
        <v>538</v>
      </c>
      <c r="G3380">
        <v>0</v>
      </c>
      <c r="H3380" t="s">
        <v>27</v>
      </c>
      <c r="I3380" t="s">
        <v>16</v>
      </c>
      <c r="J3380" t="s">
        <v>16</v>
      </c>
      <c r="K3380" t="str">
        <f>VLOOKUP(C3380,CheckName!A:B,2,0)</f>
        <v>Edu</v>
      </c>
      <c r="L3380">
        <v>0</v>
      </c>
      <c r="M3380">
        <f t="shared" ref="M3380:M3381" si="479">DAY(E3380)</f>
        <v>20</v>
      </c>
      <c r="N3380" t="str">
        <f>TEXT(MTDRejection[[#This Row],[RejectionDate]],"dddd")</f>
        <v>Friday</v>
      </c>
    </row>
    <row r="3381" spans="1:14">
      <c r="A3381" t="s">
        <v>306</v>
      </c>
      <c r="B3381" t="s">
        <v>5591</v>
      </c>
      <c r="C3381" t="s">
        <v>54</v>
      </c>
      <c r="D3381" t="s">
        <v>26</v>
      </c>
      <c r="E3381" s="7">
        <v>45646</v>
      </c>
      <c r="F3381" t="s">
        <v>103</v>
      </c>
      <c r="G3381">
        <v>0</v>
      </c>
      <c r="H3381" t="s">
        <v>27</v>
      </c>
      <c r="I3381" t="s">
        <v>16</v>
      </c>
      <c r="J3381" t="s">
        <v>16</v>
      </c>
      <c r="K3381" t="str">
        <f>VLOOKUP(C3381,CheckName!A:B,2,0)</f>
        <v>Edu</v>
      </c>
      <c r="L3381">
        <v>0</v>
      </c>
      <c r="M3381">
        <f t="shared" si="479"/>
        <v>20</v>
      </c>
      <c r="N3381" t="str">
        <f>TEXT(MTDRejection[[#This Row],[RejectionDate]],"dddd")</f>
        <v>Friday</v>
      </c>
    </row>
    <row r="3382" spans="1:14">
      <c r="A3382" t="s">
        <v>288</v>
      </c>
      <c r="B3382" t="s">
        <v>5592</v>
      </c>
      <c r="C3382" t="s">
        <v>12</v>
      </c>
      <c r="D3382" t="s">
        <v>26</v>
      </c>
      <c r="E3382" s="7">
        <v>45646</v>
      </c>
      <c r="F3382" t="s">
        <v>162</v>
      </c>
      <c r="G3382">
        <v>0</v>
      </c>
      <c r="H3382" t="s">
        <v>95</v>
      </c>
      <c r="I3382" t="s">
        <v>16</v>
      </c>
      <c r="J3382" t="s">
        <v>16</v>
      </c>
      <c r="K3382" t="str">
        <f>VLOOKUP(C3382,CheckName!A:B,2,0)</f>
        <v>Emp</v>
      </c>
      <c r="L3382">
        <v>0</v>
      </c>
      <c r="M3382">
        <f>DAY(E3382)</f>
        <v>20</v>
      </c>
      <c r="N3382" t="str">
        <f>TEXT(MTDRejection[[#This Row],[RejectionDate]],"dddd")</f>
        <v>Friday</v>
      </c>
    </row>
    <row r="3383" spans="1:14">
      <c r="A3383" t="s">
        <v>1276</v>
      </c>
      <c r="B3383" t="s">
        <v>5593</v>
      </c>
      <c r="C3383" t="s">
        <v>12</v>
      </c>
      <c r="D3383" t="s">
        <v>13</v>
      </c>
      <c r="E3383" s="7">
        <v>45646</v>
      </c>
      <c r="F3383" t="s">
        <v>540</v>
      </c>
      <c r="G3383">
        <v>0</v>
      </c>
      <c r="H3383" t="s">
        <v>505</v>
      </c>
      <c r="I3383" t="s">
        <v>16</v>
      </c>
      <c r="J3383" t="s">
        <v>16</v>
      </c>
      <c r="K3383" t="str">
        <f>VLOOKUP(C3383,CheckName!A:B,2,0)</f>
        <v>Emp</v>
      </c>
      <c r="L3383">
        <v>0</v>
      </c>
      <c r="M3383">
        <f t="shared" ref="M3383:M3384" si="480">DAY(E3383)</f>
        <v>20</v>
      </c>
      <c r="N3383" t="str">
        <f>TEXT(MTDRejection[[#This Row],[RejectionDate]],"dddd")</f>
        <v>Friday</v>
      </c>
    </row>
    <row r="3384" spans="1:14">
      <c r="A3384" t="s">
        <v>2030</v>
      </c>
      <c r="B3384" t="s">
        <v>5594</v>
      </c>
      <c r="C3384" t="s">
        <v>125</v>
      </c>
      <c r="D3384" t="s">
        <v>13</v>
      </c>
      <c r="E3384" s="7">
        <v>45646</v>
      </c>
      <c r="F3384" t="s">
        <v>540</v>
      </c>
      <c r="G3384">
        <v>0</v>
      </c>
      <c r="H3384" t="s">
        <v>505</v>
      </c>
      <c r="I3384" t="s">
        <v>16</v>
      </c>
      <c r="J3384" t="s">
        <v>16</v>
      </c>
      <c r="K3384" t="str">
        <f>VLOOKUP(C3384,CheckName!A:B,2,0)</f>
        <v>Emp</v>
      </c>
      <c r="L3384">
        <v>0</v>
      </c>
      <c r="M3384">
        <f t="shared" si="480"/>
        <v>20</v>
      </c>
      <c r="N3384" t="str">
        <f>TEXT(MTDRejection[[#This Row],[RejectionDate]],"dddd")</f>
        <v>Friday</v>
      </c>
    </row>
    <row r="3385" spans="1:14">
      <c r="A3385" t="s">
        <v>45</v>
      </c>
      <c r="B3385" t="s">
        <v>5595</v>
      </c>
      <c r="C3385" t="s">
        <v>12</v>
      </c>
      <c r="D3385" t="s">
        <v>26</v>
      </c>
      <c r="E3385" s="7">
        <v>45646</v>
      </c>
      <c r="F3385" t="s">
        <v>115</v>
      </c>
      <c r="G3385">
        <v>0</v>
      </c>
      <c r="H3385" t="s">
        <v>27</v>
      </c>
      <c r="I3385" t="s">
        <v>16</v>
      </c>
      <c r="J3385" t="s">
        <v>16</v>
      </c>
      <c r="K3385" t="str">
        <f>VLOOKUP(C3385,CheckName!A:B,2,0)</f>
        <v>Emp</v>
      </c>
      <c r="L3385">
        <v>0</v>
      </c>
      <c r="M3385">
        <f t="shared" ref="M3385:M3386" si="481">DAY(E3385)</f>
        <v>20</v>
      </c>
      <c r="N3385" t="str">
        <f>TEXT(MTDRejection[[#This Row],[RejectionDate]],"dddd")</f>
        <v>Friday</v>
      </c>
    </row>
    <row r="3386" spans="1:14">
      <c r="A3386" t="s">
        <v>100</v>
      </c>
      <c r="B3386" t="s">
        <v>5596</v>
      </c>
      <c r="C3386" t="s">
        <v>1681</v>
      </c>
      <c r="D3386" t="s">
        <v>26</v>
      </c>
      <c r="E3386" s="7">
        <v>45646</v>
      </c>
      <c r="F3386" t="s">
        <v>115</v>
      </c>
      <c r="G3386">
        <v>0</v>
      </c>
      <c r="H3386" t="s">
        <v>130</v>
      </c>
      <c r="I3386" t="s">
        <v>16</v>
      </c>
      <c r="J3386" t="s">
        <v>16</v>
      </c>
      <c r="K3386" t="str">
        <f>VLOOKUP(C3386,CheckName!A:B,2,0)</f>
        <v>Emp</v>
      </c>
      <c r="L3386">
        <v>0</v>
      </c>
      <c r="M3386">
        <f t="shared" si="481"/>
        <v>20</v>
      </c>
      <c r="N3386" t="str">
        <f>TEXT(MTDRejection[[#This Row],[RejectionDate]],"dddd")</f>
        <v>Friday</v>
      </c>
    </row>
    <row r="3387" spans="1:14">
      <c r="A3387" t="s">
        <v>360</v>
      </c>
      <c r="B3387" t="s">
        <v>5597</v>
      </c>
      <c r="C3387" t="s">
        <v>36</v>
      </c>
      <c r="D3387" t="s">
        <v>26</v>
      </c>
      <c r="E3387" s="7">
        <v>45646</v>
      </c>
      <c r="F3387" t="s">
        <v>2355</v>
      </c>
      <c r="G3387">
        <v>0</v>
      </c>
      <c r="H3387" t="s">
        <v>27</v>
      </c>
      <c r="I3387" t="s">
        <v>16</v>
      </c>
      <c r="J3387" t="s">
        <v>16</v>
      </c>
      <c r="K3387" t="str">
        <f>VLOOKUP(C3387,CheckName!A:B,2,0)</f>
        <v>Emp</v>
      </c>
      <c r="L3387">
        <v>0</v>
      </c>
      <c r="M3387">
        <f t="shared" ref="M3387:M3390" si="482">DAY(E3387)</f>
        <v>20</v>
      </c>
      <c r="N3387" t="str">
        <f>TEXT(MTDRejection[[#This Row],[RejectionDate]],"dddd")</f>
        <v>Friday</v>
      </c>
    </row>
    <row r="3388" spans="1:14">
      <c r="A3388" t="s">
        <v>306</v>
      </c>
      <c r="B3388" t="s">
        <v>5255</v>
      </c>
      <c r="C3388" t="s">
        <v>54</v>
      </c>
      <c r="D3388" t="s">
        <v>26</v>
      </c>
      <c r="E3388" s="7">
        <v>45646</v>
      </c>
      <c r="F3388" t="s">
        <v>309</v>
      </c>
      <c r="G3388">
        <v>0</v>
      </c>
      <c r="H3388" t="s">
        <v>27</v>
      </c>
      <c r="I3388" t="s">
        <v>16</v>
      </c>
      <c r="J3388" t="s">
        <v>16</v>
      </c>
      <c r="K3388" t="str">
        <f>VLOOKUP(C3388,CheckName!A:B,2,0)</f>
        <v>Edu</v>
      </c>
      <c r="L3388">
        <v>0</v>
      </c>
      <c r="M3388">
        <f t="shared" si="482"/>
        <v>20</v>
      </c>
      <c r="N3388" t="str">
        <f>TEXT(MTDRejection[[#This Row],[RejectionDate]],"dddd")</f>
        <v>Friday</v>
      </c>
    </row>
    <row r="3389" spans="1:14">
      <c r="A3389" t="s">
        <v>176</v>
      </c>
      <c r="B3389" t="s">
        <v>5598</v>
      </c>
      <c r="C3389" t="s">
        <v>36</v>
      </c>
      <c r="D3389" t="s">
        <v>26</v>
      </c>
      <c r="E3389" s="7">
        <v>45646</v>
      </c>
      <c r="F3389" t="s">
        <v>2355</v>
      </c>
      <c r="G3389">
        <v>0</v>
      </c>
      <c r="H3389" t="s">
        <v>27</v>
      </c>
      <c r="I3389" t="s">
        <v>16</v>
      </c>
      <c r="J3389" t="s">
        <v>16</v>
      </c>
      <c r="K3389" t="str">
        <f>VLOOKUP(C3389,CheckName!A:B,2,0)</f>
        <v>Emp</v>
      </c>
      <c r="L3389">
        <v>0</v>
      </c>
      <c r="M3389">
        <f t="shared" si="482"/>
        <v>20</v>
      </c>
      <c r="N3389" t="str">
        <f>TEXT(MTDRejection[[#This Row],[RejectionDate]],"dddd")</f>
        <v>Friday</v>
      </c>
    </row>
    <row r="3390" spans="1:14">
      <c r="A3390" t="s">
        <v>176</v>
      </c>
      <c r="B3390" t="s">
        <v>5599</v>
      </c>
      <c r="C3390" t="s">
        <v>12</v>
      </c>
      <c r="D3390" t="s">
        <v>26</v>
      </c>
      <c r="E3390" s="7">
        <v>45646</v>
      </c>
      <c r="F3390" t="s">
        <v>2355</v>
      </c>
      <c r="G3390">
        <v>0</v>
      </c>
      <c r="H3390" t="s">
        <v>27</v>
      </c>
      <c r="I3390" t="s">
        <v>16</v>
      </c>
      <c r="J3390" t="s">
        <v>16</v>
      </c>
      <c r="K3390" t="str">
        <f>VLOOKUP(C3390,CheckName!A:B,2,0)</f>
        <v>Emp</v>
      </c>
      <c r="L3390">
        <v>0</v>
      </c>
      <c r="M3390">
        <f t="shared" si="482"/>
        <v>20</v>
      </c>
      <c r="N3390" t="str">
        <f>TEXT(MTDRejection[[#This Row],[RejectionDate]],"dddd")</f>
        <v>Friday</v>
      </c>
    </row>
    <row r="3391" spans="1:14">
      <c r="A3391" t="s">
        <v>1758</v>
      </c>
      <c r="B3391" t="s">
        <v>5600</v>
      </c>
      <c r="C3391" t="s">
        <v>54</v>
      </c>
      <c r="D3391" t="s">
        <v>26</v>
      </c>
      <c r="E3391" s="7">
        <v>45644</v>
      </c>
      <c r="F3391" t="s">
        <v>535</v>
      </c>
      <c r="G3391">
        <v>2</v>
      </c>
      <c r="H3391" t="s">
        <v>27</v>
      </c>
      <c r="I3391" t="s">
        <v>16</v>
      </c>
      <c r="J3391" t="s">
        <v>16</v>
      </c>
      <c r="K3391" t="str">
        <f>VLOOKUP(C3391,CheckName!A:B,2,0)</f>
        <v>Edu</v>
      </c>
      <c r="L3391">
        <v>0</v>
      </c>
      <c r="M3391">
        <f>DAY(E3391)</f>
        <v>18</v>
      </c>
      <c r="N3391" t="str">
        <f>TEXT(MTDRejection[[#This Row],[RejectionDate]],"dddd")</f>
        <v>Wednesday</v>
      </c>
    </row>
    <row r="3392" spans="1:14">
      <c r="A3392" t="s">
        <v>231</v>
      </c>
      <c r="B3392" t="s">
        <v>5601</v>
      </c>
      <c r="C3392" t="s">
        <v>54</v>
      </c>
      <c r="D3392" t="s">
        <v>26</v>
      </c>
      <c r="E3392" s="7">
        <v>45642</v>
      </c>
      <c r="F3392" t="s">
        <v>188</v>
      </c>
      <c r="G3392">
        <v>4</v>
      </c>
      <c r="H3392" t="s">
        <v>27</v>
      </c>
      <c r="I3392" t="s">
        <v>16</v>
      </c>
      <c r="J3392" t="s">
        <v>16</v>
      </c>
      <c r="K3392" t="str">
        <f>VLOOKUP(C3392,CheckName!A:B,2,0)</f>
        <v>Edu</v>
      </c>
      <c r="L3392">
        <v>0</v>
      </c>
      <c r="M3392">
        <f>DAY(E3392)</f>
        <v>16</v>
      </c>
      <c r="N3392" t="str">
        <f>TEXT(MTDRejection[[#This Row],[RejectionDate]],"dddd")</f>
        <v>Monday</v>
      </c>
    </row>
    <row r="3393" spans="1:14">
      <c r="A3393" t="s">
        <v>1204</v>
      </c>
      <c r="B3393" t="s">
        <v>5602</v>
      </c>
      <c r="C3393" t="s">
        <v>12</v>
      </c>
      <c r="D3393" t="s">
        <v>26</v>
      </c>
      <c r="E3393" s="7">
        <v>45642</v>
      </c>
      <c r="F3393" t="s">
        <v>311</v>
      </c>
      <c r="G3393">
        <v>4</v>
      </c>
      <c r="H3393" t="s">
        <v>27</v>
      </c>
      <c r="I3393" t="s">
        <v>16</v>
      </c>
      <c r="J3393" t="s">
        <v>16</v>
      </c>
      <c r="K3393" t="str">
        <f>VLOOKUP(C3393,CheckName!A:B,2,0)</f>
        <v>Emp</v>
      </c>
      <c r="L3393">
        <v>0</v>
      </c>
      <c r="M3393">
        <f>DAY(E3393)</f>
        <v>16</v>
      </c>
      <c r="N3393" t="str">
        <f>TEXT(MTDRejection[[#This Row],[RejectionDate]],"dddd")</f>
        <v>Monday</v>
      </c>
    </row>
    <row r="3394" spans="1:14">
      <c r="A3394" t="s">
        <v>266</v>
      </c>
      <c r="B3394" t="s">
        <v>5603</v>
      </c>
      <c r="C3394" t="s">
        <v>54</v>
      </c>
      <c r="D3394" t="s">
        <v>13</v>
      </c>
      <c r="E3394" s="7">
        <v>45639</v>
      </c>
      <c r="F3394" t="s">
        <v>2326</v>
      </c>
      <c r="G3394">
        <v>7</v>
      </c>
      <c r="H3394" t="s">
        <v>130</v>
      </c>
      <c r="I3394" t="s">
        <v>16</v>
      </c>
      <c r="J3394" t="s">
        <v>16</v>
      </c>
      <c r="K3394" t="str">
        <f>VLOOKUP(C3394,CheckName!A:B,2,0)</f>
        <v>Edu</v>
      </c>
      <c r="L3394">
        <v>0</v>
      </c>
      <c r="M3394">
        <f>DAY(E3394)</f>
        <v>13</v>
      </c>
      <c r="N3394" t="str">
        <f>TEXT(MTDRejection[[#This Row],[RejectionDate]],"dddd")</f>
        <v>Friday</v>
      </c>
    </row>
    <row r="3395" spans="1:14">
      <c r="A3395" t="s">
        <v>469</v>
      </c>
      <c r="B3395" t="s">
        <v>5604</v>
      </c>
      <c r="C3395" t="s">
        <v>12</v>
      </c>
      <c r="D3395" t="s">
        <v>13</v>
      </c>
      <c r="E3395" s="7">
        <v>45646</v>
      </c>
      <c r="F3395" t="s">
        <v>2326</v>
      </c>
      <c r="G3395">
        <v>0</v>
      </c>
      <c r="H3395" t="s">
        <v>15</v>
      </c>
      <c r="I3395" t="s">
        <v>16</v>
      </c>
      <c r="J3395" t="s">
        <v>16</v>
      </c>
      <c r="K3395" t="str">
        <f>VLOOKUP(C3395,CheckName!A:B,2,0)</f>
        <v>Emp</v>
      </c>
      <c r="L3395">
        <v>0</v>
      </c>
      <c r="M3395">
        <f t="shared" ref="M3395:M3396" si="483">DAY(E3395)</f>
        <v>20</v>
      </c>
      <c r="N3395" t="str">
        <f>TEXT(MTDRejection[[#This Row],[RejectionDate]],"dddd")</f>
        <v>Friday</v>
      </c>
    </row>
    <row r="3396" spans="1:14">
      <c r="A3396" t="s">
        <v>45</v>
      </c>
      <c r="B3396" t="s">
        <v>5605</v>
      </c>
      <c r="C3396" t="s">
        <v>1723</v>
      </c>
      <c r="D3396" t="s">
        <v>26</v>
      </c>
      <c r="E3396" s="7">
        <v>45646</v>
      </c>
      <c r="F3396" t="s">
        <v>236</v>
      </c>
      <c r="G3396">
        <v>0</v>
      </c>
      <c r="H3396" t="s">
        <v>22</v>
      </c>
      <c r="I3396" t="s">
        <v>16</v>
      </c>
      <c r="J3396" t="s">
        <v>16</v>
      </c>
      <c r="K3396" t="str">
        <f>VLOOKUP(C3396,CheckName!A:B,2,0)</f>
        <v>Special Check</v>
      </c>
      <c r="L3396">
        <v>0</v>
      </c>
      <c r="M3396">
        <f t="shared" si="483"/>
        <v>20</v>
      </c>
      <c r="N3396" t="str">
        <f>TEXT(MTDRejection[[#This Row],[RejectionDate]],"dddd")</f>
        <v>Friday</v>
      </c>
    </row>
    <row r="3397" spans="1:14">
      <c r="A3397" t="s">
        <v>119</v>
      </c>
      <c r="B3397" t="s">
        <v>5606</v>
      </c>
      <c r="C3397" t="s">
        <v>25</v>
      </c>
      <c r="D3397" t="s">
        <v>20</v>
      </c>
      <c r="E3397" s="7">
        <v>45646</v>
      </c>
      <c r="F3397" t="s">
        <v>273</v>
      </c>
      <c r="G3397">
        <v>0</v>
      </c>
      <c r="H3397" t="s">
        <v>27</v>
      </c>
      <c r="I3397" t="s">
        <v>16</v>
      </c>
      <c r="J3397" t="s">
        <v>16</v>
      </c>
      <c r="K3397" t="str">
        <f>VLOOKUP(C3397,CheckName!A:B,2,0)</f>
        <v>Add</v>
      </c>
      <c r="L3397">
        <v>0</v>
      </c>
      <c r="M3397">
        <f>DAY(E3397)</f>
        <v>20</v>
      </c>
      <c r="N3397" t="str">
        <f>TEXT(MTDRejection[[#This Row],[RejectionDate]],"dddd")</f>
        <v>Friday</v>
      </c>
    </row>
    <row r="3398" spans="1:14">
      <c r="A3398" t="s">
        <v>116</v>
      </c>
      <c r="B3398" t="s">
        <v>1938</v>
      </c>
      <c r="C3398" t="s">
        <v>12</v>
      </c>
      <c r="D3398" t="s">
        <v>26</v>
      </c>
      <c r="E3398" s="7">
        <v>45646</v>
      </c>
      <c r="F3398" t="s">
        <v>1055</v>
      </c>
      <c r="G3398">
        <v>0</v>
      </c>
      <c r="H3398" t="s">
        <v>27</v>
      </c>
      <c r="I3398" t="s">
        <v>16</v>
      </c>
      <c r="J3398" t="s">
        <v>16</v>
      </c>
      <c r="K3398" t="str">
        <f>VLOOKUP(C3398,CheckName!A:B,2,0)</f>
        <v>Emp</v>
      </c>
      <c r="L3398">
        <v>0</v>
      </c>
      <c r="M3398">
        <f t="shared" ref="M3398:M3400" si="484">DAY(E3398)</f>
        <v>20</v>
      </c>
      <c r="N3398" t="str">
        <f>TEXT(MTDRejection[[#This Row],[RejectionDate]],"dddd")</f>
        <v>Friday</v>
      </c>
    </row>
    <row r="3399" spans="1:14">
      <c r="A3399" t="s">
        <v>429</v>
      </c>
      <c r="B3399" t="s">
        <v>5607</v>
      </c>
      <c r="C3399" t="s">
        <v>12</v>
      </c>
      <c r="D3399" t="s">
        <v>26</v>
      </c>
      <c r="E3399" s="7">
        <v>45646</v>
      </c>
      <c r="F3399" t="s">
        <v>1055</v>
      </c>
      <c r="G3399">
        <v>0</v>
      </c>
      <c r="H3399" t="s">
        <v>27</v>
      </c>
      <c r="I3399" t="s">
        <v>16</v>
      </c>
      <c r="J3399" t="s">
        <v>16</v>
      </c>
      <c r="K3399" t="str">
        <f>VLOOKUP(C3399,CheckName!A:B,2,0)</f>
        <v>Emp</v>
      </c>
      <c r="L3399">
        <v>0</v>
      </c>
      <c r="M3399">
        <f t="shared" si="484"/>
        <v>20</v>
      </c>
      <c r="N3399" t="str">
        <f>TEXT(MTDRejection[[#This Row],[RejectionDate]],"dddd")</f>
        <v>Friday</v>
      </c>
    </row>
    <row r="3400" spans="1:14">
      <c r="A3400" t="s">
        <v>671</v>
      </c>
      <c r="B3400" t="s">
        <v>5608</v>
      </c>
      <c r="C3400" t="s">
        <v>12</v>
      </c>
      <c r="D3400" t="s">
        <v>26</v>
      </c>
      <c r="E3400" s="7">
        <v>45646</v>
      </c>
      <c r="F3400" t="s">
        <v>1055</v>
      </c>
      <c r="G3400">
        <v>0</v>
      </c>
      <c r="H3400" t="s">
        <v>30</v>
      </c>
      <c r="I3400" t="s">
        <v>16</v>
      </c>
      <c r="J3400" t="s">
        <v>16</v>
      </c>
      <c r="K3400" t="str">
        <f>VLOOKUP(C3400,CheckName!A:B,2,0)</f>
        <v>Emp</v>
      </c>
      <c r="L3400">
        <v>1</v>
      </c>
      <c r="M3400">
        <f t="shared" si="484"/>
        <v>20</v>
      </c>
      <c r="N3400" t="str">
        <f>TEXT(MTDRejection[[#This Row],[RejectionDate]],"dddd")</f>
        <v>Friday</v>
      </c>
    </row>
    <row r="3401" spans="1:14">
      <c r="A3401" t="s">
        <v>172</v>
      </c>
      <c r="B3401" t="s">
        <v>5609</v>
      </c>
      <c r="C3401" t="s">
        <v>125</v>
      </c>
      <c r="D3401" t="s">
        <v>26</v>
      </c>
      <c r="E3401" s="7">
        <v>45646</v>
      </c>
      <c r="F3401" t="s">
        <v>222</v>
      </c>
      <c r="G3401">
        <v>0</v>
      </c>
      <c r="H3401" t="s">
        <v>425</v>
      </c>
      <c r="I3401" t="s">
        <v>16</v>
      </c>
      <c r="J3401" t="s">
        <v>16</v>
      </c>
      <c r="K3401" t="str">
        <f>VLOOKUP(C3401,CheckName!A:B,2,0)</f>
        <v>Emp</v>
      </c>
      <c r="L3401">
        <v>0</v>
      </c>
      <c r="M3401">
        <f>DAY(E3401)</f>
        <v>20</v>
      </c>
      <c r="N3401" t="str">
        <f>TEXT(MTDRejection[[#This Row],[RejectionDate]],"dddd")</f>
        <v>Friday</v>
      </c>
    </row>
    <row r="3402" spans="1:14">
      <c r="A3402" t="s">
        <v>1552</v>
      </c>
      <c r="B3402" t="s">
        <v>5610</v>
      </c>
      <c r="C3402" t="s">
        <v>25</v>
      </c>
      <c r="D3402" t="s">
        <v>20</v>
      </c>
      <c r="E3402" s="7">
        <v>45646</v>
      </c>
      <c r="F3402" t="s">
        <v>2330</v>
      </c>
      <c r="G3402">
        <v>0</v>
      </c>
      <c r="H3402" t="s">
        <v>22</v>
      </c>
      <c r="I3402" t="s">
        <v>16</v>
      </c>
      <c r="J3402" t="s">
        <v>16</v>
      </c>
      <c r="K3402" t="str">
        <f>VLOOKUP(C3402,CheckName!A:B,2,0)</f>
        <v>Add</v>
      </c>
      <c r="L3402">
        <v>0</v>
      </c>
      <c r="M3402">
        <f t="shared" ref="M3402:M3403" si="485">DAY(E3402)</f>
        <v>20</v>
      </c>
      <c r="N3402" t="str">
        <f>TEXT(MTDRejection[[#This Row],[RejectionDate]],"dddd")</f>
        <v>Friday</v>
      </c>
    </row>
    <row r="3403" spans="1:14">
      <c r="A3403" t="s">
        <v>133</v>
      </c>
      <c r="B3403" t="s">
        <v>5611</v>
      </c>
      <c r="C3403" t="s">
        <v>25</v>
      </c>
      <c r="D3403" t="s">
        <v>20</v>
      </c>
      <c r="E3403" s="7">
        <v>45646</v>
      </c>
      <c r="F3403" t="s">
        <v>2330</v>
      </c>
      <c r="G3403">
        <v>0</v>
      </c>
      <c r="H3403" t="s">
        <v>22</v>
      </c>
      <c r="I3403" t="s">
        <v>16</v>
      </c>
      <c r="J3403" t="s">
        <v>16</v>
      </c>
      <c r="K3403" t="str">
        <f>VLOOKUP(C3403,CheckName!A:B,2,0)</f>
        <v>Add</v>
      </c>
      <c r="L3403">
        <v>0</v>
      </c>
      <c r="M3403">
        <f t="shared" si="485"/>
        <v>20</v>
      </c>
      <c r="N3403" t="str">
        <f>TEXT(MTDRejection[[#This Row],[RejectionDate]],"dddd")</f>
        <v>Friday</v>
      </c>
    </row>
    <row r="3404" spans="1:14">
      <c r="A3404" t="s">
        <v>73</v>
      </c>
      <c r="B3404" t="s">
        <v>5612</v>
      </c>
      <c r="C3404" t="s">
        <v>54</v>
      </c>
      <c r="D3404" t="s">
        <v>26</v>
      </c>
      <c r="E3404" s="7">
        <v>45646</v>
      </c>
      <c r="F3404" t="s">
        <v>63</v>
      </c>
      <c r="G3404">
        <v>0</v>
      </c>
      <c r="H3404" t="s">
        <v>27</v>
      </c>
      <c r="I3404" t="s">
        <v>16</v>
      </c>
      <c r="J3404" t="s">
        <v>16</v>
      </c>
      <c r="K3404" t="str">
        <f>VLOOKUP(C3404,CheckName!A:B,2,0)</f>
        <v>Edu</v>
      </c>
      <c r="L3404">
        <v>0</v>
      </c>
      <c r="M3404">
        <f t="shared" ref="M3404:M3407" si="486">DAY(E3404)</f>
        <v>20</v>
      </c>
      <c r="N3404" t="str">
        <f>TEXT(MTDRejection[[#This Row],[RejectionDate]],"dddd")</f>
        <v>Friday</v>
      </c>
    </row>
    <row r="3405" spans="1:14">
      <c r="A3405" t="s">
        <v>1491</v>
      </c>
      <c r="B3405" t="s">
        <v>5613</v>
      </c>
      <c r="C3405" t="s">
        <v>54</v>
      </c>
      <c r="D3405" t="s">
        <v>26</v>
      </c>
      <c r="E3405" s="7">
        <v>45646</v>
      </c>
      <c r="F3405" t="s">
        <v>63</v>
      </c>
      <c r="G3405">
        <v>0</v>
      </c>
      <c r="H3405" t="s">
        <v>95</v>
      </c>
      <c r="I3405" t="s">
        <v>16</v>
      </c>
      <c r="J3405" t="s">
        <v>16</v>
      </c>
      <c r="K3405" t="str">
        <f>VLOOKUP(C3405,CheckName!A:B,2,0)</f>
        <v>Edu</v>
      </c>
      <c r="L3405">
        <v>0</v>
      </c>
      <c r="M3405">
        <f t="shared" si="486"/>
        <v>20</v>
      </c>
      <c r="N3405" t="str">
        <f>TEXT(MTDRejection[[#This Row],[RejectionDate]],"dddd")</f>
        <v>Friday</v>
      </c>
    </row>
    <row r="3406" spans="1:14">
      <c r="A3406" t="s">
        <v>211</v>
      </c>
      <c r="B3406" t="s">
        <v>5614</v>
      </c>
      <c r="C3406" t="s">
        <v>54</v>
      </c>
      <c r="D3406" t="s">
        <v>26</v>
      </c>
      <c r="E3406" s="7">
        <v>45646</v>
      </c>
      <c r="F3406" t="s">
        <v>63</v>
      </c>
      <c r="G3406">
        <v>0</v>
      </c>
      <c r="H3406" t="s">
        <v>27</v>
      </c>
      <c r="I3406" t="s">
        <v>16</v>
      </c>
      <c r="J3406" t="s">
        <v>16</v>
      </c>
      <c r="K3406" t="str">
        <f>VLOOKUP(C3406,CheckName!A:B,2,0)</f>
        <v>Edu</v>
      </c>
      <c r="L3406">
        <v>0</v>
      </c>
      <c r="M3406">
        <f t="shared" si="486"/>
        <v>20</v>
      </c>
      <c r="N3406" t="str">
        <f>TEXT(MTDRejection[[#This Row],[RejectionDate]],"dddd")</f>
        <v>Friday</v>
      </c>
    </row>
    <row r="3407" spans="1:14">
      <c r="A3407" t="s">
        <v>996</v>
      </c>
      <c r="B3407" t="s">
        <v>5615</v>
      </c>
      <c r="C3407" t="s">
        <v>1098</v>
      </c>
      <c r="D3407" t="s">
        <v>26</v>
      </c>
      <c r="E3407" s="7">
        <v>45646</v>
      </c>
      <c r="F3407" t="s">
        <v>63</v>
      </c>
      <c r="G3407">
        <v>0</v>
      </c>
      <c r="H3407" t="s">
        <v>22</v>
      </c>
      <c r="I3407" t="s">
        <v>16</v>
      </c>
      <c r="J3407" t="s">
        <v>16</v>
      </c>
      <c r="K3407" t="str">
        <f>VLOOKUP(C3407,CheckName!A:B,2,0)</f>
        <v>Edu</v>
      </c>
      <c r="L3407">
        <v>0</v>
      </c>
      <c r="M3407">
        <f t="shared" si="486"/>
        <v>20</v>
      </c>
      <c r="N3407" t="str">
        <f>TEXT(MTDRejection[[#This Row],[RejectionDate]],"dddd")</f>
        <v>Friday</v>
      </c>
    </row>
    <row r="3408" spans="1:14">
      <c r="A3408" t="s">
        <v>116</v>
      </c>
      <c r="B3408" t="s">
        <v>5616</v>
      </c>
      <c r="C3408" t="s">
        <v>805</v>
      </c>
      <c r="D3408" t="s">
        <v>26</v>
      </c>
      <c r="E3408" s="7">
        <v>45646</v>
      </c>
      <c r="F3408" t="s">
        <v>63</v>
      </c>
      <c r="G3408">
        <v>0</v>
      </c>
      <c r="H3408" t="s">
        <v>27</v>
      </c>
      <c r="I3408" t="s">
        <v>16</v>
      </c>
      <c r="J3408" t="s">
        <v>16</v>
      </c>
      <c r="K3408" t="str">
        <f>VLOOKUP(C3408,CheckName!A:B,2,0)</f>
        <v>Edu</v>
      </c>
      <c r="L3408">
        <v>0</v>
      </c>
      <c r="M3408">
        <f t="shared" ref="M3408:M3410" si="487">DAY(E3408)</f>
        <v>20</v>
      </c>
      <c r="N3408" t="str">
        <f>TEXT(MTDRejection[[#This Row],[RejectionDate]],"dddd")</f>
        <v>Friday</v>
      </c>
    </row>
    <row r="3409" spans="1:14">
      <c r="A3409" t="s">
        <v>456</v>
      </c>
      <c r="B3409" t="s">
        <v>5617</v>
      </c>
      <c r="C3409" t="s">
        <v>54</v>
      </c>
      <c r="D3409" t="s">
        <v>26</v>
      </c>
      <c r="E3409" s="7">
        <v>45646</v>
      </c>
      <c r="F3409" t="s">
        <v>63</v>
      </c>
      <c r="G3409">
        <v>0</v>
      </c>
      <c r="H3409" t="s">
        <v>27</v>
      </c>
      <c r="I3409" t="s">
        <v>16</v>
      </c>
      <c r="J3409" t="s">
        <v>16</v>
      </c>
      <c r="K3409" t="str">
        <f>VLOOKUP(C3409,CheckName!A:B,2,0)</f>
        <v>Edu</v>
      </c>
      <c r="L3409">
        <v>0</v>
      </c>
      <c r="M3409">
        <f t="shared" si="487"/>
        <v>20</v>
      </c>
      <c r="N3409" t="str">
        <f>TEXT(MTDRejection[[#This Row],[RejectionDate]],"dddd")</f>
        <v>Friday</v>
      </c>
    </row>
    <row r="3410" spans="1:14">
      <c r="A3410" t="s">
        <v>81</v>
      </c>
      <c r="B3410" t="s">
        <v>5618</v>
      </c>
      <c r="C3410" t="s">
        <v>54</v>
      </c>
      <c r="D3410" t="s">
        <v>26</v>
      </c>
      <c r="E3410" s="7">
        <v>45646</v>
      </c>
      <c r="F3410" t="s">
        <v>63</v>
      </c>
      <c r="G3410">
        <v>0</v>
      </c>
      <c r="H3410" t="s">
        <v>27</v>
      </c>
      <c r="I3410" t="s">
        <v>16</v>
      </c>
      <c r="J3410" t="s">
        <v>16</v>
      </c>
      <c r="K3410" t="str">
        <f>VLOOKUP(C3410,CheckName!A:B,2,0)</f>
        <v>Edu</v>
      </c>
      <c r="L3410">
        <v>0</v>
      </c>
      <c r="M3410">
        <f t="shared" si="487"/>
        <v>20</v>
      </c>
      <c r="N3410" t="str">
        <f>TEXT(MTDRejection[[#This Row],[RejectionDate]],"dddd")</f>
        <v>Friday</v>
      </c>
    </row>
    <row r="3411" spans="1:14">
      <c r="A3411" t="s">
        <v>100</v>
      </c>
      <c r="B3411" t="s">
        <v>2533</v>
      </c>
      <c r="C3411" t="s">
        <v>1334</v>
      </c>
      <c r="D3411" t="s">
        <v>13</v>
      </c>
      <c r="E3411" s="7">
        <v>45646</v>
      </c>
      <c r="F3411" t="s">
        <v>1219</v>
      </c>
      <c r="G3411">
        <v>0</v>
      </c>
      <c r="H3411" t="s">
        <v>15</v>
      </c>
      <c r="I3411" t="s">
        <v>16</v>
      </c>
      <c r="J3411" t="s">
        <v>16</v>
      </c>
      <c r="K3411" t="str">
        <f>VLOOKUP(C3411,CheckName!A:B,2,0)</f>
        <v>CRC</v>
      </c>
      <c r="L3411">
        <v>0</v>
      </c>
      <c r="M3411">
        <f>DAY(E3411)</f>
        <v>20</v>
      </c>
      <c r="N3411" t="str">
        <f>TEXT(MTDRejection[[#This Row],[RejectionDate]],"dddd")</f>
        <v>Friday</v>
      </c>
    </row>
    <row r="3412" spans="1:14">
      <c r="A3412" t="s">
        <v>288</v>
      </c>
      <c r="B3412" t="s">
        <v>5619</v>
      </c>
      <c r="C3412" t="s">
        <v>54</v>
      </c>
      <c r="D3412" t="s">
        <v>26</v>
      </c>
      <c r="E3412" s="7">
        <v>45646</v>
      </c>
      <c r="F3412" t="s">
        <v>188</v>
      </c>
      <c r="G3412">
        <v>0</v>
      </c>
      <c r="H3412" t="s">
        <v>27</v>
      </c>
      <c r="I3412" t="s">
        <v>16</v>
      </c>
      <c r="J3412" t="s">
        <v>16</v>
      </c>
      <c r="K3412" t="str">
        <f>VLOOKUP(C3412,CheckName!A:B,2,0)</f>
        <v>Edu</v>
      </c>
      <c r="L3412">
        <v>0</v>
      </c>
      <c r="M3412">
        <f>DAY(E3412)</f>
        <v>20</v>
      </c>
      <c r="N3412" t="str">
        <f>TEXT(MTDRejection[[#This Row],[RejectionDate]],"dddd")</f>
        <v>Friday</v>
      </c>
    </row>
    <row r="3413" spans="1:14">
      <c r="A3413" t="s">
        <v>2059</v>
      </c>
      <c r="B3413" t="s">
        <v>5620</v>
      </c>
      <c r="C3413" t="s">
        <v>125</v>
      </c>
      <c r="D3413" t="s">
        <v>26</v>
      </c>
      <c r="E3413" s="7">
        <v>45646</v>
      </c>
      <c r="F3413" t="s">
        <v>380</v>
      </c>
      <c r="G3413">
        <v>0</v>
      </c>
      <c r="H3413" t="s">
        <v>27</v>
      </c>
      <c r="I3413" t="s">
        <v>16</v>
      </c>
      <c r="J3413" t="s">
        <v>16</v>
      </c>
      <c r="K3413" t="str">
        <f>VLOOKUP(C3413,CheckName!A:B,2,0)</f>
        <v>Emp</v>
      </c>
      <c r="L3413">
        <v>0</v>
      </c>
      <c r="M3413">
        <f t="shared" ref="M3413:M3419" si="488">DAY(E3413)</f>
        <v>20</v>
      </c>
      <c r="N3413" t="str">
        <f>TEXT(MTDRejection[[#This Row],[RejectionDate]],"dddd")</f>
        <v>Friday</v>
      </c>
    </row>
    <row r="3414" spans="1:14">
      <c r="A3414" t="s">
        <v>391</v>
      </c>
      <c r="B3414" t="s">
        <v>5621</v>
      </c>
      <c r="C3414" t="s">
        <v>12</v>
      </c>
      <c r="D3414" t="s">
        <v>26</v>
      </c>
      <c r="E3414" s="7">
        <v>45646</v>
      </c>
      <c r="F3414" t="s">
        <v>184</v>
      </c>
      <c r="G3414">
        <v>0</v>
      </c>
      <c r="H3414" t="s">
        <v>27</v>
      </c>
      <c r="I3414" t="s">
        <v>16</v>
      </c>
      <c r="J3414" t="s">
        <v>16</v>
      </c>
      <c r="K3414" t="str">
        <f>VLOOKUP(C3414,CheckName!A:B,2,0)</f>
        <v>Emp</v>
      </c>
      <c r="L3414">
        <v>0</v>
      </c>
      <c r="M3414">
        <f t="shared" si="488"/>
        <v>20</v>
      </c>
      <c r="N3414" t="str">
        <f>TEXT(MTDRejection[[#This Row],[RejectionDate]],"dddd")</f>
        <v>Friday</v>
      </c>
    </row>
    <row r="3415" spans="1:14">
      <c r="A3415" t="s">
        <v>45</v>
      </c>
      <c r="B3415" t="s">
        <v>5622</v>
      </c>
      <c r="C3415" t="s">
        <v>12</v>
      </c>
      <c r="D3415" t="s">
        <v>26</v>
      </c>
      <c r="E3415" s="7">
        <v>45646</v>
      </c>
      <c r="F3415" t="s">
        <v>184</v>
      </c>
      <c r="G3415">
        <v>0</v>
      </c>
      <c r="H3415" t="s">
        <v>27</v>
      </c>
      <c r="I3415" t="s">
        <v>16</v>
      </c>
      <c r="J3415" t="s">
        <v>16</v>
      </c>
      <c r="K3415" t="str">
        <f>VLOOKUP(C3415,CheckName!A:B,2,0)</f>
        <v>Emp</v>
      </c>
      <c r="L3415">
        <v>0</v>
      </c>
      <c r="M3415">
        <f t="shared" si="488"/>
        <v>20</v>
      </c>
      <c r="N3415" t="str">
        <f>TEXT(MTDRejection[[#This Row],[RejectionDate]],"dddd")</f>
        <v>Friday</v>
      </c>
    </row>
    <row r="3416" spans="1:14">
      <c r="A3416" t="s">
        <v>69</v>
      </c>
      <c r="B3416" t="s">
        <v>5623</v>
      </c>
      <c r="C3416" t="s">
        <v>12</v>
      </c>
      <c r="D3416" t="s">
        <v>26</v>
      </c>
      <c r="E3416" s="7">
        <v>45646</v>
      </c>
      <c r="F3416" t="s">
        <v>184</v>
      </c>
      <c r="G3416">
        <v>0</v>
      </c>
      <c r="H3416" t="s">
        <v>27</v>
      </c>
      <c r="I3416" t="s">
        <v>16</v>
      </c>
      <c r="J3416" t="s">
        <v>16</v>
      </c>
      <c r="K3416" t="str">
        <f>VLOOKUP(C3416,CheckName!A:B,2,0)</f>
        <v>Emp</v>
      </c>
      <c r="L3416">
        <v>0</v>
      </c>
      <c r="M3416">
        <f t="shared" si="488"/>
        <v>20</v>
      </c>
      <c r="N3416" t="str">
        <f>TEXT(MTDRejection[[#This Row],[RejectionDate]],"dddd")</f>
        <v>Friday</v>
      </c>
    </row>
    <row r="3417" spans="1:14">
      <c r="A3417" t="s">
        <v>306</v>
      </c>
      <c r="B3417" t="s">
        <v>5624</v>
      </c>
      <c r="C3417" t="s">
        <v>1730</v>
      </c>
      <c r="D3417" t="s">
        <v>13</v>
      </c>
      <c r="E3417" s="7">
        <v>45646</v>
      </c>
      <c r="F3417" t="s">
        <v>844</v>
      </c>
      <c r="G3417">
        <v>0</v>
      </c>
      <c r="H3417" t="s">
        <v>30</v>
      </c>
      <c r="I3417" t="s">
        <v>16</v>
      </c>
      <c r="J3417" t="s">
        <v>16</v>
      </c>
      <c r="K3417" t="str">
        <f>VLOOKUP(C3417,CheckName!A:B,2,0)</f>
        <v>Special Check</v>
      </c>
      <c r="L3417">
        <v>0</v>
      </c>
      <c r="M3417">
        <f t="shared" si="488"/>
        <v>20</v>
      </c>
      <c r="N3417" t="str">
        <f>TEXT(MTDRejection[[#This Row],[RejectionDate]],"dddd")</f>
        <v>Friday</v>
      </c>
    </row>
    <row r="3418" spans="1:14">
      <c r="A3418" t="s">
        <v>306</v>
      </c>
      <c r="B3418" t="s">
        <v>5625</v>
      </c>
      <c r="C3418" t="s">
        <v>56</v>
      </c>
      <c r="D3418" t="s">
        <v>13</v>
      </c>
      <c r="E3418" s="7">
        <v>45646</v>
      </c>
      <c r="F3418" t="s">
        <v>844</v>
      </c>
      <c r="G3418">
        <v>0</v>
      </c>
      <c r="H3418" t="s">
        <v>30</v>
      </c>
      <c r="I3418" t="s">
        <v>16</v>
      </c>
      <c r="J3418" t="s">
        <v>16</v>
      </c>
      <c r="K3418" t="str">
        <f>VLOOKUP(C3418,CheckName!A:B,2,0)</f>
        <v>Special Check</v>
      </c>
      <c r="L3418">
        <v>0</v>
      </c>
      <c r="M3418">
        <f t="shared" si="488"/>
        <v>20</v>
      </c>
      <c r="N3418" t="str">
        <f>TEXT(MTDRejection[[#This Row],[RejectionDate]],"dddd")</f>
        <v>Friday</v>
      </c>
    </row>
    <row r="3419" spans="1:14">
      <c r="A3419" t="s">
        <v>45</v>
      </c>
      <c r="B3419" t="s">
        <v>5626</v>
      </c>
      <c r="C3419" t="s">
        <v>54</v>
      </c>
      <c r="D3419" t="s">
        <v>26</v>
      </c>
      <c r="E3419" s="7">
        <v>45646</v>
      </c>
      <c r="F3419" t="s">
        <v>535</v>
      </c>
      <c r="G3419">
        <v>0</v>
      </c>
      <c r="H3419" t="s">
        <v>22</v>
      </c>
      <c r="I3419" t="s">
        <v>16</v>
      </c>
      <c r="J3419" t="s">
        <v>16</v>
      </c>
      <c r="K3419" t="str">
        <f>VLOOKUP(C3419,CheckName!A:B,2,0)</f>
        <v>Edu</v>
      </c>
      <c r="L3419">
        <v>0</v>
      </c>
      <c r="M3419">
        <f t="shared" si="488"/>
        <v>20</v>
      </c>
      <c r="N3419" t="str">
        <f>TEXT(MTDRejection[[#This Row],[RejectionDate]],"dddd")</f>
        <v>Friday</v>
      </c>
    </row>
    <row r="3420" spans="1:14">
      <c r="A3420" t="s">
        <v>119</v>
      </c>
      <c r="B3420" t="s">
        <v>5627</v>
      </c>
      <c r="C3420" t="s">
        <v>54</v>
      </c>
      <c r="D3420" t="s">
        <v>26</v>
      </c>
      <c r="E3420" s="7">
        <v>45646</v>
      </c>
      <c r="F3420" t="s">
        <v>103</v>
      </c>
      <c r="G3420">
        <v>0</v>
      </c>
      <c r="H3420" t="s">
        <v>27</v>
      </c>
      <c r="I3420" t="s">
        <v>16</v>
      </c>
      <c r="J3420" t="s">
        <v>16</v>
      </c>
      <c r="K3420" t="str">
        <f>VLOOKUP(C3420,CheckName!A:B,2,0)</f>
        <v>Edu</v>
      </c>
      <c r="L3420">
        <v>0</v>
      </c>
      <c r="M3420">
        <f>DAY(E3420)</f>
        <v>20</v>
      </c>
      <c r="N3420" t="str">
        <f>TEXT(MTDRejection[[#This Row],[RejectionDate]],"dddd")</f>
        <v>Friday</v>
      </c>
    </row>
    <row r="3421" spans="1:14">
      <c r="A3421" t="s">
        <v>2035</v>
      </c>
      <c r="B3421" t="s">
        <v>5628</v>
      </c>
      <c r="C3421" t="s">
        <v>54</v>
      </c>
      <c r="D3421" t="s">
        <v>13</v>
      </c>
      <c r="E3421" s="7">
        <v>45646</v>
      </c>
      <c r="F3421" t="s">
        <v>579</v>
      </c>
      <c r="G3421">
        <v>0</v>
      </c>
      <c r="H3421" t="s">
        <v>15</v>
      </c>
      <c r="I3421" t="s">
        <v>16</v>
      </c>
      <c r="J3421" t="s">
        <v>16</v>
      </c>
      <c r="K3421" t="str">
        <f>VLOOKUP(C3421,CheckName!A:B,2,0)</f>
        <v>Edu</v>
      </c>
      <c r="L3421">
        <v>0</v>
      </c>
      <c r="M3421">
        <f>DAY(E3421)</f>
        <v>20</v>
      </c>
      <c r="N3421" t="str">
        <f>TEXT(MTDRejection[[#This Row],[RejectionDate]],"dddd")</f>
        <v>Friday</v>
      </c>
    </row>
    <row r="3422" spans="1:14">
      <c r="A3422" t="s">
        <v>100</v>
      </c>
      <c r="B3422" t="s">
        <v>5629</v>
      </c>
      <c r="C3422" t="s">
        <v>255</v>
      </c>
      <c r="D3422" t="s">
        <v>38</v>
      </c>
      <c r="E3422" s="7">
        <v>45646</v>
      </c>
      <c r="F3422" t="s">
        <v>118</v>
      </c>
      <c r="G3422">
        <v>0</v>
      </c>
      <c r="H3422" t="s">
        <v>30</v>
      </c>
      <c r="I3422" t="s">
        <v>16</v>
      </c>
      <c r="J3422" t="s">
        <v>16</v>
      </c>
      <c r="K3422" t="str">
        <f>VLOOKUP(C3422,CheckName!A:B,2,0)</f>
        <v>Special Check</v>
      </c>
      <c r="L3422">
        <v>0</v>
      </c>
      <c r="M3422">
        <f t="shared" ref="M3422:M3425" si="489">DAY(E3422)</f>
        <v>20</v>
      </c>
      <c r="N3422" t="str">
        <f>TEXT(MTDRejection[[#This Row],[RejectionDate]],"dddd")</f>
        <v>Friday</v>
      </c>
    </row>
    <row r="3423" spans="1:14">
      <c r="A3423" t="s">
        <v>100</v>
      </c>
      <c r="B3423" t="s">
        <v>5630</v>
      </c>
      <c r="C3423" t="s">
        <v>255</v>
      </c>
      <c r="D3423" t="s">
        <v>38</v>
      </c>
      <c r="E3423" s="7">
        <v>45646</v>
      </c>
      <c r="F3423" t="s">
        <v>118</v>
      </c>
      <c r="G3423">
        <v>0</v>
      </c>
      <c r="H3423" t="s">
        <v>15</v>
      </c>
      <c r="I3423" t="s">
        <v>16</v>
      </c>
      <c r="J3423" t="s">
        <v>16</v>
      </c>
      <c r="K3423" t="str">
        <f>VLOOKUP(C3423,CheckName!A:B,2,0)</f>
        <v>Special Check</v>
      </c>
      <c r="L3423">
        <v>0</v>
      </c>
      <c r="M3423">
        <f t="shared" si="489"/>
        <v>20</v>
      </c>
      <c r="N3423" t="str">
        <f>TEXT(MTDRejection[[#This Row],[RejectionDate]],"dddd")</f>
        <v>Friday</v>
      </c>
    </row>
    <row r="3424" spans="1:14">
      <c r="A3424" t="s">
        <v>100</v>
      </c>
      <c r="B3424" t="s">
        <v>5631</v>
      </c>
      <c r="C3424" t="s">
        <v>235</v>
      </c>
      <c r="D3424" t="s">
        <v>38</v>
      </c>
      <c r="E3424" s="7">
        <v>45646</v>
      </c>
      <c r="F3424" t="s">
        <v>118</v>
      </c>
      <c r="G3424">
        <v>0</v>
      </c>
      <c r="H3424" t="s">
        <v>30</v>
      </c>
      <c r="I3424" t="s">
        <v>16</v>
      </c>
      <c r="J3424" t="s">
        <v>16</v>
      </c>
      <c r="K3424" t="str">
        <f>VLOOKUP(C3424,CheckName!A:B,2,0)</f>
        <v>Special Check</v>
      </c>
      <c r="L3424">
        <v>0</v>
      </c>
      <c r="M3424">
        <f t="shared" si="489"/>
        <v>20</v>
      </c>
      <c r="N3424" t="str">
        <f>TEXT(MTDRejection[[#This Row],[RejectionDate]],"dddd")</f>
        <v>Friday</v>
      </c>
    </row>
    <row r="3425" spans="1:14">
      <c r="A3425" t="s">
        <v>2061</v>
      </c>
      <c r="B3425" t="s">
        <v>5632</v>
      </c>
      <c r="C3425" t="s">
        <v>12</v>
      </c>
      <c r="D3425" t="s">
        <v>51</v>
      </c>
      <c r="E3425" s="7">
        <v>45646</v>
      </c>
      <c r="F3425" t="s">
        <v>52</v>
      </c>
      <c r="G3425">
        <v>0</v>
      </c>
      <c r="H3425" t="s">
        <v>53</v>
      </c>
      <c r="I3425" t="s">
        <v>16</v>
      </c>
      <c r="J3425" t="s">
        <v>16</v>
      </c>
      <c r="K3425" t="str">
        <f>VLOOKUP(C3425,CheckName!A:B,2,0)</f>
        <v>Emp</v>
      </c>
      <c r="L3425">
        <v>0</v>
      </c>
      <c r="M3425">
        <f t="shared" si="489"/>
        <v>20</v>
      </c>
      <c r="N3425" t="str">
        <f>TEXT(MTDRejection[[#This Row],[RejectionDate]],"dddd")</f>
        <v>Friday</v>
      </c>
    </row>
    <row r="3426" spans="1:14">
      <c r="A3426" t="s">
        <v>1887</v>
      </c>
      <c r="B3426" t="s">
        <v>5633</v>
      </c>
      <c r="C3426" t="s">
        <v>36</v>
      </c>
      <c r="D3426" t="s">
        <v>26</v>
      </c>
      <c r="E3426" s="7">
        <v>45646</v>
      </c>
      <c r="F3426" t="s">
        <v>2335</v>
      </c>
      <c r="G3426">
        <v>0</v>
      </c>
      <c r="H3426" t="s">
        <v>30</v>
      </c>
      <c r="I3426" t="s">
        <v>16</v>
      </c>
      <c r="J3426" t="s">
        <v>16</v>
      </c>
      <c r="K3426" t="str">
        <f>VLOOKUP(C3426,CheckName!A:B,2,0)</f>
        <v>Emp</v>
      </c>
      <c r="L3426">
        <v>0</v>
      </c>
      <c r="M3426">
        <f t="shared" ref="M3426:M3427" si="490">DAY(E3426)</f>
        <v>20</v>
      </c>
      <c r="N3426" t="str">
        <f>TEXT(MTDRejection[[#This Row],[RejectionDate]],"dddd")</f>
        <v>Friday</v>
      </c>
    </row>
    <row r="3427" spans="1:14">
      <c r="A3427" t="s">
        <v>432</v>
      </c>
      <c r="B3427" t="s">
        <v>5634</v>
      </c>
      <c r="C3427" t="s">
        <v>71</v>
      </c>
      <c r="D3427" t="s">
        <v>13</v>
      </c>
      <c r="E3427" s="7">
        <v>45646</v>
      </c>
      <c r="F3427" t="s">
        <v>540</v>
      </c>
      <c r="G3427">
        <v>0</v>
      </c>
      <c r="H3427" t="s">
        <v>15</v>
      </c>
      <c r="I3427" t="s">
        <v>16</v>
      </c>
      <c r="J3427" t="s">
        <v>16</v>
      </c>
      <c r="K3427" t="str">
        <f>VLOOKUP(C3427,CheckName!A:B,2,0)</f>
        <v>CRC</v>
      </c>
      <c r="L3427">
        <v>0</v>
      </c>
      <c r="M3427">
        <f t="shared" si="490"/>
        <v>20</v>
      </c>
      <c r="N3427" t="str">
        <f>TEXT(MTDRejection[[#This Row],[RejectionDate]],"dddd")</f>
        <v>Friday</v>
      </c>
    </row>
    <row r="3428" spans="1:14">
      <c r="A3428" t="s">
        <v>1246</v>
      </c>
      <c r="B3428" t="s">
        <v>2720</v>
      </c>
      <c r="C3428" t="s">
        <v>12</v>
      </c>
      <c r="D3428" t="s">
        <v>13</v>
      </c>
      <c r="E3428" s="7">
        <v>45646</v>
      </c>
      <c r="F3428" t="s">
        <v>540</v>
      </c>
      <c r="G3428">
        <v>0</v>
      </c>
      <c r="H3428" t="s">
        <v>30</v>
      </c>
      <c r="I3428" t="s">
        <v>16</v>
      </c>
      <c r="J3428" t="s">
        <v>16</v>
      </c>
      <c r="K3428" t="str">
        <f>VLOOKUP(C3428,CheckName!A:B,2,0)</f>
        <v>Emp</v>
      </c>
      <c r="L3428">
        <v>0</v>
      </c>
      <c r="M3428">
        <f t="shared" ref="M3428:M3429" si="491">DAY(E3428)</f>
        <v>20</v>
      </c>
      <c r="N3428" t="str">
        <f>TEXT(MTDRejection[[#This Row],[RejectionDate]],"dddd")</f>
        <v>Friday</v>
      </c>
    </row>
    <row r="3429" spans="1:14">
      <c r="A3429" t="s">
        <v>1246</v>
      </c>
      <c r="B3429" t="s">
        <v>5635</v>
      </c>
      <c r="C3429" t="s">
        <v>12</v>
      </c>
      <c r="D3429" t="s">
        <v>13</v>
      </c>
      <c r="E3429" s="7">
        <v>45646</v>
      </c>
      <c r="F3429" t="s">
        <v>540</v>
      </c>
      <c r="G3429">
        <v>0</v>
      </c>
      <c r="H3429" t="s">
        <v>15</v>
      </c>
      <c r="I3429" t="s">
        <v>16</v>
      </c>
      <c r="J3429" t="s">
        <v>16</v>
      </c>
      <c r="K3429" t="str">
        <f>VLOOKUP(C3429,CheckName!A:B,2,0)</f>
        <v>Emp</v>
      </c>
      <c r="L3429">
        <v>0</v>
      </c>
      <c r="M3429">
        <f t="shared" si="491"/>
        <v>20</v>
      </c>
      <c r="N3429" t="str">
        <f>TEXT(MTDRejection[[#This Row],[RejectionDate]],"dddd")</f>
        <v>Friday</v>
      </c>
    </row>
    <row r="3430" spans="1:14">
      <c r="A3430" t="s">
        <v>465</v>
      </c>
      <c r="B3430" t="s">
        <v>5636</v>
      </c>
      <c r="C3430" t="s">
        <v>12</v>
      </c>
      <c r="D3430" t="s">
        <v>26</v>
      </c>
      <c r="E3430" s="7">
        <v>45646</v>
      </c>
      <c r="F3430" t="s">
        <v>115</v>
      </c>
      <c r="G3430">
        <v>0</v>
      </c>
      <c r="H3430" t="s">
        <v>27</v>
      </c>
      <c r="I3430" t="s">
        <v>16</v>
      </c>
      <c r="J3430" t="s">
        <v>16</v>
      </c>
      <c r="K3430" t="str">
        <f>VLOOKUP(C3430,CheckName!A:B,2,0)</f>
        <v>Emp</v>
      </c>
      <c r="L3430">
        <v>0</v>
      </c>
      <c r="M3430">
        <f t="shared" ref="M3430:M3435" si="492">DAY(E3430)</f>
        <v>20</v>
      </c>
      <c r="N3430" t="str">
        <f>TEXT(MTDRejection[[#This Row],[RejectionDate]],"dddd")</f>
        <v>Friday</v>
      </c>
    </row>
    <row r="3431" spans="1:14">
      <c r="A3431" t="s">
        <v>45</v>
      </c>
      <c r="B3431" t="s">
        <v>5637</v>
      </c>
      <c r="C3431" t="s">
        <v>12</v>
      </c>
      <c r="D3431" t="s">
        <v>26</v>
      </c>
      <c r="E3431" s="7">
        <v>45646</v>
      </c>
      <c r="F3431" t="s">
        <v>2346</v>
      </c>
      <c r="G3431">
        <v>0</v>
      </c>
      <c r="H3431" t="s">
        <v>27</v>
      </c>
      <c r="I3431" t="s">
        <v>16</v>
      </c>
      <c r="J3431" t="s">
        <v>16</v>
      </c>
      <c r="K3431" t="str">
        <f>VLOOKUP(C3431,CheckName!A:B,2,0)</f>
        <v>Emp</v>
      </c>
      <c r="L3431">
        <v>0</v>
      </c>
      <c r="M3431">
        <f t="shared" si="492"/>
        <v>20</v>
      </c>
      <c r="N3431" t="str">
        <f>TEXT(MTDRejection[[#This Row],[RejectionDate]],"dddd")</f>
        <v>Friday</v>
      </c>
    </row>
    <row r="3432" spans="1:14">
      <c r="A3432" t="s">
        <v>499</v>
      </c>
      <c r="B3432" t="s">
        <v>5638</v>
      </c>
      <c r="C3432" t="s">
        <v>12</v>
      </c>
      <c r="D3432" t="s">
        <v>26</v>
      </c>
      <c r="E3432" s="7">
        <v>45646</v>
      </c>
      <c r="F3432" t="s">
        <v>2355</v>
      </c>
      <c r="G3432">
        <v>0</v>
      </c>
      <c r="H3432" t="s">
        <v>27</v>
      </c>
      <c r="I3432" t="s">
        <v>16</v>
      </c>
      <c r="J3432" t="s">
        <v>16</v>
      </c>
      <c r="K3432" t="str">
        <f>VLOOKUP(C3432,CheckName!A:B,2,0)</f>
        <v>Emp</v>
      </c>
      <c r="L3432">
        <v>0</v>
      </c>
      <c r="M3432">
        <f t="shared" si="492"/>
        <v>20</v>
      </c>
      <c r="N3432" t="str">
        <f>TEXT(MTDRejection[[#This Row],[RejectionDate]],"dddd")</f>
        <v>Friday</v>
      </c>
    </row>
    <row r="3433" spans="1:14">
      <c r="A3433" t="s">
        <v>84</v>
      </c>
      <c r="B3433" t="s">
        <v>5639</v>
      </c>
      <c r="C3433" t="s">
        <v>54</v>
      </c>
      <c r="D3433" t="s">
        <v>26</v>
      </c>
      <c r="E3433" s="7">
        <v>45646</v>
      </c>
      <c r="F3433" t="s">
        <v>2353</v>
      </c>
      <c r="G3433">
        <v>0</v>
      </c>
      <c r="H3433" t="s">
        <v>27</v>
      </c>
      <c r="I3433" t="s">
        <v>16</v>
      </c>
      <c r="J3433" t="s">
        <v>16</v>
      </c>
      <c r="K3433" t="str">
        <f>VLOOKUP(C3433,CheckName!A:B,2,0)</f>
        <v>Edu</v>
      </c>
      <c r="L3433">
        <v>0</v>
      </c>
      <c r="M3433">
        <f t="shared" si="492"/>
        <v>20</v>
      </c>
      <c r="N3433" t="str">
        <f>TEXT(MTDRejection[[#This Row],[RejectionDate]],"dddd")</f>
        <v>Friday</v>
      </c>
    </row>
    <row r="3434" spans="1:14">
      <c r="A3434" t="s">
        <v>100</v>
      </c>
      <c r="B3434" t="s">
        <v>4399</v>
      </c>
      <c r="C3434" t="s">
        <v>235</v>
      </c>
      <c r="D3434" t="s">
        <v>38</v>
      </c>
      <c r="E3434" s="7">
        <v>45639</v>
      </c>
      <c r="F3434" t="s">
        <v>118</v>
      </c>
      <c r="G3434">
        <v>7</v>
      </c>
      <c r="H3434" t="s">
        <v>15</v>
      </c>
      <c r="I3434" t="s">
        <v>16</v>
      </c>
      <c r="J3434" t="s">
        <v>16</v>
      </c>
      <c r="K3434" t="str">
        <f>VLOOKUP(C3434,CheckName!A:B,2,0)</f>
        <v>Special Check</v>
      </c>
      <c r="L3434">
        <v>0</v>
      </c>
      <c r="M3434">
        <f t="shared" si="492"/>
        <v>13</v>
      </c>
      <c r="N3434" t="str">
        <f>TEXT(MTDRejection[[#This Row],[RejectionDate]],"dddd")</f>
        <v>Friday</v>
      </c>
    </row>
    <row r="3435" spans="1:14">
      <c r="A3435" t="s">
        <v>45</v>
      </c>
      <c r="B3435" t="s">
        <v>5640</v>
      </c>
      <c r="C3435" t="s">
        <v>36</v>
      </c>
      <c r="D3435" t="s">
        <v>26</v>
      </c>
      <c r="E3435" s="7">
        <v>45628</v>
      </c>
      <c r="F3435" t="s">
        <v>179</v>
      </c>
      <c r="G3435">
        <v>18</v>
      </c>
      <c r="H3435" t="s">
        <v>27</v>
      </c>
      <c r="I3435" t="s">
        <v>16</v>
      </c>
      <c r="J3435" t="s">
        <v>16</v>
      </c>
      <c r="K3435" t="str">
        <f>VLOOKUP(C3435,CheckName!A:B,2,0)</f>
        <v>Emp</v>
      </c>
      <c r="L3435">
        <v>0</v>
      </c>
      <c r="M3435">
        <f t="shared" si="492"/>
        <v>2</v>
      </c>
      <c r="N3435" t="str">
        <f>TEXT(MTDRejection[[#This Row],[RejectionDate]],"dddd")</f>
        <v>Monday</v>
      </c>
    </row>
    <row r="3436" spans="1:14">
      <c r="A3436" t="s">
        <v>996</v>
      </c>
      <c r="B3436" t="s">
        <v>5641</v>
      </c>
      <c r="C3436" t="s">
        <v>54</v>
      </c>
      <c r="D3436" t="s">
        <v>13</v>
      </c>
      <c r="E3436" s="7">
        <v>45647</v>
      </c>
      <c r="F3436" t="s">
        <v>2326</v>
      </c>
      <c r="G3436">
        <v>0</v>
      </c>
      <c r="H3436" t="s">
        <v>15</v>
      </c>
      <c r="I3436" t="s">
        <v>16</v>
      </c>
      <c r="J3436" t="s">
        <v>16</v>
      </c>
      <c r="K3436" t="str">
        <f>VLOOKUP(C3436,CheckName!A:B,2,0)</f>
        <v>Edu</v>
      </c>
      <c r="L3436">
        <v>0</v>
      </c>
      <c r="M3436">
        <f t="shared" ref="M3436:M3448" si="493">DAY(E3436)</f>
        <v>21</v>
      </c>
      <c r="N3436" t="str">
        <f>TEXT(MTDRejection[[#This Row],[RejectionDate]],"dddd")</f>
        <v>Saturday</v>
      </c>
    </row>
    <row r="3437" spans="1:14">
      <c r="A3437" t="s">
        <v>2062</v>
      </c>
      <c r="B3437" t="s">
        <v>2721</v>
      </c>
      <c r="C3437" t="s">
        <v>36</v>
      </c>
      <c r="D3437" t="s">
        <v>13</v>
      </c>
      <c r="E3437" s="7">
        <v>45647</v>
      </c>
      <c r="F3437" t="s">
        <v>2326</v>
      </c>
      <c r="G3437">
        <v>0</v>
      </c>
      <c r="H3437" t="s">
        <v>15</v>
      </c>
      <c r="I3437" t="s">
        <v>16</v>
      </c>
      <c r="J3437" t="s">
        <v>16</v>
      </c>
      <c r="K3437" t="str">
        <f>VLOOKUP(C3437,CheckName!A:B,2,0)</f>
        <v>Emp</v>
      </c>
      <c r="L3437">
        <v>0</v>
      </c>
      <c r="M3437">
        <f t="shared" si="493"/>
        <v>21</v>
      </c>
      <c r="N3437" t="str">
        <f>TEXT(MTDRejection[[#This Row],[RejectionDate]],"dddd")</f>
        <v>Saturday</v>
      </c>
    </row>
    <row r="3438" spans="1:14">
      <c r="A3438" t="s">
        <v>2062</v>
      </c>
      <c r="B3438" t="s">
        <v>5642</v>
      </c>
      <c r="C3438" t="s">
        <v>125</v>
      </c>
      <c r="D3438" t="s">
        <v>13</v>
      </c>
      <c r="E3438" s="7">
        <v>45647</v>
      </c>
      <c r="F3438" t="s">
        <v>2326</v>
      </c>
      <c r="G3438">
        <v>0</v>
      </c>
      <c r="H3438" t="s">
        <v>15</v>
      </c>
      <c r="I3438" t="s">
        <v>16</v>
      </c>
      <c r="J3438" t="s">
        <v>16</v>
      </c>
      <c r="K3438" t="str">
        <f>VLOOKUP(C3438,CheckName!A:B,2,0)</f>
        <v>Emp</v>
      </c>
      <c r="L3438">
        <v>0</v>
      </c>
      <c r="M3438">
        <f t="shared" si="493"/>
        <v>21</v>
      </c>
      <c r="N3438" t="str">
        <f>TEXT(MTDRejection[[#This Row],[RejectionDate]],"dddd")</f>
        <v>Saturday</v>
      </c>
    </row>
    <row r="3439" spans="1:14">
      <c r="A3439" t="s">
        <v>40</v>
      </c>
      <c r="B3439" t="s">
        <v>5643</v>
      </c>
      <c r="C3439" t="s">
        <v>12</v>
      </c>
      <c r="D3439" t="s">
        <v>13</v>
      </c>
      <c r="E3439" s="7">
        <v>45647</v>
      </c>
      <c r="F3439" t="s">
        <v>2343</v>
      </c>
      <c r="G3439">
        <v>0</v>
      </c>
      <c r="H3439" t="s">
        <v>15</v>
      </c>
      <c r="I3439" t="s">
        <v>16</v>
      </c>
      <c r="J3439" t="s">
        <v>16</v>
      </c>
      <c r="K3439" t="str">
        <f>VLOOKUP(C3439,CheckName!A:B,2,0)</f>
        <v>Emp</v>
      </c>
      <c r="L3439">
        <v>0</v>
      </c>
      <c r="M3439">
        <f t="shared" si="493"/>
        <v>21</v>
      </c>
      <c r="N3439" t="str">
        <f>TEXT(MTDRejection[[#This Row],[RejectionDate]],"dddd")</f>
        <v>Saturday</v>
      </c>
    </row>
    <row r="3440" spans="1:14">
      <c r="A3440" t="s">
        <v>584</v>
      </c>
      <c r="B3440" t="s">
        <v>5644</v>
      </c>
      <c r="C3440" t="s">
        <v>19</v>
      </c>
      <c r="D3440" t="s">
        <v>13</v>
      </c>
      <c r="E3440" s="7">
        <v>45647</v>
      </c>
      <c r="F3440" t="s">
        <v>1310</v>
      </c>
      <c r="G3440">
        <v>0</v>
      </c>
      <c r="H3440" t="s">
        <v>15</v>
      </c>
      <c r="I3440" t="s">
        <v>16</v>
      </c>
      <c r="J3440" t="s">
        <v>16</v>
      </c>
      <c r="K3440" t="str">
        <f>VLOOKUP(C3440,CheckName!A:B,2,0)</f>
        <v>Add</v>
      </c>
      <c r="L3440">
        <v>0</v>
      </c>
      <c r="M3440">
        <f t="shared" si="493"/>
        <v>21</v>
      </c>
      <c r="N3440" t="str">
        <f>TEXT(MTDRejection[[#This Row],[RejectionDate]],"dddd")</f>
        <v>Saturday</v>
      </c>
    </row>
    <row r="3441" spans="1:14">
      <c r="A3441" t="s">
        <v>133</v>
      </c>
      <c r="B3441" t="s">
        <v>5645</v>
      </c>
      <c r="C3441" t="s">
        <v>49</v>
      </c>
      <c r="D3441" t="s">
        <v>13</v>
      </c>
      <c r="E3441" s="7">
        <v>45647</v>
      </c>
      <c r="F3441" t="s">
        <v>72</v>
      </c>
      <c r="G3441">
        <v>0</v>
      </c>
      <c r="H3441" t="s">
        <v>15</v>
      </c>
      <c r="I3441" t="s">
        <v>16</v>
      </c>
      <c r="J3441" t="s">
        <v>16</v>
      </c>
      <c r="K3441" t="str">
        <f>VLOOKUP(C3441,CheckName!A:B,2,0)</f>
        <v>CRC</v>
      </c>
      <c r="L3441">
        <v>0</v>
      </c>
      <c r="M3441">
        <f t="shared" si="493"/>
        <v>21</v>
      </c>
      <c r="N3441" t="str">
        <f>TEXT(MTDRejection[[#This Row],[RejectionDate]],"dddd")</f>
        <v>Saturday</v>
      </c>
    </row>
    <row r="3442" spans="1:14">
      <c r="A3442" t="s">
        <v>133</v>
      </c>
      <c r="B3442" t="s">
        <v>5646</v>
      </c>
      <c r="C3442" t="s">
        <v>71</v>
      </c>
      <c r="D3442" t="s">
        <v>13</v>
      </c>
      <c r="E3442" s="7">
        <v>45647</v>
      </c>
      <c r="F3442" t="s">
        <v>72</v>
      </c>
      <c r="G3442">
        <v>0</v>
      </c>
      <c r="H3442" t="s">
        <v>15</v>
      </c>
      <c r="I3442" t="s">
        <v>16</v>
      </c>
      <c r="J3442" t="s">
        <v>16</v>
      </c>
      <c r="K3442" t="str">
        <f>VLOOKUP(C3442,CheckName!A:B,2,0)</f>
        <v>CRC</v>
      </c>
      <c r="L3442">
        <v>0</v>
      </c>
      <c r="M3442">
        <f t="shared" si="493"/>
        <v>21</v>
      </c>
      <c r="N3442" t="str">
        <f>TEXT(MTDRejection[[#This Row],[RejectionDate]],"dddd")</f>
        <v>Saturday</v>
      </c>
    </row>
    <row r="3443" spans="1:14">
      <c r="A3443" t="s">
        <v>45</v>
      </c>
      <c r="B3443" t="s">
        <v>1458</v>
      </c>
      <c r="C3443" t="s">
        <v>36</v>
      </c>
      <c r="D3443" t="s">
        <v>26</v>
      </c>
      <c r="E3443" s="7">
        <v>45647</v>
      </c>
      <c r="F3443" t="s">
        <v>184</v>
      </c>
      <c r="G3443">
        <v>0</v>
      </c>
      <c r="H3443" t="s">
        <v>27</v>
      </c>
      <c r="I3443" t="s">
        <v>16</v>
      </c>
      <c r="J3443" t="s">
        <v>16</v>
      </c>
      <c r="K3443" t="str">
        <f>VLOOKUP(C3443,CheckName!A:B,2,0)</f>
        <v>Emp</v>
      </c>
      <c r="L3443">
        <v>0</v>
      </c>
      <c r="M3443">
        <f t="shared" si="493"/>
        <v>21</v>
      </c>
      <c r="N3443" t="str">
        <f>TEXT(MTDRejection[[#This Row],[RejectionDate]],"dddd")</f>
        <v>Saturday</v>
      </c>
    </row>
    <row r="3444" spans="1:14">
      <c r="A3444" t="s">
        <v>1455</v>
      </c>
      <c r="B3444" t="s">
        <v>5647</v>
      </c>
      <c r="C3444" t="s">
        <v>36</v>
      </c>
      <c r="D3444" t="s">
        <v>26</v>
      </c>
      <c r="E3444" s="7">
        <v>45647</v>
      </c>
      <c r="F3444" t="s">
        <v>311</v>
      </c>
      <c r="G3444">
        <v>0</v>
      </c>
      <c r="H3444" t="s">
        <v>27</v>
      </c>
      <c r="I3444" t="s">
        <v>16</v>
      </c>
      <c r="J3444" t="s">
        <v>16</v>
      </c>
      <c r="K3444" t="str">
        <f>VLOOKUP(C3444,CheckName!A:B,2,0)</f>
        <v>Emp</v>
      </c>
      <c r="L3444">
        <v>0</v>
      </c>
      <c r="M3444">
        <f t="shared" si="493"/>
        <v>21</v>
      </c>
      <c r="N3444" t="str">
        <f>TEXT(MTDRejection[[#This Row],[RejectionDate]],"dddd")</f>
        <v>Saturday</v>
      </c>
    </row>
    <row r="3445" spans="1:14">
      <c r="A3445" t="s">
        <v>142</v>
      </c>
      <c r="B3445" t="s">
        <v>5648</v>
      </c>
      <c r="C3445" t="s">
        <v>12</v>
      </c>
      <c r="D3445" t="s">
        <v>38</v>
      </c>
      <c r="E3445" s="7">
        <v>45647</v>
      </c>
      <c r="F3445" t="s">
        <v>39</v>
      </c>
      <c r="G3445">
        <v>0</v>
      </c>
      <c r="H3445" t="s">
        <v>42</v>
      </c>
      <c r="I3445" t="s">
        <v>16</v>
      </c>
      <c r="J3445" t="s">
        <v>16</v>
      </c>
      <c r="K3445" t="str">
        <f>VLOOKUP(C3445,CheckName!A:B,2,0)</f>
        <v>Emp</v>
      </c>
      <c r="L3445">
        <v>0</v>
      </c>
      <c r="M3445">
        <f t="shared" si="493"/>
        <v>21</v>
      </c>
      <c r="N3445" t="str">
        <f>TEXT(MTDRejection[[#This Row],[RejectionDate]],"dddd")</f>
        <v>Saturday</v>
      </c>
    </row>
    <row r="3446" spans="1:14">
      <c r="A3446" t="s">
        <v>432</v>
      </c>
      <c r="B3446" t="s">
        <v>5649</v>
      </c>
      <c r="C3446" t="s">
        <v>125</v>
      </c>
      <c r="D3446" t="s">
        <v>13</v>
      </c>
      <c r="E3446" s="7">
        <v>45647</v>
      </c>
      <c r="F3446" t="s">
        <v>107</v>
      </c>
      <c r="G3446">
        <v>0</v>
      </c>
      <c r="H3446" t="s">
        <v>15</v>
      </c>
      <c r="I3446" t="s">
        <v>16</v>
      </c>
      <c r="J3446" t="s">
        <v>16</v>
      </c>
      <c r="K3446" t="str">
        <f>VLOOKUP(C3446,CheckName!A:B,2,0)</f>
        <v>Emp</v>
      </c>
      <c r="L3446">
        <v>0</v>
      </c>
      <c r="M3446">
        <f t="shared" si="493"/>
        <v>21</v>
      </c>
      <c r="N3446" t="str">
        <f>TEXT(MTDRejection[[#This Row],[RejectionDate]],"dddd")</f>
        <v>Saturday</v>
      </c>
    </row>
    <row r="3447" spans="1:14">
      <c r="A3447" t="s">
        <v>1204</v>
      </c>
      <c r="B3447" t="s">
        <v>5650</v>
      </c>
      <c r="C3447" t="s">
        <v>12</v>
      </c>
      <c r="D3447" t="s">
        <v>26</v>
      </c>
      <c r="E3447" s="7">
        <v>45647</v>
      </c>
      <c r="F3447" t="s">
        <v>2346</v>
      </c>
      <c r="G3447">
        <v>0</v>
      </c>
      <c r="H3447" t="s">
        <v>27</v>
      </c>
      <c r="I3447" t="s">
        <v>16</v>
      </c>
      <c r="J3447" t="s">
        <v>16</v>
      </c>
      <c r="K3447" t="str">
        <f>VLOOKUP(C3447,CheckName!A:B,2,0)</f>
        <v>Emp</v>
      </c>
      <c r="L3447">
        <v>0</v>
      </c>
      <c r="M3447">
        <f t="shared" si="493"/>
        <v>21</v>
      </c>
      <c r="N3447" t="str">
        <f>TEXT(MTDRejection[[#This Row],[RejectionDate]],"dddd")</f>
        <v>Saturday</v>
      </c>
    </row>
    <row r="3448" spans="1:14">
      <c r="A3448" t="s">
        <v>160</v>
      </c>
      <c r="B3448" t="s">
        <v>5651</v>
      </c>
      <c r="C3448" t="s">
        <v>125</v>
      </c>
      <c r="D3448" t="s">
        <v>26</v>
      </c>
      <c r="E3448" s="7">
        <v>45647</v>
      </c>
      <c r="F3448" t="s">
        <v>115</v>
      </c>
      <c r="G3448">
        <v>0</v>
      </c>
      <c r="H3448" t="s">
        <v>27</v>
      </c>
      <c r="I3448" t="s">
        <v>16</v>
      </c>
      <c r="J3448" t="s">
        <v>16</v>
      </c>
      <c r="K3448" t="str">
        <f>VLOOKUP(C3448,CheckName!A:B,2,0)</f>
        <v>Emp</v>
      </c>
      <c r="L3448">
        <v>1</v>
      </c>
      <c r="M3448">
        <f t="shared" si="493"/>
        <v>21</v>
      </c>
      <c r="N3448" t="str">
        <f>TEXT(MTDRejection[[#This Row],[RejectionDate]],"dddd")</f>
        <v>Saturday</v>
      </c>
    </row>
    <row r="3449" spans="1:14">
      <c r="A3449" t="s">
        <v>1584</v>
      </c>
      <c r="B3449" t="s">
        <v>5652</v>
      </c>
      <c r="C3449" t="s">
        <v>12</v>
      </c>
      <c r="D3449" t="s">
        <v>26</v>
      </c>
      <c r="E3449" s="7">
        <v>45646</v>
      </c>
      <c r="F3449" t="s">
        <v>141</v>
      </c>
      <c r="G3449">
        <v>1</v>
      </c>
      <c r="H3449" t="s">
        <v>27</v>
      </c>
      <c r="I3449" t="s">
        <v>16</v>
      </c>
      <c r="J3449" t="s">
        <v>16</v>
      </c>
      <c r="K3449" t="str">
        <f>VLOOKUP(C3449,CheckName!A:B,2,0)</f>
        <v>Emp</v>
      </c>
      <c r="L3449">
        <v>0</v>
      </c>
      <c r="M3449">
        <f t="shared" ref="M3449:M3451" si="494">DAY(E3449)</f>
        <v>20</v>
      </c>
      <c r="N3449" t="str">
        <f>TEXT(MTDRejection[[#This Row],[RejectionDate]],"dddd")</f>
        <v>Friday</v>
      </c>
    </row>
    <row r="3450" spans="1:14">
      <c r="A3450" t="s">
        <v>306</v>
      </c>
      <c r="B3450" t="s">
        <v>5653</v>
      </c>
      <c r="C3450" t="s">
        <v>71</v>
      </c>
      <c r="D3450" t="s">
        <v>38</v>
      </c>
      <c r="E3450" s="7">
        <v>45646</v>
      </c>
      <c r="F3450" t="s">
        <v>108</v>
      </c>
      <c r="G3450">
        <v>1</v>
      </c>
      <c r="H3450" t="s">
        <v>27</v>
      </c>
      <c r="I3450" t="s">
        <v>16</v>
      </c>
      <c r="J3450" t="s">
        <v>16</v>
      </c>
      <c r="K3450" t="str">
        <f>VLOOKUP(C3450,CheckName!A:B,2,0)</f>
        <v>CRC</v>
      </c>
      <c r="L3450">
        <v>0</v>
      </c>
      <c r="M3450">
        <f t="shared" si="494"/>
        <v>20</v>
      </c>
      <c r="N3450" t="str">
        <f>TEXT(MTDRejection[[#This Row],[RejectionDate]],"dddd")</f>
        <v>Friday</v>
      </c>
    </row>
    <row r="3451" spans="1:14">
      <c r="A3451" t="s">
        <v>306</v>
      </c>
      <c r="B3451" t="s">
        <v>5654</v>
      </c>
      <c r="C3451" t="s">
        <v>49</v>
      </c>
      <c r="D3451" t="s">
        <v>38</v>
      </c>
      <c r="E3451" s="7">
        <v>45646</v>
      </c>
      <c r="F3451" t="s">
        <v>108</v>
      </c>
      <c r="G3451">
        <v>1</v>
      </c>
      <c r="H3451" t="s">
        <v>27</v>
      </c>
      <c r="I3451" t="s">
        <v>16</v>
      </c>
      <c r="J3451" t="s">
        <v>16</v>
      </c>
      <c r="K3451" t="str">
        <f>VLOOKUP(C3451,CheckName!A:B,2,0)</f>
        <v>CRC</v>
      </c>
      <c r="L3451">
        <v>0</v>
      </c>
      <c r="M3451">
        <f t="shared" si="494"/>
        <v>20</v>
      </c>
      <c r="N3451" t="str">
        <f>TEXT(MTDRejection[[#This Row],[RejectionDate]],"dddd")</f>
        <v>Friday</v>
      </c>
    </row>
    <row r="3452" spans="1:14">
      <c r="A3452" t="s">
        <v>1090</v>
      </c>
      <c r="B3452" t="s">
        <v>5655</v>
      </c>
      <c r="C3452" t="s">
        <v>54</v>
      </c>
      <c r="D3452" t="s">
        <v>26</v>
      </c>
      <c r="E3452" s="7">
        <v>45646</v>
      </c>
      <c r="F3452" t="s">
        <v>121</v>
      </c>
      <c r="G3452">
        <v>1</v>
      </c>
      <c r="H3452" t="s">
        <v>27</v>
      </c>
      <c r="I3452" t="s">
        <v>16</v>
      </c>
      <c r="J3452" t="s">
        <v>16</v>
      </c>
      <c r="K3452" t="str">
        <f>VLOOKUP(C3452,CheckName!A:B,2,0)</f>
        <v>Edu</v>
      </c>
      <c r="L3452">
        <v>0</v>
      </c>
      <c r="M3452">
        <f t="shared" ref="M3452:M3453" si="495">DAY(E3452)</f>
        <v>20</v>
      </c>
      <c r="N3452" t="str">
        <f>TEXT(MTDRejection[[#This Row],[RejectionDate]],"dddd")</f>
        <v>Friday</v>
      </c>
    </row>
    <row r="3453" spans="1:14">
      <c r="A3453" t="s">
        <v>306</v>
      </c>
      <c r="B3453" t="s">
        <v>5656</v>
      </c>
      <c r="C3453" t="s">
        <v>49</v>
      </c>
      <c r="D3453" t="s">
        <v>13</v>
      </c>
      <c r="E3453" s="7">
        <v>45646</v>
      </c>
      <c r="F3453" t="s">
        <v>1013</v>
      </c>
      <c r="G3453">
        <v>1</v>
      </c>
      <c r="H3453" t="s">
        <v>15</v>
      </c>
      <c r="I3453" t="s">
        <v>16</v>
      </c>
      <c r="J3453" t="s">
        <v>16</v>
      </c>
      <c r="K3453" t="str">
        <f>VLOOKUP(C3453,CheckName!A:B,2,0)</f>
        <v>CRC</v>
      </c>
      <c r="L3453">
        <v>0</v>
      </c>
      <c r="M3453">
        <f t="shared" si="495"/>
        <v>20</v>
      </c>
      <c r="N3453" t="str">
        <f>TEXT(MTDRejection[[#This Row],[RejectionDate]],"dddd")</f>
        <v>Friday</v>
      </c>
    </row>
    <row r="3454" spans="1:14">
      <c r="A3454" t="s">
        <v>1886</v>
      </c>
      <c r="B3454" t="s">
        <v>5657</v>
      </c>
      <c r="C3454" t="s">
        <v>54</v>
      </c>
      <c r="D3454" t="s">
        <v>26</v>
      </c>
      <c r="E3454" s="7">
        <v>45646</v>
      </c>
      <c r="F3454" t="s">
        <v>1304</v>
      </c>
      <c r="G3454">
        <v>1</v>
      </c>
      <c r="H3454" t="s">
        <v>27</v>
      </c>
      <c r="I3454" t="s">
        <v>16</v>
      </c>
      <c r="J3454" t="s">
        <v>16</v>
      </c>
      <c r="K3454" t="str">
        <f>VLOOKUP(C3454,CheckName!A:B,2,0)</f>
        <v>Edu</v>
      </c>
      <c r="L3454">
        <v>0</v>
      </c>
      <c r="M3454">
        <f>DAY(E3454)</f>
        <v>20</v>
      </c>
      <c r="N3454" t="str">
        <f>TEXT(MTDRejection[[#This Row],[RejectionDate]],"dddd")</f>
        <v>Friday</v>
      </c>
    </row>
    <row r="3455" spans="1:14">
      <c r="A3455" t="s">
        <v>1832</v>
      </c>
      <c r="B3455" t="s">
        <v>5658</v>
      </c>
      <c r="C3455" t="s">
        <v>106</v>
      </c>
      <c r="D3455" t="s">
        <v>26</v>
      </c>
      <c r="E3455" s="7">
        <v>45646</v>
      </c>
      <c r="F3455" t="s">
        <v>294</v>
      </c>
      <c r="G3455">
        <v>1</v>
      </c>
      <c r="H3455" t="s">
        <v>27</v>
      </c>
      <c r="I3455" t="s">
        <v>16</v>
      </c>
      <c r="J3455" t="s">
        <v>16</v>
      </c>
      <c r="K3455" t="str">
        <f>VLOOKUP(C3455,CheckName!A:B,2,0)</f>
        <v>Ref</v>
      </c>
      <c r="L3455">
        <v>0</v>
      </c>
      <c r="M3455">
        <f>DAY(E3455)</f>
        <v>20</v>
      </c>
      <c r="N3455" t="str">
        <f>TEXT(MTDRejection[[#This Row],[RejectionDate]],"dddd")</f>
        <v>Friday</v>
      </c>
    </row>
    <row r="3456" spans="1:14">
      <c r="A3456" t="s">
        <v>216</v>
      </c>
      <c r="B3456" t="s">
        <v>5659</v>
      </c>
      <c r="C3456" t="s">
        <v>25</v>
      </c>
      <c r="D3456" t="s">
        <v>13</v>
      </c>
      <c r="E3456" s="7">
        <v>45646</v>
      </c>
      <c r="F3456" t="s">
        <v>844</v>
      </c>
      <c r="G3456">
        <v>1</v>
      </c>
      <c r="H3456" t="s">
        <v>30</v>
      </c>
      <c r="I3456" t="s">
        <v>16</v>
      </c>
      <c r="J3456" t="s">
        <v>16</v>
      </c>
      <c r="K3456" t="str">
        <f>VLOOKUP(C3456,CheckName!A:B,2,0)</f>
        <v>Add</v>
      </c>
      <c r="L3456">
        <v>0</v>
      </c>
      <c r="M3456">
        <f>DAY(E3456)</f>
        <v>20</v>
      </c>
      <c r="N3456" t="str">
        <f>TEXT(MTDRejection[[#This Row],[RejectionDate]],"dddd")</f>
        <v>Friday</v>
      </c>
    </row>
    <row r="3457" spans="1:14">
      <c r="A3457" t="s">
        <v>100</v>
      </c>
      <c r="B3457" t="s">
        <v>5660</v>
      </c>
      <c r="C3457" t="s">
        <v>102</v>
      </c>
      <c r="D3457" t="s">
        <v>26</v>
      </c>
      <c r="E3457" s="7">
        <v>45646</v>
      </c>
      <c r="F3457" t="s">
        <v>535</v>
      </c>
      <c r="G3457">
        <v>1</v>
      </c>
      <c r="H3457" t="s">
        <v>27</v>
      </c>
      <c r="I3457" t="s">
        <v>16</v>
      </c>
      <c r="J3457" t="s">
        <v>16</v>
      </c>
      <c r="K3457" t="str">
        <f>VLOOKUP(C3457,CheckName!A:B,2,0)</f>
        <v>Edu</v>
      </c>
      <c r="L3457">
        <v>0</v>
      </c>
      <c r="M3457">
        <f t="shared" ref="M3457:M3458" si="496">DAY(E3457)</f>
        <v>20</v>
      </c>
      <c r="N3457" t="str">
        <f>TEXT(MTDRejection[[#This Row],[RejectionDate]],"dddd")</f>
        <v>Friday</v>
      </c>
    </row>
    <row r="3458" spans="1:14">
      <c r="A3458" t="s">
        <v>996</v>
      </c>
      <c r="B3458" t="s">
        <v>5661</v>
      </c>
      <c r="C3458" t="s">
        <v>12</v>
      </c>
      <c r="D3458" t="s">
        <v>26</v>
      </c>
      <c r="E3458" s="7">
        <v>45646</v>
      </c>
      <c r="F3458" t="s">
        <v>721</v>
      </c>
      <c r="G3458">
        <v>1</v>
      </c>
      <c r="H3458" t="s">
        <v>27</v>
      </c>
      <c r="I3458" t="s">
        <v>16</v>
      </c>
      <c r="J3458" t="s">
        <v>16</v>
      </c>
      <c r="K3458" t="str">
        <f>VLOOKUP(C3458,CheckName!A:B,2,0)</f>
        <v>Emp</v>
      </c>
      <c r="L3458">
        <v>0</v>
      </c>
      <c r="M3458">
        <f t="shared" si="496"/>
        <v>20</v>
      </c>
      <c r="N3458" t="str">
        <f>TEXT(MTDRejection[[#This Row],[RejectionDate]],"dddd")</f>
        <v>Friday</v>
      </c>
    </row>
    <row r="3459" spans="1:14">
      <c r="A3459" t="s">
        <v>84</v>
      </c>
      <c r="B3459" t="s">
        <v>5662</v>
      </c>
      <c r="C3459" t="s">
        <v>54</v>
      </c>
      <c r="D3459" t="s">
        <v>13</v>
      </c>
      <c r="E3459" s="7">
        <v>45646</v>
      </c>
      <c r="F3459" t="s">
        <v>98</v>
      </c>
      <c r="G3459">
        <v>1</v>
      </c>
      <c r="H3459" t="s">
        <v>15</v>
      </c>
      <c r="I3459" t="s">
        <v>16</v>
      </c>
      <c r="J3459" t="s">
        <v>16</v>
      </c>
      <c r="K3459" t="str">
        <f>VLOOKUP(C3459,CheckName!A:B,2,0)</f>
        <v>Edu</v>
      </c>
      <c r="L3459">
        <v>0</v>
      </c>
      <c r="M3459">
        <f t="shared" ref="M3459:M3462" si="497">DAY(E3459)</f>
        <v>20</v>
      </c>
      <c r="N3459" t="str">
        <f>TEXT(MTDRejection[[#This Row],[RejectionDate]],"dddd")</f>
        <v>Friday</v>
      </c>
    </row>
    <row r="3460" spans="1:14">
      <c r="A3460" t="s">
        <v>1455</v>
      </c>
      <c r="B3460" t="s">
        <v>5663</v>
      </c>
      <c r="C3460" t="s">
        <v>54</v>
      </c>
      <c r="D3460" t="s">
        <v>26</v>
      </c>
      <c r="E3460" s="7">
        <v>45646</v>
      </c>
      <c r="F3460" t="s">
        <v>538</v>
      </c>
      <c r="G3460">
        <v>1</v>
      </c>
      <c r="H3460" t="s">
        <v>425</v>
      </c>
      <c r="I3460" t="s">
        <v>16</v>
      </c>
      <c r="J3460" t="s">
        <v>16</v>
      </c>
      <c r="K3460" t="str">
        <f>VLOOKUP(C3460,CheckName!A:B,2,0)</f>
        <v>Edu</v>
      </c>
      <c r="L3460">
        <v>0</v>
      </c>
      <c r="M3460">
        <f t="shared" si="497"/>
        <v>20</v>
      </c>
      <c r="N3460" t="str">
        <f>TEXT(MTDRejection[[#This Row],[RejectionDate]],"dddd")</f>
        <v>Friday</v>
      </c>
    </row>
    <row r="3461" spans="1:14">
      <c r="A3461" t="s">
        <v>43</v>
      </c>
      <c r="B3461" t="s">
        <v>5664</v>
      </c>
      <c r="C3461" t="s">
        <v>12</v>
      </c>
      <c r="D3461" t="s">
        <v>26</v>
      </c>
      <c r="E3461" s="7">
        <v>45646</v>
      </c>
      <c r="F3461" t="s">
        <v>169</v>
      </c>
      <c r="G3461">
        <v>1</v>
      </c>
      <c r="H3461" t="s">
        <v>27</v>
      </c>
      <c r="I3461" t="s">
        <v>16</v>
      </c>
      <c r="J3461" t="s">
        <v>16</v>
      </c>
      <c r="K3461" t="str">
        <f>VLOOKUP(C3461,CheckName!A:B,2,0)</f>
        <v>Emp</v>
      </c>
      <c r="L3461">
        <v>0</v>
      </c>
      <c r="M3461">
        <f t="shared" si="497"/>
        <v>20</v>
      </c>
      <c r="N3461" t="str">
        <f>TEXT(MTDRejection[[#This Row],[RejectionDate]],"dddd")</f>
        <v>Friday</v>
      </c>
    </row>
    <row r="3462" spans="1:14">
      <c r="A3462" t="s">
        <v>402</v>
      </c>
      <c r="B3462" t="s">
        <v>5665</v>
      </c>
      <c r="C3462" t="s">
        <v>125</v>
      </c>
      <c r="D3462" t="s">
        <v>26</v>
      </c>
      <c r="E3462" s="7">
        <v>45646</v>
      </c>
      <c r="F3462" t="s">
        <v>169</v>
      </c>
      <c r="G3462">
        <v>1</v>
      </c>
      <c r="H3462" t="s">
        <v>30</v>
      </c>
      <c r="I3462" t="s">
        <v>16</v>
      </c>
      <c r="J3462" t="s">
        <v>16</v>
      </c>
      <c r="K3462" t="str">
        <f>VLOOKUP(C3462,CheckName!A:B,2,0)</f>
        <v>Emp</v>
      </c>
      <c r="L3462">
        <v>0</v>
      </c>
      <c r="M3462">
        <f t="shared" si="497"/>
        <v>20</v>
      </c>
      <c r="N3462" t="str">
        <f>TEXT(MTDRejection[[#This Row],[RejectionDate]],"dddd")</f>
        <v>Friday</v>
      </c>
    </row>
    <row r="3463" spans="1:14">
      <c r="A3463" t="s">
        <v>81</v>
      </c>
      <c r="B3463" t="s">
        <v>5666</v>
      </c>
      <c r="C3463" t="s">
        <v>54</v>
      </c>
      <c r="D3463" t="s">
        <v>26</v>
      </c>
      <c r="E3463" s="7">
        <v>45646</v>
      </c>
      <c r="F3463" t="s">
        <v>103</v>
      </c>
      <c r="G3463">
        <v>1</v>
      </c>
      <c r="H3463" t="s">
        <v>27</v>
      </c>
      <c r="I3463" t="s">
        <v>16</v>
      </c>
      <c r="J3463" t="s">
        <v>16</v>
      </c>
      <c r="K3463" t="str">
        <f>VLOOKUP(C3463,CheckName!A:B,2,0)</f>
        <v>Edu</v>
      </c>
      <c r="L3463">
        <v>0</v>
      </c>
      <c r="M3463">
        <f t="shared" ref="M3463:M3468" si="498">DAY(E3463)</f>
        <v>20</v>
      </c>
      <c r="N3463" t="str">
        <f>TEXT(MTDRejection[[#This Row],[RejectionDate]],"dddd")</f>
        <v>Friday</v>
      </c>
    </row>
    <row r="3464" spans="1:14">
      <c r="A3464" t="s">
        <v>176</v>
      </c>
      <c r="B3464" t="s">
        <v>2722</v>
      </c>
      <c r="C3464" t="s">
        <v>220</v>
      </c>
      <c r="D3464" t="s">
        <v>26</v>
      </c>
      <c r="E3464" s="7">
        <v>45646</v>
      </c>
      <c r="F3464" t="s">
        <v>330</v>
      </c>
      <c r="G3464">
        <v>1</v>
      </c>
      <c r="H3464" t="s">
        <v>27</v>
      </c>
      <c r="I3464" t="s">
        <v>16</v>
      </c>
      <c r="J3464" t="s">
        <v>16</v>
      </c>
      <c r="K3464" t="str">
        <f>VLOOKUP(C3464,CheckName!A:B,2,0)</f>
        <v>Ref</v>
      </c>
      <c r="L3464">
        <v>0</v>
      </c>
      <c r="M3464">
        <f t="shared" si="498"/>
        <v>20</v>
      </c>
      <c r="N3464" t="str">
        <f>TEXT(MTDRejection[[#This Row],[RejectionDate]],"dddd")</f>
        <v>Friday</v>
      </c>
    </row>
    <row r="3465" spans="1:14">
      <c r="A3465" t="s">
        <v>91</v>
      </c>
      <c r="B3465" t="s">
        <v>2723</v>
      </c>
      <c r="C3465" t="s">
        <v>12</v>
      </c>
      <c r="D3465" t="s">
        <v>26</v>
      </c>
      <c r="E3465" s="7">
        <v>45646</v>
      </c>
      <c r="F3465" t="s">
        <v>355</v>
      </c>
      <c r="G3465">
        <v>1</v>
      </c>
      <c r="H3465" t="s">
        <v>27</v>
      </c>
      <c r="I3465" t="s">
        <v>16</v>
      </c>
      <c r="J3465" t="s">
        <v>16</v>
      </c>
      <c r="K3465" t="str">
        <f>VLOOKUP(C3465,CheckName!A:B,2,0)</f>
        <v>Emp</v>
      </c>
      <c r="L3465">
        <v>0</v>
      </c>
      <c r="M3465">
        <f t="shared" si="498"/>
        <v>20</v>
      </c>
      <c r="N3465" t="str">
        <f>TEXT(MTDRejection[[#This Row],[RejectionDate]],"dddd")</f>
        <v>Friday</v>
      </c>
    </row>
    <row r="3466" spans="1:14">
      <c r="A3466" t="s">
        <v>266</v>
      </c>
      <c r="B3466" t="s">
        <v>5667</v>
      </c>
      <c r="C3466" t="s">
        <v>12</v>
      </c>
      <c r="D3466" t="s">
        <v>26</v>
      </c>
      <c r="E3466" s="7">
        <v>45646</v>
      </c>
      <c r="F3466" t="s">
        <v>182</v>
      </c>
      <c r="G3466">
        <v>1</v>
      </c>
      <c r="H3466" t="s">
        <v>27</v>
      </c>
      <c r="I3466" t="s">
        <v>16</v>
      </c>
      <c r="J3466" t="s">
        <v>16</v>
      </c>
      <c r="K3466" t="str">
        <f>VLOOKUP(C3466,CheckName!A:B,2,0)</f>
        <v>Emp</v>
      </c>
      <c r="L3466">
        <v>0</v>
      </c>
      <c r="M3466">
        <f t="shared" si="498"/>
        <v>20</v>
      </c>
      <c r="N3466" t="str">
        <f>TEXT(MTDRejection[[#This Row],[RejectionDate]],"dddd")</f>
        <v>Friday</v>
      </c>
    </row>
    <row r="3467" spans="1:14">
      <c r="A3467" t="s">
        <v>2063</v>
      </c>
      <c r="B3467" t="s">
        <v>5668</v>
      </c>
      <c r="C3467" t="s">
        <v>36</v>
      </c>
      <c r="D3467" t="s">
        <v>26</v>
      </c>
      <c r="E3467" s="7">
        <v>45646</v>
      </c>
      <c r="F3467" t="s">
        <v>182</v>
      </c>
      <c r="G3467">
        <v>1</v>
      </c>
      <c r="H3467" t="s">
        <v>27</v>
      </c>
      <c r="I3467" t="s">
        <v>16</v>
      </c>
      <c r="J3467" t="s">
        <v>16</v>
      </c>
      <c r="K3467" t="str">
        <f>VLOOKUP(C3467,CheckName!A:B,2,0)</f>
        <v>Emp</v>
      </c>
      <c r="L3467">
        <v>0</v>
      </c>
      <c r="M3467">
        <f t="shared" si="498"/>
        <v>20</v>
      </c>
      <c r="N3467" t="str">
        <f>TEXT(MTDRejection[[#This Row],[RejectionDate]],"dddd")</f>
        <v>Friday</v>
      </c>
    </row>
    <row r="3468" spans="1:14">
      <c r="A3468" t="s">
        <v>671</v>
      </c>
      <c r="B3468" t="s">
        <v>5669</v>
      </c>
      <c r="C3468" t="s">
        <v>12</v>
      </c>
      <c r="D3468" t="s">
        <v>26</v>
      </c>
      <c r="E3468" s="7">
        <v>45646</v>
      </c>
      <c r="F3468" t="s">
        <v>355</v>
      </c>
      <c r="G3468">
        <v>1</v>
      </c>
      <c r="H3468" t="s">
        <v>130</v>
      </c>
      <c r="I3468" t="s">
        <v>16</v>
      </c>
      <c r="J3468" t="s">
        <v>16</v>
      </c>
      <c r="K3468" t="str">
        <f>VLOOKUP(C3468,CheckName!A:B,2,0)</f>
        <v>Emp</v>
      </c>
      <c r="L3468">
        <v>0</v>
      </c>
      <c r="M3468">
        <f t="shared" si="498"/>
        <v>20</v>
      </c>
      <c r="N3468" t="str">
        <f>TEXT(MTDRejection[[#This Row],[RejectionDate]],"dddd")</f>
        <v>Friday</v>
      </c>
    </row>
    <row r="3469" spans="1:14">
      <c r="A3469" t="s">
        <v>160</v>
      </c>
      <c r="B3469" t="s">
        <v>2070</v>
      </c>
      <c r="C3469" t="s">
        <v>36</v>
      </c>
      <c r="D3469" t="s">
        <v>26</v>
      </c>
      <c r="E3469" s="7">
        <v>45646</v>
      </c>
      <c r="F3469" t="s">
        <v>277</v>
      </c>
      <c r="G3469">
        <v>1</v>
      </c>
      <c r="H3469" t="s">
        <v>27</v>
      </c>
      <c r="I3469" t="s">
        <v>16</v>
      </c>
      <c r="J3469" t="s">
        <v>16</v>
      </c>
      <c r="K3469" t="str">
        <f>VLOOKUP(C3469,CheckName!A:B,2,0)</f>
        <v>Emp</v>
      </c>
      <c r="L3469">
        <v>0</v>
      </c>
      <c r="M3469">
        <f>DAY(E3469)</f>
        <v>20</v>
      </c>
      <c r="N3469" t="str">
        <f>TEXT(MTDRejection[[#This Row],[RejectionDate]],"dddd")</f>
        <v>Friday</v>
      </c>
    </row>
    <row r="3470" spans="1:14">
      <c r="A3470" t="s">
        <v>977</v>
      </c>
      <c r="B3470" t="s">
        <v>5670</v>
      </c>
      <c r="C3470" t="s">
        <v>12</v>
      </c>
      <c r="D3470" t="s">
        <v>13</v>
      </c>
      <c r="E3470" s="7">
        <v>45646</v>
      </c>
      <c r="F3470" t="s">
        <v>574</v>
      </c>
      <c r="G3470">
        <v>1</v>
      </c>
      <c r="H3470" t="s">
        <v>15</v>
      </c>
      <c r="I3470" t="s">
        <v>16</v>
      </c>
      <c r="J3470" t="s">
        <v>16</v>
      </c>
      <c r="K3470" t="str">
        <f>VLOOKUP(C3470,CheckName!A:B,2,0)</f>
        <v>Emp</v>
      </c>
      <c r="L3470">
        <v>0</v>
      </c>
      <c r="M3470">
        <f>DAY(E3470)</f>
        <v>20</v>
      </c>
      <c r="N3470" t="str">
        <f>TEXT(MTDRejection[[#This Row],[RejectionDate]],"dddd")</f>
        <v>Friday</v>
      </c>
    </row>
    <row r="3471" spans="1:14">
      <c r="A3471" t="s">
        <v>281</v>
      </c>
      <c r="B3471" t="s">
        <v>5671</v>
      </c>
      <c r="C3471" t="s">
        <v>12</v>
      </c>
      <c r="D3471" t="s">
        <v>13</v>
      </c>
      <c r="E3471" s="7">
        <v>45646</v>
      </c>
      <c r="F3471" t="s">
        <v>706</v>
      </c>
      <c r="G3471">
        <v>1</v>
      </c>
      <c r="H3471" t="s">
        <v>15</v>
      </c>
      <c r="I3471" t="s">
        <v>16</v>
      </c>
      <c r="J3471" t="s">
        <v>16</v>
      </c>
      <c r="K3471" t="str">
        <f>VLOOKUP(C3471,CheckName!A:B,2,0)</f>
        <v>Emp</v>
      </c>
      <c r="L3471">
        <v>0</v>
      </c>
      <c r="M3471">
        <f t="shared" ref="M3471:M3472" si="499">DAY(E3471)</f>
        <v>20</v>
      </c>
      <c r="N3471" t="str">
        <f>TEXT(MTDRejection[[#This Row],[RejectionDate]],"dddd")</f>
        <v>Friday</v>
      </c>
    </row>
    <row r="3472" spans="1:14">
      <c r="A3472" t="s">
        <v>10</v>
      </c>
      <c r="B3472" t="s">
        <v>5672</v>
      </c>
      <c r="C3472" t="s">
        <v>467</v>
      </c>
      <c r="D3472" t="s">
        <v>26</v>
      </c>
      <c r="E3472" s="7">
        <v>45646</v>
      </c>
      <c r="F3472" t="s">
        <v>236</v>
      </c>
      <c r="G3472">
        <v>1</v>
      </c>
      <c r="H3472" t="s">
        <v>27</v>
      </c>
      <c r="I3472" t="s">
        <v>16</v>
      </c>
      <c r="J3472" t="s">
        <v>16</v>
      </c>
      <c r="K3472" t="str">
        <f>VLOOKUP(C3472,CheckName!A:B,2,0)</f>
        <v>Special Check</v>
      </c>
      <c r="L3472">
        <v>0</v>
      </c>
      <c r="M3472">
        <f t="shared" si="499"/>
        <v>20</v>
      </c>
      <c r="N3472" t="str">
        <f>TEXT(MTDRejection[[#This Row],[RejectionDate]],"dddd")</f>
        <v>Friday</v>
      </c>
    </row>
    <row r="3473" spans="1:14">
      <c r="A3473" t="s">
        <v>10</v>
      </c>
      <c r="B3473" t="s">
        <v>5673</v>
      </c>
      <c r="C3473" t="s">
        <v>1869</v>
      </c>
      <c r="D3473" t="s">
        <v>26</v>
      </c>
      <c r="E3473" s="7">
        <v>45646</v>
      </c>
      <c r="F3473" t="s">
        <v>236</v>
      </c>
      <c r="G3473">
        <v>1</v>
      </c>
      <c r="H3473" t="s">
        <v>27</v>
      </c>
      <c r="I3473" t="s">
        <v>16</v>
      </c>
      <c r="J3473" t="s">
        <v>16</v>
      </c>
      <c r="K3473" t="str">
        <f>VLOOKUP(C3473,CheckName!A:B,2,0)</f>
        <v>Special Check</v>
      </c>
      <c r="L3473">
        <v>1</v>
      </c>
      <c r="M3473">
        <f t="shared" ref="M3473:M3474" si="500">DAY(E3473)</f>
        <v>20</v>
      </c>
      <c r="N3473" t="str">
        <f>TEXT(MTDRejection[[#This Row],[RejectionDate]],"dddd")</f>
        <v>Friday</v>
      </c>
    </row>
    <row r="3474" spans="1:14">
      <c r="A3474" t="s">
        <v>45</v>
      </c>
      <c r="B3474" t="s">
        <v>5674</v>
      </c>
      <c r="C3474" t="s">
        <v>689</v>
      </c>
      <c r="D3474" t="s">
        <v>26</v>
      </c>
      <c r="E3474" s="7">
        <v>45646</v>
      </c>
      <c r="F3474" t="s">
        <v>236</v>
      </c>
      <c r="G3474">
        <v>1</v>
      </c>
      <c r="H3474" t="s">
        <v>27</v>
      </c>
      <c r="I3474" t="s">
        <v>16</v>
      </c>
      <c r="J3474" t="s">
        <v>16</v>
      </c>
      <c r="K3474" t="str">
        <f>VLOOKUP(C3474,CheckName!A:B,2,0)</f>
        <v>Special Check</v>
      </c>
      <c r="L3474">
        <v>0</v>
      </c>
      <c r="M3474">
        <f t="shared" si="500"/>
        <v>20</v>
      </c>
      <c r="N3474" t="str">
        <f>TEXT(MTDRejection[[#This Row],[RejectionDate]],"dddd")</f>
        <v>Friday</v>
      </c>
    </row>
    <row r="3475" spans="1:14">
      <c r="A3475" t="s">
        <v>45</v>
      </c>
      <c r="B3475" t="s">
        <v>5675</v>
      </c>
      <c r="C3475" t="s">
        <v>25</v>
      </c>
      <c r="D3475" t="s">
        <v>20</v>
      </c>
      <c r="E3475" s="7">
        <v>45646</v>
      </c>
      <c r="F3475" t="s">
        <v>2327</v>
      </c>
      <c r="G3475">
        <v>1</v>
      </c>
      <c r="H3475" t="s">
        <v>22</v>
      </c>
      <c r="I3475" t="s">
        <v>16</v>
      </c>
      <c r="J3475" t="s">
        <v>16</v>
      </c>
      <c r="K3475" t="str">
        <f>VLOOKUP(C3475,CheckName!A:B,2,0)</f>
        <v>Add</v>
      </c>
      <c r="L3475">
        <v>0</v>
      </c>
      <c r="M3475">
        <f>DAY(E3475)</f>
        <v>20</v>
      </c>
      <c r="N3475" t="str">
        <f>TEXT(MTDRejection[[#This Row],[RejectionDate]],"dddd")</f>
        <v>Friday</v>
      </c>
    </row>
    <row r="3476" spans="1:14">
      <c r="A3476" t="s">
        <v>45</v>
      </c>
      <c r="B3476" t="s">
        <v>5676</v>
      </c>
      <c r="C3476" t="s">
        <v>19</v>
      </c>
      <c r="D3476" t="s">
        <v>20</v>
      </c>
      <c r="E3476" s="7">
        <v>45646</v>
      </c>
      <c r="F3476" t="s">
        <v>2327</v>
      </c>
      <c r="G3476">
        <v>1</v>
      </c>
      <c r="H3476" t="s">
        <v>22</v>
      </c>
      <c r="I3476" t="s">
        <v>16</v>
      </c>
      <c r="J3476" t="s">
        <v>16</v>
      </c>
      <c r="K3476" t="str">
        <f>VLOOKUP(C3476,CheckName!A:B,2,0)</f>
        <v>Add</v>
      </c>
      <c r="L3476">
        <v>0</v>
      </c>
      <c r="M3476">
        <f>DAY(E3476)</f>
        <v>20</v>
      </c>
      <c r="N3476" t="str">
        <f>TEXT(MTDRejection[[#This Row],[RejectionDate]],"dddd")</f>
        <v>Friday</v>
      </c>
    </row>
    <row r="3477" spans="1:14">
      <c r="A3477" t="s">
        <v>1358</v>
      </c>
      <c r="B3477" t="s">
        <v>5677</v>
      </c>
      <c r="C3477" t="s">
        <v>19</v>
      </c>
      <c r="D3477" t="s">
        <v>20</v>
      </c>
      <c r="E3477" s="7">
        <v>45646</v>
      </c>
      <c r="F3477" t="s">
        <v>2327</v>
      </c>
      <c r="G3477">
        <v>1</v>
      </c>
      <c r="H3477" t="s">
        <v>22</v>
      </c>
      <c r="I3477" t="s">
        <v>16</v>
      </c>
      <c r="J3477" t="s">
        <v>16</v>
      </c>
      <c r="K3477" t="str">
        <f>VLOOKUP(C3477,CheckName!A:B,2,0)</f>
        <v>Add</v>
      </c>
      <c r="L3477">
        <v>0</v>
      </c>
      <c r="M3477">
        <f>DAY(E3477)</f>
        <v>20</v>
      </c>
      <c r="N3477" t="str">
        <f>TEXT(MTDRejection[[#This Row],[RejectionDate]],"dddd")</f>
        <v>Friday</v>
      </c>
    </row>
    <row r="3478" spans="1:14">
      <c r="A3478" t="s">
        <v>1088</v>
      </c>
      <c r="B3478" t="s">
        <v>5678</v>
      </c>
      <c r="C3478" t="s">
        <v>1068</v>
      </c>
      <c r="D3478" t="s">
        <v>38</v>
      </c>
      <c r="E3478" s="7">
        <v>45646</v>
      </c>
      <c r="F3478" t="s">
        <v>108</v>
      </c>
      <c r="G3478">
        <v>1</v>
      </c>
      <c r="H3478" t="s">
        <v>42</v>
      </c>
      <c r="I3478" t="s">
        <v>16</v>
      </c>
      <c r="J3478" t="s">
        <v>16</v>
      </c>
      <c r="K3478" t="str">
        <f>VLOOKUP(C3478,CheckName!A:B,2,0)</f>
        <v>Special Check</v>
      </c>
      <c r="L3478">
        <v>0</v>
      </c>
      <c r="M3478">
        <f t="shared" ref="M3478" si="501">DAY(E3478)</f>
        <v>20</v>
      </c>
      <c r="N3478" t="str">
        <f>TEXT(MTDRejection[[#This Row],[RejectionDate]],"dddd")</f>
        <v>Friday</v>
      </c>
    </row>
    <row r="3479" spans="1:14">
      <c r="A3479" t="s">
        <v>461</v>
      </c>
      <c r="B3479" t="s">
        <v>5679</v>
      </c>
      <c r="C3479" t="s">
        <v>12</v>
      </c>
      <c r="D3479" t="s">
        <v>26</v>
      </c>
      <c r="E3479" s="7">
        <v>45646</v>
      </c>
      <c r="F3479" t="s">
        <v>222</v>
      </c>
      <c r="G3479">
        <v>1</v>
      </c>
      <c r="H3479" t="s">
        <v>27</v>
      </c>
      <c r="I3479" t="s">
        <v>16</v>
      </c>
      <c r="J3479" t="s">
        <v>16</v>
      </c>
      <c r="K3479" t="str">
        <f>VLOOKUP(C3479,CheckName!A:B,2,0)</f>
        <v>Emp</v>
      </c>
      <c r="L3479">
        <v>0</v>
      </c>
      <c r="M3479">
        <f>DAY(E3479)</f>
        <v>20</v>
      </c>
      <c r="N3479" t="str">
        <f>TEXT(MTDRejection[[#This Row],[RejectionDate]],"dddd")</f>
        <v>Friday</v>
      </c>
    </row>
    <row r="3480" spans="1:14">
      <c r="A3480" t="s">
        <v>45</v>
      </c>
      <c r="B3480" t="s">
        <v>5680</v>
      </c>
      <c r="C3480" t="s">
        <v>36</v>
      </c>
      <c r="D3480" t="s">
        <v>26</v>
      </c>
      <c r="E3480" s="7">
        <v>45646</v>
      </c>
      <c r="F3480" t="s">
        <v>222</v>
      </c>
      <c r="G3480">
        <v>1</v>
      </c>
      <c r="H3480" t="s">
        <v>30</v>
      </c>
      <c r="I3480" t="s">
        <v>16</v>
      </c>
      <c r="J3480" t="s">
        <v>16</v>
      </c>
      <c r="K3480" t="str">
        <f>VLOOKUP(C3480,CheckName!A:B,2,0)</f>
        <v>Emp</v>
      </c>
      <c r="L3480">
        <v>1</v>
      </c>
      <c r="M3480">
        <f>DAY(E3480)</f>
        <v>20</v>
      </c>
      <c r="N3480" t="str">
        <f>TEXT(MTDRejection[[#This Row],[RejectionDate]],"dddd")</f>
        <v>Friday</v>
      </c>
    </row>
    <row r="3481" spans="1:14">
      <c r="A3481" t="s">
        <v>853</v>
      </c>
      <c r="B3481" t="s">
        <v>5681</v>
      </c>
      <c r="C3481" t="s">
        <v>36</v>
      </c>
      <c r="D3481" t="s">
        <v>26</v>
      </c>
      <c r="E3481" s="7">
        <v>45646</v>
      </c>
      <c r="F3481" t="s">
        <v>222</v>
      </c>
      <c r="G3481">
        <v>1</v>
      </c>
      <c r="H3481" t="s">
        <v>27</v>
      </c>
      <c r="I3481" t="s">
        <v>16</v>
      </c>
      <c r="J3481" t="s">
        <v>16</v>
      </c>
      <c r="K3481" t="str">
        <f>VLOOKUP(C3481,CheckName!A:B,2,0)</f>
        <v>Emp</v>
      </c>
      <c r="L3481">
        <v>0</v>
      </c>
      <c r="M3481">
        <f t="shared" ref="M3481:M3486" si="502">DAY(E3481)</f>
        <v>20</v>
      </c>
      <c r="N3481" t="str">
        <f>TEXT(MTDRejection[[#This Row],[RejectionDate]],"dddd")</f>
        <v>Friday</v>
      </c>
    </row>
    <row r="3482" spans="1:14">
      <c r="A3482" t="s">
        <v>10</v>
      </c>
      <c r="B3482" t="s">
        <v>2724</v>
      </c>
      <c r="C3482" t="s">
        <v>19</v>
      </c>
      <c r="D3482" t="s">
        <v>26</v>
      </c>
      <c r="E3482" s="7">
        <v>45646</v>
      </c>
      <c r="F3482" t="s">
        <v>66</v>
      </c>
      <c r="G3482">
        <v>1</v>
      </c>
      <c r="H3482" t="s">
        <v>27</v>
      </c>
      <c r="I3482" t="s">
        <v>16</v>
      </c>
      <c r="J3482" t="s">
        <v>16</v>
      </c>
      <c r="K3482" t="str">
        <f>VLOOKUP(C3482,CheckName!A:B,2,0)</f>
        <v>Add</v>
      </c>
      <c r="L3482">
        <v>0</v>
      </c>
      <c r="M3482">
        <f t="shared" si="502"/>
        <v>20</v>
      </c>
      <c r="N3482" t="str">
        <f>TEXT(MTDRejection[[#This Row],[RejectionDate]],"dddd")</f>
        <v>Friday</v>
      </c>
    </row>
    <row r="3483" spans="1:14">
      <c r="A3483" t="s">
        <v>306</v>
      </c>
      <c r="B3483" t="s">
        <v>5682</v>
      </c>
      <c r="C3483" t="s">
        <v>25</v>
      </c>
      <c r="D3483" t="s">
        <v>26</v>
      </c>
      <c r="E3483" s="7">
        <v>45646</v>
      </c>
      <c r="F3483" t="s">
        <v>66</v>
      </c>
      <c r="G3483">
        <v>1</v>
      </c>
      <c r="H3483" t="s">
        <v>27</v>
      </c>
      <c r="I3483" t="s">
        <v>16</v>
      </c>
      <c r="J3483" t="s">
        <v>16</v>
      </c>
      <c r="K3483" t="str">
        <f>VLOOKUP(C3483,CheckName!A:B,2,0)</f>
        <v>Add</v>
      </c>
      <c r="L3483">
        <v>0</v>
      </c>
      <c r="M3483">
        <f t="shared" si="502"/>
        <v>20</v>
      </c>
      <c r="N3483" t="str">
        <f>TEXT(MTDRejection[[#This Row],[RejectionDate]],"dddd")</f>
        <v>Friday</v>
      </c>
    </row>
    <row r="3484" spans="1:14">
      <c r="A3484" t="s">
        <v>306</v>
      </c>
      <c r="B3484" t="s">
        <v>5683</v>
      </c>
      <c r="C3484" t="s">
        <v>19</v>
      </c>
      <c r="D3484" t="s">
        <v>26</v>
      </c>
      <c r="E3484" s="7">
        <v>45646</v>
      </c>
      <c r="F3484" t="s">
        <v>66</v>
      </c>
      <c r="G3484">
        <v>1</v>
      </c>
      <c r="H3484" t="s">
        <v>27</v>
      </c>
      <c r="I3484" t="s">
        <v>16</v>
      </c>
      <c r="J3484" t="s">
        <v>16</v>
      </c>
      <c r="K3484" t="str">
        <f>VLOOKUP(C3484,CheckName!A:B,2,0)</f>
        <v>Add</v>
      </c>
      <c r="L3484">
        <v>0</v>
      </c>
      <c r="M3484">
        <f t="shared" si="502"/>
        <v>20</v>
      </c>
      <c r="N3484" t="str">
        <f>TEXT(MTDRejection[[#This Row],[RejectionDate]],"dddd")</f>
        <v>Friday</v>
      </c>
    </row>
    <row r="3485" spans="1:14">
      <c r="A3485" t="s">
        <v>1759</v>
      </c>
      <c r="B3485" t="s">
        <v>5684</v>
      </c>
      <c r="C3485" t="s">
        <v>25</v>
      </c>
      <c r="D3485" t="s">
        <v>26</v>
      </c>
      <c r="E3485" s="7">
        <v>45646</v>
      </c>
      <c r="F3485" t="s">
        <v>2330</v>
      </c>
      <c r="G3485">
        <v>1</v>
      </c>
      <c r="H3485" t="s">
        <v>27</v>
      </c>
      <c r="I3485" t="s">
        <v>16</v>
      </c>
      <c r="J3485" t="s">
        <v>16</v>
      </c>
      <c r="K3485" t="str">
        <f>VLOOKUP(C3485,CheckName!A:B,2,0)</f>
        <v>Add</v>
      </c>
      <c r="L3485">
        <v>0</v>
      </c>
      <c r="M3485">
        <f t="shared" si="502"/>
        <v>20</v>
      </c>
      <c r="N3485" t="str">
        <f>TEXT(MTDRejection[[#This Row],[RejectionDate]],"dddd")</f>
        <v>Friday</v>
      </c>
    </row>
    <row r="3486" spans="1:14">
      <c r="A3486" t="s">
        <v>176</v>
      </c>
      <c r="B3486" t="s">
        <v>5685</v>
      </c>
      <c r="C3486" t="s">
        <v>25</v>
      </c>
      <c r="D3486" t="s">
        <v>20</v>
      </c>
      <c r="E3486" s="7">
        <v>45646</v>
      </c>
      <c r="F3486" t="s">
        <v>2330</v>
      </c>
      <c r="G3486">
        <v>1</v>
      </c>
      <c r="H3486" t="s">
        <v>22</v>
      </c>
      <c r="I3486" t="s">
        <v>16</v>
      </c>
      <c r="J3486" t="s">
        <v>16</v>
      </c>
      <c r="K3486" t="str">
        <f>VLOOKUP(C3486,CheckName!A:B,2,0)</f>
        <v>Add</v>
      </c>
      <c r="L3486">
        <v>0</v>
      </c>
      <c r="M3486">
        <f t="shared" si="502"/>
        <v>20</v>
      </c>
      <c r="N3486" t="str">
        <f>TEXT(MTDRejection[[#This Row],[RejectionDate]],"dddd")</f>
        <v>Friday</v>
      </c>
    </row>
    <row r="3487" spans="1:14">
      <c r="A3487" t="s">
        <v>45</v>
      </c>
      <c r="B3487" t="s">
        <v>5686</v>
      </c>
      <c r="C3487" t="s">
        <v>59</v>
      </c>
      <c r="D3487" t="s">
        <v>38</v>
      </c>
      <c r="E3487" s="7">
        <v>45646</v>
      </c>
      <c r="F3487" t="s">
        <v>118</v>
      </c>
      <c r="G3487">
        <v>1</v>
      </c>
      <c r="H3487" t="s">
        <v>30</v>
      </c>
      <c r="I3487" t="s">
        <v>16</v>
      </c>
      <c r="J3487" t="s">
        <v>16</v>
      </c>
      <c r="K3487" t="str">
        <f>VLOOKUP(C3487,CheckName!A:B,2,0)</f>
        <v>Special Check</v>
      </c>
      <c r="L3487">
        <v>0</v>
      </c>
      <c r="M3487">
        <f t="shared" ref="M3487:M3488" si="503">DAY(E3487)</f>
        <v>20</v>
      </c>
      <c r="N3487" t="str">
        <f>TEXT(MTDRejection[[#This Row],[RejectionDate]],"dddd")</f>
        <v>Friday</v>
      </c>
    </row>
    <row r="3488" spans="1:14">
      <c r="A3488" t="s">
        <v>131</v>
      </c>
      <c r="B3488" t="s">
        <v>5687</v>
      </c>
      <c r="C3488" t="s">
        <v>54</v>
      </c>
      <c r="D3488" t="s">
        <v>26</v>
      </c>
      <c r="E3488" s="7">
        <v>45645</v>
      </c>
      <c r="F3488" t="s">
        <v>63</v>
      </c>
      <c r="G3488">
        <v>2</v>
      </c>
      <c r="H3488" t="s">
        <v>95</v>
      </c>
      <c r="I3488" t="s">
        <v>16</v>
      </c>
      <c r="J3488" t="s">
        <v>16</v>
      </c>
      <c r="K3488" t="str">
        <f>VLOOKUP(C3488,CheckName!A:B,2,0)</f>
        <v>Edu</v>
      </c>
      <c r="L3488">
        <v>0</v>
      </c>
      <c r="M3488">
        <f t="shared" si="503"/>
        <v>19</v>
      </c>
      <c r="N3488" t="str">
        <f>TEXT(MTDRejection[[#This Row],[RejectionDate]],"dddd")</f>
        <v>Thursday</v>
      </c>
    </row>
    <row r="3489" spans="1:14">
      <c r="A3489" t="s">
        <v>2038</v>
      </c>
      <c r="B3489" t="s">
        <v>5688</v>
      </c>
      <c r="C3489" t="s">
        <v>36</v>
      </c>
      <c r="D3489" t="s">
        <v>26</v>
      </c>
      <c r="E3489" s="7">
        <v>45645</v>
      </c>
      <c r="F3489" t="s">
        <v>159</v>
      </c>
      <c r="G3489">
        <v>2</v>
      </c>
      <c r="H3489" t="s">
        <v>27</v>
      </c>
      <c r="I3489" t="s">
        <v>16</v>
      </c>
      <c r="J3489" t="s">
        <v>16</v>
      </c>
      <c r="K3489" t="str">
        <f>VLOOKUP(C3489,CheckName!A:B,2,0)</f>
        <v>Emp</v>
      </c>
      <c r="L3489">
        <v>0</v>
      </c>
      <c r="M3489">
        <f>DAY(E3489)</f>
        <v>19</v>
      </c>
      <c r="N3489" t="str">
        <f>TEXT(MTDRejection[[#This Row],[RejectionDate]],"dddd")</f>
        <v>Thursday</v>
      </c>
    </row>
    <row r="3490" spans="1:14">
      <c r="A3490" t="s">
        <v>40</v>
      </c>
      <c r="B3490" t="s">
        <v>5689</v>
      </c>
      <c r="C3490" t="s">
        <v>59</v>
      </c>
      <c r="D3490" t="s">
        <v>26</v>
      </c>
      <c r="E3490" s="7">
        <v>45644</v>
      </c>
      <c r="F3490" t="s">
        <v>236</v>
      </c>
      <c r="G3490">
        <v>3</v>
      </c>
      <c r="H3490" t="s">
        <v>27</v>
      </c>
      <c r="I3490" t="s">
        <v>16</v>
      </c>
      <c r="J3490" t="s">
        <v>16</v>
      </c>
      <c r="K3490" t="str">
        <f>VLOOKUP(C3490,CheckName!A:B,2,0)</f>
        <v>Special Check</v>
      </c>
      <c r="L3490">
        <v>0</v>
      </c>
      <c r="M3490">
        <f>DAY(E3490)</f>
        <v>18</v>
      </c>
      <c r="N3490" t="str">
        <f>TEXT(MTDRejection[[#This Row],[RejectionDate]],"dddd")</f>
        <v>Wednesday</v>
      </c>
    </row>
    <row r="3491" spans="1:14">
      <c r="A3491" t="s">
        <v>228</v>
      </c>
      <c r="B3491" t="s">
        <v>5690</v>
      </c>
      <c r="C3491" t="s">
        <v>36</v>
      </c>
      <c r="D3491" t="s">
        <v>26</v>
      </c>
      <c r="E3491" s="7">
        <v>45642</v>
      </c>
      <c r="F3491" t="s">
        <v>675</v>
      </c>
      <c r="G3491">
        <v>5</v>
      </c>
      <c r="H3491" t="s">
        <v>95</v>
      </c>
      <c r="I3491" t="s">
        <v>16</v>
      </c>
      <c r="J3491" t="s">
        <v>16</v>
      </c>
      <c r="K3491" t="str">
        <f>VLOOKUP(C3491,CheckName!A:B,2,0)</f>
        <v>Emp</v>
      </c>
      <c r="L3491">
        <v>0</v>
      </c>
      <c r="M3491">
        <f>DAY(E3491)</f>
        <v>16</v>
      </c>
      <c r="N3491" t="str">
        <f>TEXT(MTDRejection[[#This Row],[RejectionDate]],"dddd")</f>
        <v>Monday</v>
      </c>
    </row>
    <row r="3492" spans="1:14">
      <c r="A3492" t="s">
        <v>1204</v>
      </c>
      <c r="B3492" t="s">
        <v>5691</v>
      </c>
      <c r="C3492" t="s">
        <v>12</v>
      </c>
      <c r="D3492" t="s">
        <v>26</v>
      </c>
      <c r="E3492" s="7">
        <v>45635</v>
      </c>
      <c r="F3492" t="s">
        <v>311</v>
      </c>
      <c r="G3492">
        <v>12</v>
      </c>
      <c r="H3492" t="s">
        <v>27</v>
      </c>
      <c r="I3492" t="s">
        <v>16</v>
      </c>
      <c r="J3492" t="s">
        <v>16</v>
      </c>
      <c r="K3492" t="str">
        <f>VLOOKUP(C3492,CheckName!A:B,2,0)</f>
        <v>Emp</v>
      </c>
      <c r="L3492">
        <v>0</v>
      </c>
      <c r="M3492">
        <f>DAY(E3492)</f>
        <v>9</v>
      </c>
      <c r="N3492" t="str">
        <f>TEXT(MTDRejection[[#This Row],[RejectionDate]],"dddd")</f>
        <v>Monday</v>
      </c>
    </row>
    <row r="3493" spans="1:14">
      <c r="A3493" t="s">
        <v>160</v>
      </c>
      <c r="B3493" t="s">
        <v>5692</v>
      </c>
      <c r="C3493" t="s">
        <v>93</v>
      </c>
      <c r="D3493" t="s">
        <v>26</v>
      </c>
      <c r="E3493" s="7">
        <v>45628</v>
      </c>
      <c r="F3493" t="s">
        <v>63</v>
      </c>
      <c r="G3493">
        <v>19</v>
      </c>
      <c r="H3493" t="s">
        <v>27</v>
      </c>
      <c r="I3493" t="s">
        <v>16</v>
      </c>
      <c r="J3493" t="s">
        <v>16</v>
      </c>
      <c r="K3493" t="str">
        <f>VLOOKUP(C3493,CheckName!A:B,2,0)</f>
        <v>Edu</v>
      </c>
      <c r="L3493">
        <v>0</v>
      </c>
      <c r="M3493">
        <f>DAY(E3493)</f>
        <v>2</v>
      </c>
      <c r="N3493" t="str">
        <f>TEXT(MTDRejection[[#This Row],[RejectionDate]],"dddd")</f>
        <v>Monday</v>
      </c>
    </row>
    <row r="3494" spans="1:14">
      <c r="A3494" t="s">
        <v>360</v>
      </c>
      <c r="B3494" t="s">
        <v>2069</v>
      </c>
      <c r="C3494" t="s">
        <v>467</v>
      </c>
      <c r="D3494" t="s">
        <v>13</v>
      </c>
      <c r="E3494" s="7">
        <v>45647</v>
      </c>
      <c r="F3494" t="s">
        <v>2343</v>
      </c>
      <c r="G3494">
        <v>0</v>
      </c>
      <c r="H3494" t="s">
        <v>15</v>
      </c>
      <c r="I3494" t="s">
        <v>16</v>
      </c>
      <c r="J3494" t="s">
        <v>16</v>
      </c>
      <c r="K3494" t="str">
        <f>VLOOKUP(C3494,CheckName!A:B,2,0)</f>
        <v>Special Check</v>
      </c>
      <c r="L3494">
        <v>0</v>
      </c>
      <c r="M3494">
        <f t="shared" ref="M3494:M3503" si="504">DAY(E3494)</f>
        <v>21</v>
      </c>
      <c r="N3494" t="str">
        <f>TEXT(MTDRejection[[#This Row],[RejectionDate]],"dddd")</f>
        <v>Saturday</v>
      </c>
    </row>
    <row r="3495" spans="1:14">
      <c r="A3495" t="s">
        <v>584</v>
      </c>
      <c r="B3495" t="s">
        <v>5693</v>
      </c>
      <c r="C3495" t="s">
        <v>19</v>
      </c>
      <c r="D3495" t="s">
        <v>20</v>
      </c>
      <c r="E3495" s="7">
        <v>45647</v>
      </c>
      <c r="F3495" t="s">
        <v>273</v>
      </c>
      <c r="G3495">
        <v>0</v>
      </c>
      <c r="H3495" t="s">
        <v>22</v>
      </c>
      <c r="I3495" t="s">
        <v>16</v>
      </c>
      <c r="J3495" t="s">
        <v>16</v>
      </c>
      <c r="K3495" t="str">
        <f>VLOOKUP(C3495,CheckName!A:B,2,0)</f>
        <v>Add</v>
      </c>
      <c r="L3495">
        <v>0</v>
      </c>
      <c r="M3495">
        <f t="shared" si="504"/>
        <v>21</v>
      </c>
      <c r="N3495" t="str">
        <f>TEXT(MTDRejection[[#This Row],[RejectionDate]],"dddd")</f>
        <v>Saturday</v>
      </c>
    </row>
    <row r="3496" spans="1:14">
      <c r="A3496" t="s">
        <v>45</v>
      </c>
      <c r="B3496" t="s">
        <v>2725</v>
      </c>
      <c r="C3496" t="s">
        <v>36</v>
      </c>
      <c r="D3496" t="s">
        <v>26</v>
      </c>
      <c r="E3496" s="7">
        <v>45647</v>
      </c>
      <c r="F3496" t="s">
        <v>224</v>
      </c>
      <c r="G3496">
        <v>0</v>
      </c>
      <c r="H3496" t="s">
        <v>22</v>
      </c>
      <c r="I3496" t="s">
        <v>16</v>
      </c>
      <c r="J3496" t="s">
        <v>16</v>
      </c>
      <c r="K3496" t="str">
        <f>VLOOKUP(C3496,CheckName!A:B,2,0)</f>
        <v>Emp</v>
      </c>
      <c r="L3496">
        <v>0</v>
      </c>
      <c r="M3496">
        <f t="shared" si="504"/>
        <v>21</v>
      </c>
      <c r="N3496" t="str">
        <f>TEXT(MTDRejection[[#This Row],[RejectionDate]],"dddd")</f>
        <v>Saturday</v>
      </c>
    </row>
    <row r="3497" spans="1:14">
      <c r="A3497" t="s">
        <v>465</v>
      </c>
      <c r="B3497" t="s">
        <v>5694</v>
      </c>
      <c r="C3497" t="s">
        <v>25</v>
      </c>
      <c r="D3497" t="s">
        <v>26</v>
      </c>
      <c r="E3497" s="7">
        <v>45647</v>
      </c>
      <c r="F3497" t="s">
        <v>66</v>
      </c>
      <c r="G3497">
        <v>0</v>
      </c>
      <c r="H3497" t="s">
        <v>27</v>
      </c>
      <c r="I3497" t="s">
        <v>16</v>
      </c>
      <c r="J3497" t="s">
        <v>16</v>
      </c>
      <c r="K3497" t="str">
        <f>VLOOKUP(C3497,CheckName!A:B,2,0)</f>
        <v>Add</v>
      </c>
      <c r="L3497">
        <v>0</v>
      </c>
      <c r="M3497">
        <f t="shared" si="504"/>
        <v>21</v>
      </c>
      <c r="N3497" t="str">
        <f>TEXT(MTDRejection[[#This Row],[RejectionDate]],"dddd")</f>
        <v>Saturday</v>
      </c>
    </row>
    <row r="3498" spans="1:14">
      <c r="A3498" t="s">
        <v>362</v>
      </c>
      <c r="B3498" t="s">
        <v>5695</v>
      </c>
      <c r="C3498" t="s">
        <v>25</v>
      </c>
      <c r="D3498" t="s">
        <v>26</v>
      </c>
      <c r="E3498" s="7">
        <v>45647</v>
      </c>
      <c r="F3498" t="s">
        <v>66</v>
      </c>
      <c r="G3498">
        <v>0</v>
      </c>
      <c r="H3498" t="s">
        <v>95</v>
      </c>
      <c r="I3498" t="s">
        <v>16</v>
      </c>
      <c r="J3498" t="s">
        <v>16</v>
      </c>
      <c r="K3498" t="str">
        <f>VLOOKUP(C3498,CheckName!A:B,2,0)</f>
        <v>Add</v>
      </c>
      <c r="L3498">
        <v>0</v>
      </c>
      <c r="M3498">
        <f t="shared" si="504"/>
        <v>21</v>
      </c>
      <c r="N3498" t="str">
        <f>TEXT(MTDRejection[[#This Row],[RejectionDate]],"dddd")</f>
        <v>Saturday</v>
      </c>
    </row>
    <row r="3499" spans="1:14">
      <c r="A3499" t="s">
        <v>362</v>
      </c>
      <c r="B3499" t="s">
        <v>2726</v>
      </c>
      <c r="C3499" t="s">
        <v>25</v>
      </c>
      <c r="D3499" t="s">
        <v>26</v>
      </c>
      <c r="E3499" s="7">
        <v>45647</v>
      </c>
      <c r="F3499" t="s">
        <v>66</v>
      </c>
      <c r="G3499">
        <v>0</v>
      </c>
      <c r="H3499" t="s">
        <v>15</v>
      </c>
      <c r="I3499" t="s">
        <v>16</v>
      </c>
      <c r="J3499" t="s">
        <v>16</v>
      </c>
      <c r="K3499" t="str">
        <f>VLOOKUP(C3499,CheckName!A:B,2,0)</f>
        <v>Add</v>
      </c>
      <c r="L3499">
        <v>0</v>
      </c>
      <c r="M3499">
        <f t="shared" si="504"/>
        <v>21</v>
      </c>
      <c r="N3499" t="str">
        <f>TEXT(MTDRejection[[#This Row],[RejectionDate]],"dddd")</f>
        <v>Saturday</v>
      </c>
    </row>
    <row r="3500" spans="1:14">
      <c r="A3500" t="s">
        <v>160</v>
      </c>
      <c r="B3500" t="s">
        <v>5696</v>
      </c>
      <c r="C3500" t="s">
        <v>93</v>
      </c>
      <c r="D3500" t="s">
        <v>26</v>
      </c>
      <c r="E3500" s="7">
        <v>45647</v>
      </c>
      <c r="F3500" t="s">
        <v>63</v>
      </c>
      <c r="G3500">
        <v>0</v>
      </c>
      <c r="H3500" t="s">
        <v>27</v>
      </c>
      <c r="I3500" t="s">
        <v>16</v>
      </c>
      <c r="J3500" t="s">
        <v>16</v>
      </c>
      <c r="K3500" t="str">
        <f>VLOOKUP(C3500,CheckName!A:B,2,0)</f>
        <v>Edu</v>
      </c>
      <c r="L3500">
        <v>0</v>
      </c>
      <c r="M3500">
        <f t="shared" si="504"/>
        <v>21</v>
      </c>
      <c r="N3500" t="str">
        <f>TEXT(MTDRejection[[#This Row],[RejectionDate]],"dddd")</f>
        <v>Saturday</v>
      </c>
    </row>
    <row r="3501" spans="1:14">
      <c r="A3501" t="s">
        <v>45</v>
      </c>
      <c r="B3501" t="s">
        <v>5697</v>
      </c>
      <c r="C3501" t="s">
        <v>54</v>
      </c>
      <c r="D3501" t="s">
        <v>26</v>
      </c>
      <c r="E3501" s="7">
        <v>45647</v>
      </c>
      <c r="F3501" t="s">
        <v>63</v>
      </c>
      <c r="G3501">
        <v>0</v>
      </c>
      <c r="H3501" t="s">
        <v>95</v>
      </c>
      <c r="I3501" t="s">
        <v>16</v>
      </c>
      <c r="J3501" t="s">
        <v>16</v>
      </c>
      <c r="K3501" t="str">
        <f>VLOOKUP(C3501,CheckName!A:B,2,0)</f>
        <v>Edu</v>
      </c>
      <c r="L3501">
        <v>0</v>
      </c>
      <c r="M3501">
        <f t="shared" si="504"/>
        <v>21</v>
      </c>
      <c r="N3501" t="str">
        <f>TEXT(MTDRejection[[#This Row],[RejectionDate]],"dddd")</f>
        <v>Saturday</v>
      </c>
    </row>
    <row r="3502" spans="1:14">
      <c r="A3502" t="s">
        <v>45</v>
      </c>
      <c r="B3502" t="s">
        <v>5698</v>
      </c>
      <c r="C3502" t="s">
        <v>59</v>
      </c>
      <c r="D3502" t="s">
        <v>38</v>
      </c>
      <c r="E3502" s="7">
        <v>45647</v>
      </c>
      <c r="F3502" t="s">
        <v>118</v>
      </c>
      <c r="G3502">
        <v>0</v>
      </c>
      <c r="H3502" t="s">
        <v>22</v>
      </c>
      <c r="I3502" t="s">
        <v>16</v>
      </c>
      <c r="J3502" t="s">
        <v>16</v>
      </c>
      <c r="K3502" t="str">
        <f>VLOOKUP(C3502,CheckName!A:B,2,0)</f>
        <v>Special Check</v>
      </c>
      <c r="L3502">
        <v>0</v>
      </c>
      <c r="M3502">
        <f t="shared" si="504"/>
        <v>21</v>
      </c>
      <c r="N3502" t="str">
        <f>TEXT(MTDRejection[[#This Row],[RejectionDate]],"dddd")</f>
        <v>Saturday</v>
      </c>
    </row>
    <row r="3503" spans="1:14">
      <c r="A3503" t="s">
        <v>517</v>
      </c>
      <c r="B3503" t="s">
        <v>5699</v>
      </c>
      <c r="C3503" t="s">
        <v>112</v>
      </c>
      <c r="D3503" t="s">
        <v>26</v>
      </c>
      <c r="E3503" s="7">
        <v>45647</v>
      </c>
      <c r="F3503" t="s">
        <v>182</v>
      </c>
      <c r="G3503">
        <v>0</v>
      </c>
      <c r="H3503" t="s">
        <v>27</v>
      </c>
      <c r="I3503" t="s">
        <v>16</v>
      </c>
      <c r="J3503" t="s">
        <v>16</v>
      </c>
      <c r="K3503" t="str">
        <f>VLOOKUP(C3503,CheckName!A:B,2,0)</f>
        <v>Emp</v>
      </c>
      <c r="L3503">
        <v>0</v>
      </c>
      <c r="M3503">
        <f t="shared" si="504"/>
        <v>21</v>
      </c>
      <c r="N3503" t="str">
        <f>TEXT(MTDRejection[[#This Row],[RejectionDate]],"dddd")</f>
        <v>Saturday</v>
      </c>
    </row>
    <row r="3504" spans="1:14">
      <c r="A3504" t="s">
        <v>100</v>
      </c>
      <c r="B3504" t="s">
        <v>5700</v>
      </c>
      <c r="C3504" t="s">
        <v>357</v>
      </c>
      <c r="D3504" t="s">
        <v>26</v>
      </c>
      <c r="E3504" s="7">
        <v>45647</v>
      </c>
      <c r="F3504" t="s">
        <v>380</v>
      </c>
      <c r="G3504">
        <v>0</v>
      </c>
      <c r="H3504" t="s">
        <v>27</v>
      </c>
      <c r="I3504" t="s">
        <v>16</v>
      </c>
      <c r="J3504" t="s">
        <v>16</v>
      </c>
      <c r="K3504" t="str">
        <f>VLOOKUP(C3504,CheckName!A:B,2,0)</f>
        <v>Emp</v>
      </c>
      <c r="L3504">
        <v>0</v>
      </c>
      <c r="M3504">
        <f t="shared" ref="M3504:M3506" si="505">DAY(E3504)</f>
        <v>21</v>
      </c>
      <c r="N3504" t="str">
        <f>TEXT(MTDRejection[[#This Row],[RejectionDate]],"dddd")</f>
        <v>Saturday</v>
      </c>
    </row>
    <row r="3505" spans="1:14">
      <c r="A3505" t="s">
        <v>274</v>
      </c>
      <c r="B3505" t="s">
        <v>5701</v>
      </c>
      <c r="C3505" t="s">
        <v>54</v>
      </c>
      <c r="D3505" t="s">
        <v>26</v>
      </c>
      <c r="E3505" s="7">
        <v>45647</v>
      </c>
      <c r="F3505" t="s">
        <v>535</v>
      </c>
      <c r="G3505">
        <v>0</v>
      </c>
      <c r="H3505" t="s">
        <v>22</v>
      </c>
      <c r="I3505" t="s">
        <v>16</v>
      </c>
      <c r="J3505" t="s">
        <v>16</v>
      </c>
      <c r="K3505" t="str">
        <f>VLOOKUP(C3505,CheckName!A:B,2,0)</f>
        <v>Edu</v>
      </c>
      <c r="L3505">
        <v>0</v>
      </c>
      <c r="M3505">
        <f t="shared" si="505"/>
        <v>21</v>
      </c>
      <c r="N3505" t="str">
        <f>TEXT(MTDRejection[[#This Row],[RejectionDate]],"dddd")</f>
        <v>Saturday</v>
      </c>
    </row>
    <row r="3506" spans="1:14">
      <c r="A3506" t="s">
        <v>306</v>
      </c>
      <c r="B3506" t="s">
        <v>5702</v>
      </c>
      <c r="C3506" t="s">
        <v>54</v>
      </c>
      <c r="D3506" t="s">
        <v>26</v>
      </c>
      <c r="E3506" s="7">
        <v>45647</v>
      </c>
      <c r="F3506" t="s">
        <v>535</v>
      </c>
      <c r="G3506">
        <v>0</v>
      </c>
      <c r="H3506" t="s">
        <v>27</v>
      </c>
      <c r="I3506" t="s">
        <v>16</v>
      </c>
      <c r="J3506" t="s">
        <v>16</v>
      </c>
      <c r="K3506" t="str">
        <f>VLOOKUP(C3506,CheckName!A:B,2,0)</f>
        <v>Edu</v>
      </c>
      <c r="L3506">
        <v>1</v>
      </c>
      <c r="M3506">
        <f t="shared" si="505"/>
        <v>21</v>
      </c>
      <c r="N3506" t="str">
        <f>TEXT(MTDRejection[[#This Row],[RejectionDate]],"dddd")</f>
        <v>Saturday</v>
      </c>
    </row>
    <row r="3507" spans="1:14">
      <c r="A3507" t="s">
        <v>45</v>
      </c>
      <c r="B3507" t="s">
        <v>5703</v>
      </c>
      <c r="C3507" t="s">
        <v>54</v>
      </c>
      <c r="D3507" t="s">
        <v>13</v>
      </c>
      <c r="E3507" s="7">
        <v>45647</v>
      </c>
      <c r="F3507" t="s">
        <v>98</v>
      </c>
      <c r="G3507">
        <v>0</v>
      </c>
      <c r="H3507" t="s">
        <v>15</v>
      </c>
      <c r="I3507" t="s">
        <v>16</v>
      </c>
      <c r="J3507" t="s">
        <v>16</v>
      </c>
      <c r="K3507" t="str">
        <f>VLOOKUP(C3507,CheckName!A:B,2,0)</f>
        <v>Edu</v>
      </c>
      <c r="L3507">
        <v>0</v>
      </c>
      <c r="M3507">
        <f t="shared" ref="M3507:M3508" si="506">DAY(E3507)</f>
        <v>21</v>
      </c>
      <c r="N3507" t="str">
        <f>TEXT(MTDRejection[[#This Row],[RejectionDate]],"dddd")</f>
        <v>Saturday</v>
      </c>
    </row>
    <row r="3508" spans="1:14">
      <c r="A3508" t="s">
        <v>100</v>
      </c>
      <c r="B3508" t="s">
        <v>5704</v>
      </c>
      <c r="C3508" t="s">
        <v>102</v>
      </c>
      <c r="D3508" t="s">
        <v>51</v>
      </c>
      <c r="E3508" s="7">
        <v>45647</v>
      </c>
      <c r="F3508" t="s">
        <v>555</v>
      </c>
      <c r="G3508">
        <v>0</v>
      </c>
      <c r="H3508" t="s">
        <v>53</v>
      </c>
      <c r="I3508" t="s">
        <v>16</v>
      </c>
      <c r="J3508" t="s">
        <v>16</v>
      </c>
      <c r="K3508" t="str">
        <f>VLOOKUP(C3508,CheckName!A:B,2,0)</f>
        <v>Edu</v>
      </c>
      <c r="L3508">
        <v>0</v>
      </c>
      <c r="M3508">
        <f t="shared" si="506"/>
        <v>21</v>
      </c>
      <c r="N3508" t="str">
        <f>TEXT(MTDRejection[[#This Row],[RejectionDate]],"dddd")</f>
        <v>Saturday</v>
      </c>
    </row>
    <row r="3509" spans="1:14">
      <c r="A3509" t="s">
        <v>100</v>
      </c>
      <c r="B3509" t="s">
        <v>5705</v>
      </c>
      <c r="C3509" t="s">
        <v>1724</v>
      </c>
      <c r="D3509" t="s">
        <v>38</v>
      </c>
      <c r="E3509" s="7">
        <v>45647</v>
      </c>
      <c r="F3509" t="s">
        <v>118</v>
      </c>
      <c r="G3509">
        <v>0</v>
      </c>
      <c r="H3509" t="s">
        <v>30</v>
      </c>
      <c r="I3509" t="s">
        <v>16</v>
      </c>
      <c r="J3509" t="s">
        <v>16</v>
      </c>
      <c r="K3509" t="str">
        <f>VLOOKUP(C3509,CheckName!A:B,2,0)</f>
        <v>Investigation</v>
      </c>
      <c r="L3509">
        <v>0</v>
      </c>
      <c r="M3509">
        <f>DAY(E3509)</f>
        <v>21</v>
      </c>
      <c r="N3509" t="str">
        <f>TEXT(MTDRejection[[#This Row],[RejectionDate]],"dddd")</f>
        <v>Saturday</v>
      </c>
    </row>
    <row r="3510" spans="1:14">
      <c r="A3510" t="s">
        <v>281</v>
      </c>
      <c r="B3510" t="s">
        <v>5706</v>
      </c>
      <c r="C3510" t="s">
        <v>12</v>
      </c>
      <c r="D3510" t="s">
        <v>26</v>
      </c>
      <c r="E3510" s="7">
        <v>45647</v>
      </c>
      <c r="F3510" t="s">
        <v>115</v>
      </c>
      <c r="G3510">
        <v>0</v>
      </c>
      <c r="H3510" t="s">
        <v>27</v>
      </c>
      <c r="I3510" t="s">
        <v>16</v>
      </c>
      <c r="J3510" t="s">
        <v>16</v>
      </c>
      <c r="K3510" t="str">
        <f>VLOOKUP(C3510,CheckName!A:B,2,0)</f>
        <v>Emp</v>
      </c>
      <c r="L3510">
        <v>0</v>
      </c>
      <c r="M3510">
        <f t="shared" ref="M3510:M3513" si="507">DAY(E3510)</f>
        <v>21</v>
      </c>
      <c r="N3510" t="str">
        <f>TEXT(MTDRejection[[#This Row],[RejectionDate]],"dddd")</f>
        <v>Saturday</v>
      </c>
    </row>
    <row r="3511" spans="1:14">
      <c r="A3511" t="s">
        <v>142</v>
      </c>
      <c r="B3511" t="s">
        <v>5707</v>
      </c>
      <c r="C3511" t="s">
        <v>36</v>
      </c>
      <c r="D3511" t="s">
        <v>26</v>
      </c>
      <c r="E3511" s="7">
        <v>45647</v>
      </c>
      <c r="F3511" t="s">
        <v>151</v>
      </c>
      <c r="G3511">
        <v>0</v>
      </c>
      <c r="H3511" t="s">
        <v>130</v>
      </c>
      <c r="I3511" t="s">
        <v>16</v>
      </c>
      <c r="J3511" t="s">
        <v>16</v>
      </c>
      <c r="K3511" t="str">
        <f>VLOOKUP(C3511,CheckName!A:B,2,0)</f>
        <v>Emp</v>
      </c>
      <c r="L3511">
        <v>0</v>
      </c>
      <c r="M3511">
        <f t="shared" si="507"/>
        <v>21</v>
      </c>
      <c r="N3511" t="str">
        <f>TEXT(MTDRejection[[#This Row],[RejectionDate]],"dddd")</f>
        <v>Saturday</v>
      </c>
    </row>
    <row r="3512" spans="1:14">
      <c r="A3512" t="s">
        <v>84</v>
      </c>
      <c r="B3512" t="s">
        <v>5708</v>
      </c>
      <c r="C3512" t="s">
        <v>125</v>
      </c>
      <c r="D3512" t="s">
        <v>26</v>
      </c>
      <c r="E3512" s="7">
        <v>45647</v>
      </c>
      <c r="F3512" t="s">
        <v>151</v>
      </c>
      <c r="G3512">
        <v>0</v>
      </c>
      <c r="H3512" t="s">
        <v>27</v>
      </c>
      <c r="I3512" t="s">
        <v>16</v>
      </c>
      <c r="J3512" t="s">
        <v>16</v>
      </c>
      <c r="K3512" t="str">
        <f>VLOOKUP(C3512,CheckName!A:B,2,0)</f>
        <v>Emp</v>
      </c>
      <c r="L3512">
        <v>0</v>
      </c>
      <c r="M3512">
        <f t="shared" si="507"/>
        <v>21</v>
      </c>
      <c r="N3512" t="str">
        <f>TEXT(MTDRejection[[#This Row],[RejectionDate]],"dddd")</f>
        <v>Saturday</v>
      </c>
    </row>
    <row r="3513" spans="1:14">
      <c r="A3513" t="s">
        <v>84</v>
      </c>
      <c r="B3513" t="s">
        <v>2727</v>
      </c>
      <c r="C3513" t="s">
        <v>36</v>
      </c>
      <c r="D3513" t="s">
        <v>26</v>
      </c>
      <c r="E3513" s="7">
        <v>45647</v>
      </c>
      <c r="F3513" t="s">
        <v>151</v>
      </c>
      <c r="G3513">
        <v>0</v>
      </c>
      <c r="H3513" t="s">
        <v>130</v>
      </c>
      <c r="I3513" t="s">
        <v>16</v>
      </c>
      <c r="J3513" t="s">
        <v>16</v>
      </c>
      <c r="K3513" t="str">
        <f>VLOOKUP(C3513,CheckName!A:B,2,0)</f>
        <v>Emp</v>
      </c>
      <c r="L3513">
        <v>0</v>
      </c>
      <c r="M3513">
        <f t="shared" si="507"/>
        <v>21</v>
      </c>
      <c r="N3513" t="str">
        <f>TEXT(MTDRejection[[#This Row],[RejectionDate]],"dddd")</f>
        <v>Saturday</v>
      </c>
    </row>
    <row r="3514" spans="1:14">
      <c r="A3514" t="s">
        <v>45</v>
      </c>
      <c r="B3514" t="s">
        <v>5709</v>
      </c>
      <c r="C3514" t="s">
        <v>54</v>
      </c>
      <c r="D3514" t="s">
        <v>26</v>
      </c>
      <c r="E3514" s="7">
        <v>45637</v>
      </c>
      <c r="F3514" t="s">
        <v>852</v>
      </c>
      <c r="G3514">
        <v>10</v>
      </c>
      <c r="H3514" t="s">
        <v>27</v>
      </c>
      <c r="I3514" t="s">
        <v>16</v>
      </c>
      <c r="J3514" t="s">
        <v>16</v>
      </c>
      <c r="K3514" t="str">
        <f>VLOOKUP(C3514,CheckName!A:B,2,0)</f>
        <v>Edu</v>
      </c>
      <c r="L3514">
        <v>0</v>
      </c>
      <c r="M3514">
        <f>DAY(E3514)</f>
        <v>11</v>
      </c>
      <c r="N3514" t="str">
        <f>TEXT(MTDRejection[[#This Row],[RejectionDate]],"dddd")</f>
        <v>Wednesday</v>
      </c>
    </row>
    <row r="3515" spans="1:14">
      <c r="A3515" t="s">
        <v>137</v>
      </c>
      <c r="B3515" t="s">
        <v>5710</v>
      </c>
      <c r="C3515" t="s">
        <v>12</v>
      </c>
      <c r="D3515" t="s">
        <v>26</v>
      </c>
      <c r="E3515" s="7">
        <v>45636</v>
      </c>
      <c r="F3515" t="s">
        <v>115</v>
      </c>
      <c r="G3515">
        <v>11</v>
      </c>
      <c r="H3515" t="s">
        <v>22</v>
      </c>
      <c r="I3515" t="s">
        <v>16</v>
      </c>
      <c r="J3515" t="s">
        <v>16</v>
      </c>
      <c r="K3515" t="str">
        <f>VLOOKUP(C3515,CheckName!A:B,2,0)</f>
        <v>Emp</v>
      </c>
      <c r="L3515">
        <v>1</v>
      </c>
      <c r="M3515">
        <f>DAY(E3515)</f>
        <v>10</v>
      </c>
      <c r="N3515" t="str">
        <f>TEXT(MTDRejection[[#This Row],[RejectionDate]],"dddd")</f>
        <v>Tuesday</v>
      </c>
    </row>
    <row r="3516" spans="1:14">
      <c r="A3516" t="s">
        <v>81</v>
      </c>
      <c r="B3516" t="s">
        <v>5711</v>
      </c>
      <c r="C3516" t="s">
        <v>54</v>
      </c>
      <c r="D3516" t="s">
        <v>51</v>
      </c>
      <c r="E3516" s="7">
        <v>45647</v>
      </c>
      <c r="F3516" t="s">
        <v>52</v>
      </c>
      <c r="G3516">
        <v>0</v>
      </c>
      <c r="H3516" t="s">
        <v>53</v>
      </c>
      <c r="I3516" t="s">
        <v>16</v>
      </c>
      <c r="J3516" t="s">
        <v>16</v>
      </c>
      <c r="K3516" t="str">
        <f>VLOOKUP(C3516,CheckName!A:B,2,0)</f>
        <v>Edu</v>
      </c>
      <c r="L3516">
        <v>0</v>
      </c>
      <c r="M3516">
        <f t="shared" ref="M3516:M3517" si="508">DAY(E3516)</f>
        <v>21</v>
      </c>
      <c r="N3516" t="str">
        <f>TEXT(MTDRejection[[#This Row],[RejectionDate]],"dddd")</f>
        <v>Saturday</v>
      </c>
    </row>
    <row r="3517" spans="1:14">
      <c r="A3517" t="s">
        <v>100</v>
      </c>
      <c r="B3517" t="s">
        <v>5712</v>
      </c>
      <c r="C3517" t="s">
        <v>775</v>
      </c>
      <c r="D3517" t="s">
        <v>13</v>
      </c>
      <c r="E3517" s="7">
        <v>45647</v>
      </c>
      <c r="F3517" t="s">
        <v>2345</v>
      </c>
      <c r="G3517">
        <v>0</v>
      </c>
      <c r="H3517" t="s">
        <v>15</v>
      </c>
      <c r="I3517" t="s">
        <v>16</v>
      </c>
      <c r="J3517" t="s">
        <v>16</v>
      </c>
      <c r="K3517" t="str">
        <f>VLOOKUP(C3517,CheckName!A:B,2,0)</f>
        <v>Emp</v>
      </c>
      <c r="L3517">
        <v>0</v>
      </c>
      <c r="M3517">
        <f t="shared" si="508"/>
        <v>21</v>
      </c>
      <c r="N3517" t="str">
        <f>TEXT(MTDRejection[[#This Row],[RejectionDate]],"dddd")</f>
        <v>Saturday</v>
      </c>
    </row>
    <row r="3518" spans="1:14">
      <c r="A3518" t="s">
        <v>306</v>
      </c>
      <c r="B3518" t="s">
        <v>5713</v>
      </c>
      <c r="C3518" t="s">
        <v>49</v>
      </c>
      <c r="D3518" t="s">
        <v>13</v>
      </c>
      <c r="E3518" s="7">
        <v>45647</v>
      </c>
      <c r="F3518" t="s">
        <v>844</v>
      </c>
      <c r="G3518">
        <v>0</v>
      </c>
      <c r="H3518" t="s">
        <v>15</v>
      </c>
      <c r="I3518" t="s">
        <v>16</v>
      </c>
      <c r="J3518" t="s">
        <v>16</v>
      </c>
      <c r="K3518" t="str">
        <f>VLOOKUP(C3518,CheckName!A:B,2,0)</f>
        <v>CRC</v>
      </c>
      <c r="L3518">
        <v>0</v>
      </c>
      <c r="M3518">
        <f t="shared" ref="M3518:M3521" si="509">DAY(E3518)</f>
        <v>21</v>
      </c>
      <c r="N3518" t="str">
        <f>TEXT(MTDRejection[[#This Row],[RejectionDate]],"dddd")</f>
        <v>Saturday</v>
      </c>
    </row>
    <row r="3519" spans="1:14">
      <c r="A3519" t="s">
        <v>306</v>
      </c>
      <c r="B3519" t="s">
        <v>5714</v>
      </c>
      <c r="C3519" t="s">
        <v>1103</v>
      </c>
      <c r="D3519" t="s">
        <v>13</v>
      </c>
      <c r="E3519" s="7">
        <v>45647</v>
      </c>
      <c r="F3519" t="s">
        <v>844</v>
      </c>
      <c r="G3519">
        <v>0</v>
      </c>
      <c r="H3519" t="s">
        <v>30</v>
      </c>
      <c r="I3519" t="s">
        <v>16</v>
      </c>
      <c r="J3519" t="s">
        <v>16</v>
      </c>
      <c r="K3519" t="str">
        <f>VLOOKUP(C3519,CheckName!A:B,2,0)</f>
        <v>CRC</v>
      </c>
      <c r="L3519">
        <v>0</v>
      </c>
      <c r="M3519">
        <f t="shared" si="509"/>
        <v>21</v>
      </c>
      <c r="N3519" t="str">
        <f>TEXT(MTDRejection[[#This Row],[RejectionDate]],"dddd")</f>
        <v>Saturday</v>
      </c>
    </row>
    <row r="3520" spans="1:14">
      <c r="A3520" t="s">
        <v>306</v>
      </c>
      <c r="B3520" t="s">
        <v>5715</v>
      </c>
      <c r="C3520" t="s">
        <v>19</v>
      </c>
      <c r="D3520" t="s">
        <v>13</v>
      </c>
      <c r="E3520" s="7">
        <v>45647</v>
      </c>
      <c r="F3520" t="s">
        <v>844</v>
      </c>
      <c r="G3520">
        <v>0</v>
      </c>
      <c r="H3520" t="s">
        <v>15</v>
      </c>
      <c r="I3520" t="s">
        <v>16</v>
      </c>
      <c r="J3520" t="s">
        <v>16</v>
      </c>
      <c r="K3520" t="str">
        <f>VLOOKUP(C3520,CheckName!A:B,2,0)</f>
        <v>Add</v>
      </c>
      <c r="L3520">
        <v>0</v>
      </c>
      <c r="M3520">
        <f t="shared" si="509"/>
        <v>21</v>
      </c>
      <c r="N3520" t="str">
        <f>TEXT(MTDRejection[[#This Row],[RejectionDate]],"dddd")</f>
        <v>Saturday</v>
      </c>
    </row>
    <row r="3521" spans="1:14">
      <c r="A3521" t="s">
        <v>306</v>
      </c>
      <c r="B3521" t="s">
        <v>5716</v>
      </c>
      <c r="C3521" t="s">
        <v>56</v>
      </c>
      <c r="D3521" t="s">
        <v>13</v>
      </c>
      <c r="E3521" s="7">
        <v>45647</v>
      </c>
      <c r="F3521" t="s">
        <v>844</v>
      </c>
      <c r="G3521">
        <v>0</v>
      </c>
      <c r="H3521" t="s">
        <v>15</v>
      </c>
      <c r="I3521" t="s">
        <v>16</v>
      </c>
      <c r="J3521" t="s">
        <v>16</v>
      </c>
      <c r="K3521" t="str">
        <f>VLOOKUP(C3521,CheckName!A:B,2,0)</f>
        <v>Special Check</v>
      </c>
      <c r="L3521">
        <v>0</v>
      </c>
      <c r="M3521">
        <f t="shared" si="509"/>
        <v>21</v>
      </c>
      <c r="N3521" t="str">
        <f>TEXT(MTDRejection[[#This Row],[RejectionDate]],"dddd")</f>
        <v>Saturday</v>
      </c>
    </row>
    <row r="3522" spans="1:14">
      <c r="A3522" t="s">
        <v>45</v>
      </c>
      <c r="B3522" t="s">
        <v>5717</v>
      </c>
      <c r="C3522" t="s">
        <v>19</v>
      </c>
      <c r="D3522" t="s">
        <v>26</v>
      </c>
      <c r="E3522" s="7">
        <v>45647</v>
      </c>
      <c r="F3522" t="s">
        <v>66</v>
      </c>
      <c r="G3522">
        <v>0</v>
      </c>
      <c r="H3522" t="s">
        <v>15</v>
      </c>
      <c r="I3522" t="s">
        <v>16</v>
      </c>
      <c r="J3522" t="s">
        <v>16</v>
      </c>
      <c r="K3522" t="str">
        <f>VLOOKUP(C3522,CheckName!A:B,2,0)</f>
        <v>Add</v>
      </c>
      <c r="L3522">
        <v>0</v>
      </c>
      <c r="M3522">
        <f t="shared" ref="M3522:M3526" si="510">DAY(E3522)</f>
        <v>21</v>
      </c>
      <c r="N3522" t="str">
        <f>TEXT(MTDRejection[[#This Row],[RejectionDate]],"dddd")</f>
        <v>Saturday</v>
      </c>
    </row>
    <row r="3523" spans="1:14">
      <c r="A3523" t="s">
        <v>1110</v>
      </c>
      <c r="B3523" t="s">
        <v>2728</v>
      </c>
      <c r="C3523" t="s">
        <v>965</v>
      </c>
      <c r="D3523" t="s">
        <v>26</v>
      </c>
      <c r="E3523" s="7">
        <v>45647</v>
      </c>
      <c r="F3523" t="s">
        <v>2330</v>
      </c>
      <c r="G3523">
        <v>0</v>
      </c>
      <c r="H3523" t="s">
        <v>27</v>
      </c>
      <c r="I3523" t="s">
        <v>16</v>
      </c>
      <c r="J3523" t="s">
        <v>16</v>
      </c>
      <c r="K3523" t="str">
        <f>VLOOKUP(C3523,CheckName!A:B,2,0)</f>
        <v>Add</v>
      </c>
      <c r="L3523">
        <v>0</v>
      </c>
      <c r="M3523">
        <f t="shared" si="510"/>
        <v>21</v>
      </c>
      <c r="N3523" t="str">
        <f>TEXT(MTDRejection[[#This Row],[RejectionDate]],"dddd")</f>
        <v>Saturday</v>
      </c>
    </row>
    <row r="3524" spans="1:14">
      <c r="A3524" t="s">
        <v>1110</v>
      </c>
      <c r="B3524" t="s">
        <v>5718</v>
      </c>
      <c r="C3524" t="s">
        <v>965</v>
      </c>
      <c r="D3524" t="s">
        <v>26</v>
      </c>
      <c r="E3524" s="7">
        <v>45647</v>
      </c>
      <c r="F3524" t="s">
        <v>2330</v>
      </c>
      <c r="G3524">
        <v>0</v>
      </c>
      <c r="H3524" t="s">
        <v>27</v>
      </c>
      <c r="I3524" t="s">
        <v>16</v>
      </c>
      <c r="J3524" t="s">
        <v>16</v>
      </c>
      <c r="K3524" t="str">
        <f>VLOOKUP(C3524,CheckName!A:B,2,0)</f>
        <v>Add</v>
      </c>
      <c r="L3524">
        <v>0</v>
      </c>
      <c r="M3524">
        <f t="shared" si="510"/>
        <v>21</v>
      </c>
      <c r="N3524" t="str">
        <f>TEXT(MTDRejection[[#This Row],[RejectionDate]],"dddd")</f>
        <v>Saturday</v>
      </c>
    </row>
    <row r="3525" spans="1:14">
      <c r="A3525" t="s">
        <v>1110</v>
      </c>
      <c r="B3525" t="s">
        <v>5719</v>
      </c>
      <c r="C3525" t="s">
        <v>965</v>
      </c>
      <c r="D3525" t="s">
        <v>26</v>
      </c>
      <c r="E3525" s="7">
        <v>45647</v>
      </c>
      <c r="F3525" t="s">
        <v>2330</v>
      </c>
      <c r="G3525">
        <v>0</v>
      </c>
      <c r="H3525" t="s">
        <v>27</v>
      </c>
      <c r="I3525" t="s">
        <v>16</v>
      </c>
      <c r="J3525" t="s">
        <v>16</v>
      </c>
      <c r="K3525" t="str">
        <f>VLOOKUP(C3525,CheckName!A:B,2,0)</f>
        <v>Add</v>
      </c>
      <c r="L3525">
        <v>0</v>
      </c>
      <c r="M3525">
        <f t="shared" si="510"/>
        <v>21</v>
      </c>
      <c r="N3525" t="str">
        <f>TEXT(MTDRejection[[#This Row],[RejectionDate]],"dddd")</f>
        <v>Saturday</v>
      </c>
    </row>
    <row r="3526" spans="1:14">
      <c r="A3526" t="s">
        <v>45</v>
      </c>
      <c r="B3526" t="s">
        <v>5720</v>
      </c>
      <c r="C3526" t="s">
        <v>112</v>
      </c>
      <c r="D3526" t="s">
        <v>26</v>
      </c>
      <c r="E3526" s="7">
        <v>45647</v>
      </c>
      <c r="F3526" t="s">
        <v>224</v>
      </c>
      <c r="G3526">
        <v>0</v>
      </c>
      <c r="H3526" t="s">
        <v>27</v>
      </c>
      <c r="I3526" t="s">
        <v>16</v>
      </c>
      <c r="J3526" t="s">
        <v>16</v>
      </c>
      <c r="K3526" t="str">
        <f>VLOOKUP(C3526,CheckName!A:B,2,0)</f>
        <v>Emp</v>
      </c>
      <c r="L3526">
        <v>0</v>
      </c>
      <c r="M3526">
        <f t="shared" si="510"/>
        <v>21</v>
      </c>
      <c r="N3526" t="str">
        <f>TEXT(MTDRejection[[#This Row],[RejectionDate]],"dddd")</f>
        <v>Saturday</v>
      </c>
    </row>
    <row r="3527" spans="1:14">
      <c r="A3527" t="s">
        <v>160</v>
      </c>
      <c r="B3527" t="s">
        <v>5721</v>
      </c>
      <c r="C3527" t="s">
        <v>36</v>
      </c>
      <c r="D3527" t="s">
        <v>26</v>
      </c>
      <c r="E3527" s="7">
        <v>45647</v>
      </c>
      <c r="F3527" t="s">
        <v>83</v>
      </c>
      <c r="G3527">
        <v>0</v>
      </c>
      <c r="H3527" t="s">
        <v>27</v>
      </c>
      <c r="I3527" t="s">
        <v>16</v>
      </c>
      <c r="J3527" t="s">
        <v>16</v>
      </c>
      <c r="K3527" t="str">
        <f>VLOOKUP(C3527,CheckName!A:B,2,0)</f>
        <v>Emp</v>
      </c>
      <c r="L3527">
        <v>0</v>
      </c>
      <c r="M3527">
        <f>DAY(E3527)</f>
        <v>21</v>
      </c>
      <c r="N3527" t="str">
        <f>TEXT(MTDRejection[[#This Row],[RejectionDate]],"dddd")</f>
        <v>Saturday</v>
      </c>
    </row>
    <row r="3528" spans="1:14">
      <c r="A3528" t="s">
        <v>685</v>
      </c>
      <c r="B3528" t="s">
        <v>5722</v>
      </c>
      <c r="C3528" t="s">
        <v>54</v>
      </c>
      <c r="D3528" t="s">
        <v>26</v>
      </c>
      <c r="E3528" s="7">
        <v>45647</v>
      </c>
      <c r="F3528" t="s">
        <v>63</v>
      </c>
      <c r="G3528">
        <v>0</v>
      </c>
      <c r="H3528" t="s">
        <v>95</v>
      </c>
      <c r="I3528" t="s">
        <v>16</v>
      </c>
      <c r="J3528" t="s">
        <v>16</v>
      </c>
      <c r="K3528" t="str">
        <f>VLOOKUP(C3528,CheckName!A:B,2,0)</f>
        <v>Edu</v>
      </c>
      <c r="L3528">
        <v>0</v>
      </c>
      <c r="M3528">
        <f>DAY(E3528)</f>
        <v>21</v>
      </c>
      <c r="N3528" t="str">
        <f>TEXT(MTDRejection[[#This Row],[RejectionDate]],"dddd")</f>
        <v>Saturday</v>
      </c>
    </row>
    <row r="3529" spans="1:14">
      <c r="A3529" t="s">
        <v>580</v>
      </c>
      <c r="B3529" t="s">
        <v>5723</v>
      </c>
      <c r="C3529" t="s">
        <v>25</v>
      </c>
      <c r="D3529" t="s">
        <v>20</v>
      </c>
      <c r="E3529" s="7">
        <v>45647</v>
      </c>
      <c r="F3529" t="s">
        <v>273</v>
      </c>
      <c r="G3529">
        <v>0</v>
      </c>
      <c r="H3529" t="s">
        <v>27</v>
      </c>
      <c r="I3529" t="s">
        <v>16</v>
      </c>
      <c r="J3529" t="s">
        <v>16</v>
      </c>
      <c r="K3529" t="str">
        <f>VLOOKUP(C3529,CheckName!A:B,2,0)</f>
        <v>Add</v>
      </c>
      <c r="L3529">
        <v>1</v>
      </c>
      <c r="M3529">
        <f>DAY(E3529)</f>
        <v>21</v>
      </c>
      <c r="N3529" t="str">
        <f>TEXT(MTDRejection[[#This Row],[RejectionDate]],"dddd")</f>
        <v>Saturday</v>
      </c>
    </row>
    <row r="3530" spans="1:14">
      <c r="A3530" t="s">
        <v>452</v>
      </c>
      <c r="B3530" t="s">
        <v>5724</v>
      </c>
      <c r="C3530" t="s">
        <v>19</v>
      </c>
      <c r="D3530" t="s">
        <v>20</v>
      </c>
      <c r="E3530" s="7">
        <v>45647</v>
      </c>
      <c r="F3530" t="s">
        <v>2327</v>
      </c>
      <c r="G3530">
        <v>0</v>
      </c>
      <c r="H3530" t="s">
        <v>22</v>
      </c>
      <c r="I3530" t="s">
        <v>16</v>
      </c>
      <c r="J3530" t="s">
        <v>16</v>
      </c>
      <c r="K3530" t="str">
        <f>VLOOKUP(C3530,CheckName!A:B,2,0)</f>
        <v>Add</v>
      </c>
      <c r="L3530">
        <v>1</v>
      </c>
      <c r="M3530">
        <f t="shared" ref="M3530:M3539" si="511">DAY(E3530)</f>
        <v>21</v>
      </c>
      <c r="N3530" t="str">
        <f>TEXT(MTDRejection[[#This Row],[RejectionDate]],"dddd")</f>
        <v>Saturday</v>
      </c>
    </row>
    <row r="3531" spans="1:14">
      <c r="A3531" t="s">
        <v>1271</v>
      </c>
      <c r="B3531" t="s">
        <v>2729</v>
      </c>
      <c r="C3531" t="s">
        <v>54</v>
      </c>
      <c r="D3531" t="s">
        <v>26</v>
      </c>
      <c r="E3531" s="7">
        <v>45647</v>
      </c>
      <c r="F3531" t="s">
        <v>1825</v>
      </c>
      <c r="G3531">
        <v>0</v>
      </c>
      <c r="H3531" t="s">
        <v>27</v>
      </c>
      <c r="I3531" t="s">
        <v>16</v>
      </c>
      <c r="J3531" t="s">
        <v>16</v>
      </c>
      <c r="K3531" t="str">
        <f>VLOOKUP(C3531,CheckName!A:B,2,0)</f>
        <v>Edu</v>
      </c>
      <c r="L3531">
        <v>0</v>
      </c>
      <c r="M3531">
        <f t="shared" si="511"/>
        <v>21</v>
      </c>
      <c r="N3531" t="str">
        <f>TEXT(MTDRejection[[#This Row],[RejectionDate]],"dddd")</f>
        <v>Saturday</v>
      </c>
    </row>
    <row r="3532" spans="1:14">
      <c r="A3532" t="s">
        <v>1271</v>
      </c>
      <c r="B3532" t="s">
        <v>5725</v>
      </c>
      <c r="C3532" t="s">
        <v>54</v>
      </c>
      <c r="D3532" t="s">
        <v>26</v>
      </c>
      <c r="E3532" s="7">
        <v>45647</v>
      </c>
      <c r="F3532" t="s">
        <v>535</v>
      </c>
      <c r="G3532">
        <v>0</v>
      </c>
      <c r="H3532" t="s">
        <v>130</v>
      </c>
      <c r="I3532" t="s">
        <v>16</v>
      </c>
      <c r="J3532" t="s">
        <v>16</v>
      </c>
      <c r="K3532" t="str">
        <f>VLOOKUP(C3532,CheckName!A:B,2,0)</f>
        <v>Edu</v>
      </c>
      <c r="L3532">
        <v>0</v>
      </c>
      <c r="M3532">
        <f t="shared" si="511"/>
        <v>21</v>
      </c>
      <c r="N3532" t="str">
        <f>TEXT(MTDRejection[[#This Row],[RejectionDate]],"dddd")</f>
        <v>Saturday</v>
      </c>
    </row>
    <row r="3533" spans="1:14">
      <c r="A3533" t="s">
        <v>402</v>
      </c>
      <c r="B3533" t="s">
        <v>5726</v>
      </c>
      <c r="C3533" t="s">
        <v>54</v>
      </c>
      <c r="D3533" t="s">
        <v>26</v>
      </c>
      <c r="E3533" s="7">
        <v>45647</v>
      </c>
      <c r="F3533" t="s">
        <v>535</v>
      </c>
      <c r="G3533">
        <v>0</v>
      </c>
      <c r="H3533" t="s">
        <v>27</v>
      </c>
      <c r="I3533" t="s">
        <v>16</v>
      </c>
      <c r="J3533" t="s">
        <v>16</v>
      </c>
      <c r="K3533" t="str">
        <f>VLOOKUP(C3533,CheckName!A:B,2,0)</f>
        <v>Edu</v>
      </c>
      <c r="L3533">
        <v>0</v>
      </c>
      <c r="M3533">
        <f t="shared" si="511"/>
        <v>21</v>
      </c>
      <c r="N3533" t="str">
        <f>TEXT(MTDRejection[[#This Row],[RejectionDate]],"dddd")</f>
        <v>Saturday</v>
      </c>
    </row>
    <row r="3534" spans="1:14">
      <c r="A3534" t="s">
        <v>1811</v>
      </c>
      <c r="B3534" t="s">
        <v>5727</v>
      </c>
      <c r="C3534" t="s">
        <v>54</v>
      </c>
      <c r="D3534" t="s">
        <v>26</v>
      </c>
      <c r="E3534" s="7">
        <v>45647</v>
      </c>
      <c r="F3534" t="s">
        <v>535</v>
      </c>
      <c r="G3534">
        <v>0</v>
      </c>
      <c r="H3534" t="s">
        <v>27</v>
      </c>
      <c r="I3534" t="s">
        <v>16</v>
      </c>
      <c r="J3534" t="s">
        <v>16</v>
      </c>
      <c r="K3534" t="str">
        <f>VLOOKUP(C3534,CheckName!A:B,2,0)</f>
        <v>Edu</v>
      </c>
      <c r="L3534">
        <v>0</v>
      </c>
      <c r="M3534">
        <f t="shared" si="511"/>
        <v>21</v>
      </c>
      <c r="N3534" t="str">
        <f>TEXT(MTDRejection[[#This Row],[RejectionDate]],"dddd")</f>
        <v>Saturday</v>
      </c>
    </row>
    <row r="3535" spans="1:14">
      <c r="A3535" t="s">
        <v>81</v>
      </c>
      <c r="B3535" t="s">
        <v>5728</v>
      </c>
      <c r="C3535" t="s">
        <v>54</v>
      </c>
      <c r="D3535" t="s">
        <v>26</v>
      </c>
      <c r="E3535" s="7">
        <v>45647</v>
      </c>
      <c r="F3535" t="s">
        <v>535</v>
      </c>
      <c r="G3535">
        <v>0</v>
      </c>
      <c r="H3535" t="s">
        <v>27</v>
      </c>
      <c r="I3535" t="s">
        <v>16</v>
      </c>
      <c r="J3535" t="s">
        <v>16</v>
      </c>
      <c r="K3535" t="str">
        <f>VLOOKUP(C3535,CheckName!A:B,2,0)</f>
        <v>Edu</v>
      </c>
      <c r="L3535">
        <v>0</v>
      </c>
      <c r="M3535">
        <f t="shared" si="511"/>
        <v>21</v>
      </c>
      <c r="N3535" t="str">
        <f>TEXT(MTDRejection[[#This Row],[RejectionDate]],"dddd")</f>
        <v>Saturday</v>
      </c>
    </row>
    <row r="3536" spans="1:14">
      <c r="A3536" t="s">
        <v>465</v>
      </c>
      <c r="B3536" t="s">
        <v>2730</v>
      </c>
      <c r="C3536" t="s">
        <v>54</v>
      </c>
      <c r="D3536" t="s">
        <v>26</v>
      </c>
      <c r="E3536" s="7">
        <v>45647</v>
      </c>
      <c r="F3536" t="s">
        <v>535</v>
      </c>
      <c r="G3536">
        <v>0</v>
      </c>
      <c r="H3536" t="s">
        <v>27</v>
      </c>
      <c r="I3536" t="s">
        <v>16</v>
      </c>
      <c r="J3536" t="s">
        <v>16</v>
      </c>
      <c r="K3536" t="str">
        <f>VLOOKUP(C3536,CheckName!A:B,2,0)</f>
        <v>Edu</v>
      </c>
      <c r="L3536">
        <v>0</v>
      </c>
      <c r="M3536">
        <f t="shared" si="511"/>
        <v>21</v>
      </c>
      <c r="N3536" t="str">
        <f>TEXT(MTDRejection[[#This Row],[RejectionDate]],"dddd")</f>
        <v>Saturday</v>
      </c>
    </row>
    <row r="3537" spans="1:14">
      <c r="A3537" t="s">
        <v>1548</v>
      </c>
      <c r="B3537" t="s">
        <v>5729</v>
      </c>
      <c r="C3537" t="s">
        <v>54</v>
      </c>
      <c r="D3537" t="s">
        <v>26</v>
      </c>
      <c r="E3537" s="7">
        <v>45647</v>
      </c>
      <c r="F3537" t="s">
        <v>535</v>
      </c>
      <c r="G3537">
        <v>0</v>
      </c>
      <c r="H3537" t="s">
        <v>130</v>
      </c>
      <c r="I3537" t="s">
        <v>16</v>
      </c>
      <c r="J3537" t="s">
        <v>16</v>
      </c>
      <c r="K3537" t="str">
        <f>VLOOKUP(C3537,CheckName!A:B,2,0)</f>
        <v>Edu</v>
      </c>
      <c r="L3537">
        <v>0</v>
      </c>
      <c r="M3537">
        <f t="shared" si="511"/>
        <v>21</v>
      </c>
      <c r="N3537" t="str">
        <f>TEXT(MTDRejection[[#This Row],[RejectionDate]],"dddd")</f>
        <v>Saturday</v>
      </c>
    </row>
    <row r="3538" spans="1:14">
      <c r="A3538" t="s">
        <v>337</v>
      </c>
      <c r="B3538" t="s">
        <v>5730</v>
      </c>
      <c r="C3538" t="s">
        <v>93</v>
      </c>
      <c r="D3538" t="s">
        <v>26</v>
      </c>
      <c r="E3538" s="7">
        <v>45647</v>
      </c>
      <c r="F3538" t="s">
        <v>535</v>
      </c>
      <c r="G3538">
        <v>0</v>
      </c>
      <c r="H3538" t="s">
        <v>95</v>
      </c>
      <c r="I3538" t="s">
        <v>16</v>
      </c>
      <c r="J3538" t="s">
        <v>16</v>
      </c>
      <c r="K3538" t="str">
        <f>VLOOKUP(C3538,CheckName!A:B,2,0)</f>
        <v>Edu</v>
      </c>
      <c r="L3538">
        <v>0</v>
      </c>
      <c r="M3538">
        <f t="shared" si="511"/>
        <v>21</v>
      </c>
      <c r="N3538" t="str">
        <f>TEXT(MTDRejection[[#This Row],[RejectionDate]],"dddd")</f>
        <v>Saturday</v>
      </c>
    </row>
    <row r="3539" spans="1:14">
      <c r="A3539" t="s">
        <v>1306</v>
      </c>
      <c r="B3539" t="s">
        <v>5731</v>
      </c>
      <c r="C3539" t="s">
        <v>54</v>
      </c>
      <c r="D3539" t="s">
        <v>26</v>
      </c>
      <c r="E3539" s="7">
        <v>45647</v>
      </c>
      <c r="F3539" t="s">
        <v>535</v>
      </c>
      <c r="G3539">
        <v>0</v>
      </c>
      <c r="H3539" t="s">
        <v>27</v>
      </c>
      <c r="I3539" t="s">
        <v>16</v>
      </c>
      <c r="J3539" t="s">
        <v>16</v>
      </c>
      <c r="K3539" t="str">
        <f>VLOOKUP(C3539,CheckName!A:B,2,0)</f>
        <v>Edu</v>
      </c>
      <c r="L3539">
        <v>0</v>
      </c>
      <c r="M3539">
        <f t="shared" si="511"/>
        <v>21</v>
      </c>
      <c r="N3539" t="str">
        <f>TEXT(MTDRejection[[#This Row],[RejectionDate]],"dddd")</f>
        <v>Saturday</v>
      </c>
    </row>
    <row r="3540" spans="1:14">
      <c r="A3540" t="s">
        <v>1892</v>
      </c>
      <c r="B3540" t="s">
        <v>2731</v>
      </c>
      <c r="C3540" t="s">
        <v>54</v>
      </c>
      <c r="D3540" t="s">
        <v>26</v>
      </c>
      <c r="E3540" s="7">
        <v>45647</v>
      </c>
      <c r="F3540" t="s">
        <v>535</v>
      </c>
      <c r="G3540">
        <v>0</v>
      </c>
      <c r="H3540" t="s">
        <v>27</v>
      </c>
      <c r="I3540" t="s">
        <v>16</v>
      </c>
      <c r="J3540" t="s">
        <v>16</v>
      </c>
      <c r="K3540" t="str">
        <f>VLOOKUP(C3540,CheckName!A:B,2,0)</f>
        <v>Edu</v>
      </c>
      <c r="L3540">
        <v>0</v>
      </c>
      <c r="M3540">
        <f t="shared" ref="M3540:M3543" si="512">DAY(E3540)</f>
        <v>21</v>
      </c>
      <c r="N3540" t="str">
        <f>TEXT(MTDRejection[[#This Row],[RejectionDate]],"dddd")</f>
        <v>Saturday</v>
      </c>
    </row>
    <row r="3541" spans="1:14">
      <c r="A3541" t="s">
        <v>1886</v>
      </c>
      <c r="B3541" t="s">
        <v>5732</v>
      </c>
      <c r="C3541" t="s">
        <v>54</v>
      </c>
      <c r="D3541" t="s">
        <v>26</v>
      </c>
      <c r="E3541" s="7">
        <v>45647</v>
      </c>
      <c r="F3541" t="s">
        <v>535</v>
      </c>
      <c r="G3541">
        <v>0</v>
      </c>
      <c r="H3541" t="s">
        <v>27</v>
      </c>
      <c r="I3541" t="s">
        <v>16</v>
      </c>
      <c r="J3541" t="s">
        <v>16</v>
      </c>
      <c r="K3541" t="str">
        <f>VLOOKUP(C3541,CheckName!A:B,2,0)</f>
        <v>Edu</v>
      </c>
      <c r="L3541">
        <v>0</v>
      </c>
      <c r="M3541">
        <f t="shared" si="512"/>
        <v>21</v>
      </c>
      <c r="N3541" t="str">
        <f>TEXT(MTDRejection[[#This Row],[RejectionDate]],"dddd")</f>
        <v>Saturday</v>
      </c>
    </row>
    <row r="3542" spans="1:14">
      <c r="A3542" t="s">
        <v>519</v>
      </c>
      <c r="B3542" t="s">
        <v>5733</v>
      </c>
      <c r="C3542" t="s">
        <v>1293</v>
      </c>
      <c r="D3542" t="s">
        <v>26</v>
      </c>
      <c r="E3542" s="7">
        <v>45647</v>
      </c>
      <c r="F3542" t="s">
        <v>535</v>
      </c>
      <c r="G3542">
        <v>0</v>
      </c>
      <c r="H3542" t="s">
        <v>27</v>
      </c>
      <c r="I3542" t="s">
        <v>16</v>
      </c>
      <c r="J3542" t="s">
        <v>16</v>
      </c>
      <c r="K3542" t="str">
        <f>VLOOKUP(C3542,CheckName!A:B,2,0)</f>
        <v>Edu</v>
      </c>
      <c r="L3542">
        <v>0</v>
      </c>
      <c r="M3542">
        <f t="shared" si="512"/>
        <v>21</v>
      </c>
      <c r="N3542" t="str">
        <f>TEXT(MTDRejection[[#This Row],[RejectionDate]],"dddd")</f>
        <v>Saturday</v>
      </c>
    </row>
    <row r="3543" spans="1:14">
      <c r="A3543" t="s">
        <v>73</v>
      </c>
      <c r="B3543" t="s">
        <v>5734</v>
      </c>
      <c r="C3543" t="s">
        <v>54</v>
      </c>
      <c r="D3543" t="s">
        <v>26</v>
      </c>
      <c r="E3543" s="7">
        <v>45647</v>
      </c>
      <c r="F3543" t="s">
        <v>1304</v>
      </c>
      <c r="G3543">
        <v>0</v>
      </c>
      <c r="H3543" t="s">
        <v>22</v>
      </c>
      <c r="I3543" t="s">
        <v>16</v>
      </c>
      <c r="J3543" t="s">
        <v>16</v>
      </c>
      <c r="K3543" t="str">
        <f>VLOOKUP(C3543,CheckName!A:B,2,0)</f>
        <v>Edu</v>
      </c>
      <c r="L3543">
        <v>0</v>
      </c>
      <c r="M3543">
        <f t="shared" si="512"/>
        <v>21</v>
      </c>
      <c r="N3543" t="str">
        <f>TEXT(MTDRejection[[#This Row],[RejectionDate]],"dddd")</f>
        <v>Saturday</v>
      </c>
    </row>
    <row r="3544" spans="1:14">
      <c r="A3544" t="s">
        <v>40</v>
      </c>
      <c r="B3544" t="s">
        <v>5735</v>
      </c>
      <c r="C3544" t="s">
        <v>12</v>
      </c>
      <c r="D3544" t="s">
        <v>26</v>
      </c>
      <c r="E3544" s="7">
        <v>45647</v>
      </c>
      <c r="F3544" t="s">
        <v>2337</v>
      </c>
      <c r="G3544">
        <v>0</v>
      </c>
      <c r="H3544" t="s">
        <v>27</v>
      </c>
      <c r="I3544" t="s">
        <v>16</v>
      </c>
      <c r="J3544" t="s">
        <v>16</v>
      </c>
      <c r="K3544" t="str">
        <f>VLOOKUP(C3544,CheckName!A:B,2,0)</f>
        <v>Emp</v>
      </c>
      <c r="L3544">
        <v>0</v>
      </c>
      <c r="M3544">
        <f t="shared" ref="M3544:M3548" si="513">DAY(E3544)</f>
        <v>21</v>
      </c>
      <c r="N3544" t="str">
        <f>TEXT(MTDRejection[[#This Row],[RejectionDate]],"dddd")</f>
        <v>Saturday</v>
      </c>
    </row>
    <row r="3545" spans="1:14">
      <c r="A3545" t="s">
        <v>1573</v>
      </c>
      <c r="B3545" t="s">
        <v>5736</v>
      </c>
      <c r="C3545" t="s">
        <v>54</v>
      </c>
      <c r="D3545" t="s">
        <v>26</v>
      </c>
      <c r="E3545" s="7">
        <v>45647</v>
      </c>
      <c r="F3545" t="s">
        <v>2344</v>
      </c>
      <c r="G3545">
        <v>0</v>
      </c>
      <c r="H3545" t="s">
        <v>30</v>
      </c>
      <c r="I3545" t="s">
        <v>16</v>
      </c>
      <c r="J3545" t="s">
        <v>16</v>
      </c>
      <c r="K3545" t="str">
        <f>VLOOKUP(C3545,CheckName!A:B,2,0)</f>
        <v>Edu</v>
      </c>
      <c r="L3545">
        <v>0</v>
      </c>
      <c r="M3545">
        <f t="shared" si="513"/>
        <v>21</v>
      </c>
      <c r="N3545" t="str">
        <f>TEXT(MTDRejection[[#This Row],[RejectionDate]],"dddd")</f>
        <v>Saturday</v>
      </c>
    </row>
    <row r="3546" spans="1:14">
      <c r="A3546" t="s">
        <v>45</v>
      </c>
      <c r="B3546" t="s">
        <v>5737</v>
      </c>
      <c r="C3546" t="s">
        <v>36</v>
      </c>
      <c r="D3546" t="s">
        <v>26</v>
      </c>
      <c r="E3546" s="7">
        <v>45647</v>
      </c>
      <c r="F3546" t="s">
        <v>179</v>
      </c>
      <c r="G3546">
        <v>0</v>
      </c>
      <c r="H3546" t="s">
        <v>27</v>
      </c>
      <c r="I3546" t="s">
        <v>16</v>
      </c>
      <c r="J3546" t="s">
        <v>16</v>
      </c>
      <c r="K3546" t="str">
        <f>VLOOKUP(C3546,CheckName!A:B,2,0)</f>
        <v>Emp</v>
      </c>
      <c r="L3546">
        <v>0</v>
      </c>
      <c r="M3546">
        <f t="shared" si="513"/>
        <v>21</v>
      </c>
      <c r="N3546" t="str">
        <f>TEXT(MTDRejection[[#This Row],[RejectionDate]],"dddd")</f>
        <v>Saturday</v>
      </c>
    </row>
    <row r="3547" spans="1:14">
      <c r="A3547" t="s">
        <v>1204</v>
      </c>
      <c r="B3547" t="s">
        <v>5738</v>
      </c>
      <c r="C3547" t="s">
        <v>533</v>
      </c>
      <c r="D3547" t="s">
        <v>38</v>
      </c>
      <c r="E3547" s="7">
        <v>45647</v>
      </c>
      <c r="F3547" t="s">
        <v>118</v>
      </c>
      <c r="G3547">
        <v>0</v>
      </c>
      <c r="H3547" t="s">
        <v>42</v>
      </c>
      <c r="I3547" t="s">
        <v>16</v>
      </c>
      <c r="J3547" t="s">
        <v>16</v>
      </c>
      <c r="K3547" t="str">
        <f>VLOOKUP(C3547,CheckName!A:B,2,0)</f>
        <v>CRC</v>
      </c>
      <c r="L3547">
        <v>0</v>
      </c>
      <c r="M3547">
        <f t="shared" si="513"/>
        <v>21</v>
      </c>
      <c r="N3547" t="str">
        <f>TEXT(MTDRejection[[#This Row],[RejectionDate]],"dddd")</f>
        <v>Saturday</v>
      </c>
    </row>
    <row r="3548" spans="1:14">
      <c r="A3548" t="s">
        <v>10</v>
      </c>
      <c r="B3548" t="s">
        <v>5739</v>
      </c>
      <c r="C3548" t="s">
        <v>467</v>
      </c>
      <c r="D3548" t="s">
        <v>38</v>
      </c>
      <c r="E3548" s="7">
        <v>45647</v>
      </c>
      <c r="F3548" t="s">
        <v>118</v>
      </c>
      <c r="G3548">
        <v>0</v>
      </c>
      <c r="H3548" t="s">
        <v>42</v>
      </c>
      <c r="I3548" t="s">
        <v>16</v>
      </c>
      <c r="J3548" t="s">
        <v>16</v>
      </c>
      <c r="K3548" t="str">
        <f>VLOOKUP(C3548,CheckName!A:B,2,0)</f>
        <v>Special Check</v>
      </c>
      <c r="L3548">
        <v>1</v>
      </c>
      <c r="M3548">
        <f t="shared" si="513"/>
        <v>21</v>
      </c>
      <c r="N3548" t="str">
        <f>TEXT(MTDRejection[[#This Row],[RejectionDate]],"dddd")</f>
        <v>Saturday</v>
      </c>
    </row>
    <row r="3549" spans="1:14">
      <c r="A3549" t="s">
        <v>45</v>
      </c>
      <c r="B3549" t="s">
        <v>5740</v>
      </c>
      <c r="C3549" t="s">
        <v>59</v>
      </c>
      <c r="D3549" t="s">
        <v>38</v>
      </c>
      <c r="E3549" s="7">
        <v>45647</v>
      </c>
      <c r="F3549" t="s">
        <v>118</v>
      </c>
      <c r="G3549">
        <v>0</v>
      </c>
      <c r="H3549" t="s">
        <v>22</v>
      </c>
      <c r="I3549" t="s">
        <v>16</v>
      </c>
      <c r="J3549" t="s">
        <v>16</v>
      </c>
      <c r="K3549" t="str">
        <f>VLOOKUP(C3549,CheckName!A:B,2,0)</f>
        <v>Special Check</v>
      </c>
      <c r="L3549">
        <v>0</v>
      </c>
      <c r="M3549">
        <f t="shared" ref="M3549:M3556" si="514">DAY(E3549)</f>
        <v>21</v>
      </c>
      <c r="N3549" t="str">
        <f>TEXT(MTDRejection[[#This Row],[RejectionDate]],"dddd")</f>
        <v>Saturday</v>
      </c>
    </row>
    <row r="3550" spans="1:14">
      <c r="A3550" t="s">
        <v>362</v>
      </c>
      <c r="B3550" t="s">
        <v>5741</v>
      </c>
      <c r="C3550" t="s">
        <v>54</v>
      </c>
      <c r="D3550" t="s">
        <v>26</v>
      </c>
      <c r="E3550" s="7">
        <v>45645</v>
      </c>
      <c r="F3550" t="s">
        <v>2344</v>
      </c>
      <c r="G3550">
        <v>2</v>
      </c>
      <c r="H3550" t="s">
        <v>27</v>
      </c>
      <c r="I3550" t="s">
        <v>16</v>
      </c>
      <c r="J3550" t="s">
        <v>16</v>
      </c>
      <c r="K3550" t="str">
        <f>VLOOKUP(C3550,CheckName!A:B,2,0)</f>
        <v>Edu</v>
      </c>
      <c r="L3550">
        <v>0</v>
      </c>
      <c r="M3550">
        <f t="shared" si="514"/>
        <v>19</v>
      </c>
      <c r="N3550" t="str">
        <f>TEXT(MTDRejection[[#This Row],[RejectionDate]],"dddd")</f>
        <v>Thursday</v>
      </c>
    </row>
    <row r="3551" spans="1:14">
      <c r="A3551" t="s">
        <v>556</v>
      </c>
      <c r="B3551" t="s">
        <v>5742</v>
      </c>
      <c r="C3551" t="s">
        <v>54</v>
      </c>
      <c r="D3551" t="s">
        <v>26</v>
      </c>
      <c r="E3551" s="7">
        <v>45643</v>
      </c>
      <c r="F3551" t="s">
        <v>535</v>
      </c>
      <c r="G3551">
        <v>4</v>
      </c>
      <c r="H3551" t="s">
        <v>27</v>
      </c>
      <c r="I3551" t="s">
        <v>16</v>
      </c>
      <c r="J3551" t="s">
        <v>16</v>
      </c>
      <c r="K3551" t="str">
        <f>VLOOKUP(C3551,CheckName!A:B,2,0)</f>
        <v>Edu</v>
      </c>
      <c r="L3551">
        <v>0</v>
      </c>
      <c r="M3551">
        <f t="shared" si="514"/>
        <v>17</v>
      </c>
      <c r="N3551" t="str">
        <f>TEXT(MTDRejection[[#This Row],[RejectionDate]],"dddd")</f>
        <v>Tuesday</v>
      </c>
    </row>
    <row r="3552" spans="1:14">
      <c r="A3552" t="s">
        <v>465</v>
      </c>
      <c r="B3552" t="s">
        <v>5743</v>
      </c>
      <c r="C3552" t="s">
        <v>54</v>
      </c>
      <c r="D3552" t="s">
        <v>26</v>
      </c>
      <c r="E3552" s="7">
        <v>45642</v>
      </c>
      <c r="F3552" t="s">
        <v>535</v>
      </c>
      <c r="G3552">
        <v>5</v>
      </c>
      <c r="H3552" t="s">
        <v>95</v>
      </c>
      <c r="I3552" t="s">
        <v>16</v>
      </c>
      <c r="J3552" t="s">
        <v>16</v>
      </c>
      <c r="K3552" t="str">
        <f>VLOOKUP(C3552,CheckName!A:B,2,0)</f>
        <v>Edu</v>
      </c>
      <c r="L3552">
        <v>0</v>
      </c>
      <c r="M3552">
        <f t="shared" si="514"/>
        <v>16</v>
      </c>
      <c r="N3552" t="str">
        <f>TEXT(MTDRejection[[#This Row],[RejectionDate]],"dddd")</f>
        <v>Monday</v>
      </c>
    </row>
    <row r="3553" spans="1:14">
      <c r="A3553" t="s">
        <v>84</v>
      </c>
      <c r="B3553" t="s">
        <v>5744</v>
      </c>
      <c r="C3553" t="s">
        <v>25</v>
      </c>
      <c r="D3553" t="s">
        <v>26</v>
      </c>
      <c r="E3553" s="7">
        <v>45642</v>
      </c>
      <c r="F3553" t="s">
        <v>66</v>
      </c>
      <c r="G3553">
        <v>5</v>
      </c>
      <c r="H3553" t="s">
        <v>95</v>
      </c>
      <c r="I3553" t="s">
        <v>16</v>
      </c>
      <c r="J3553" t="s">
        <v>16</v>
      </c>
      <c r="K3553" t="str">
        <f>VLOOKUP(C3553,CheckName!A:B,2,0)</f>
        <v>Add</v>
      </c>
      <c r="L3553">
        <v>0</v>
      </c>
      <c r="M3553">
        <f t="shared" si="514"/>
        <v>16</v>
      </c>
      <c r="N3553" t="str">
        <f>TEXT(MTDRejection[[#This Row],[RejectionDate]],"dddd")</f>
        <v>Monday</v>
      </c>
    </row>
    <row r="3554" spans="1:14">
      <c r="A3554" t="s">
        <v>1816</v>
      </c>
      <c r="B3554" t="s">
        <v>5745</v>
      </c>
      <c r="C3554" t="s">
        <v>1672</v>
      </c>
      <c r="D3554" t="s">
        <v>26</v>
      </c>
      <c r="E3554" s="7">
        <v>45641</v>
      </c>
      <c r="F3554" t="s">
        <v>535</v>
      </c>
      <c r="G3554">
        <v>6</v>
      </c>
      <c r="H3554" t="s">
        <v>27</v>
      </c>
      <c r="I3554" t="s">
        <v>16</v>
      </c>
      <c r="J3554" t="s">
        <v>16</v>
      </c>
      <c r="K3554" t="str">
        <f>VLOOKUP(C3554,CheckName!A:B,2,0)</f>
        <v>Edu</v>
      </c>
      <c r="L3554">
        <v>0</v>
      </c>
      <c r="M3554">
        <f t="shared" si="514"/>
        <v>15</v>
      </c>
      <c r="N3554" t="str">
        <f>TEXT(MTDRejection[[#This Row],[RejectionDate]],"dddd")</f>
        <v>Sunday</v>
      </c>
    </row>
    <row r="3555" spans="1:14">
      <c r="A3555" t="s">
        <v>996</v>
      </c>
      <c r="B3555" t="s">
        <v>5746</v>
      </c>
      <c r="C3555" t="s">
        <v>19</v>
      </c>
      <c r="D3555" t="s">
        <v>26</v>
      </c>
      <c r="E3555" s="7">
        <v>45638</v>
      </c>
      <c r="F3555" t="s">
        <v>66</v>
      </c>
      <c r="G3555">
        <v>9</v>
      </c>
      <c r="H3555" t="s">
        <v>95</v>
      </c>
      <c r="I3555" t="s">
        <v>16</v>
      </c>
      <c r="J3555" t="s">
        <v>16</v>
      </c>
      <c r="K3555" t="str">
        <f>VLOOKUP(C3555,CheckName!A:B,2,0)</f>
        <v>Add</v>
      </c>
      <c r="L3555">
        <v>0</v>
      </c>
      <c r="M3555">
        <f t="shared" si="514"/>
        <v>12</v>
      </c>
      <c r="N3555" t="str">
        <f>TEXT(MTDRejection[[#This Row],[RejectionDate]],"dddd")</f>
        <v>Thursday</v>
      </c>
    </row>
    <row r="3556" spans="1:14">
      <c r="A3556" t="s">
        <v>682</v>
      </c>
      <c r="B3556" t="s">
        <v>5747</v>
      </c>
      <c r="C3556" t="s">
        <v>12</v>
      </c>
      <c r="D3556" t="s">
        <v>38</v>
      </c>
      <c r="E3556" s="7">
        <v>45628</v>
      </c>
      <c r="F3556" t="s">
        <v>39</v>
      </c>
      <c r="G3556">
        <v>19</v>
      </c>
      <c r="H3556" t="s">
        <v>42</v>
      </c>
      <c r="I3556" t="s">
        <v>16</v>
      </c>
      <c r="J3556" t="s">
        <v>16</v>
      </c>
      <c r="K3556" t="str">
        <f>VLOOKUP(C3556,CheckName!A:B,2,0)</f>
        <v>Emp</v>
      </c>
      <c r="L3556">
        <v>1</v>
      </c>
      <c r="M3556">
        <f t="shared" si="514"/>
        <v>2</v>
      </c>
      <c r="N3556" t="str">
        <f>TEXT(MTDRejection[[#This Row],[RejectionDate]],"dddd")</f>
        <v>Monday</v>
      </c>
    </row>
    <row r="3557" spans="1:14">
      <c r="A3557" t="s">
        <v>160</v>
      </c>
      <c r="B3557" t="s">
        <v>5748</v>
      </c>
      <c r="C3557" t="s">
        <v>19</v>
      </c>
      <c r="D3557" t="s">
        <v>20</v>
      </c>
      <c r="E3557" s="7">
        <v>45649</v>
      </c>
      <c r="F3557" t="s">
        <v>273</v>
      </c>
      <c r="G3557">
        <v>0</v>
      </c>
      <c r="H3557" t="s">
        <v>22</v>
      </c>
      <c r="I3557" t="s">
        <v>16</v>
      </c>
      <c r="J3557" t="s">
        <v>16</v>
      </c>
      <c r="K3557" t="str">
        <f>VLOOKUP(C3557,CheckName!A:B,2,0)</f>
        <v>Add</v>
      </c>
      <c r="L3557">
        <v>0</v>
      </c>
      <c r="M3557">
        <f t="shared" ref="M3557:M3560" si="515">DAY(E3557)</f>
        <v>23</v>
      </c>
      <c r="N3557" t="str">
        <f>TEXT(MTDRejection[[#This Row],[RejectionDate]],"dddd")</f>
        <v>Monday</v>
      </c>
    </row>
    <row r="3558" spans="1:14">
      <c r="A3558" t="s">
        <v>1110</v>
      </c>
      <c r="B3558" t="s">
        <v>2732</v>
      </c>
      <c r="C3558" t="s">
        <v>965</v>
      </c>
      <c r="D3558" t="s">
        <v>20</v>
      </c>
      <c r="E3558" s="7">
        <v>45649</v>
      </c>
      <c r="F3558" t="s">
        <v>2327</v>
      </c>
      <c r="G3558">
        <v>0</v>
      </c>
      <c r="H3558" t="s">
        <v>22</v>
      </c>
      <c r="I3558" t="s">
        <v>16</v>
      </c>
      <c r="J3558" t="s">
        <v>16</v>
      </c>
      <c r="K3558" t="str">
        <f>VLOOKUP(C3558,CheckName!A:B,2,0)</f>
        <v>Add</v>
      </c>
      <c r="L3558">
        <v>1</v>
      </c>
      <c r="M3558">
        <f t="shared" si="515"/>
        <v>23</v>
      </c>
      <c r="N3558" t="str">
        <f>TEXT(MTDRejection[[#This Row],[RejectionDate]],"dddd")</f>
        <v>Monday</v>
      </c>
    </row>
    <row r="3559" spans="1:14">
      <c r="A3559" t="s">
        <v>1110</v>
      </c>
      <c r="B3559" t="s">
        <v>5749</v>
      </c>
      <c r="C3559" t="s">
        <v>965</v>
      </c>
      <c r="D3559" t="s">
        <v>51</v>
      </c>
      <c r="E3559" s="7">
        <v>45649</v>
      </c>
      <c r="F3559" t="s">
        <v>52</v>
      </c>
      <c r="G3559">
        <v>0</v>
      </c>
      <c r="H3559" t="s">
        <v>53</v>
      </c>
      <c r="I3559" t="s">
        <v>16</v>
      </c>
      <c r="J3559" t="s">
        <v>16</v>
      </c>
      <c r="K3559" t="str">
        <f>VLOOKUP(C3559,CheckName!A:B,2,0)</f>
        <v>Add</v>
      </c>
      <c r="L3559">
        <v>0</v>
      </c>
      <c r="M3559">
        <f t="shared" si="515"/>
        <v>23</v>
      </c>
      <c r="N3559" t="str">
        <f>TEXT(MTDRejection[[#This Row],[RejectionDate]],"dddd")</f>
        <v>Monday</v>
      </c>
    </row>
    <row r="3560" spans="1:14">
      <c r="A3560" t="s">
        <v>1110</v>
      </c>
      <c r="B3560" t="s">
        <v>2733</v>
      </c>
      <c r="C3560" t="s">
        <v>1623</v>
      </c>
      <c r="D3560" t="s">
        <v>51</v>
      </c>
      <c r="E3560" s="7">
        <v>45649</v>
      </c>
      <c r="F3560" t="s">
        <v>52</v>
      </c>
      <c r="G3560">
        <v>0</v>
      </c>
      <c r="H3560" t="s">
        <v>53</v>
      </c>
      <c r="I3560" t="s">
        <v>16</v>
      </c>
      <c r="J3560" t="s">
        <v>16</v>
      </c>
      <c r="K3560" t="str">
        <f>VLOOKUP(C3560,CheckName!A:B,2,0)</f>
        <v>CRC</v>
      </c>
      <c r="L3560">
        <v>0</v>
      </c>
      <c r="M3560">
        <f t="shared" si="515"/>
        <v>23</v>
      </c>
      <c r="N3560" t="str">
        <f>TEXT(MTDRejection[[#This Row],[RejectionDate]],"dddd")</f>
        <v>Monday</v>
      </c>
    </row>
    <row r="3561" spans="1:14">
      <c r="A3561" t="s">
        <v>142</v>
      </c>
      <c r="B3561" t="s">
        <v>5750</v>
      </c>
      <c r="C3561" t="s">
        <v>112</v>
      </c>
      <c r="D3561" t="s">
        <v>26</v>
      </c>
      <c r="E3561" s="7">
        <v>45649</v>
      </c>
      <c r="F3561" t="s">
        <v>222</v>
      </c>
      <c r="G3561">
        <v>0</v>
      </c>
      <c r="H3561" t="s">
        <v>22</v>
      </c>
      <c r="I3561" t="s">
        <v>16</v>
      </c>
      <c r="J3561" t="s">
        <v>16</v>
      </c>
      <c r="K3561" t="str">
        <f>VLOOKUP(C3561,CheckName!A:B,2,0)</f>
        <v>Emp</v>
      </c>
      <c r="L3561">
        <v>0</v>
      </c>
      <c r="M3561">
        <f t="shared" ref="M3561:M3564" si="516">DAY(E3561)</f>
        <v>23</v>
      </c>
      <c r="N3561" t="str">
        <f>TEXT(MTDRejection[[#This Row],[RejectionDate]],"dddd")</f>
        <v>Monday</v>
      </c>
    </row>
    <row r="3562" spans="1:14">
      <c r="A3562" t="s">
        <v>281</v>
      </c>
      <c r="B3562" t="s">
        <v>5751</v>
      </c>
      <c r="C3562" t="s">
        <v>1510</v>
      </c>
      <c r="D3562" t="s">
        <v>26</v>
      </c>
      <c r="E3562" s="7">
        <v>45649</v>
      </c>
      <c r="F3562" t="s">
        <v>66</v>
      </c>
      <c r="G3562">
        <v>0</v>
      </c>
      <c r="H3562" t="s">
        <v>27</v>
      </c>
      <c r="I3562" t="s">
        <v>16</v>
      </c>
      <c r="J3562" t="s">
        <v>16</v>
      </c>
      <c r="K3562" t="str">
        <f>VLOOKUP(C3562,CheckName!A:B,2,0)</f>
        <v>Add</v>
      </c>
      <c r="L3562">
        <v>0</v>
      </c>
      <c r="M3562">
        <f t="shared" si="516"/>
        <v>23</v>
      </c>
      <c r="N3562" t="str">
        <f>TEXT(MTDRejection[[#This Row],[RejectionDate]],"dddd")</f>
        <v>Monday</v>
      </c>
    </row>
    <row r="3563" spans="1:14">
      <c r="A3563" t="s">
        <v>306</v>
      </c>
      <c r="B3563" t="s">
        <v>5752</v>
      </c>
      <c r="C3563" t="s">
        <v>25</v>
      </c>
      <c r="D3563" t="s">
        <v>26</v>
      </c>
      <c r="E3563" s="7">
        <v>45649</v>
      </c>
      <c r="F3563" t="s">
        <v>66</v>
      </c>
      <c r="G3563">
        <v>0</v>
      </c>
      <c r="H3563" t="s">
        <v>425</v>
      </c>
      <c r="I3563" t="s">
        <v>16</v>
      </c>
      <c r="J3563" t="s">
        <v>16</v>
      </c>
      <c r="K3563" t="str">
        <f>VLOOKUP(C3563,CheckName!A:B,2,0)</f>
        <v>Add</v>
      </c>
      <c r="L3563">
        <v>0</v>
      </c>
      <c r="M3563">
        <f t="shared" si="516"/>
        <v>23</v>
      </c>
      <c r="N3563" t="str">
        <f>TEXT(MTDRejection[[#This Row],[RejectionDate]],"dddd")</f>
        <v>Monday</v>
      </c>
    </row>
    <row r="3564" spans="1:14">
      <c r="A3564" t="s">
        <v>469</v>
      </c>
      <c r="B3564" t="s">
        <v>5753</v>
      </c>
      <c r="C3564" t="s">
        <v>54</v>
      </c>
      <c r="D3564" t="s">
        <v>26</v>
      </c>
      <c r="E3564" s="7">
        <v>45649</v>
      </c>
      <c r="F3564" t="s">
        <v>1825</v>
      </c>
      <c r="G3564">
        <v>0</v>
      </c>
      <c r="H3564" t="s">
        <v>27</v>
      </c>
      <c r="I3564" t="s">
        <v>16</v>
      </c>
      <c r="J3564" t="s">
        <v>16</v>
      </c>
      <c r="K3564" t="str">
        <f>VLOOKUP(C3564,CheckName!A:B,2,0)</f>
        <v>Edu</v>
      </c>
      <c r="L3564">
        <v>1</v>
      </c>
      <c r="M3564">
        <f t="shared" si="516"/>
        <v>23</v>
      </c>
      <c r="N3564" t="str">
        <f>TEXT(MTDRejection[[#This Row],[RejectionDate]],"dddd")</f>
        <v>Monday</v>
      </c>
    </row>
    <row r="3565" spans="1:14">
      <c r="A3565" t="s">
        <v>100</v>
      </c>
      <c r="B3565" t="s">
        <v>5754</v>
      </c>
      <c r="C3565" t="s">
        <v>255</v>
      </c>
      <c r="D3565" t="s">
        <v>13</v>
      </c>
      <c r="E3565" s="7">
        <v>45649</v>
      </c>
      <c r="F3565" t="s">
        <v>1861</v>
      </c>
      <c r="G3565">
        <v>0</v>
      </c>
      <c r="H3565" t="s">
        <v>30</v>
      </c>
      <c r="I3565" t="s">
        <v>16</v>
      </c>
      <c r="J3565" t="s">
        <v>16</v>
      </c>
      <c r="K3565" t="str">
        <f>VLOOKUP(C3565,CheckName!A:B,2,0)</f>
        <v>Special Check</v>
      </c>
      <c r="L3565">
        <v>0</v>
      </c>
      <c r="M3565">
        <f t="shared" ref="M3565:M3580" si="517">DAY(E3565)</f>
        <v>23</v>
      </c>
      <c r="N3565" t="str">
        <f>TEXT(MTDRejection[[#This Row],[RejectionDate]],"dddd")</f>
        <v>Monday</v>
      </c>
    </row>
    <row r="3566" spans="1:14">
      <c r="A3566" t="s">
        <v>100</v>
      </c>
      <c r="B3566" t="s">
        <v>5755</v>
      </c>
      <c r="C3566" t="s">
        <v>235</v>
      </c>
      <c r="D3566" t="s">
        <v>13</v>
      </c>
      <c r="E3566" s="7">
        <v>45649</v>
      </c>
      <c r="F3566" t="s">
        <v>1861</v>
      </c>
      <c r="G3566">
        <v>0</v>
      </c>
      <c r="H3566" t="s">
        <v>30</v>
      </c>
      <c r="I3566" t="s">
        <v>16</v>
      </c>
      <c r="J3566" t="s">
        <v>16</v>
      </c>
      <c r="K3566" t="str">
        <f>VLOOKUP(C3566,CheckName!A:B,2,0)</f>
        <v>Special Check</v>
      </c>
      <c r="L3566">
        <v>0</v>
      </c>
      <c r="M3566">
        <f t="shared" si="517"/>
        <v>23</v>
      </c>
      <c r="N3566" t="str">
        <f>TEXT(MTDRejection[[#This Row],[RejectionDate]],"dddd")</f>
        <v>Monday</v>
      </c>
    </row>
    <row r="3567" spans="1:14">
      <c r="A3567" t="s">
        <v>1204</v>
      </c>
      <c r="B3567" t="s">
        <v>5756</v>
      </c>
      <c r="C3567" t="s">
        <v>36</v>
      </c>
      <c r="D3567" t="s">
        <v>26</v>
      </c>
      <c r="E3567" s="7">
        <v>45649</v>
      </c>
      <c r="F3567" t="s">
        <v>83</v>
      </c>
      <c r="G3567">
        <v>0</v>
      </c>
      <c r="H3567" t="s">
        <v>27</v>
      </c>
      <c r="I3567" t="s">
        <v>16</v>
      </c>
      <c r="J3567" t="s">
        <v>16</v>
      </c>
      <c r="K3567" t="str">
        <f>VLOOKUP(C3567,CheckName!A:B,2,0)</f>
        <v>Emp</v>
      </c>
      <c r="L3567">
        <v>0</v>
      </c>
      <c r="M3567">
        <f t="shared" si="517"/>
        <v>23</v>
      </c>
      <c r="N3567" t="str">
        <f>TEXT(MTDRejection[[#This Row],[RejectionDate]],"dddd")</f>
        <v>Monday</v>
      </c>
    </row>
    <row r="3568" spans="1:14">
      <c r="A3568" t="s">
        <v>81</v>
      </c>
      <c r="B3568" t="s">
        <v>5757</v>
      </c>
      <c r="C3568" t="s">
        <v>12</v>
      </c>
      <c r="D3568" t="s">
        <v>26</v>
      </c>
      <c r="E3568" s="7">
        <v>45649</v>
      </c>
      <c r="F3568" t="s">
        <v>184</v>
      </c>
      <c r="G3568">
        <v>0</v>
      </c>
      <c r="H3568" t="s">
        <v>130</v>
      </c>
      <c r="I3568" t="s">
        <v>16</v>
      </c>
      <c r="J3568" t="s">
        <v>16</v>
      </c>
      <c r="K3568" t="str">
        <f>VLOOKUP(C3568,CheckName!A:B,2,0)</f>
        <v>Emp</v>
      </c>
      <c r="L3568">
        <v>0</v>
      </c>
      <c r="M3568">
        <f t="shared" si="517"/>
        <v>23</v>
      </c>
      <c r="N3568" t="str">
        <f>TEXT(MTDRejection[[#This Row],[RejectionDate]],"dddd")</f>
        <v>Monday</v>
      </c>
    </row>
    <row r="3569" spans="1:14">
      <c r="A3569" t="s">
        <v>142</v>
      </c>
      <c r="B3569" t="s">
        <v>2734</v>
      </c>
      <c r="C3569" t="s">
        <v>12</v>
      </c>
      <c r="D3569" t="s">
        <v>26</v>
      </c>
      <c r="E3569" s="7">
        <v>45649</v>
      </c>
      <c r="F3569" t="s">
        <v>184</v>
      </c>
      <c r="G3569">
        <v>0</v>
      </c>
      <c r="H3569" t="s">
        <v>27</v>
      </c>
      <c r="I3569" t="s">
        <v>16</v>
      </c>
      <c r="J3569" t="s">
        <v>16</v>
      </c>
      <c r="K3569" t="str">
        <f>VLOOKUP(C3569,CheckName!A:B,2,0)</f>
        <v>Emp</v>
      </c>
      <c r="L3569">
        <v>0</v>
      </c>
      <c r="M3569">
        <f t="shared" si="517"/>
        <v>23</v>
      </c>
      <c r="N3569" t="str">
        <f>TEXT(MTDRejection[[#This Row],[RejectionDate]],"dddd")</f>
        <v>Monday</v>
      </c>
    </row>
    <row r="3570" spans="1:14">
      <c r="A3570" t="s">
        <v>142</v>
      </c>
      <c r="B3570" t="s">
        <v>5758</v>
      </c>
      <c r="C3570" t="s">
        <v>36</v>
      </c>
      <c r="D3570" t="s">
        <v>26</v>
      </c>
      <c r="E3570" s="7">
        <v>45649</v>
      </c>
      <c r="F3570" t="s">
        <v>83</v>
      </c>
      <c r="G3570">
        <v>0</v>
      </c>
      <c r="H3570" t="s">
        <v>22</v>
      </c>
      <c r="I3570" t="s">
        <v>16</v>
      </c>
      <c r="J3570" t="s">
        <v>16</v>
      </c>
      <c r="K3570" t="str">
        <f>VLOOKUP(C3570,CheckName!A:B,2,0)</f>
        <v>Emp</v>
      </c>
      <c r="L3570">
        <v>0</v>
      </c>
      <c r="M3570">
        <f t="shared" si="517"/>
        <v>23</v>
      </c>
      <c r="N3570" t="str">
        <f>TEXT(MTDRejection[[#This Row],[RejectionDate]],"dddd")</f>
        <v>Monday</v>
      </c>
    </row>
    <row r="3571" spans="1:14">
      <c r="A3571" t="s">
        <v>580</v>
      </c>
      <c r="B3571" t="s">
        <v>5759</v>
      </c>
      <c r="C3571" t="s">
        <v>12</v>
      </c>
      <c r="D3571" t="s">
        <v>26</v>
      </c>
      <c r="E3571" s="7">
        <v>45649</v>
      </c>
      <c r="F3571" t="s">
        <v>83</v>
      </c>
      <c r="G3571">
        <v>0</v>
      </c>
      <c r="H3571" t="s">
        <v>27</v>
      </c>
      <c r="I3571" t="s">
        <v>16</v>
      </c>
      <c r="J3571" t="s">
        <v>16</v>
      </c>
      <c r="K3571" t="str">
        <f>VLOOKUP(C3571,CheckName!A:B,2,0)</f>
        <v>Emp</v>
      </c>
      <c r="L3571">
        <v>0</v>
      </c>
      <c r="M3571">
        <f t="shared" si="517"/>
        <v>23</v>
      </c>
      <c r="N3571" t="str">
        <f>TEXT(MTDRejection[[#This Row],[RejectionDate]],"dddd")</f>
        <v>Monday</v>
      </c>
    </row>
    <row r="3572" spans="1:14">
      <c r="A3572" t="s">
        <v>1160</v>
      </c>
      <c r="B3572" t="s">
        <v>2735</v>
      </c>
      <c r="C3572" t="s">
        <v>12</v>
      </c>
      <c r="D3572" t="s">
        <v>26</v>
      </c>
      <c r="E3572" s="7">
        <v>45649</v>
      </c>
      <c r="F3572" t="s">
        <v>1139</v>
      </c>
      <c r="G3572">
        <v>0</v>
      </c>
      <c r="H3572" t="s">
        <v>27</v>
      </c>
      <c r="I3572" t="s">
        <v>16</v>
      </c>
      <c r="J3572" t="s">
        <v>16</v>
      </c>
      <c r="K3572" t="str">
        <f>VLOOKUP(C3572,CheckName!A:B,2,0)</f>
        <v>Emp</v>
      </c>
      <c r="L3572">
        <v>0</v>
      </c>
      <c r="M3572">
        <f t="shared" si="517"/>
        <v>23</v>
      </c>
      <c r="N3572" t="str">
        <f>TEXT(MTDRejection[[#This Row],[RejectionDate]],"dddd")</f>
        <v>Monday</v>
      </c>
    </row>
    <row r="3573" spans="1:14">
      <c r="A3573" t="s">
        <v>292</v>
      </c>
      <c r="B3573" t="s">
        <v>5760</v>
      </c>
      <c r="C3573" t="s">
        <v>54</v>
      </c>
      <c r="D3573" t="s">
        <v>13</v>
      </c>
      <c r="E3573" s="7">
        <v>45649</v>
      </c>
      <c r="F3573" t="s">
        <v>107</v>
      </c>
      <c r="G3573">
        <v>0</v>
      </c>
      <c r="H3573" t="s">
        <v>30</v>
      </c>
      <c r="I3573" t="s">
        <v>16</v>
      </c>
      <c r="J3573" t="s">
        <v>16</v>
      </c>
      <c r="K3573" t="str">
        <f>VLOOKUP(C3573,CheckName!A:B,2,0)</f>
        <v>Edu</v>
      </c>
      <c r="L3573">
        <v>0</v>
      </c>
      <c r="M3573">
        <f t="shared" si="517"/>
        <v>23</v>
      </c>
      <c r="N3573" t="str">
        <f>TEXT(MTDRejection[[#This Row],[RejectionDate]],"dddd")</f>
        <v>Monday</v>
      </c>
    </row>
    <row r="3574" spans="1:14">
      <c r="A3574" t="s">
        <v>385</v>
      </c>
      <c r="B3574" t="s">
        <v>5761</v>
      </c>
      <c r="C3574" t="s">
        <v>125</v>
      </c>
      <c r="D3574" t="s">
        <v>26</v>
      </c>
      <c r="E3574" s="7">
        <v>45649</v>
      </c>
      <c r="F3574" t="s">
        <v>2335</v>
      </c>
      <c r="G3574">
        <v>0</v>
      </c>
      <c r="H3574" t="s">
        <v>22</v>
      </c>
      <c r="I3574" t="s">
        <v>16</v>
      </c>
      <c r="J3574" t="s">
        <v>16</v>
      </c>
      <c r="K3574" t="str">
        <f>VLOOKUP(C3574,CheckName!A:B,2,0)</f>
        <v>Emp</v>
      </c>
      <c r="L3574">
        <v>1</v>
      </c>
      <c r="M3574">
        <f t="shared" si="517"/>
        <v>23</v>
      </c>
      <c r="N3574" t="str">
        <f>TEXT(MTDRejection[[#This Row],[RejectionDate]],"dddd")</f>
        <v>Monday</v>
      </c>
    </row>
    <row r="3575" spans="1:14">
      <c r="A3575" t="s">
        <v>176</v>
      </c>
      <c r="B3575" t="s">
        <v>5762</v>
      </c>
      <c r="C3575" t="s">
        <v>125</v>
      </c>
      <c r="D3575" t="s">
        <v>26</v>
      </c>
      <c r="E3575" s="7">
        <v>45649</v>
      </c>
      <c r="F3575" t="s">
        <v>115</v>
      </c>
      <c r="G3575">
        <v>0</v>
      </c>
      <c r="H3575" t="s">
        <v>27</v>
      </c>
      <c r="I3575" t="s">
        <v>16</v>
      </c>
      <c r="J3575" t="s">
        <v>16</v>
      </c>
      <c r="K3575" t="str">
        <f>VLOOKUP(C3575,CheckName!A:B,2,0)</f>
        <v>Emp</v>
      </c>
      <c r="L3575">
        <v>0</v>
      </c>
      <c r="M3575">
        <f t="shared" si="517"/>
        <v>23</v>
      </c>
      <c r="N3575" t="str">
        <f>TEXT(MTDRejection[[#This Row],[RejectionDate]],"dddd")</f>
        <v>Monday</v>
      </c>
    </row>
    <row r="3576" spans="1:14">
      <c r="A3576" t="s">
        <v>137</v>
      </c>
      <c r="B3576" t="s">
        <v>3883</v>
      </c>
      <c r="C3576" t="s">
        <v>12</v>
      </c>
      <c r="D3576" t="s">
        <v>26</v>
      </c>
      <c r="E3576" s="7">
        <v>45649</v>
      </c>
      <c r="F3576" t="s">
        <v>115</v>
      </c>
      <c r="G3576">
        <v>0</v>
      </c>
      <c r="H3576" t="s">
        <v>27</v>
      </c>
      <c r="I3576" t="s">
        <v>16</v>
      </c>
      <c r="J3576" t="s">
        <v>16</v>
      </c>
      <c r="K3576" t="str">
        <f>VLOOKUP(C3576,CheckName!A:B,2,0)</f>
        <v>Emp</v>
      </c>
      <c r="L3576">
        <v>0</v>
      </c>
      <c r="M3576">
        <f t="shared" si="517"/>
        <v>23</v>
      </c>
      <c r="N3576" t="str">
        <f>TEXT(MTDRejection[[#This Row],[RejectionDate]],"dddd")</f>
        <v>Monday</v>
      </c>
    </row>
    <row r="3577" spans="1:14">
      <c r="A3577" t="s">
        <v>165</v>
      </c>
      <c r="B3577" t="s">
        <v>5763</v>
      </c>
      <c r="C3577" t="s">
        <v>54</v>
      </c>
      <c r="D3577" t="s">
        <v>13</v>
      </c>
      <c r="E3577" s="7">
        <v>45648</v>
      </c>
      <c r="F3577" t="s">
        <v>2343</v>
      </c>
      <c r="G3577">
        <v>1</v>
      </c>
      <c r="H3577" t="s">
        <v>130</v>
      </c>
      <c r="I3577" t="s">
        <v>16</v>
      </c>
      <c r="J3577" t="s">
        <v>16</v>
      </c>
      <c r="K3577" t="str">
        <f>VLOOKUP(C3577,CheckName!A:B,2,0)</f>
        <v>Edu</v>
      </c>
      <c r="L3577">
        <v>0</v>
      </c>
      <c r="M3577">
        <f t="shared" si="517"/>
        <v>22</v>
      </c>
      <c r="N3577" t="str">
        <f>TEXT(MTDRejection[[#This Row],[RejectionDate]],"dddd")</f>
        <v>Sunday</v>
      </c>
    </row>
    <row r="3578" spans="1:14">
      <c r="A3578" t="s">
        <v>360</v>
      </c>
      <c r="B3578" t="s">
        <v>5764</v>
      </c>
      <c r="C3578" t="s">
        <v>54</v>
      </c>
      <c r="D3578" t="s">
        <v>13</v>
      </c>
      <c r="E3578" s="7">
        <v>45648</v>
      </c>
      <c r="F3578" t="s">
        <v>2343</v>
      </c>
      <c r="G3578">
        <v>1</v>
      </c>
      <c r="H3578" t="s">
        <v>15</v>
      </c>
      <c r="I3578" t="s">
        <v>16</v>
      </c>
      <c r="J3578" t="s">
        <v>16</v>
      </c>
      <c r="K3578" t="str">
        <f>VLOOKUP(C3578,CheckName!A:B,2,0)</f>
        <v>Edu</v>
      </c>
      <c r="L3578">
        <v>0</v>
      </c>
      <c r="M3578">
        <f t="shared" si="517"/>
        <v>22</v>
      </c>
      <c r="N3578" t="str">
        <f>TEXT(MTDRejection[[#This Row],[RejectionDate]],"dddd")</f>
        <v>Sunday</v>
      </c>
    </row>
    <row r="3579" spans="1:14">
      <c r="A3579" t="s">
        <v>419</v>
      </c>
      <c r="B3579" t="s">
        <v>5765</v>
      </c>
      <c r="C3579" t="s">
        <v>220</v>
      </c>
      <c r="D3579" t="s">
        <v>38</v>
      </c>
      <c r="E3579" s="7">
        <v>45647</v>
      </c>
      <c r="F3579" t="s">
        <v>39</v>
      </c>
      <c r="G3579">
        <v>2</v>
      </c>
      <c r="H3579" t="s">
        <v>42</v>
      </c>
      <c r="I3579" t="s">
        <v>16</v>
      </c>
      <c r="J3579" t="s">
        <v>16</v>
      </c>
      <c r="K3579" t="str">
        <f>VLOOKUP(C3579,CheckName!A:B,2,0)</f>
        <v>Ref</v>
      </c>
      <c r="L3579">
        <v>0</v>
      </c>
      <c r="M3579">
        <f t="shared" si="517"/>
        <v>21</v>
      </c>
      <c r="N3579" t="str">
        <f>TEXT(MTDRejection[[#This Row],[RejectionDate]],"dddd")</f>
        <v>Saturday</v>
      </c>
    </row>
    <row r="3580" spans="1:14">
      <c r="A3580" t="s">
        <v>306</v>
      </c>
      <c r="B3580" t="s">
        <v>5766</v>
      </c>
      <c r="C3580" t="s">
        <v>106</v>
      </c>
      <c r="D3580" t="s">
        <v>38</v>
      </c>
      <c r="E3580" s="7">
        <v>45647</v>
      </c>
      <c r="F3580" t="s">
        <v>39</v>
      </c>
      <c r="G3580">
        <v>2</v>
      </c>
      <c r="H3580" t="s">
        <v>42</v>
      </c>
      <c r="I3580" t="s">
        <v>16</v>
      </c>
      <c r="J3580" t="s">
        <v>16</v>
      </c>
      <c r="K3580" t="str">
        <f>VLOOKUP(C3580,CheckName!A:B,2,0)</f>
        <v>Ref</v>
      </c>
      <c r="L3580">
        <v>0</v>
      </c>
      <c r="M3580">
        <f t="shared" si="517"/>
        <v>21</v>
      </c>
      <c r="N3580" t="str">
        <f>TEXT(MTDRejection[[#This Row],[RejectionDate]],"dddd")</f>
        <v>Saturday</v>
      </c>
    </row>
    <row r="3581" spans="1:14">
      <c r="A3581" t="s">
        <v>263</v>
      </c>
      <c r="B3581" t="s">
        <v>5767</v>
      </c>
      <c r="C3581" t="s">
        <v>25</v>
      </c>
      <c r="D3581" t="s">
        <v>20</v>
      </c>
      <c r="E3581" s="7">
        <v>45647</v>
      </c>
      <c r="F3581" t="s">
        <v>2327</v>
      </c>
      <c r="G3581">
        <v>2</v>
      </c>
      <c r="H3581" t="s">
        <v>22</v>
      </c>
      <c r="I3581" t="s">
        <v>16</v>
      </c>
      <c r="J3581" t="s">
        <v>16</v>
      </c>
      <c r="K3581" t="str">
        <f>VLOOKUP(C3581,CheckName!A:B,2,0)</f>
        <v>Add</v>
      </c>
      <c r="L3581">
        <v>1</v>
      </c>
      <c r="M3581">
        <f t="shared" ref="M3581:M3589" si="518">DAY(E3581)</f>
        <v>21</v>
      </c>
      <c r="N3581" t="str">
        <f>TEXT(MTDRejection[[#This Row],[RejectionDate]],"dddd")</f>
        <v>Saturday</v>
      </c>
    </row>
    <row r="3582" spans="1:14">
      <c r="A3582" t="s">
        <v>469</v>
      </c>
      <c r="B3582" t="s">
        <v>5768</v>
      </c>
      <c r="C3582" t="s">
        <v>12</v>
      </c>
      <c r="D3582" t="s">
        <v>26</v>
      </c>
      <c r="E3582" s="7">
        <v>45647</v>
      </c>
      <c r="F3582" t="s">
        <v>325</v>
      </c>
      <c r="G3582">
        <v>2</v>
      </c>
      <c r="H3582" t="s">
        <v>27</v>
      </c>
      <c r="I3582" t="s">
        <v>16</v>
      </c>
      <c r="J3582" t="s">
        <v>16</v>
      </c>
      <c r="K3582" t="str">
        <f>VLOOKUP(C3582,CheckName!A:B,2,0)</f>
        <v>Emp</v>
      </c>
      <c r="L3582">
        <v>0</v>
      </c>
      <c r="M3582">
        <f t="shared" si="518"/>
        <v>21</v>
      </c>
      <c r="N3582" t="str">
        <f>TEXT(MTDRejection[[#This Row],[RejectionDate]],"dddd")</f>
        <v>Saturday</v>
      </c>
    </row>
    <row r="3583" spans="1:14">
      <c r="A3583" t="s">
        <v>306</v>
      </c>
      <c r="B3583" t="s">
        <v>5769</v>
      </c>
      <c r="C3583" t="s">
        <v>25</v>
      </c>
      <c r="D3583" t="s">
        <v>26</v>
      </c>
      <c r="E3583" s="7">
        <v>45647</v>
      </c>
      <c r="F3583" t="s">
        <v>66</v>
      </c>
      <c r="G3583">
        <v>2</v>
      </c>
      <c r="H3583" t="s">
        <v>566</v>
      </c>
      <c r="I3583" t="s">
        <v>16</v>
      </c>
      <c r="J3583" t="s">
        <v>16</v>
      </c>
      <c r="K3583" t="str">
        <f>VLOOKUP(C3583,CheckName!A:B,2,0)</f>
        <v>Add</v>
      </c>
      <c r="L3583">
        <v>0</v>
      </c>
      <c r="M3583">
        <f t="shared" si="518"/>
        <v>21</v>
      </c>
      <c r="N3583" t="str">
        <f>TEXT(MTDRejection[[#This Row],[RejectionDate]],"dddd")</f>
        <v>Saturday</v>
      </c>
    </row>
    <row r="3584" spans="1:14">
      <c r="A3584" t="s">
        <v>1110</v>
      </c>
      <c r="B3584" t="s">
        <v>5770</v>
      </c>
      <c r="C3584" t="s">
        <v>965</v>
      </c>
      <c r="D3584" t="s">
        <v>20</v>
      </c>
      <c r="E3584" s="7">
        <v>45647</v>
      </c>
      <c r="F3584" t="s">
        <v>2330</v>
      </c>
      <c r="G3584">
        <v>2</v>
      </c>
      <c r="H3584" t="s">
        <v>22</v>
      </c>
      <c r="I3584" t="s">
        <v>16</v>
      </c>
      <c r="J3584" t="s">
        <v>16</v>
      </c>
      <c r="K3584" t="str">
        <f>VLOOKUP(C3584,CheckName!A:B,2,0)</f>
        <v>Add</v>
      </c>
      <c r="L3584">
        <v>0</v>
      </c>
      <c r="M3584">
        <f t="shared" si="518"/>
        <v>21</v>
      </c>
      <c r="N3584" t="str">
        <f>TEXT(MTDRejection[[#This Row],[RejectionDate]],"dddd")</f>
        <v>Saturday</v>
      </c>
    </row>
    <row r="3585" spans="1:14">
      <c r="A3585" t="s">
        <v>1110</v>
      </c>
      <c r="B3585" t="s">
        <v>5771</v>
      </c>
      <c r="C3585" t="s">
        <v>965</v>
      </c>
      <c r="D3585" t="s">
        <v>26</v>
      </c>
      <c r="E3585" s="7">
        <v>45647</v>
      </c>
      <c r="F3585" t="s">
        <v>2330</v>
      </c>
      <c r="G3585">
        <v>2</v>
      </c>
      <c r="H3585" t="s">
        <v>27</v>
      </c>
      <c r="I3585" t="s">
        <v>16</v>
      </c>
      <c r="J3585" t="s">
        <v>16</v>
      </c>
      <c r="K3585" t="str">
        <f>VLOOKUP(C3585,CheckName!A:B,2,0)</f>
        <v>Add</v>
      </c>
      <c r="L3585">
        <v>0</v>
      </c>
      <c r="M3585">
        <f t="shared" si="518"/>
        <v>21</v>
      </c>
      <c r="N3585" t="str">
        <f>TEXT(MTDRejection[[#This Row],[RejectionDate]],"dddd")</f>
        <v>Saturday</v>
      </c>
    </row>
    <row r="3586" spans="1:14">
      <c r="A3586" t="s">
        <v>306</v>
      </c>
      <c r="B3586" t="s">
        <v>5772</v>
      </c>
      <c r="C3586" t="s">
        <v>25</v>
      </c>
      <c r="D3586" t="s">
        <v>26</v>
      </c>
      <c r="E3586" s="7">
        <v>45647</v>
      </c>
      <c r="F3586" t="s">
        <v>66</v>
      </c>
      <c r="G3586">
        <v>2</v>
      </c>
      <c r="H3586" t="s">
        <v>30</v>
      </c>
      <c r="I3586" t="s">
        <v>16</v>
      </c>
      <c r="J3586" t="s">
        <v>16</v>
      </c>
      <c r="K3586" t="str">
        <f>VLOOKUP(C3586,CheckName!A:B,2,0)</f>
        <v>Add</v>
      </c>
      <c r="L3586">
        <v>0</v>
      </c>
      <c r="M3586">
        <f t="shared" si="518"/>
        <v>21</v>
      </c>
      <c r="N3586" t="str">
        <f>TEXT(MTDRejection[[#This Row],[RejectionDate]],"dddd")</f>
        <v>Saturday</v>
      </c>
    </row>
    <row r="3587" spans="1:14">
      <c r="A3587" t="s">
        <v>119</v>
      </c>
      <c r="B3587" t="s">
        <v>5773</v>
      </c>
      <c r="C3587" t="s">
        <v>25</v>
      </c>
      <c r="D3587" t="s">
        <v>20</v>
      </c>
      <c r="E3587" s="7">
        <v>45647</v>
      </c>
      <c r="F3587" t="s">
        <v>2330</v>
      </c>
      <c r="G3587">
        <v>2</v>
      </c>
      <c r="H3587" t="s">
        <v>27</v>
      </c>
      <c r="I3587" t="s">
        <v>16</v>
      </c>
      <c r="J3587" t="s">
        <v>16</v>
      </c>
      <c r="K3587" t="str">
        <f>VLOOKUP(C3587,CheckName!A:B,2,0)</f>
        <v>Add</v>
      </c>
      <c r="L3587">
        <v>1</v>
      </c>
      <c r="M3587">
        <f t="shared" si="518"/>
        <v>21</v>
      </c>
      <c r="N3587" t="str">
        <f>TEXT(MTDRejection[[#This Row],[RejectionDate]],"dddd")</f>
        <v>Saturday</v>
      </c>
    </row>
    <row r="3588" spans="1:14">
      <c r="A3588" t="s">
        <v>1564</v>
      </c>
      <c r="B3588" t="s">
        <v>5774</v>
      </c>
      <c r="C3588" t="s">
        <v>25</v>
      </c>
      <c r="D3588" t="s">
        <v>20</v>
      </c>
      <c r="E3588" s="7">
        <v>45647</v>
      </c>
      <c r="F3588" t="s">
        <v>2330</v>
      </c>
      <c r="G3588">
        <v>2</v>
      </c>
      <c r="H3588" t="s">
        <v>22</v>
      </c>
      <c r="I3588" t="s">
        <v>16</v>
      </c>
      <c r="J3588" t="s">
        <v>16</v>
      </c>
      <c r="K3588" t="str">
        <f>VLOOKUP(C3588,CheckName!A:B,2,0)</f>
        <v>Add</v>
      </c>
      <c r="L3588">
        <v>1</v>
      </c>
      <c r="M3588">
        <f t="shared" si="518"/>
        <v>21</v>
      </c>
      <c r="N3588" t="str">
        <f>TEXT(MTDRejection[[#This Row],[RejectionDate]],"dddd")</f>
        <v>Saturday</v>
      </c>
    </row>
    <row r="3589" spans="1:14">
      <c r="A3589" t="s">
        <v>306</v>
      </c>
      <c r="B3589" t="s">
        <v>5775</v>
      </c>
      <c r="C3589" t="s">
        <v>56</v>
      </c>
      <c r="D3589" t="s">
        <v>13</v>
      </c>
      <c r="E3589" s="7">
        <v>45647</v>
      </c>
      <c r="F3589" t="s">
        <v>844</v>
      </c>
      <c r="G3589">
        <v>2</v>
      </c>
      <c r="H3589" t="s">
        <v>15</v>
      </c>
      <c r="I3589" t="s">
        <v>16</v>
      </c>
      <c r="J3589" t="s">
        <v>16</v>
      </c>
      <c r="K3589" t="str">
        <f>VLOOKUP(C3589,CheckName!A:B,2,0)</f>
        <v>Special Check</v>
      </c>
      <c r="L3589">
        <v>0</v>
      </c>
      <c r="M3589">
        <f t="shared" si="518"/>
        <v>21</v>
      </c>
      <c r="N3589" t="str">
        <f>TEXT(MTDRejection[[#This Row],[RejectionDate]],"dddd")</f>
        <v>Saturday</v>
      </c>
    </row>
    <row r="3590" spans="1:14">
      <c r="A3590" t="s">
        <v>306</v>
      </c>
      <c r="B3590" t="s">
        <v>5776</v>
      </c>
      <c r="C3590" t="s">
        <v>12</v>
      </c>
      <c r="D3590" t="s">
        <v>51</v>
      </c>
      <c r="E3590" s="7">
        <v>45647</v>
      </c>
      <c r="F3590" t="s">
        <v>2349</v>
      </c>
      <c r="G3590">
        <v>2</v>
      </c>
      <c r="H3590" t="s">
        <v>53</v>
      </c>
      <c r="I3590" t="s">
        <v>16</v>
      </c>
      <c r="J3590" t="s">
        <v>16</v>
      </c>
      <c r="K3590" t="str">
        <f>VLOOKUP(C3590,CheckName!A:B,2,0)</f>
        <v>Emp</v>
      </c>
      <c r="L3590">
        <v>0</v>
      </c>
      <c r="M3590">
        <f t="shared" ref="M3590:M3593" si="519">DAY(E3590)</f>
        <v>21</v>
      </c>
      <c r="N3590" t="str">
        <f>TEXT(MTDRejection[[#This Row],[RejectionDate]],"dddd")</f>
        <v>Saturday</v>
      </c>
    </row>
    <row r="3591" spans="1:14">
      <c r="A3591" t="s">
        <v>1204</v>
      </c>
      <c r="B3591" t="s">
        <v>5777</v>
      </c>
      <c r="C3591" t="s">
        <v>12</v>
      </c>
      <c r="D3591" t="s">
        <v>26</v>
      </c>
      <c r="E3591" s="7">
        <v>45647</v>
      </c>
      <c r="F3591" t="s">
        <v>179</v>
      </c>
      <c r="G3591">
        <v>2</v>
      </c>
      <c r="H3591" t="s">
        <v>27</v>
      </c>
      <c r="I3591" t="s">
        <v>16</v>
      </c>
      <c r="J3591" t="s">
        <v>16</v>
      </c>
      <c r="K3591" t="str">
        <f>VLOOKUP(C3591,CheckName!A:B,2,0)</f>
        <v>Emp</v>
      </c>
      <c r="L3591">
        <v>0</v>
      </c>
      <c r="M3591">
        <f t="shared" si="519"/>
        <v>21</v>
      </c>
      <c r="N3591" t="str">
        <f>TEXT(MTDRejection[[#This Row],[RejectionDate]],"dddd")</f>
        <v>Saturday</v>
      </c>
    </row>
    <row r="3592" spans="1:14">
      <c r="A3592" t="s">
        <v>845</v>
      </c>
      <c r="B3592" t="s">
        <v>5778</v>
      </c>
      <c r="C3592" t="s">
        <v>125</v>
      </c>
      <c r="D3592" t="s">
        <v>26</v>
      </c>
      <c r="E3592" s="7">
        <v>45647</v>
      </c>
      <c r="F3592" t="s">
        <v>2347</v>
      </c>
      <c r="G3592">
        <v>2</v>
      </c>
      <c r="H3592" t="s">
        <v>27</v>
      </c>
      <c r="I3592" t="s">
        <v>16</v>
      </c>
      <c r="J3592" t="s">
        <v>16</v>
      </c>
      <c r="K3592" t="str">
        <f>VLOOKUP(C3592,CheckName!A:B,2,0)</f>
        <v>Emp</v>
      </c>
      <c r="L3592">
        <v>0</v>
      </c>
      <c r="M3592">
        <f t="shared" si="519"/>
        <v>21</v>
      </c>
      <c r="N3592" t="str">
        <f>TEXT(MTDRejection[[#This Row],[RejectionDate]],"dddd")</f>
        <v>Saturday</v>
      </c>
    </row>
    <row r="3593" spans="1:14">
      <c r="A3593" t="s">
        <v>845</v>
      </c>
      <c r="B3593" t="s">
        <v>5779</v>
      </c>
      <c r="C3593" t="s">
        <v>36</v>
      </c>
      <c r="D3593" t="s">
        <v>26</v>
      </c>
      <c r="E3593" s="7">
        <v>45647</v>
      </c>
      <c r="F3593" t="s">
        <v>2347</v>
      </c>
      <c r="G3593">
        <v>2</v>
      </c>
      <c r="H3593" t="s">
        <v>27</v>
      </c>
      <c r="I3593" t="s">
        <v>16</v>
      </c>
      <c r="J3593" t="s">
        <v>16</v>
      </c>
      <c r="K3593" t="str">
        <f>VLOOKUP(C3593,CheckName!A:B,2,0)</f>
        <v>Emp</v>
      </c>
      <c r="L3593">
        <v>0</v>
      </c>
      <c r="M3593">
        <f t="shared" si="519"/>
        <v>21</v>
      </c>
      <c r="N3593" t="str">
        <f>TEXT(MTDRejection[[#This Row],[RejectionDate]],"dddd")</f>
        <v>Saturday</v>
      </c>
    </row>
    <row r="3594" spans="1:14">
      <c r="A3594" t="s">
        <v>160</v>
      </c>
      <c r="B3594" t="s">
        <v>5780</v>
      </c>
      <c r="C3594" t="s">
        <v>36</v>
      </c>
      <c r="D3594" t="s">
        <v>26</v>
      </c>
      <c r="E3594" s="7">
        <v>45647</v>
      </c>
      <c r="F3594" t="s">
        <v>2354</v>
      </c>
      <c r="G3594">
        <v>2</v>
      </c>
      <c r="H3594" t="s">
        <v>27</v>
      </c>
      <c r="I3594" t="s">
        <v>16</v>
      </c>
      <c r="J3594" t="s">
        <v>16</v>
      </c>
      <c r="K3594" t="str">
        <f>VLOOKUP(C3594,CheckName!A:B,2,0)</f>
        <v>Emp</v>
      </c>
      <c r="L3594">
        <v>0</v>
      </c>
      <c r="M3594">
        <f t="shared" ref="M3594:M3596" si="520">DAY(E3594)</f>
        <v>21</v>
      </c>
      <c r="N3594" t="str">
        <f>TEXT(MTDRejection[[#This Row],[RejectionDate]],"dddd")</f>
        <v>Saturday</v>
      </c>
    </row>
    <row r="3595" spans="1:14">
      <c r="A3595" t="s">
        <v>131</v>
      </c>
      <c r="B3595" t="s">
        <v>2736</v>
      </c>
      <c r="C3595" t="s">
        <v>54</v>
      </c>
      <c r="D3595" t="s">
        <v>51</v>
      </c>
      <c r="E3595" s="7">
        <v>45647</v>
      </c>
      <c r="F3595" t="s">
        <v>2331</v>
      </c>
      <c r="G3595">
        <v>2</v>
      </c>
      <c r="H3595" t="s">
        <v>53</v>
      </c>
      <c r="I3595" t="s">
        <v>16</v>
      </c>
      <c r="J3595" t="s">
        <v>16</v>
      </c>
      <c r="K3595" t="str">
        <f>VLOOKUP(C3595,CheckName!A:B,2,0)</f>
        <v>Edu</v>
      </c>
      <c r="L3595">
        <v>0</v>
      </c>
      <c r="M3595">
        <f t="shared" si="520"/>
        <v>21</v>
      </c>
      <c r="N3595" t="str">
        <f>TEXT(MTDRejection[[#This Row],[RejectionDate]],"dddd")</f>
        <v>Saturday</v>
      </c>
    </row>
    <row r="3596" spans="1:14">
      <c r="A3596" t="s">
        <v>160</v>
      </c>
      <c r="B3596" t="s">
        <v>5781</v>
      </c>
      <c r="C3596" t="s">
        <v>125</v>
      </c>
      <c r="D3596" t="s">
        <v>26</v>
      </c>
      <c r="E3596" s="7">
        <v>45647</v>
      </c>
      <c r="F3596" t="s">
        <v>2354</v>
      </c>
      <c r="G3596">
        <v>2</v>
      </c>
      <c r="H3596" t="s">
        <v>27</v>
      </c>
      <c r="I3596" t="s">
        <v>16</v>
      </c>
      <c r="J3596" t="s">
        <v>16</v>
      </c>
      <c r="K3596" t="str">
        <f>VLOOKUP(C3596,CheckName!A:B,2,0)</f>
        <v>Emp</v>
      </c>
      <c r="L3596">
        <v>0</v>
      </c>
      <c r="M3596">
        <f t="shared" si="520"/>
        <v>21</v>
      </c>
      <c r="N3596" t="str">
        <f>TEXT(MTDRejection[[#This Row],[RejectionDate]],"dddd")</f>
        <v>Saturday</v>
      </c>
    </row>
    <row r="3597" spans="1:14">
      <c r="A3597" t="s">
        <v>84</v>
      </c>
      <c r="B3597" t="s">
        <v>5782</v>
      </c>
      <c r="C3597" t="s">
        <v>36</v>
      </c>
      <c r="D3597" t="s">
        <v>26</v>
      </c>
      <c r="E3597" s="7">
        <v>45647</v>
      </c>
      <c r="F3597" t="s">
        <v>151</v>
      </c>
      <c r="G3597">
        <v>2</v>
      </c>
      <c r="H3597" t="s">
        <v>27</v>
      </c>
      <c r="I3597" t="s">
        <v>16</v>
      </c>
      <c r="J3597" t="s">
        <v>16</v>
      </c>
      <c r="K3597" t="str">
        <f>VLOOKUP(C3597,CheckName!A:B,2,0)</f>
        <v>Emp</v>
      </c>
      <c r="L3597">
        <v>1</v>
      </c>
      <c r="M3597">
        <f>DAY(E3597)</f>
        <v>21</v>
      </c>
      <c r="N3597" t="str">
        <f>TEXT(MTDRejection[[#This Row],[RejectionDate]],"dddd")</f>
        <v>Saturday</v>
      </c>
    </row>
    <row r="3598" spans="1:14">
      <c r="A3598" t="s">
        <v>285</v>
      </c>
      <c r="B3598" t="s">
        <v>5783</v>
      </c>
      <c r="C3598" t="s">
        <v>36</v>
      </c>
      <c r="D3598" t="s">
        <v>26</v>
      </c>
      <c r="E3598" s="7">
        <v>45647</v>
      </c>
      <c r="F3598" t="s">
        <v>2337</v>
      </c>
      <c r="G3598">
        <v>2</v>
      </c>
      <c r="H3598" t="s">
        <v>27</v>
      </c>
      <c r="I3598" t="s">
        <v>16</v>
      </c>
      <c r="J3598" t="s">
        <v>16</v>
      </c>
      <c r="K3598" t="str">
        <f>VLOOKUP(C3598,CheckName!A:B,2,0)</f>
        <v>Emp</v>
      </c>
      <c r="L3598">
        <v>0</v>
      </c>
      <c r="M3598">
        <f t="shared" ref="M3598:M3599" si="521">DAY(E3598)</f>
        <v>21</v>
      </c>
      <c r="N3598" t="str">
        <f>TEXT(MTDRejection[[#This Row],[RejectionDate]],"dddd")</f>
        <v>Saturday</v>
      </c>
    </row>
    <row r="3599" spans="1:14">
      <c r="A3599" t="s">
        <v>285</v>
      </c>
      <c r="B3599" t="s">
        <v>2975</v>
      </c>
      <c r="C3599" t="s">
        <v>12</v>
      </c>
      <c r="D3599" t="s">
        <v>26</v>
      </c>
      <c r="E3599" s="7">
        <v>45647</v>
      </c>
      <c r="F3599" t="s">
        <v>2337</v>
      </c>
      <c r="G3599">
        <v>2</v>
      </c>
      <c r="H3599" t="s">
        <v>27</v>
      </c>
      <c r="I3599" t="s">
        <v>16</v>
      </c>
      <c r="J3599" t="s">
        <v>16</v>
      </c>
      <c r="K3599" t="str">
        <f>VLOOKUP(C3599,CheckName!A:B,2,0)</f>
        <v>Emp</v>
      </c>
      <c r="L3599">
        <v>1</v>
      </c>
      <c r="M3599">
        <f t="shared" si="521"/>
        <v>21</v>
      </c>
      <c r="N3599" t="str">
        <f>TEXT(MTDRejection[[#This Row],[RejectionDate]],"dddd")</f>
        <v>Saturday</v>
      </c>
    </row>
    <row r="3600" spans="1:14">
      <c r="A3600" t="s">
        <v>160</v>
      </c>
      <c r="B3600" t="s">
        <v>5784</v>
      </c>
      <c r="C3600" t="s">
        <v>19</v>
      </c>
      <c r="D3600" t="s">
        <v>20</v>
      </c>
      <c r="E3600" s="7">
        <v>45647</v>
      </c>
      <c r="F3600" t="s">
        <v>129</v>
      </c>
      <c r="G3600">
        <v>2</v>
      </c>
      <c r="H3600" t="s">
        <v>22</v>
      </c>
      <c r="I3600" t="s">
        <v>16</v>
      </c>
      <c r="J3600" t="s">
        <v>16</v>
      </c>
      <c r="K3600" t="str">
        <f>VLOOKUP(C3600,CheckName!A:B,2,0)</f>
        <v>Add</v>
      </c>
      <c r="L3600">
        <v>1</v>
      </c>
      <c r="M3600">
        <f t="shared" ref="M3600:M3601" si="522">DAY(E3600)</f>
        <v>21</v>
      </c>
      <c r="N3600" t="str">
        <f>TEXT(MTDRejection[[#This Row],[RejectionDate]],"dddd")</f>
        <v>Saturday</v>
      </c>
    </row>
    <row r="3601" spans="1:14">
      <c r="A3601" t="s">
        <v>469</v>
      </c>
      <c r="B3601" t="s">
        <v>5785</v>
      </c>
      <c r="C3601" t="s">
        <v>36</v>
      </c>
      <c r="D3601" t="s">
        <v>26</v>
      </c>
      <c r="E3601" s="7">
        <v>45647</v>
      </c>
      <c r="F3601" t="s">
        <v>2333</v>
      </c>
      <c r="G3601">
        <v>2</v>
      </c>
      <c r="H3601" t="s">
        <v>22</v>
      </c>
      <c r="I3601" t="s">
        <v>16</v>
      </c>
      <c r="J3601" t="s">
        <v>16</v>
      </c>
      <c r="K3601" t="str">
        <f>VLOOKUP(C3601,CheckName!A:B,2,0)</f>
        <v>Emp</v>
      </c>
      <c r="L3601">
        <v>0</v>
      </c>
      <c r="M3601">
        <f t="shared" si="522"/>
        <v>21</v>
      </c>
      <c r="N3601" t="str">
        <f>TEXT(MTDRejection[[#This Row],[RejectionDate]],"dddd")</f>
        <v>Saturday</v>
      </c>
    </row>
    <row r="3602" spans="1:14">
      <c r="A3602" t="s">
        <v>176</v>
      </c>
      <c r="B3602" t="s">
        <v>5786</v>
      </c>
      <c r="C3602" t="s">
        <v>106</v>
      </c>
      <c r="D3602" t="s">
        <v>26</v>
      </c>
      <c r="E3602" s="7">
        <v>45647</v>
      </c>
      <c r="F3602" t="s">
        <v>294</v>
      </c>
      <c r="G3602">
        <v>2</v>
      </c>
      <c r="H3602" t="s">
        <v>95</v>
      </c>
      <c r="I3602" t="s">
        <v>16</v>
      </c>
      <c r="J3602" t="s">
        <v>16</v>
      </c>
      <c r="K3602" t="str">
        <f>VLOOKUP(C3602,CheckName!A:B,2,0)</f>
        <v>Ref</v>
      </c>
      <c r="L3602">
        <v>0</v>
      </c>
      <c r="M3602">
        <f>DAY(E3602)</f>
        <v>21</v>
      </c>
      <c r="N3602" t="str">
        <f>TEXT(MTDRejection[[#This Row],[RejectionDate]],"dddd")</f>
        <v>Saturday</v>
      </c>
    </row>
    <row r="3603" spans="1:14">
      <c r="A3603" t="s">
        <v>160</v>
      </c>
      <c r="B3603" t="s">
        <v>5787</v>
      </c>
      <c r="C3603" t="s">
        <v>125</v>
      </c>
      <c r="D3603" t="s">
        <v>26</v>
      </c>
      <c r="E3603" s="7">
        <v>45643</v>
      </c>
      <c r="F3603" t="s">
        <v>169</v>
      </c>
      <c r="G3603">
        <v>6</v>
      </c>
      <c r="H3603" t="s">
        <v>130</v>
      </c>
      <c r="I3603" t="s">
        <v>16</v>
      </c>
      <c r="J3603" t="s">
        <v>16</v>
      </c>
      <c r="K3603" t="str">
        <f>VLOOKUP(C3603,CheckName!A:B,2,0)</f>
        <v>Emp</v>
      </c>
      <c r="L3603">
        <v>1</v>
      </c>
      <c r="M3603">
        <f>DAY(E3603)</f>
        <v>17</v>
      </c>
      <c r="N3603" t="str">
        <f>TEXT(MTDRejection[[#This Row],[RejectionDate]],"dddd")</f>
        <v>Tuesday</v>
      </c>
    </row>
    <row r="3604" spans="1:14">
      <c r="A3604" t="s">
        <v>142</v>
      </c>
      <c r="B3604" t="s">
        <v>5788</v>
      </c>
      <c r="C3604" t="s">
        <v>12</v>
      </c>
      <c r="D3604" t="s">
        <v>26</v>
      </c>
      <c r="E3604" s="7">
        <v>45642</v>
      </c>
      <c r="F3604" t="s">
        <v>2333</v>
      </c>
      <c r="G3604">
        <v>7</v>
      </c>
      <c r="H3604" t="s">
        <v>130</v>
      </c>
      <c r="I3604" t="s">
        <v>16</v>
      </c>
      <c r="J3604" t="s">
        <v>16</v>
      </c>
      <c r="K3604" t="str">
        <f>VLOOKUP(C3604,CheckName!A:B,2,0)</f>
        <v>Emp</v>
      </c>
      <c r="L3604">
        <v>0</v>
      </c>
      <c r="M3604">
        <f>DAY(E3604)</f>
        <v>16</v>
      </c>
      <c r="N3604" t="str">
        <f>TEXT(MTDRejection[[#This Row],[RejectionDate]],"dddd")</f>
        <v>Monday</v>
      </c>
    </row>
    <row r="3605" spans="1:14">
      <c r="A3605" t="s">
        <v>211</v>
      </c>
      <c r="B3605" t="s">
        <v>5789</v>
      </c>
      <c r="C3605" t="s">
        <v>54</v>
      </c>
      <c r="D3605" t="s">
        <v>26</v>
      </c>
      <c r="E3605" s="7">
        <v>45636</v>
      </c>
      <c r="F3605" t="s">
        <v>188</v>
      </c>
      <c r="G3605">
        <v>13</v>
      </c>
      <c r="H3605" t="s">
        <v>27</v>
      </c>
      <c r="I3605" t="s">
        <v>16</v>
      </c>
      <c r="J3605" t="s">
        <v>16</v>
      </c>
      <c r="K3605" t="str">
        <f>VLOOKUP(C3605,CheckName!A:B,2,0)</f>
        <v>Edu</v>
      </c>
      <c r="L3605">
        <v>0</v>
      </c>
      <c r="M3605">
        <f>DAY(E3605)</f>
        <v>10</v>
      </c>
      <c r="N3605" t="str">
        <f>TEXT(MTDRejection[[#This Row],[RejectionDate]],"dddd")</f>
        <v>Tuesday</v>
      </c>
    </row>
    <row r="3606" spans="1:14">
      <c r="A3606" t="s">
        <v>1204</v>
      </c>
      <c r="B3606" t="s">
        <v>1205</v>
      </c>
      <c r="C3606" t="s">
        <v>12</v>
      </c>
      <c r="D3606" t="s">
        <v>26</v>
      </c>
      <c r="E3606" s="7">
        <v>45631</v>
      </c>
      <c r="F3606" t="s">
        <v>2354</v>
      </c>
      <c r="G3606">
        <v>18</v>
      </c>
      <c r="H3606" t="s">
        <v>27</v>
      </c>
      <c r="I3606" t="s">
        <v>16</v>
      </c>
      <c r="J3606" t="s">
        <v>16</v>
      </c>
      <c r="K3606" t="str">
        <f>VLOOKUP(C3606,CheckName!A:B,2,0)</f>
        <v>Emp</v>
      </c>
      <c r="L3606">
        <v>1</v>
      </c>
      <c r="M3606">
        <f>DAY(E3606)</f>
        <v>5</v>
      </c>
      <c r="N3606" t="str">
        <f>TEXT(MTDRejection[[#This Row],[RejectionDate]],"dddd")</f>
        <v>Thursday</v>
      </c>
    </row>
    <row r="3607" spans="1:14">
      <c r="A3607" t="s">
        <v>362</v>
      </c>
      <c r="B3607" t="s">
        <v>5790</v>
      </c>
      <c r="C3607" t="s">
        <v>1691</v>
      </c>
      <c r="D3607" t="s">
        <v>51</v>
      </c>
      <c r="E3607" s="7">
        <v>45649</v>
      </c>
      <c r="F3607" t="s">
        <v>2349</v>
      </c>
      <c r="G3607">
        <v>0</v>
      </c>
      <c r="H3607" t="s">
        <v>53</v>
      </c>
      <c r="I3607" t="s">
        <v>16</v>
      </c>
      <c r="J3607" t="s">
        <v>16</v>
      </c>
      <c r="K3607" t="str">
        <f>VLOOKUP(C3607,CheckName!A:B,2,0)</f>
        <v>CRC</v>
      </c>
      <c r="L3607">
        <v>0</v>
      </c>
      <c r="M3607">
        <f t="shared" ref="M3607:M3624" si="523">DAY(E3607)</f>
        <v>23</v>
      </c>
      <c r="N3607" t="str">
        <f>TEXT(MTDRejection[[#This Row],[RejectionDate]],"dddd")</f>
        <v>Monday</v>
      </c>
    </row>
    <row r="3608" spans="1:14">
      <c r="A3608" t="s">
        <v>274</v>
      </c>
      <c r="B3608" t="s">
        <v>5791</v>
      </c>
      <c r="C3608" t="s">
        <v>12</v>
      </c>
      <c r="D3608" t="s">
        <v>51</v>
      </c>
      <c r="E3608" s="7">
        <v>45649</v>
      </c>
      <c r="F3608" t="s">
        <v>2349</v>
      </c>
      <c r="G3608">
        <v>0</v>
      </c>
      <c r="H3608" t="s">
        <v>53</v>
      </c>
      <c r="I3608" t="s">
        <v>16</v>
      </c>
      <c r="J3608" t="s">
        <v>16</v>
      </c>
      <c r="K3608" t="str">
        <f>VLOOKUP(C3608,CheckName!A:B,2,0)</f>
        <v>Emp</v>
      </c>
      <c r="L3608">
        <v>0</v>
      </c>
      <c r="M3608">
        <f t="shared" si="523"/>
        <v>23</v>
      </c>
      <c r="N3608" t="str">
        <f>TEXT(MTDRejection[[#This Row],[RejectionDate]],"dddd")</f>
        <v>Monday</v>
      </c>
    </row>
    <row r="3609" spans="1:14">
      <c r="A3609" t="s">
        <v>281</v>
      </c>
      <c r="B3609" t="s">
        <v>5792</v>
      </c>
      <c r="C3609" t="s">
        <v>12</v>
      </c>
      <c r="D3609" t="s">
        <v>13</v>
      </c>
      <c r="E3609" s="7">
        <v>45649</v>
      </c>
      <c r="F3609" t="s">
        <v>706</v>
      </c>
      <c r="G3609">
        <v>0</v>
      </c>
      <c r="H3609" t="s">
        <v>15</v>
      </c>
      <c r="I3609" t="s">
        <v>16</v>
      </c>
      <c r="J3609" t="s">
        <v>16</v>
      </c>
      <c r="K3609" t="str">
        <f>VLOOKUP(C3609,CheckName!A:B,2,0)</f>
        <v>Emp</v>
      </c>
      <c r="L3609">
        <v>0</v>
      </c>
      <c r="M3609">
        <f t="shared" si="523"/>
        <v>23</v>
      </c>
      <c r="N3609" t="str">
        <f>TEXT(MTDRejection[[#This Row],[RejectionDate]],"dddd")</f>
        <v>Monday</v>
      </c>
    </row>
    <row r="3610" spans="1:14">
      <c r="A3610" t="s">
        <v>274</v>
      </c>
      <c r="B3610" t="s">
        <v>5793</v>
      </c>
      <c r="C3610" t="s">
        <v>36</v>
      </c>
      <c r="D3610" t="s">
        <v>13</v>
      </c>
      <c r="E3610" s="7">
        <v>45649</v>
      </c>
      <c r="F3610" t="s">
        <v>706</v>
      </c>
      <c r="G3610">
        <v>0</v>
      </c>
      <c r="H3610" t="s">
        <v>53</v>
      </c>
      <c r="I3610" t="s">
        <v>16</v>
      </c>
      <c r="J3610" t="s">
        <v>16</v>
      </c>
      <c r="K3610" t="str">
        <f>VLOOKUP(C3610,CheckName!A:B,2,0)</f>
        <v>Emp</v>
      </c>
      <c r="L3610">
        <v>0</v>
      </c>
      <c r="M3610">
        <f t="shared" si="523"/>
        <v>23</v>
      </c>
      <c r="N3610" t="str">
        <f>TEXT(MTDRejection[[#This Row],[RejectionDate]],"dddd")</f>
        <v>Monday</v>
      </c>
    </row>
    <row r="3611" spans="1:14">
      <c r="A3611" t="s">
        <v>853</v>
      </c>
      <c r="B3611" t="s">
        <v>5794</v>
      </c>
      <c r="C3611" t="s">
        <v>12</v>
      </c>
      <c r="D3611" t="s">
        <v>13</v>
      </c>
      <c r="E3611" s="7">
        <v>45649</v>
      </c>
      <c r="F3611" t="s">
        <v>33</v>
      </c>
      <c r="G3611">
        <v>0</v>
      </c>
      <c r="H3611" t="s">
        <v>15</v>
      </c>
      <c r="I3611" t="s">
        <v>16</v>
      </c>
      <c r="J3611" t="s">
        <v>16</v>
      </c>
      <c r="K3611" t="str">
        <f>VLOOKUP(C3611,CheckName!A:B,2,0)</f>
        <v>Emp</v>
      </c>
      <c r="L3611">
        <v>0</v>
      </c>
      <c r="M3611">
        <f t="shared" si="523"/>
        <v>23</v>
      </c>
      <c r="N3611" t="str">
        <f>TEXT(MTDRejection[[#This Row],[RejectionDate]],"dddd")</f>
        <v>Monday</v>
      </c>
    </row>
    <row r="3612" spans="1:14">
      <c r="A3612" t="s">
        <v>306</v>
      </c>
      <c r="B3612" t="s">
        <v>2737</v>
      </c>
      <c r="C3612" t="s">
        <v>19</v>
      </c>
      <c r="D3612" t="s">
        <v>13</v>
      </c>
      <c r="E3612" s="7">
        <v>45649</v>
      </c>
      <c r="F3612" t="s">
        <v>844</v>
      </c>
      <c r="G3612">
        <v>0</v>
      </c>
      <c r="H3612" t="s">
        <v>15</v>
      </c>
      <c r="I3612" t="s">
        <v>16</v>
      </c>
      <c r="J3612" t="s">
        <v>16</v>
      </c>
      <c r="K3612" t="str">
        <f>VLOOKUP(C3612,CheckName!A:B,2,0)</f>
        <v>Add</v>
      </c>
      <c r="L3612">
        <v>0</v>
      </c>
      <c r="M3612">
        <f t="shared" si="523"/>
        <v>23</v>
      </c>
      <c r="N3612" t="str">
        <f>TEXT(MTDRejection[[#This Row],[RejectionDate]],"dddd")</f>
        <v>Monday</v>
      </c>
    </row>
    <row r="3613" spans="1:14">
      <c r="A3613" t="s">
        <v>228</v>
      </c>
      <c r="B3613" t="s">
        <v>2738</v>
      </c>
      <c r="C3613" t="s">
        <v>19</v>
      </c>
      <c r="D3613" t="s">
        <v>20</v>
      </c>
      <c r="E3613" s="7">
        <v>45649</v>
      </c>
      <c r="F3613" t="s">
        <v>66</v>
      </c>
      <c r="G3613">
        <v>0</v>
      </c>
      <c r="H3613" t="s">
        <v>22</v>
      </c>
      <c r="I3613" t="s">
        <v>16</v>
      </c>
      <c r="J3613" t="s">
        <v>16</v>
      </c>
      <c r="K3613" t="str">
        <f>VLOOKUP(C3613,CheckName!A:B,2,0)</f>
        <v>Add</v>
      </c>
      <c r="L3613">
        <v>0</v>
      </c>
      <c r="M3613">
        <f t="shared" si="523"/>
        <v>23</v>
      </c>
      <c r="N3613" t="str">
        <f>TEXT(MTDRejection[[#This Row],[RejectionDate]],"dddd")</f>
        <v>Monday</v>
      </c>
    </row>
    <row r="3614" spans="1:14">
      <c r="A3614" t="s">
        <v>1221</v>
      </c>
      <c r="B3614" t="s">
        <v>5795</v>
      </c>
      <c r="C3614" t="s">
        <v>19</v>
      </c>
      <c r="D3614" t="s">
        <v>20</v>
      </c>
      <c r="E3614" s="7">
        <v>45649</v>
      </c>
      <c r="F3614" t="s">
        <v>66</v>
      </c>
      <c r="G3614">
        <v>0</v>
      </c>
      <c r="H3614" t="s">
        <v>22</v>
      </c>
      <c r="I3614" t="s">
        <v>16</v>
      </c>
      <c r="J3614" t="s">
        <v>16</v>
      </c>
      <c r="K3614" t="str">
        <f>VLOOKUP(C3614,CheckName!A:B,2,0)</f>
        <v>Add</v>
      </c>
      <c r="L3614">
        <v>0</v>
      </c>
      <c r="M3614">
        <f t="shared" si="523"/>
        <v>23</v>
      </c>
      <c r="N3614" t="str">
        <f>TEXT(MTDRejection[[#This Row],[RejectionDate]],"dddd")</f>
        <v>Monday</v>
      </c>
    </row>
    <row r="3615" spans="1:14">
      <c r="A3615" t="s">
        <v>1221</v>
      </c>
      <c r="B3615" t="s">
        <v>5796</v>
      </c>
      <c r="C3615" t="s">
        <v>19</v>
      </c>
      <c r="D3615" t="s">
        <v>20</v>
      </c>
      <c r="E3615" s="7">
        <v>45649</v>
      </c>
      <c r="F3615" t="s">
        <v>66</v>
      </c>
      <c r="G3615">
        <v>0</v>
      </c>
      <c r="H3615" t="s">
        <v>22</v>
      </c>
      <c r="I3615" t="s">
        <v>16</v>
      </c>
      <c r="J3615" t="s">
        <v>16</v>
      </c>
      <c r="K3615" t="str">
        <f>VLOOKUP(C3615,CheckName!A:B,2,0)</f>
        <v>Add</v>
      </c>
      <c r="L3615">
        <v>1</v>
      </c>
      <c r="M3615">
        <f t="shared" si="523"/>
        <v>23</v>
      </c>
      <c r="N3615" t="str">
        <f>TEXT(MTDRejection[[#This Row],[RejectionDate]],"dddd")</f>
        <v>Monday</v>
      </c>
    </row>
    <row r="3616" spans="1:14">
      <c r="A3616" t="s">
        <v>1221</v>
      </c>
      <c r="B3616" t="s">
        <v>5797</v>
      </c>
      <c r="C3616" t="s">
        <v>19</v>
      </c>
      <c r="D3616" t="s">
        <v>20</v>
      </c>
      <c r="E3616" s="7">
        <v>45649</v>
      </c>
      <c r="F3616" t="s">
        <v>66</v>
      </c>
      <c r="G3616">
        <v>0</v>
      </c>
      <c r="H3616" t="s">
        <v>22</v>
      </c>
      <c r="I3616" t="s">
        <v>16</v>
      </c>
      <c r="J3616" t="s">
        <v>16</v>
      </c>
      <c r="K3616" t="str">
        <f>VLOOKUP(C3616,CheckName!A:B,2,0)</f>
        <v>Add</v>
      </c>
      <c r="L3616">
        <v>1</v>
      </c>
      <c r="M3616">
        <f t="shared" si="523"/>
        <v>23</v>
      </c>
      <c r="N3616" t="str">
        <f>TEXT(MTDRejection[[#This Row],[RejectionDate]],"dddd")</f>
        <v>Monday</v>
      </c>
    </row>
    <row r="3617" spans="1:14">
      <c r="A3617" t="s">
        <v>1882</v>
      </c>
      <c r="B3617" t="s">
        <v>2739</v>
      </c>
      <c r="C3617" t="s">
        <v>54</v>
      </c>
      <c r="D3617" t="s">
        <v>26</v>
      </c>
      <c r="E3617" s="7">
        <v>45649</v>
      </c>
      <c r="F3617" t="s">
        <v>504</v>
      </c>
      <c r="G3617">
        <v>0</v>
      </c>
      <c r="H3617" t="s">
        <v>27</v>
      </c>
      <c r="I3617" t="s">
        <v>16</v>
      </c>
      <c r="J3617" t="s">
        <v>16</v>
      </c>
      <c r="K3617" t="str">
        <f>VLOOKUP(C3617,CheckName!A:B,2,0)</f>
        <v>Edu</v>
      </c>
      <c r="L3617">
        <v>0</v>
      </c>
      <c r="M3617">
        <f t="shared" si="523"/>
        <v>23</v>
      </c>
      <c r="N3617" t="str">
        <f>TEXT(MTDRejection[[#This Row],[RejectionDate]],"dddd")</f>
        <v>Monday</v>
      </c>
    </row>
    <row r="3618" spans="1:14">
      <c r="A3618" t="s">
        <v>45</v>
      </c>
      <c r="B3618" t="s">
        <v>5798</v>
      </c>
      <c r="C3618" t="s">
        <v>25</v>
      </c>
      <c r="D3618" t="s">
        <v>20</v>
      </c>
      <c r="E3618" s="7">
        <v>45649</v>
      </c>
      <c r="F3618" t="s">
        <v>2330</v>
      </c>
      <c r="G3618">
        <v>0</v>
      </c>
      <c r="H3618" t="s">
        <v>22</v>
      </c>
      <c r="I3618" t="s">
        <v>16</v>
      </c>
      <c r="J3618" t="s">
        <v>16</v>
      </c>
      <c r="K3618" t="str">
        <f>VLOOKUP(C3618,CheckName!A:B,2,0)</f>
        <v>Add</v>
      </c>
      <c r="L3618">
        <v>0</v>
      </c>
      <c r="M3618">
        <f t="shared" si="523"/>
        <v>23</v>
      </c>
      <c r="N3618" t="str">
        <f>TEXT(MTDRejection[[#This Row],[RejectionDate]],"dddd")</f>
        <v>Monday</v>
      </c>
    </row>
    <row r="3619" spans="1:14">
      <c r="A3619" t="s">
        <v>45</v>
      </c>
      <c r="B3619" t="s">
        <v>5799</v>
      </c>
      <c r="C3619" t="s">
        <v>19</v>
      </c>
      <c r="D3619" t="s">
        <v>20</v>
      </c>
      <c r="E3619" s="7">
        <v>45649</v>
      </c>
      <c r="F3619" t="s">
        <v>2330</v>
      </c>
      <c r="G3619">
        <v>0</v>
      </c>
      <c r="H3619" t="s">
        <v>22</v>
      </c>
      <c r="I3619" t="s">
        <v>16</v>
      </c>
      <c r="J3619" t="s">
        <v>16</v>
      </c>
      <c r="K3619" t="str">
        <f>VLOOKUP(C3619,CheckName!A:B,2,0)</f>
        <v>Add</v>
      </c>
      <c r="L3619">
        <v>0</v>
      </c>
      <c r="M3619">
        <f t="shared" si="523"/>
        <v>23</v>
      </c>
      <c r="N3619" t="str">
        <f>TEXT(MTDRejection[[#This Row],[RejectionDate]],"dddd")</f>
        <v>Monday</v>
      </c>
    </row>
    <row r="3620" spans="1:14">
      <c r="A3620" t="s">
        <v>45</v>
      </c>
      <c r="B3620" t="s">
        <v>5800</v>
      </c>
      <c r="C3620" t="s">
        <v>19</v>
      </c>
      <c r="D3620" t="s">
        <v>20</v>
      </c>
      <c r="E3620" s="7">
        <v>45649</v>
      </c>
      <c r="F3620" t="s">
        <v>2330</v>
      </c>
      <c r="G3620">
        <v>0</v>
      </c>
      <c r="H3620" t="s">
        <v>22</v>
      </c>
      <c r="I3620" t="s">
        <v>16</v>
      </c>
      <c r="J3620" t="s">
        <v>16</v>
      </c>
      <c r="K3620" t="str">
        <f>VLOOKUP(C3620,CheckName!A:B,2,0)</f>
        <v>Add</v>
      </c>
      <c r="L3620">
        <v>0</v>
      </c>
      <c r="M3620">
        <f t="shared" si="523"/>
        <v>23</v>
      </c>
      <c r="N3620" t="str">
        <f>TEXT(MTDRejection[[#This Row],[RejectionDate]],"dddd")</f>
        <v>Monday</v>
      </c>
    </row>
    <row r="3621" spans="1:14">
      <c r="A3621" t="s">
        <v>853</v>
      </c>
      <c r="B3621" t="s">
        <v>5801</v>
      </c>
      <c r="C3621" t="s">
        <v>25</v>
      </c>
      <c r="D3621" t="s">
        <v>26</v>
      </c>
      <c r="E3621" s="7">
        <v>45649</v>
      </c>
      <c r="F3621" t="s">
        <v>2330</v>
      </c>
      <c r="G3621">
        <v>0</v>
      </c>
      <c r="H3621" t="s">
        <v>22</v>
      </c>
      <c r="I3621" t="s">
        <v>16</v>
      </c>
      <c r="J3621" t="s">
        <v>16</v>
      </c>
      <c r="K3621" t="str">
        <f>VLOOKUP(C3621,CheckName!A:B,2,0)</f>
        <v>Add</v>
      </c>
      <c r="L3621">
        <v>0</v>
      </c>
      <c r="M3621">
        <f t="shared" si="523"/>
        <v>23</v>
      </c>
      <c r="N3621" t="str">
        <f>TEXT(MTDRejection[[#This Row],[RejectionDate]],"dddd")</f>
        <v>Monday</v>
      </c>
    </row>
    <row r="3622" spans="1:14">
      <c r="A3622" t="s">
        <v>1834</v>
      </c>
      <c r="B3622" t="s">
        <v>5802</v>
      </c>
      <c r="C3622" t="s">
        <v>19</v>
      </c>
      <c r="D3622" t="s">
        <v>20</v>
      </c>
      <c r="E3622" s="7">
        <v>45649</v>
      </c>
      <c r="F3622" t="s">
        <v>2330</v>
      </c>
      <c r="G3622">
        <v>0</v>
      </c>
      <c r="H3622" t="s">
        <v>22</v>
      </c>
      <c r="I3622" t="s">
        <v>16</v>
      </c>
      <c r="J3622" t="s">
        <v>16</v>
      </c>
      <c r="K3622" t="str">
        <f>VLOOKUP(C3622,CheckName!A:B,2,0)</f>
        <v>Add</v>
      </c>
      <c r="L3622">
        <v>1</v>
      </c>
      <c r="M3622">
        <f t="shared" si="523"/>
        <v>23</v>
      </c>
      <c r="N3622" t="str">
        <f>TEXT(MTDRejection[[#This Row],[RejectionDate]],"dddd")</f>
        <v>Monday</v>
      </c>
    </row>
    <row r="3623" spans="1:14">
      <c r="A3623" t="s">
        <v>1455</v>
      </c>
      <c r="B3623" t="s">
        <v>5803</v>
      </c>
      <c r="C3623" t="s">
        <v>12</v>
      </c>
      <c r="D3623" t="s">
        <v>26</v>
      </c>
      <c r="E3623" s="7">
        <v>45649</v>
      </c>
      <c r="F3623" t="s">
        <v>115</v>
      </c>
      <c r="G3623">
        <v>0</v>
      </c>
      <c r="H3623" t="s">
        <v>27</v>
      </c>
      <c r="I3623" t="s">
        <v>16</v>
      </c>
      <c r="J3623" t="s">
        <v>16</v>
      </c>
      <c r="K3623" t="str">
        <f>VLOOKUP(C3623,CheckName!A:B,2,0)</f>
        <v>Emp</v>
      </c>
      <c r="L3623">
        <v>0</v>
      </c>
      <c r="M3623">
        <f t="shared" si="523"/>
        <v>23</v>
      </c>
      <c r="N3623" t="str">
        <f>TEXT(MTDRejection[[#This Row],[RejectionDate]],"dddd")</f>
        <v>Monday</v>
      </c>
    </row>
    <row r="3624" spans="1:14">
      <c r="A3624" t="s">
        <v>142</v>
      </c>
      <c r="B3624" t="s">
        <v>2740</v>
      </c>
      <c r="C3624" t="s">
        <v>125</v>
      </c>
      <c r="D3624" t="s">
        <v>26</v>
      </c>
      <c r="E3624" s="7">
        <v>45649</v>
      </c>
      <c r="F3624" t="s">
        <v>115</v>
      </c>
      <c r="G3624">
        <v>0</v>
      </c>
      <c r="H3624" t="s">
        <v>22</v>
      </c>
      <c r="I3624" t="s">
        <v>16</v>
      </c>
      <c r="J3624" t="s">
        <v>16</v>
      </c>
      <c r="K3624" t="str">
        <f>VLOOKUP(C3624,CheckName!A:B,2,0)</f>
        <v>Emp</v>
      </c>
      <c r="L3624">
        <v>0</v>
      </c>
      <c r="M3624">
        <f t="shared" si="523"/>
        <v>23</v>
      </c>
      <c r="N3624" t="str">
        <f>TEXT(MTDRejection[[#This Row],[RejectionDate]],"dddd")</f>
        <v>Monday</v>
      </c>
    </row>
    <row r="3625" spans="1:14">
      <c r="A3625" t="s">
        <v>160</v>
      </c>
      <c r="B3625" t="s">
        <v>5804</v>
      </c>
      <c r="C3625" t="s">
        <v>125</v>
      </c>
      <c r="D3625" t="s">
        <v>26</v>
      </c>
      <c r="E3625" s="7">
        <v>45649</v>
      </c>
      <c r="F3625" t="s">
        <v>83</v>
      </c>
      <c r="G3625">
        <v>0</v>
      </c>
      <c r="H3625" t="s">
        <v>27</v>
      </c>
      <c r="I3625" t="s">
        <v>16</v>
      </c>
      <c r="J3625" t="s">
        <v>16</v>
      </c>
      <c r="K3625" t="str">
        <f>VLOOKUP(C3625,CheckName!A:B,2,0)</f>
        <v>Emp</v>
      </c>
      <c r="L3625">
        <v>0</v>
      </c>
      <c r="M3625">
        <f t="shared" ref="M3625:M3636" si="524">DAY(E3625)</f>
        <v>23</v>
      </c>
      <c r="N3625" t="str">
        <f>TEXT(MTDRejection[[#This Row],[RejectionDate]],"dddd")</f>
        <v>Monday</v>
      </c>
    </row>
    <row r="3626" spans="1:14">
      <c r="A3626" t="s">
        <v>160</v>
      </c>
      <c r="B3626" t="s">
        <v>5805</v>
      </c>
      <c r="C3626" t="s">
        <v>36</v>
      </c>
      <c r="D3626" t="s">
        <v>26</v>
      </c>
      <c r="E3626" s="7">
        <v>45649</v>
      </c>
      <c r="F3626" t="s">
        <v>83</v>
      </c>
      <c r="G3626">
        <v>0</v>
      </c>
      <c r="H3626" t="s">
        <v>27</v>
      </c>
      <c r="I3626" t="s">
        <v>16</v>
      </c>
      <c r="J3626" t="s">
        <v>16</v>
      </c>
      <c r="K3626" t="str">
        <f>VLOOKUP(C3626,CheckName!A:B,2,0)</f>
        <v>Emp</v>
      </c>
      <c r="L3626">
        <v>0</v>
      </c>
      <c r="M3626">
        <f t="shared" si="524"/>
        <v>23</v>
      </c>
      <c r="N3626" t="str">
        <f>TEXT(MTDRejection[[#This Row],[RejectionDate]],"dddd")</f>
        <v>Monday</v>
      </c>
    </row>
    <row r="3627" spans="1:14">
      <c r="A3627" t="s">
        <v>165</v>
      </c>
      <c r="B3627" t="s">
        <v>5806</v>
      </c>
      <c r="C3627" t="s">
        <v>54</v>
      </c>
      <c r="D3627" t="s">
        <v>26</v>
      </c>
      <c r="E3627" s="7">
        <v>45649</v>
      </c>
      <c r="F3627" t="s">
        <v>103</v>
      </c>
      <c r="G3627">
        <v>0</v>
      </c>
      <c r="H3627" t="s">
        <v>27</v>
      </c>
      <c r="I3627" t="s">
        <v>16</v>
      </c>
      <c r="J3627" t="s">
        <v>16</v>
      </c>
      <c r="K3627" t="str">
        <f>VLOOKUP(C3627,CheckName!A:B,2,0)</f>
        <v>Edu</v>
      </c>
      <c r="L3627">
        <v>0</v>
      </c>
      <c r="M3627">
        <f t="shared" si="524"/>
        <v>23</v>
      </c>
      <c r="N3627" t="str">
        <f>TEXT(MTDRejection[[#This Row],[RejectionDate]],"dddd")</f>
        <v>Monday</v>
      </c>
    </row>
    <row r="3628" spans="1:14">
      <c r="A3628" t="s">
        <v>45</v>
      </c>
      <c r="B3628" t="s">
        <v>5807</v>
      </c>
      <c r="C3628" t="s">
        <v>54</v>
      </c>
      <c r="D3628" t="s">
        <v>26</v>
      </c>
      <c r="E3628" s="7">
        <v>45649</v>
      </c>
      <c r="F3628" t="s">
        <v>103</v>
      </c>
      <c r="G3628">
        <v>0</v>
      </c>
      <c r="H3628" t="s">
        <v>27</v>
      </c>
      <c r="I3628" t="s">
        <v>16</v>
      </c>
      <c r="J3628" t="s">
        <v>16</v>
      </c>
      <c r="K3628" t="str">
        <f>VLOOKUP(C3628,CheckName!A:B,2,0)</f>
        <v>Edu</v>
      </c>
      <c r="L3628">
        <v>1</v>
      </c>
      <c r="M3628">
        <f t="shared" si="524"/>
        <v>23</v>
      </c>
      <c r="N3628" t="str">
        <f>TEXT(MTDRejection[[#This Row],[RejectionDate]],"dddd")</f>
        <v>Monday</v>
      </c>
    </row>
    <row r="3629" spans="1:14">
      <c r="A3629" t="s">
        <v>360</v>
      </c>
      <c r="B3629" t="s">
        <v>2682</v>
      </c>
      <c r="C3629" t="s">
        <v>54</v>
      </c>
      <c r="D3629" t="s">
        <v>26</v>
      </c>
      <c r="E3629" s="7">
        <v>45649</v>
      </c>
      <c r="F3629" t="s">
        <v>351</v>
      </c>
      <c r="G3629">
        <v>0</v>
      </c>
      <c r="H3629" t="s">
        <v>27</v>
      </c>
      <c r="I3629" t="s">
        <v>16</v>
      </c>
      <c r="J3629" t="s">
        <v>16</v>
      </c>
      <c r="K3629" t="str">
        <f>VLOOKUP(C3629,CheckName!A:B,2,0)</f>
        <v>Edu</v>
      </c>
      <c r="L3629">
        <v>1</v>
      </c>
      <c r="M3629">
        <f t="shared" si="524"/>
        <v>23</v>
      </c>
      <c r="N3629" t="str">
        <f>TEXT(MTDRejection[[#This Row],[RejectionDate]],"dddd")</f>
        <v>Monday</v>
      </c>
    </row>
    <row r="3630" spans="1:14">
      <c r="A3630" t="s">
        <v>1874</v>
      </c>
      <c r="B3630" t="s">
        <v>5808</v>
      </c>
      <c r="C3630" t="s">
        <v>25</v>
      </c>
      <c r="D3630" t="s">
        <v>20</v>
      </c>
      <c r="E3630" s="7">
        <v>45649</v>
      </c>
      <c r="F3630" t="s">
        <v>273</v>
      </c>
      <c r="G3630">
        <v>0</v>
      </c>
      <c r="H3630" t="s">
        <v>22</v>
      </c>
      <c r="I3630" t="s">
        <v>16</v>
      </c>
      <c r="J3630" t="s">
        <v>16</v>
      </c>
      <c r="K3630" t="str">
        <f>VLOOKUP(C3630,CheckName!A:B,2,0)</f>
        <v>Add</v>
      </c>
      <c r="L3630">
        <v>0</v>
      </c>
      <c r="M3630">
        <f t="shared" si="524"/>
        <v>23</v>
      </c>
      <c r="N3630" t="str">
        <f>TEXT(MTDRejection[[#This Row],[RejectionDate]],"dddd")</f>
        <v>Monday</v>
      </c>
    </row>
    <row r="3631" spans="1:14">
      <c r="A3631" t="s">
        <v>131</v>
      </c>
      <c r="B3631" t="s">
        <v>2741</v>
      </c>
      <c r="C3631" t="s">
        <v>19</v>
      </c>
      <c r="D3631" t="s">
        <v>20</v>
      </c>
      <c r="E3631" s="7">
        <v>45649</v>
      </c>
      <c r="F3631" t="s">
        <v>273</v>
      </c>
      <c r="G3631">
        <v>0</v>
      </c>
      <c r="H3631" t="s">
        <v>22</v>
      </c>
      <c r="I3631" t="s">
        <v>16</v>
      </c>
      <c r="J3631" t="s">
        <v>16</v>
      </c>
      <c r="K3631" t="str">
        <f>VLOOKUP(C3631,CheckName!A:B,2,0)</f>
        <v>Add</v>
      </c>
      <c r="L3631">
        <v>1</v>
      </c>
      <c r="M3631">
        <f t="shared" si="524"/>
        <v>23</v>
      </c>
      <c r="N3631" t="str">
        <f>TEXT(MTDRejection[[#This Row],[RejectionDate]],"dddd")</f>
        <v>Monday</v>
      </c>
    </row>
    <row r="3632" spans="1:14">
      <c r="A3632" t="s">
        <v>172</v>
      </c>
      <c r="B3632" t="s">
        <v>5809</v>
      </c>
      <c r="C3632" t="s">
        <v>25</v>
      </c>
      <c r="D3632" t="s">
        <v>20</v>
      </c>
      <c r="E3632" s="7">
        <v>45649</v>
      </c>
      <c r="F3632" t="s">
        <v>2327</v>
      </c>
      <c r="G3632">
        <v>0</v>
      </c>
      <c r="H3632" t="s">
        <v>27</v>
      </c>
      <c r="I3632" t="s">
        <v>16</v>
      </c>
      <c r="J3632" t="s">
        <v>16</v>
      </c>
      <c r="K3632" t="str">
        <f>VLOOKUP(C3632,CheckName!A:B,2,0)</f>
        <v>Add</v>
      </c>
      <c r="L3632">
        <v>1</v>
      </c>
      <c r="M3632">
        <f t="shared" si="524"/>
        <v>23</v>
      </c>
      <c r="N3632" t="str">
        <f>TEXT(MTDRejection[[#This Row],[RejectionDate]],"dddd")</f>
        <v>Monday</v>
      </c>
    </row>
    <row r="3633" spans="1:14">
      <c r="A3633" t="s">
        <v>1862</v>
      </c>
      <c r="B3633" t="s">
        <v>5810</v>
      </c>
      <c r="C3633" t="s">
        <v>25</v>
      </c>
      <c r="D3633" t="s">
        <v>20</v>
      </c>
      <c r="E3633" s="7">
        <v>45649</v>
      </c>
      <c r="F3633" t="s">
        <v>2327</v>
      </c>
      <c r="G3633">
        <v>0</v>
      </c>
      <c r="H3633" t="s">
        <v>130</v>
      </c>
      <c r="I3633" t="s">
        <v>16</v>
      </c>
      <c r="J3633" t="s">
        <v>16</v>
      </c>
      <c r="K3633" t="str">
        <f>VLOOKUP(C3633,CheckName!A:B,2,0)</f>
        <v>Add</v>
      </c>
      <c r="L3633">
        <v>0</v>
      </c>
      <c r="M3633">
        <f t="shared" si="524"/>
        <v>23</v>
      </c>
      <c r="N3633" t="str">
        <f>TEXT(MTDRejection[[#This Row],[RejectionDate]],"dddd")</f>
        <v>Monday</v>
      </c>
    </row>
    <row r="3634" spans="1:14">
      <c r="A3634" t="s">
        <v>119</v>
      </c>
      <c r="B3634" t="s">
        <v>5339</v>
      </c>
      <c r="C3634" t="s">
        <v>25</v>
      </c>
      <c r="D3634" t="s">
        <v>20</v>
      </c>
      <c r="E3634" s="7">
        <v>45649</v>
      </c>
      <c r="F3634" t="s">
        <v>2327</v>
      </c>
      <c r="G3634">
        <v>0</v>
      </c>
      <c r="H3634" t="s">
        <v>27</v>
      </c>
      <c r="I3634" t="s">
        <v>16</v>
      </c>
      <c r="J3634" t="s">
        <v>16</v>
      </c>
      <c r="K3634" t="str">
        <f>VLOOKUP(C3634,CheckName!A:B,2,0)</f>
        <v>Add</v>
      </c>
      <c r="L3634">
        <v>1</v>
      </c>
      <c r="M3634">
        <f t="shared" si="524"/>
        <v>23</v>
      </c>
      <c r="N3634" t="str">
        <f>TEXT(MTDRejection[[#This Row],[RejectionDate]],"dddd")</f>
        <v>Monday</v>
      </c>
    </row>
    <row r="3635" spans="1:14">
      <c r="A3635" t="s">
        <v>119</v>
      </c>
      <c r="B3635" t="s">
        <v>5811</v>
      </c>
      <c r="C3635" t="s">
        <v>25</v>
      </c>
      <c r="D3635" t="s">
        <v>20</v>
      </c>
      <c r="E3635" s="7">
        <v>45649</v>
      </c>
      <c r="F3635" t="s">
        <v>2327</v>
      </c>
      <c r="G3635">
        <v>0</v>
      </c>
      <c r="H3635" t="s">
        <v>27</v>
      </c>
      <c r="I3635" t="s">
        <v>16</v>
      </c>
      <c r="J3635" t="s">
        <v>16</v>
      </c>
      <c r="K3635" t="str">
        <f>VLOOKUP(C3635,CheckName!A:B,2,0)</f>
        <v>Add</v>
      </c>
      <c r="L3635">
        <v>1</v>
      </c>
      <c r="M3635">
        <f t="shared" si="524"/>
        <v>23</v>
      </c>
      <c r="N3635" t="str">
        <f>TEXT(MTDRejection[[#This Row],[RejectionDate]],"dddd")</f>
        <v>Monday</v>
      </c>
    </row>
    <row r="3636" spans="1:14">
      <c r="A3636" t="s">
        <v>1110</v>
      </c>
      <c r="B3636" t="s">
        <v>5812</v>
      </c>
      <c r="C3636" t="s">
        <v>965</v>
      </c>
      <c r="D3636" t="s">
        <v>20</v>
      </c>
      <c r="E3636" s="7">
        <v>45649</v>
      </c>
      <c r="F3636" t="s">
        <v>2327</v>
      </c>
      <c r="G3636">
        <v>0</v>
      </c>
      <c r="H3636" t="s">
        <v>22</v>
      </c>
      <c r="I3636" t="s">
        <v>16</v>
      </c>
      <c r="J3636" t="s">
        <v>16</v>
      </c>
      <c r="K3636" t="str">
        <f>VLOOKUP(C3636,CheckName!A:B,2,0)</f>
        <v>Add</v>
      </c>
      <c r="L3636">
        <v>1</v>
      </c>
      <c r="M3636">
        <f t="shared" si="524"/>
        <v>23</v>
      </c>
      <c r="N3636" t="str">
        <f>TEXT(MTDRejection[[#This Row],[RejectionDate]],"dddd")</f>
        <v>Monday</v>
      </c>
    </row>
    <row r="3637" spans="1:14">
      <c r="A3637" t="s">
        <v>625</v>
      </c>
      <c r="B3637" t="s">
        <v>5813</v>
      </c>
      <c r="C3637" t="s">
        <v>25</v>
      </c>
      <c r="D3637" t="s">
        <v>20</v>
      </c>
      <c r="E3637" s="7">
        <v>45649</v>
      </c>
      <c r="F3637" t="s">
        <v>2327</v>
      </c>
      <c r="G3637">
        <v>0</v>
      </c>
      <c r="H3637" t="s">
        <v>22</v>
      </c>
      <c r="I3637" t="s">
        <v>16</v>
      </c>
      <c r="J3637" t="s">
        <v>16</v>
      </c>
      <c r="K3637" t="str">
        <f>VLOOKUP(C3637,CheckName!A:B,2,0)</f>
        <v>Add</v>
      </c>
      <c r="L3637">
        <v>1</v>
      </c>
      <c r="M3637">
        <f t="shared" ref="M3637:M3640" si="525">DAY(E3637)</f>
        <v>23</v>
      </c>
      <c r="N3637" t="str">
        <f>TEXT(MTDRejection[[#This Row],[RejectionDate]],"dddd")</f>
        <v>Monday</v>
      </c>
    </row>
    <row r="3638" spans="1:14">
      <c r="A3638" t="s">
        <v>1887</v>
      </c>
      <c r="B3638" t="s">
        <v>5814</v>
      </c>
      <c r="C3638" t="s">
        <v>25</v>
      </c>
      <c r="D3638" t="s">
        <v>20</v>
      </c>
      <c r="E3638" s="7">
        <v>45649</v>
      </c>
      <c r="F3638" t="s">
        <v>2327</v>
      </c>
      <c r="G3638">
        <v>0</v>
      </c>
      <c r="H3638" t="s">
        <v>22</v>
      </c>
      <c r="I3638" t="s">
        <v>16</v>
      </c>
      <c r="J3638" t="s">
        <v>16</v>
      </c>
      <c r="K3638" t="str">
        <f>VLOOKUP(C3638,CheckName!A:B,2,0)</f>
        <v>Add</v>
      </c>
      <c r="L3638">
        <v>0</v>
      </c>
      <c r="M3638">
        <f t="shared" si="525"/>
        <v>23</v>
      </c>
      <c r="N3638" t="str">
        <f>TEXT(MTDRejection[[#This Row],[RejectionDate]],"dddd")</f>
        <v>Monday</v>
      </c>
    </row>
    <row r="3639" spans="1:14">
      <c r="A3639" t="s">
        <v>1573</v>
      </c>
      <c r="B3639" t="s">
        <v>5815</v>
      </c>
      <c r="C3639" t="s">
        <v>25</v>
      </c>
      <c r="D3639" t="s">
        <v>20</v>
      </c>
      <c r="E3639" s="7">
        <v>45649</v>
      </c>
      <c r="F3639" t="s">
        <v>2327</v>
      </c>
      <c r="G3639">
        <v>0</v>
      </c>
      <c r="H3639" t="s">
        <v>130</v>
      </c>
      <c r="I3639" t="s">
        <v>16</v>
      </c>
      <c r="J3639" t="s">
        <v>16</v>
      </c>
      <c r="K3639" t="str">
        <f>VLOOKUP(C3639,CheckName!A:B,2,0)</f>
        <v>Add</v>
      </c>
      <c r="L3639">
        <v>0</v>
      </c>
      <c r="M3639">
        <f t="shared" si="525"/>
        <v>23</v>
      </c>
      <c r="N3639" t="str">
        <f>TEXT(MTDRejection[[#This Row],[RejectionDate]],"dddd")</f>
        <v>Monday</v>
      </c>
    </row>
    <row r="3640" spans="1:14">
      <c r="A3640" t="s">
        <v>2071</v>
      </c>
      <c r="B3640" t="s">
        <v>5816</v>
      </c>
      <c r="C3640" t="s">
        <v>19</v>
      </c>
      <c r="D3640" t="s">
        <v>20</v>
      </c>
      <c r="E3640" s="7">
        <v>45649</v>
      </c>
      <c r="F3640" t="s">
        <v>2327</v>
      </c>
      <c r="G3640">
        <v>0</v>
      </c>
      <c r="H3640" t="s">
        <v>22</v>
      </c>
      <c r="I3640" t="s">
        <v>16</v>
      </c>
      <c r="J3640" t="s">
        <v>16</v>
      </c>
      <c r="K3640" t="str">
        <f>VLOOKUP(C3640,CheckName!A:B,2,0)</f>
        <v>Add</v>
      </c>
      <c r="L3640">
        <v>0</v>
      </c>
      <c r="M3640">
        <f t="shared" si="525"/>
        <v>23</v>
      </c>
      <c r="N3640" t="str">
        <f>TEXT(MTDRejection[[#This Row],[RejectionDate]],"dddd")</f>
        <v>Monday</v>
      </c>
    </row>
    <row r="3641" spans="1:14">
      <c r="A3641" t="s">
        <v>45</v>
      </c>
      <c r="B3641" t="s">
        <v>5817</v>
      </c>
      <c r="C3641" t="s">
        <v>54</v>
      </c>
      <c r="D3641" t="s">
        <v>26</v>
      </c>
      <c r="E3641" s="7">
        <v>45649</v>
      </c>
      <c r="F3641" t="s">
        <v>1825</v>
      </c>
      <c r="G3641">
        <v>0</v>
      </c>
      <c r="H3641" t="s">
        <v>27</v>
      </c>
      <c r="I3641" t="s">
        <v>16</v>
      </c>
      <c r="J3641" t="s">
        <v>16</v>
      </c>
      <c r="K3641" t="str">
        <f>VLOOKUP(C3641,CheckName!A:B,2,0)</f>
        <v>Edu</v>
      </c>
      <c r="L3641">
        <v>1</v>
      </c>
      <c r="M3641">
        <f t="shared" ref="M3641:M3647" si="526">DAY(E3641)</f>
        <v>23</v>
      </c>
      <c r="N3641" t="str">
        <f>TEXT(MTDRejection[[#This Row],[RejectionDate]],"dddd")</f>
        <v>Monday</v>
      </c>
    </row>
    <row r="3642" spans="1:14">
      <c r="A3642" t="s">
        <v>2072</v>
      </c>
      <c r="B3642" t="s">
        <v>5818</v>
      </c>
      <c r="C3642" t="s">
        <v>19</v>
      </c>
      <c r="D3642" t="s">
        <v>20</v>
      </c>
      <c r="E3642" s="7">
        <v>45649</v>
      </c>
      <c r="F3642" t="s">
        <v>2327</v>
      </c>
      <c r="G3642">
        <v>0</v>
      </c>
      <c r="H3642" t="s">
        <v>27</v>
      </c>
      <c r="I3642" t="s">
        <v>16</v>
      </c>
      <c r="J3642" t="s">
        <v>16</v>
      </c>
      <c r="K3642" t="str">
        <f>VLOOKUP(C3642,CheckName!A:B,2,0)</f>
        <v>Add</v>
      </c>
      <c r="L3642">
        <v>1</v>
      </c>
      <c r="M3642">
        <f t="shared" si="526"/>
        <v>23</v>
      </c>
      <c r="N3642" t="str">
        <f>TEXT(MTDRejection[[#This Row],[RejectionDate]],"dddd")</f>
        <v>Monday</v>
      </c>
    </row>
    <row r="3643" spans="1:14">
      <c r="A3643" t="s">
        <v>2072</v>
      </c>
      <c r="B3643" t="s">
        <v>5819</v>
      </c>
      <c r="C3643" t="s">
        <v>25</v>
      </c>
      <c r="D3643" t="s">
        <v>20</v>
      </c>
      <c r="E3643" s="7">
        <v>45649</v>
      </c>
      <c r="F3643" t="s">
        <v>2327</v>
      </c>
      <c r="G3643">
        <v>0</v>
      </c>
      <c r="H3643" t="s">
        <v>27</v>
      </c>
      <c r="I3643" t="s">
        <v>16</v>
      </c>
      <c r="J3643" t="s">
        <v>16</v>
      </c>
      <c r="K3643" t="str">
        <f>VLOOKUP(C3643,CheckName!A:B,2,0)</f>
        <v>Add</v>
      </c>
      <c r="L3643">
        <v>1</v>
      </c>
      <c r="M3643">
        <f t="shared" si="526"/>
        <v>23</v>
      </c>
      <c r="N3643" t="str">
        <f>TEXT(MTDRejection[[#This Row],[RejectionDate]],"dddd")</f>
        <v>Monday</v>
      </c>
    </row>
    <row r="3644" spans="1:14">
      <c r="A3644" t="s">
        <v>245</v>
      </c>
      <c r="B3644" t="s">
        <v>5820</v>
      </c>
      <c r="C3644" t="s">
        <v>12</v>
      </c>
      <c r="D3644" t="s">
        <v>26</v>
      </c>
      <c r="E3644" s="7">
        <v>45649</v>
      </c>
      <c r="F3644" t="s">
        <v>721</v>
      </c>
      <c r="G3644">
        <v>0</v>
      </c>
      <c r="H3644" t="s">
        <v>27</v>
      </c>
      <c r="I3644" t="s">
        <v>16</v>
      </c>
      <c r="J3644" t="s">
        <v>16</v>
      </c>
      <c r="K3644" t="str">
        <f>VLOOKUP(C3644,CheckName!A:B,2,0)</f>
        <v>Emp</v>
      </c>
      <c r="L3644">
        <v>0</v>
      </c>
      <c r="M3644">
        <f t="shared" si="526"/>
        <v>23</v>
      </c>
      <c r="N3644" t="str">
        <f>TEXT(MTDRejection[[#This Row],[RejectionDate]],"dddd")</f>
        <v>Monday</v>
      </c>
    </row>
    <row r="3645" spans="1:14">
      <c r="A3645" t="s">
        <v>81</v>
      </c>
      <c r="B3645" t="s">
        <v>5821</v>
      </c>
      <c r="C3645" t="s">
        <v>54</v>
      </c>
      <c r="D3645" t="s">
        <v>26</v>
      </c>
      <c r="E3645" s="7">
        <v>45649</v>
      </c>
      <c r="F3645" t="s">
        <v>297</v>
      </c>
      <c r="G3645">
        <v>0</v>
      </c>
      <c r="H3645" t="s">
        <v>95</v>
      </c>
      <c r="I3645" t="s">
        <v>16</v>
      </c>
      <c r="J3645" t="s">
        <v>16</v>
      </c>
      <c r="K3645" t="str">
        <f>VLOOKUP(C3645,CheckName!A:B,2,0)</f>
        <v>Edu</v>
      </c>
      <c r="L3645">
        <v>0</v>
      </c>
      <c r="M3645">
        <f t="shared" si="526"/>
        <v>23</v>
      </c>
      <c r="N3645" t="str">
        <f>TEXT(MTDRejection[[#This Row],[RejectionDate]],"dddd")</f>
        <v>Monday</v>
      </c>
    </row>
    <row r="3646" spans="1:14">
      <c r="A3646" t="s">
        <v>292</v>
      </c>
      <c r="B3646" t="s">
        <v>5822</v>
      </c>
      <c r="C3646" t="s">
        <v>439</v>
      </c>
      <c r="D3646" t="s">
        <v>26</v>
      </c>
      <c r="E3646" s="7">
        <v>45649</v>
      </c>
      <c r="F3646" t="s">
        <v>121</v>
      </c>
      <c r="G3646">
        <v>0</v>
      </c>
      <c r="H3646" t="s">
        <v>27</v>
      </c>
      <c r="I3646" t="s">
        <v>16</v>
      </c>
      <c r="J3646" t="s">
        <v>16</v>
      </c>
      <c r="K3646" t="str">
        <f>VLOOKUP(C3646,CheckName!A:B,2,0)</f>
        <v>Edu</v>
      </c>
      <c r="L3646">
        <v>0</v>
      </c>
      <c r="M3646">
        <f t="shared" si="526"/>
        <v>23</v>
      </c>
      <c r="N3646" t="str">
        <f>TEXT(MTDRejection[[#This Row],[RejectionDate]],"dddd")</f>
        <v>Monday</v>
      </c>
    </row>
    <row r="3647" spans="1:14">
      <c r="A3647" t="s">
        <v>100</v>
      </c>
      <c r="B3647" t="s">
        <v>5823</v>
      </c>
      <c r="C3647" t="s">
        <v>357</v>
      </c>
      <c r="D3647" t="s">
        <v>26</v>
      </c>
      <c r="E3647" s="7">
        <v>45649</v>
      </c>
      <c r="F3647" t="s">
        <v>380</v>
      </c>
      <c r="G3647">
        <v>0</v>
      </c>
      <c r="H3647" t="s">
        <v>27</v>
      </c>
      <c r="I3647" t="s">
        <v>16</v>
      </c>
      <c r="J3647" t="s">
        <v>16</v>
      </c>
      <c r="K3647" t="str">
        <f>VLOOKUP(C3647,CheckName!A:B,2,0)</f>
        <v>Emp</v>
      </c>
      <c r="L3647">
        <v>0</v>
      </c>
      <c r="M3647">
        <f t="shared" si="526"/>
        <v>23</v>
      </c>
      <c r="N3647" t="str">
        <f>TEXT(MTDRejection[[#This Row],[RejectionDate]],"dddd")</f>
        <v>Monday</v>
      </c>
    </row>
    <row r="3648" spans="1:14">
      <c r="A3648" t="s">
        <v>100</v>
      </c>
      <c r="B3648" t="s">
        <v>5824</v>
      </c>
      <c r="C3648" t="s">
        <v>357</v>
      </c>
      <c r="D3648" t="s">
        <v>26</v>
      </c>
      <c r="E3648" s="7">
        <v>45649</v>
      </c>
      <c r="F3648" t="s">
        <v>380</v>
      </c>
      <c r="G3648">
        <v>0</v>
      </c>
      <c r="H3648" t="s">
        <v>27</v>
      </c>
      <c r="I3648" t="s">
        <v>16</v>
      </c>
      <c r="J3648" t="s">
        <v>16</v>
      </c>
      <c r="K3648" t="str">
        <f>VLOOKUP(C3648,CheckName!A:B,2,0)</f>
        <v>Emp</v>
      </c>
      <c r="L3648">
        <v>0</v>
      </c>
      <c r="M3648">
        <f t="shared" ref="M3648:M3652" si="527">DAY(E3648)</f>
        <v>23</v>
      </c>
      <c r="N3648" t="str">
        <f>TEXT(MTDRejection[[#This Row],[RejectionDate]],"dddd")</f>
        <v>Monday</v>
      </c>
    </row>
    <row r="3649" spans="1:14">
      <c r="A3649" t="s">
        <v>1131</v>
      </c>
      <c r="B3649" t="s">
        <v>2073</v>
      </c>
      <c r="C3649" t="s">
        <v>12</v>
      </c>
      <c r="D3649" t="s">
        <v>26</v>
      </c>
      <c r="E3649" s="7">
        <v>45649</v>
      </c>
      <c r="F3649" t="s">
        <v>1055</v>
      </c>
      <c r="G3649">
        <v>0</v>
      </c>
      <c r="H3649" t="s">
        <v>22</v>
      </c>
      <c r="I3649" t="s">
        <v>16</v>
      </c>
      <c r="J3649" t="s">
        <v>16</v>
      </c>
      <c r="K3649" t="str">
        <f>VLOOKUP(C3649,CheckName!A:B,2,0)</f>
        <v>Emp</v>
      </c>
      <c r="L3649">
        <v>0</v>
      </c>
      <c r="M3649">
        <f t="shared" si="527"/>
        <v>23</v>
      </c>
      <c r="N3649" t="str">
        <f>TEXT(MTDRejection[[#This Row],[RejectionDate]],"dddd")</f>
        <v>Monday</v>
      </c>
    </row>
    <row r="3650" spans="1:14">
      <c r="A3650" t="s">
        <v>73</v>
      </c>
      <c r="B3650" t="s">
        <v>5825</v>
      </c>
      <c r="C3650" t="s">
        <v>12</v>
      </c>
      <c r="D3650" t="s">
        <v>26</v>
      </c>
      <c r="E3650" s="7">
        <v>45649</v>
      </c>
      <c r="F3650" t="s">
        <v>184</v>
      </c>
      <c r="G3650">
        <v>0</v>
      </c>
      <c r="H3650" t="s">
        <v>27</v>
      </c>
      <c r="I3650" t="s">
        <v>16</v>
      </c>
      <c r="J3650" t="s">
        <v>16</v>
      </c>
      <c r="K3650" t="str">
        <f>VLOOKUP(C3650,CheckName!A:B,2,0)</f>
        <v>Emp</v>
      </c>
      <c r="L3650">
        <v>0</v>
      </c>
      <c r="M3650">
        <f t="shared" si="527"/>
        <v>23</v>
      </c>
      <c r="N3650" t="str">
        <f>TEXT(MTDRejection[[#This Row],[RejectionDate]],"dddd")</f>
        <v>Monday</v>
      </c>
    </row>
    <row r="3651" spans="1:14">
      <c r="A3651" t="s">
        <v>45</v>
      </c>
      <c r="B3651" t="s">
        <v>5826</v>
      </c>
      <c r="C3651" t="s">
        <v>12</v>
      </c>
      <c r="D3651" t="s">
        <v>26</v>
      </c>
      <c r="E3651" s="7">
        <v>45649</v>
      </c>
      <c r="F3651" t="s">
        <v>184</v>
      </c>
      <c r="G3651">
        <v>0</v>
      </c>
      <c r="H3651" t="s">
        <v>27</v>
      </c>
      <c r="I3651" t="s">
        <v>16</v>
      </c>
      <c r="J3651" t="s">
        <v>16</v>
      </c>
      <c r="K3651" t="str">
        <f>VLOOKUP(C3651,CheckName!A:B,2,0)</f>
        <v>Emp</v>
      </c>
      <c r="L3651">
        <v>0</v>
      </c>
      <c r="M3651">
        <f t="shared" si="527"/>
        <v>23</v>
      </c>
      <c r="N3651" t="str">
        <f>TEXT(MTDRejection[[#This Row],[RejectionDate]],"dddd")</f>
        <v>Monday</v>
      </c>
    </row>
    <row r="3652" spans="1:14">
      <c r="A3652" t="s">
        <v>2074</v>
      </c>
      <c r="B3652" t="s">
        <v>5827</v>
      </c>
      <c r="C3652" t="s">
        <v>36</v>
      </c>
      <c r="D3652" t="s">
        <v>26</v>
      </c>
      <c r="E3652" s="7">
        <v>45649</v>
      </c>
      <c r="F3652" t="s">
        <v>2335</v>
      </c>
      <c r="G3652">
        <v>0</v>
      </c>
      <c r="H3652" t="s">
        <v>22</v>
      </c>
      <c r="I3652" t="s">
        <v>16</v>
      </c>
      <c r="J3652" t="s">
        <v>16</v>
      </c>
      <c r="K3652" t="str">
        <f>VLOOKUP(C3652,CheckName!A:B,2,0)</f>
        <v>Emp</v>
      </c>
      <c r="L3652">
        <v>0</v>
      </c>
      <c r="M3652">
        <f t="shared" si="527"/>
        <v>23</v>
      </c>
      <c r="N3652" t="str">
        <f>TEXT(MTDRejection[[#This Row],[RejectionDate]],"dddd")</f>
        <v>Monday</v>
      </c>
    </row>
    <row r="3653" spans="1:14">
      <c r="A3653" t="s">
        <v>671</v>
      </c>
      <c r="B3653" t="s">
        <v>5828</v>
      </c>
      <c r="C3653" t="s">
        <v>36</v>
      </c>
      <c r="D3653" t="s">
        <v>26</v>
      </c>
      <c r="E3653" s="7">
        <v>45649</v>
      </c>
      <c r="F3653" t="s">
        <v>2335</v>
      </c>
      <c r="G3653">
        <v>0</v>
      </c>
      <c r="H3653" t="s">
        <v>27</v>
      </c>
      <c r="I3653" t="s">
        <v>16</v>
      </c>
      <c r="J3653" t="s">
        <v>16</v>
      </c>
      <c r="K3653" t="str">
        <f>VLOOKUP(C3653,CheckName!A:B,2,0)</f>
        <v>Emp</v>
      </c>
      <c r="L3653">
        <v>0</v>
      </c>
      <c r="M3653">
        <f t="shared" ref="M3653:M3664" si="528">DAY(E3653)</f>
        <v>23</v>
      </c>
      <c r="N3653" t="str">
        <f>TEXT(MTDRejection[[#This Row],[RejectionDate]],"dddd")</f>
        <v>Monday</v>
      </c>
    </row>
    <row r="3654" spans="1:14">
      <c r="A3654" t="s">
        <v>1852</v>
      </c>
      <c r="B3654" t="s">
        <v>5829</v>
      </c>
      <c r="C3654" t="s">
        <v>36</v>
      </c>
      <c r="D3654" t="s">
        <v>26</v>
      </c>
      <c r="E3654" s="7">
        <v>45649</v>
      </c>
      <c r="F3654" t="s">
        <v>2337</v>
      </c>
      <c r="G3654">
        <v>0</v>
      </c>
      <c r="H3654" t="s">
        <v>425</v>
      </c>
      <c r="I3654" t="s">
        <v>16</v>
      </c>
      <c r="J3654" t="s">
        <v>16</v>
      </c>
      <c r="K3654" t="str">
        <f>VLOOKUP(C3654,CheckName!A:B,2,0)</f>
        <v>Emp</v>
      </c>
      <c r="L3654">
        <v>1</v>
      </c>
      <c r="M3654">
        <f t="shared" si="528"/>
        <v>23</v>
      </c>
      <c r="N3654" t="str">
        <f>TEXT(MTDRejection[[#This Row],[RejectionDate]],"dddd")</f>
        <v>Monday</v>
      </c>
    </row>
    <row r="3655" spans="1:14">
      <c r="A3655" t="s">
        <v>1237</v>
      </c>
      <c r="B3655" t="s">
        <v>2742</v>
      </c>
      <c r="C3655" t="s">
        <v>36</v>
      </c>
      <c r="D3655" t="s">
        <v>26</v>
      </c>
      <c r="E3655" s="7">
        <v>45649</v>
      </c>
      <c r="F3655" t="s">
        <v>141</v>
      </c>
      <c r="G3655">
        <v>0</v>
      </c>
      <c r="H3655" t="s">
        <v>27</v>
      </c>
      <c r="I3655" t="s">
        <v>16</v>
      </c>
      <c r="J3655" t="s">
        <v>16</v>
      </c>
      <c r="K3655" t="str">
        <f>VLOOKUP(C3655,CheckName!A:B,2,0)</f>
        <v>Emp</v>
      </c>
      <c r="L3655">
        <v>0</v>
      </c>
      <c r="M3655">
        <f t="shared" si="528"/>
        <v>23</v>
      </c>
      <c r="N3655" t="str">
        <f>TEXT(MTDRejection[[#This Row],[RejectionDate]],"dddd")</f>
        <v>Monday</v>
      </c>
    </row>
    <row r="3656" spans="1:14">
      <c r="A3656" t="s">
        <v>644</v>
      </c>
      <c r="B3656" t="s">
        <v>5830</v>
      </c>
      <c r="C3656" t="s">
        <v>12</v>
      </c>
      <c r="D3656" t="s">
        <v>26</v>
      </c>
      <c r="E3656" s="7">
        <v>45649</v>
      </c>
      <c r="F3656" t="s">
        <v>311</v>
      </c>
      <c r="G3656">
        <v>0</v>
      </c>
      <c r="H3656" t="s">
        <v>27</v>
      </c>
      <c r="I3656" t="s">
        <v>16</v>
      </c>
      <c r="J3656" t="s">
        <v>16</v>
      </c>
      <c r="K3656" t="str">
        <f>VLOOKUP(C3656,CheckName!A:B,2,0)</f>
        <v>Emp</v>
      </c>
      <c r="L3656">
        <v>0</v>
      </c>
      <c r="M3656">
        <f t="shared" si="528"/>
        <v>23</v>
      </c>
      <c r="N3656" t="str">
        <f>TEXT(MTDRejection[[#This Row],[RejectionDate]],"dddd")</f>
        <v>Monday</v>
      </c>
    </row>
    <row r="3657" spans="1:14">
      <c r="A3657" t="s">
        <v>119</v>
      </c>
      <c r="B3657" t="s">
        <v>5831</v>
      </c>
      <c r="C3657" t="s">
        <v>36</v>
      </c>
      <c r="D3657" t="s">
        <v>26</v>
      </c>
      <c r="E3657" s="7">
        <v>45649</v>
      </c>
      <c r="F3657" t="s">
        <v>311</v>
      </c>
      <c r="G3657">
        <v>0</v>
      </c>
      <c r="H3657" t="s">
        <v>27</v>
      </c>
      <c r="I3657" t="s">
        <v>16</v>
      </c>
      <c r="J3657" t="s">
        <v>16</v>
      </c>
      <c r="K3657" t="str">
        <f>VLOOKUP(C3657,CheckName!A:B,2,0)</f>
        <v>Emp</v>
      </c>
      <c r="L3657">
        <v>1</v>
      </c>
      <c r="M3657">
        <f t="shared" si="528"/>
        <v>23</v>
      </c>
      <c r="N3657" t="str">
        <f>TEXT(MTDRejection[[#This Row],[RejectionDate]],"dddd")</f>
        <v>Monday</v>
      </c>
    </row>
    <row r="3658" spans="1:14">
      <c r="A3658" t="s">
        <v>133</v>
      </c>
      <c r="B3658" t="s">
        <v>5832</v>
      </c>
      <c r="C3658" t="s">
        <v>25</v>
      </c>
      <c r="D3658" t="s">
        <v>20</v>
      </c>
      <c r="E3658" s="7">
        <v>45649</v>
      </c>
      <c r="F3658" t="s">
        <v>129</v>
      </c>
      <c r="G3658">
        <v>0</v>
      </c>
      <c r="H3658" t="s">
        <v>22</v>
      </c>
      <c r="I3658" t="s">
        <v>16</v>
      </c>
      <c r="J3658" t="s">
        <v>16</v>
      </c>
      <c r="K3658" t="str">
        <f>VLOOKUP(C3658,CheckName!A:B,2,0)</f>
        <v>Add</v>
      </c>
      <c r="L3658">
        <v>1</v>
      </c>
      <c r="M3658">
        <f t="shared" si="528"/>
        <v>23</v>
      </c>
      <c r="N3658" t="str">
        <f>TEXT(MTDRejection[[#This Row],[RejectionDate]],"dddd")</f>
        <v>Monday</v>
      </c>
    </row>
    <row r="3659" spans="1:14">
      <c r="A3659" t="s">
        <v>285</v>
      </c>
      <c r="B3659" t="s">
        <v>5833</v>
      </c>
      <c r="C3659" t="s">
        <v>19</v>
      </c>
      <c r="D3659" t="s">
        <v>20</v>
      </c>
      <c r="E3659" s="7">
        <v>45649</v>
      </c>
      <c r="F3659" t="s">
        <v>129</v>
      </c>
      <c r="G3659">
        <v>0</v>
      </c>
      <c r="H3659" t="s">
        <v>27</v>
      </c>
      <c r="I3659" t="s">
        <v>16</v>
      </c>
      <c r="J3659" t="s">
        <v>16</v>
      </c>
      <c r="K3659" t="str">
        <f>VLOOKUP(C3659,CheckName!A:B,2,0)</f>
        <v>Add</v>
      </c>
      <c r="L3659">
        <v>1</v>
      </c>
      <c r="M3659">
        <f t="shared" si="528"/>
        <v>23</v>
      </c>
      <c r="N3659" t="str">
        <f>TEXT(MTDRejection[[#This Row],[RejectionDate]],"dddd")</f>
        <v>Monday</v>
      </c>
    </row>
    <row r="3660" spans="1:14">
      <c r="A3660" t="s">
        <v>60</v>
      </c>
      <c r="B3660" t="s">
        <v>5834</v>
      </c>
      <c r="C3660" t="s">
        <v>12</v>
      </c>
      <c r="D3660" t="s">
        <v>26</v>
      </c>
      <c r="E3660" s="7">
        <v>45649</v>
      </c>
      <c r="F3660" t="s">
        <v>222</v>
      </c>
      <c r="G3660">
        <v>0</v>
      </c>
      <c r="H3660" t="s">
        <v>27</v>
      </c>
      <c r="I3660" t="s">
        <v>16</v>
      </c>
      <c r="J3660" t="s">
        <v>16</v>
      </c>
      <c r="K3660" t="str">
        <f>VLOOKUP(C3660,CheckName!A:B,2,0)</f>
        <v>Emp</v>
      </c>
      <c r="L3660">
        <v>1</v>
      </c>
      <c r="M3660">
        <f t="shared" si="528"/>
        <v>23</v>
      </c>
      <c r="N3660" t="str">
        <f>TEXT(MTDRejection[[#This Row],[RejectionDate]],"dddd")</f>
        <v>Monday</v>
      </c>
    </row>
    <row r="3661" spans="1:14">
      <c r="A3661" t="s">
        <v>419</v>
      </c>
      <c r="B3661" t="s">
        <v>5835</v>
      </c>
      <c r="C3661" t="s">
        <v>25</v>
      </c>
      <c r="D3661" t="s">
        <v>20</v>
      </c>
      <c r="E3661" s="7">
        <v>45649</v>
      </c>
      <c r="F3661" t="s">
        <v>129</v>
      </c>
      <c r="G3661">
        <v>0</v>
      </c>
      <c r="H3661" t="s">
        <v>27</v>
      </c>
      <c r="I3661" t="s">
        <v>16</v>
      </c>
      <c r="J3661" t="s">
        <v>16</v>
      </c>
      <c r="K3661" t="str">
        <f>VLOOKUP(C3661,CheckName!A:B,2,0)</f>
        <v>Add</v>
      </c>
      <c r="L3661">
        <v>1</v>
      </c>
      <c r="M3661">
        <f t="shared" si="528"/>
        <v>23</v>
      </c>
      <c r="N3661" t="str">
        <f>TEXT(MTDRejection[[#This Row],[RejectionDate]],"dddd")</f>
        <v>Monday</v>
      </c>
    </row>
    <row r="3662" spans="1:14">
      <c r="A3662" t="s">
        <v>100</v>
      </c>
      <c r="B3662" t="s">
        <v>2743</v>
      </c>
      <c r="C3662" t="s">
        <v>1681</v>
      </c>
      <c r="D3662" t="s">
        <v>26</v>
      </c>
      <c r="E3662" s="7">
        <v>45649</v>
      </c>
      <c r="F3662" t="s">
        <v>222</v>
      </c>
      <c r="G3662">
        <v>0</v>
      </c>
      <c r="H3662" t="s">
        <v>27</v>
      </c>
      <c r="I3662" t="s">
        <v>16</v>
      </c>
      <c r="J3662" t="s">
        <v>16</v>
      </c>
      <c r="K3662" t="str">
        <f>VLOOKUP(C3662,CheckName!A:B,2,0)</f>
        <v>Emp</v>
      </c>
      <c r="L3662">
        <v>0</v>
      </c>
      <c r="M3662">
        <f t="shared" si="528"/>
        <v>23</v>
      </c>
      <c r="N3662" t="str">
        <f>TEXT(MTDRejection[[#This Row],[RejectionDate]],"dddd")</f>
        <v>Monday</v>
      </c>
    </row>
    <row r="3663" spans="1:14">
      <c r="A3663" t="s">
        <v>84</v>
      </c>
      <c r="B3663" t="s">
        <v>5836</v>
      </c>
      <c r="C3663" t="s">
        <v>112</v>
      </c>
      <c r="D3663" t="s">
        <v>26</v>
      </c>
      <c r="E3663" s="7">
        <v>45649</v>
      </c>
      <c r="F3663" t="s">
        <v>222</v>
      </c>
      <c r="G3663">
        <v>0</v>
      </c>
      <c r="H3663" t="s">
        <v>22</v>
      </c>
      <c r="I3663" t="s">
        <v>16</v>
      </c>
      <c r="J3663" t="s">
        <v>16</v>
      </c>
      <c r="K3663" t="str">
        <f>VLOOKUP(C3663,CheckName!A:B,2,0)</f>
        <v>Emp</v>
      </c>
      <c r="L3663">
        <v>1</v>
      </c>
      <c r="M3663">
        <f t="shared" si="528"/>
        <v>23</v>
      </c>
      <c r="N3663" t="str">
        <f>TEXT(MTDRejection[[#This Row],[RejectionDate]],"dddd")</f>
        <v>Monday</v>
      </c>
    </row>
    <row r="3664" spans="1:14">
      <c r="A3664" t="s">
        <v>45</v>
      </c>
      <c r="B3664" t="s">
        <v>5837</v>
      </c>
      <c r="C3664" t="s">
        <v>106</v>
      </c>
      <c r="D3664" t="s">
        <v>38</v>
      </c>
      <c r="E3664" s="7">
        <v>45649</v>
      </c>
      <c r="F3664" t="s">
        <v>39</v>
      </c>
      <c r="G3664">
        <v>0</v>
      </c>
      <c r="H3664" t="s">
        <v>42</v>
      </c>
      <c r="I3664" t="s">
        <v>16</v>
      </c>
      <c r="J3664" t="s">
        <v>16</v>
      </c>
      <c r="K3664" t="str">
        <f>VLOOKUP(C3664,CheckName!A:B,2,0)</f>
        <v>Ref</v>
      </c>
      <c r="L3664">
        <v>1</v>
      </c>
      <c r="M3664">
        <f t="shared" si="528"/>
        <v>23</v>
      </c>
      <c r="N3664" t="str">
        <f>TEXT(MTDRejection[[#This Row],[RejectionDate]],"dddd")</f>
        <v>Monday</v>
      </c>
    </row>
    <row r="3665" spans="1:14">
      <c r="A3665" t="s">
        <v>91</v>
      </c>
      <c r="B3665" t="s">
        <v>5838</v>
      </c>
      <c r="C3665" t="s">
        <v>93</v>
      </c>
      <c r="D3665" t="s">
        <v>26</v>
      </c>
      <c r="E3665" s="7">
        <v>45647</v>
      </c>
      <c r="F3665" t="s">
        <v>458</v>
      </c>
      <c r="G3665">
        <v>2</v>
      </c>
      <c r="H3665" t="s">
        <v>27</v>
      </c>
      <c r="I3665" t="s">
        <v>16</v>
      </c>
      <c r="J3665" t="s">
        <v>16</v>
      </c>
      <c r="K3665" t="str">
        <f>VLOOKUP(C3665,CheckName!A:B,2,0)</f>
        <v>Edu</v>
      </c>
      <c r="L3665">
        <v>0</v>
      </c>
      <c r="M3665">
        <f>DAY(E3665)</f>
        <v>21</v>
      </c>
      <c r="N3665" t="str">
        <f>TEXT(MTDRejection[[#This Row],[RejectionDate]],"dddd")</f>
        <v>Saturday</v>
      </c>
    </row>
    <row r="3666" spans="1:14">
      <c r="A3666" t="s">
        <v>45</v>
      </c>
      <c r="B3666" t="s">
        <v>1785</v>
      </c>
      <c r="C3666" t="s">
        <v>36</v>
      </c>
      <c r="D3666" t="s">
        <v>26</v>
      </c>
      <c r="E3666" s="7">
        <v>45647</v>
      </c>
      <c r="F3666" t="s">
        <v>2355</v>
      </c>
      <c r="G3666">
        <v>2</v>
      </c>
      <c r="H3666" t="s">
        <v>27</v>
      </c>
      <c r="I3666" t="s">
        <v>16</v>
      </c>
      <c r="J3666" t="s">
        <v>16</v>
      </c>
      <c r="K3666" t="str">
        <f>VLOOKUP(C3666,CheckName!A:B,2,0)</f>
        <v>Emp</v>
      </c>
      <c r="L3666">
        <v>1</v>
      </c>
      <c r="M3666">
        <f t="shared" ref="M3666:M3667" si="529">DAY(E3666)</f>
        <v>21</v>
      </c>
      <c r="N3666" t="str">
        <f>TEXT(MTDRejection[[#This Row],[RejectionDate]],"dddd")</f>
        <v>Saturday</v>
      </c>
    </row>
    <row r="3667" spans="1:14">
      <c r="A3667" t="s">
        <v>45</v>
      </c>
      <c r="B3667" t="s">
        <v>5839</v>
      </c>
      <c r="C3667" t="s">
        <v>12</v>
      </c>
      <c r="D3667" t="s">
        <v>26</v>
      </c>
      <c r="E3667" s="7">
        <v>45646</v>
      </c>
      <c r="F3667" t="s">
        <v>2355</v>
      </c>
      <c r="G3667">
        <v>3</v>
      </c>
      <c r="H3667" t="s">
        <v>27</v>
      </c>
      <c r="I3667" t="s">
        <v>16</v>
      </c>
      <c r="J3667" t="s">
        <v>16</v>
      </c>
      <c r="K3667" t="str">
        <f>VLOOKUP(C3667,CheckName!A:B,2,0)</f>
        <v>Emp</v>
      </c>
      <c r="L3667">
        <v>0</v>
      </c>
      <c r="M3667">
        <f t="shared" si="529"/>
        <v>20</v>
      </c>
      <c r="N3667" t="str">
        <f>TEXT(MTDRejection[[#This Row],[RejectionDate]],"dddd")</f>
        <v>Friday</v>
      </c>
    </row>
    <row r="3668" spans="1:14">
      <c r="A3668" t="s">
        <v>306</v>
      </c>
      <c r="B3668" t="s">
        <v>5840</v>
      </c>
      <c r="C3668" t="s">
        <v>49</v>
      </c>
      <c r="D3668" t="s">
        <v>13</v>
      </c>
      <c r="E3668" s="7">
        <v>45646</v>
      </c>
      <c r="F3668" t="s">
        <v>844</v>
      </c>
      <c r="G3668">
        <v>3</v>
      </c>
      <c r="H3668" t="s">
        <v>15</v>
      </c>
      <c r="I3668" t="s">
        <v>16</v>
      </c>
      <c r="J3668" t="s">
        <v>16</v>
      </c>
      <c r="K3668" t="str">
        <f>VLOOKUP(C3668,CheckName!A:B,2,0)</f>
        <v>CRC</v>
      </c>
      <c r="L3668">
        <v>0</v>
      </c>
      <c r="M3668">
        <f>DAY(E3668)</f>
        <v>20</v>
      </c>
      <c r="N3668" t="str">
        <f>TEXT(MTDRejection[[#This Row],[RejectionDate]],"dddd")</f>
        <v>Friday</v>
      </c>
    </row>
    <row r="3669" spans="1:14">
      <c r="A3669" t="s">
        <v>200</v>
      </c>
      <c r="B3669" t="s">
        <v>4786</v>
      </c>
      <c r="C3669" t="s">
        <v>19</v>
      </c>
      <c r="D3669" t="s">
        <v>20</v>
      </c>
      <c r="E3669" s="7">
        <v>45637</v>
      </c>
      <c r="F3669" t="s">
        <v>129</v>
      </c>
      <c r="G3669">
        <v>12</v>
      </c>
      <c r="H3669" t="s">
        <v>22</v>
      </c>
      <c r="I3669" t="s">
        <v>16</v>
      </c>
      <c r="J3669" t="s">
        <v>16</v>
      </c>
      <c r="K3669" t="str">
        <f>VLOOKUP(C3669,CheckName!A:B,2,0)</f>
        <v>Add</v>
      </c>
      <c r="L3669">
        <v>0</v>
      </c>
      <c r="M3669">
        <f>DAY(E3669)</f>
        <v>11</v>
      </c>
      <c r="N3669" t="str">
        <f>TEXT(MTDRejection[[#This Row],[RejectionDate]],"dddd")</f>
        <v>Wednesday</v>
      </c>
    </row>
    <row r="3670" spans="1:14">
      <c r="A3670" t="s">
        <v>360</v>
      </c>
      <c r="B3670" t="s">
        <v>5841</v>
      </c>
      <c r="C3670" t="s">
        <v>54</v>
      </c>
      <c r="D3670" t="s">
        <v>13</v>
      </c>
      <c r="E3670" s="7">
        <v>45649</v>
      </c>
      <c r="F3670" t="s">
        <v>2343</v>
      </c>
      <c r="G3670">
        <v>0</v>
      </c>
      <c r="H3670" t="s">
        <v>15</v>
      </c>
      <c r="I3670" t="s">
        <v>16</v>
      </c>
      <c r="J3670" t="s">
        <v>16</v>
      </c>
      <c r="K3670" t="str">
        <f>VLOOKUP(C3670,CheckName!A:B,2,0)</f>
        <v>Edu</v>
      </c>
      <c r="L3670">
        <v>0</v>
      </c>
      <c r="M3670">
        <f>DAY(E3670)</f>
        <v>23</v>
      </c>
      <c r="N3670" t="str">
        <f>TEXT(MTDRejection[[#This Row],[RejectionDate]],"dddd")</f>
        <v>Monday</v>
      </c>
    </row>
    <row r="3671" spans="1:14">
      <c r="A3671" t="s">
        <v>1792</v>
      </c>
      <c r="B3671" t="s">
        <v>5842</v>
      </c>
      <c r="C3671" t="s">
        <v>25</v>
      </c>
      <c r="D3671" t="s">
        <v>13</v>
      </c>
      <c r="E3671" s="7">
        <v>45649</v>
      </c>
      <c r="F3671" t="s">
        <v>33</v>
      </c>
      <c r="G3671">
        <v>0</v>
      </c>
      <c r="H3671" t="s">
        <v>15</v>
      </c>
      <c r="I3671" t="s">
        <v>16</v>
      </c>
      <c r="J3671" t="s">
        <v>16</v>
      </c>
      <c r="K3671" t="str">
        <f>VLOOKUP(C3671,CheckName!A:B,2,0)</f>
        <v>Add</v>
      </c>
      <c r="L3671">
        <v>0</v>
      </c>
      <c r="M3671">
        <f t="shared" ref="M3671:M3676" si="530">DAY(E3671)</f>
        <v>23</v>
      </c>
      <c r="N3671" t="str">
        <f>TEXT(MTDRejection[[#This Row],[RejectionDate]],"dddd")</f>
        <v>Monday</v>
      </c>
    </row>
    <row r="3672" spans="1:14">
      <c r="A3672" t="s">
        <v>1792</v>
      </c>
      <c r="B3672" t="s">
        <v>5843</v>
      </c>
      <c r="C3672" t="s">
        <v>71</v>
      </c>
      <c r="D3672" t="s">
        <v>13</v>
      </c>
      <c r="E3672" s="7">
        <v>45649</v>
      </c>
      <c r="F3672" t="s">
        <v>33</v>
      </c>
      <c r="G3672">
        <v>0</v>
      </c>
      <c r="H3672" t="s">
        <v>15</v>
      </c>
      <c r="I3672" t="s">
        <v>16</v>
      </c>
      <c r="J3672" t="s">
        <v>16</v>
      </c>
      <c r="K3672" t="str">
        <f>VLOOKUP(C3672,CheckName!A:B,2,0)</f>
        <v>CRC</v>
      </c>
      <c r="L3672">
        <v>0</v>
      </c>
      <c r="M3672">
        <f t="shared" si="530"/>
        <v>23</v>
      </c>
      <c r="N3672" t="str">
        <f>TEXT(MTDRejection[[#This Row],[RejectionDate]],"dddd")</f>
        <v>Monday</v>
      </c>
    </row>
    <row r="3673" spans="1:14">
      <c r="A3673" t="s">
        <v>1792</v>
      </c>
      <c r="B3673" t="s">
        <v>5844</v>
      </c>
      <c r="C3673" t="s">
        <v>122</v>
      </c>
      <c r="D3673" t="s">
        <v>13</v>
      </c>
      <c r="E3673" s="7">
        <v>45649</v>
      </c>
      <c r="F3673" t="s">
        <v>33</v>
      </c>
      <c r="G3673">
        <v>0</v>
      </c>
      <c r="H3673" t="s">
        <v>15</v>
      </c>
      <c r="I3673" t="s">
        <v>16</v>
      </c>
      <c r="J3673" t="s">
        <v>16</v>
      </c>
      <c r="K3673" t="str">
        <f>VLOOKUP(C3673,CheckName!A:B,2,0)</f>
        <v>Special Check</v>
      </c>
      <c r="L3673">
        <v>0</v>
      </c>
      <c r="M3673">
        <f t="shared" si="530"/>
        <v>23</v>
      </c>
      <c r="N3673" t="str">
        <f>TEXT(MTDRejection[[#This Row],[RejectionDate]],"dddd")</f>
        <v>Monday</v>
      </c>
    </row>
    <row r="3674" spans="1:14">
      <c r="A3674" t="s">
        <v>1792</v>
      </c>
      <c r="B3674" t="s">
        <v>5845</v>
      </c>
      <c r="C3674" t="s">
        <v>123</v>
      </c>
      <c r="D3674" t="s">
        <v>13</v>
      </c>
      <c r="E3674" s="7">
        <v>45649</v>
      </c>
      <c r="F3674" t="s">
        <v>33</v>
      </c>
      <c r="G3674">
        <v>0</v>
      </c>
      <c r="H3674" t="s">
        <v>15</v>
      </c>
      <c r="I3674" t="s">
        <v>16</v>
      </c>
      <c r="J3674" t="s">
        <v>16</v>
      </c>
      <c r="K3674" t="str">
        <f>VLOOKUP(C3674,CheckName!A:B,2,0)</f>
        <v>Special Check</v>
      </c>
      <c r="L3674">
        <v>0</v>
      </c>
      <c r="M3674">
        <f t="shared" si="530"/>
        <v>23</v>
      </c>
      <c r="N3674" t="str">
        <f>TEXT(MTDRejection[[#This Row],[RejectionDate]],"dddd")</f>
        <v>Monday</v>
      </c>
    </row>
    <row r="3675" spans="1:14">
      <c r="A3675" t="s">
        <v>404</v>
      </c>
      <c r="B3675" t="s">
        <v>5846</v>
      </c>
      <c r="C3675" t="s">
        <v>12</v>
      </c>
      <c r="D3675" t="s">
        <v>13</v>
      </c>
      <c r="E3675" s="7">
        <v>45649</v>
      </c>
      <c r="F3675" t="s">
        <v>574</v>
      </c>
      <c r="G3675">
        <v>0</v>
      </c>
      <c r="H3675" t="s">
        <v>15</v>
      </c>
      <c r="I3675" t="s">
        <v>16</v>
      </c>
      <c r="J3675" t="s">
        <v>16</v>
      </c>
      <c r="K3675" t="str">
        <f>VLOOKUP(C3675,CheckName!A:B,2,0)</f>
        <v>Emp</v>
      </c>
      <c r="L3675">
        <v>0</v>
      </c>
      <c r="M3675">
        <f t="shared" si="530"/>
        <v>23</v>
      </c>
      <c r="N3675" t="str">
        <f>TEXT(MTDRejection[[#This Row],[RejectionDate]],"dddd")</f>
        <v>Monday</v>
      </c>
    </row>
    <row r="3676" spans="1:14">
      <c r="A3676" t="s">
        <v>306</v>
      </c>
      <c r="B3676" t="s">
        <v>5847</v>
      </c>
      <c r="C3676" t="s">
        <v>106</v>
      </c>
      <c r="D3676" t="s">
        <v>13</v>
      </c>
      <c r="E3676" s="7">
        <v>45649</v>
      </c>
      <c r="F3676" t="s">
        <v>844</v>
      </c>
      <c r="G3676">
        <v>0</v>
      </c>
      <c r="H3676" t="s">
        <v>15</v>
      </c>
      <c r="I3676" t="s">
        <v>16</v>
      </c>
      <c r="J3676" t="s">
        <v>16</v>
      </c>
      <c r="K3676" t="str">
        <f>VLOOKUP(C3676,CheckName!A:B,2,0)</f>
        <v>Ref</v>
      </c>
      <c r="L3676">
        <v>0</v>
      </c>
      <c r="M3676">
        <f t="shared" si="530"/>
        <v>23</v>
      </c>
      <c r="N3676" t="str">
        <f>TEXT(MTDRejection[[#This Row],[RejectionDate]],"dddd")</f>
        <v>Monday</v>
      </c>
    </row>
    <row r="3677" spans="1:14">
      <c r="A3677" t="s">
        <v>306</v>
      </c>
      <c r="B3677" t="s">
        <v>5848</v>
      </c>
      <c r="C3677" t="s">
        <v>54</v>
      </c>
      <c r="D3677" t="s">
        <v>13</v>
      </c>
      <c r="E3677" s="7">
        <v>45649</v>
      </c>
      <c r="F3677" t="s">
        <v>844</v>
      </c>
      <c r="G3677">
        <v>0</v>
      </c>
      <c r="H3677" t="s">
        <v>15</v>
      </c>
      <c r="I3677" t="s">
        <v>16</v>
      </c>
      <c r="J3677" t="s">
        <v>16</v>
      </c>
      <c r="K3677" t="str">
        <f>VLOOKUP(C3677,CheckName!A:B,2,0)</f>
        <v>Edu</v>
      </c>
      <c r="L3677">
        <v>0</v>
      </c>
      <c r="M3677">
        <f>DAY(E3677)</f>
        <v>23</v>
      </c>
      <c r="N3677" t="str">
        <f>TEXT(MTDRejection[[#This Row],[RejectionDate]],"dddd")</f>
        <v>Monday</v>
      </c>
    </row>
    <row r="3678" spans="1:14">
      <c r="A3678" t="s">
        <v>10</v>
      </c>
      <c r="B3678" t="s">
        <v>5849</v>
      </c>
      <c r="C3678" t="s">
        <v>1869</v>
      </c>
      <c r="D3678" t="s">
        <v>26</v>
      </c>
      <c r="E3678" s="7">
        <v>45649</v>
      </c>
      <c r="F3678" t="s">
        <v>236</v>
      </c>
      <c r="G3678">
        <v>0</v>
      </c>
      <c r="H3678" t="s">
        <v>27</v>
      </c>
      <c r="I3678" t="s">
        <v>16</v>
      </c>
      <c r="J3678" t="s">
        <v>16</v>
      </c>
      <c r="K3678" t="str">
        <f>VLOOKUP(C3678,CheckName!A:B,2,0)</f>
        <v>Special Check</v>
      </c>
      <c r="L3678">
        <v>1</v>
      </c>
      <c r="M3678">
        <f t="shared" ref="M3678:M3680" si="531">DAY(E3678)</f>
        <v>23</v>
      </c>
      <c r="N3678" t="str">
        <f>TEXT(MTDRejection[[#This Row],[RejectionDate]],"dddd")</f>
        <v>Monday</v>
      </c>
    </row>
    <row r="3679" spans="1:14">
      <c r="A3679" t="s">
        <v>10</v>
      </c>
      <c r="B3679" t="s">
        <v>5850</v>
      </c>
      <c r="C3679" t="s">
        <v>1869</v>
      </c>
      <c r="D3679" t="s">
        <v>26</v>
      </c>
      <c r="E3679" s="7">
        <v>45649</v>
      </c>
      <c r="F3679" t="s">
        <v>236</v>
      </c>
      <c r="G3679">
        <v>0</v>
      </c>
      <c r="H3679" t="s">
        <v>27</v>
      </c>
      <c r="I3679" t="s">
        <v>16</v>
      </c>
      <c r="J3679" t="s">
        <v>16</v>
      </c>
      <c r="K3679" t="str">
        <f>VLOOKUP(C3679,CheckName!A:B,2,0)</f>
        <v>Special Check</v>
      </c>
      <c r="L3679">
        <v>1</v>
      </c>
      <c r="M3679">
        <f t="shared" si="531"/>
        <v>23</v>
      </c>
      <c r="N3679" t="str">
        <f>TEXT(MTDRejection[[#This Row],[RejectionDate]],"dddd")</f>
        <v>Monday</v>
      </c>
    </row>
    <row r="3680" spans="1:14">
      <c r="A3680" t="s">
        <v>10</v>
      </c>
      <c r="B3680" t="s">
        <v>2744</v>
      </c>
      <c r="C3680" t="s">
        <v>1869</v>
      </c>
      <c r="D3680" t="s">
        <v>26</v>
      </c>
      <c r="E3680" s="7">
        <v>45649</v>
      </c>
      <c r="F3680" t="s">
        <v>236</v>
      </c>
      <c r="G3680">
        <v>0</v>
      </c>
      <c r="H3680" t="s">
        <v>27</v>
      </c>
      <c r="I3680" t="s">
        <v>16</v>
      </c>
      <c r="J3680" t="s">
        <v>16</v>
      </c>
      <c r="K3680" t="str">
        <f>VLOOKUP(C3680,CheckName!A:B,2,0)</f>
        <v>Special Check</v>
      </c>
      <c r="L3680">
        <v>1</v>
      </c>
      <c r="M3680">
        <f t="shared" si="531"/>
        <v>23</v>
      </c>
      <c r="N3680" t="str">
        <f>TEXT(MTDRejection[[#This Row],[RejectionDate]],"dddd")</f>
        <v>Monday</v>
      </c>
    </row>
    <row r="3681" spans="1:14">
      <c r="A3681" t="s">
        <v>1815</v>
      </c>
      <c r="B3681" t="s">
        <v>5851</v>
      </c>
      <c r="C3681" t="s">
        <v>12</v>
      </c>
      <c r="D3681" t="s">
        <v>26</v>
      </c>
      <c r="E3681" s="7">
        <v>45649</v>
      </c>
      <c r="F3681" t="s">
        <v>182</v>
      </c>
      <c r="G3681">
        <v>0</v>
      </c>
      <c r="H3681" t="s">
        <v>22</v>
      </c>
      <c r="I3681" t="s">
        <v>16</v>
      </c>
      <c r="J3681" t="s">
        <v>16</v>
      </c>
      <c r="K3681" t="str">
        <f>VLOOKUP(C3681,CheckName!A:B,2,0)</f>
        <v>Emp</v>
      </c>
      <c r="L3681">
        <v>0</v>
      </c>
      <c r="M3681">
        <f t="shared" ref="M3681:M3688" si="532">DAY(E3681)</f>
        <v>23</v>
      </c>
      <c r="N3681" t="str">
        <f>TEXT(MTDRejection[[#This Row],[RejectionDate]],"dddd")</f>
        <v>Monday</v>
      </c>
    </row>
    <row r="3682" spans="1:14">
      <c r="A3682" t="s">
        <v>845</v>
      </c>
      <c r="B3682" t="s">
        <v>5852</v>
      </c>
      <c r="C3682" t="s">
        <v>54</v>
      </c>
      <c r="D3682" t="s">
        <v>26</v>
      </c>
      <c r="E3682" s="7">
        <v>45649</v>
      </c>
      <c r="F3682" t="s">
        <v>188</v>
      </c>
      <c r="G3682">
        <v>0</v>
      </c>
      <c r="H3682" t="s">
        <v>27</v>
      </c>
      <c r="I3682" t="s">
        <v>16</v>
      </c>
      <c r="J3682" t="s">
        <v>16</v>
      </c>
      <c r="K3682" t="str">
        <f>VLOOKUP(C3682,CheckName!A:B,2,0)</f>
        <v>Edu</v>
      </c>
      <c r="L3682">
        <v>1</v>
      </c>
      <c r="M3682">
        <f t="shared" si="532"/>
        <v>23</v>
      </c>
      <c r="N3682" t="str">
        <f>TEXT(MTDRejection[[#This Row],[RejectionDate]],"dddd")</f>
        <v>Monday</v>
      </c>
    </row>
    <row r="3683" spans="1:14">
      <c r="A3683" t="s">
        <v>996</v>
      </c>
      <c r="B3683" t="s">
        <v>5853</v>
      </c>
      <c r="C3683" t="s">
        <v>1098</v>
      </c>
      <c r="D3683" t="s">
        <v>26</v>
      </c>
      <c r="E3683" s="7">
        <v>45649</v>
      </c>
      <c r="F3683" t="s">
        <v>103</v>
      </c>
      <c r="G3683">
        <v>0</v>
      </c>
      <c r="H3683" t="s">
        <v>27</v>
      </c>
      <c r="I3683" t="s">
        <v>16</v>
      </c>
      <c r="J3683" t="s">
        <v>16</v>
      </c>
      <c r="K3683" t="str">
        <f>VLOOKUP(C3683,CheckName!A:B,2,0)</f>
        <v>Edu</v>
      </c>
      <c r="L3683">
        <v>0</v>
      </c>
      <c r="M3683">
        <f t="shared" si="532"/>
        <v>23</v>
      </c>
      <c r="N3683" t="str">
        <f>TEXT(MTDRejection[[#This Row],[RejectionDate]],"dddd")</f>
        <v>Monday</v>
      </c>
    </row>
    <row r="3684" spans="1:14">
      <c r="A3684" t="s">
        <v>274</v>
      </c>
      <c r="B3684" t="s">
        <v>5854</v>
      </c>
      <c r="C3684" t="s">
        <v>25</v>
      </c>
      <c r="D3684" t="s">
        <v>20</v>
      </c>
      <c r="E3684" s="7">
        <v>45649</v>
      </c>
      <c r="F3684" t="s">
        <v>2327</v>
      </c>
      <c r="G3684">
        <v>0</v>
      </c>
      <c r="H3684" t="s">
        <v>27</v>
      </c>
      <c r="I3684" t="s">
        <v>16</v>
      </c>
      <c r="J3684" t="s">
        <v>16</v>
      </c>
      <c r="K3684" t="str">
        <f>VLOOKUP(C3684,CheckName!A:B,2,0)</f>
        <v>Add</v>
      </c>
      <c r="L3684">
        <v>1</v>
      </c>
      <c r="M3684">
        <f t="shared" si="532"/>
        <v>23</v>
      </c>
      <c r="N3684" t="str">
        <f>TEXT(MTDRejection[[#This Row],[RejectionDate]],"dddd")</f>
        <v>Monday</v>
      </c>
    </row>
    <row r="3685" spans="1:14">
      <c r="A3685" t="s">
        <v>160</v>
      </c>
      <c r="B3685" t="s">
        <v>5855</v>
      </c>
      <c r="C3685" t="s">
        <v>19</v>
      </c>
      <c r="D3685" t="s">
        <v>20</v>
      </c>
      <c r="E3685" s="7">
        <v>45649</v>
      </c>
      <c r="F3685" t="s">
        <v>2327</v>
      </c>
      <c r="G3685">
        <v>0</v>
      </c>
      <c r="H3685" t="s">
        <v>22</v>
      </c>
      <c r="I3685" t="s">
        <v>16</v>
      </c>
      <c r="J3685" t="s">
        <v>16</v>
      </c>
      <c r="K3685" t="str">
        <f>VLOOKUP(C3685,CheckName!A:B,2,0)</f>
        <v>Add</v>
      </c>
      <c r="L3685">
        <v>0</v>
      </c>
      <c r="M3685">
        <f t="shared" si="532"/>
        <v>23</v>
      </c>
      <c r="N3685" t="str">
        <f>TEXT(MTDRejection[[#This Row],[RejectionDate]],"dddd")</f>
        <v>Monday</v>
      </c>
    </row>
    <row r="3686" spans="1:14">
      <c r="A3686" t="s">
        <v>1573</v>
      </c>
      <c r="B3686" t="s">
        <v>5856</v>
      </c>
      <c r="C3686" t="s">
        <v>19</v>
      </c>
      <c r="D3686" t="s">
        <v>20</v>
      </c>
      <c r="E3686" s="7">
        <v>45649</v>
      </c>
      <c r="F3686" t="s">
        <v>2327</v>
      </c>
      <c r="G3686">
        <v>0</v>
      </c>
      <c r="H3686" t="s">
        <v>22</v>
      </c>
      <c r="I3686" t="s">
        <v>16</v>
      </c>
      <c r="J3686" t="s">
        <v>16</v>
      </c>
      <c r="K3686" t="str">
        <f>VLOOKUP(C3686,CheckName!A:B,2,0)</f>
        <v>Add</v>
      </c>
      <c r="L3686">
        <v>1</v>
      </c>
      <c r="M3686">
        <f t="shared" si="532"/>
        <v>23</v>
      </c>
      <c r="N3686" t="str">
        <f>TEXT(MTDRejection[[#This Row],[RejectionDate]],"dddd")</f>
        <v>Monday</v>
      </c>
    </row>
    <row r="3687" spans="1:14">
      <c r="A3687" t="s">
        <v>1780</v>
      </c>
      <c r="B3687" t="s">
        <v>5857</v>
      </c>
      <c r="C3687" t="s">
        <v>12</v>
      </c>
      <c r="D3687" t="s">
        <v>26</v>
      </c>
      <c r="E3687" s="7">
        <v>45649</v>
      </c>
      <c r="F3687" t="s">
        <v>721</v>
      </c>
      <c r="G3687">
        <v>0</v>
      </c>
      <c r="H3687" t="s">
        <v>27</v>
      </c>
      <c r="I3687" t="s">
        <v>16</v>
      </c>
      <c r="J3687" t="s">
        <v>16</v>
      </c>
      <c r="K3687" t="str">
        <f>VLOOKUP(C3687,CheckName!A:B,2,0)</f>
        <v>Emp</v>
      </c>
      <c r="L3687">
        <v>0</v>
      </c>
      <c r="M3687">
        <f t="shared" si="532"/>
        <v>23</v>
      </c>
      <c r="N3687" t="str">
        <f>TEXT(MTDRejection[[#This Row],[RejectionDate]],"dddd")</f>
        <v>Monday</v>
      </c>
    </row>
    <row r="3688" spans="1:14">
      <c r="A3688" t="s">
        <v>137</v>
      </c>
      <c r="B3688" t="s">
        <v>5858</v>
      </c>
      <c r="C3688" t="s">
        <v>54</v>
      </c>
      <c r="D3688" t="s">
        <v>26</v>
      </c>
      <c r="E3688" s="7">
        <v>45649</v>
      </c>
      <c r="F3688" t="s">
        <v>121</v>
      </c>
      <c r="G3688">
        <v>0</v>
      </c>
      <c r="H3688" t="s">
        <v>27</v>
      </c>
      <c r="I3688" t="s">
        <v>16</v>
      </c>
      <c r="J3688" t="s">
        <v>16</v>
      </c>
      <c r="K3688" t="str">
        <f>VLOOKUP(C3688,CheckName!A:B,2,0)</f>
        <v>Edu</v>
      </c>
      <c r="L3688">
        <v>0</v>
      </c>
      <c r="M3688">
        <f t="shared" si="532"/>
        <v>23</v>
      </c>
      <c r="N3688" t="str">
        <f>TEXT(MTDRejection[[#This Row],[RejectionDate]],"dddd")</f>
        <v>Monday</v>
      </c>
    </row>
    <row r="3689" spans="1:14">
      <c r="A3689" t="s">
        <v>100</v>
      </c>
      <c r="B3689" t="s">
        <v>5859</v>
      </c>
      <c r="C3689" t="s">
        <v>775</v>
      </c>
      <c r="D3689" t="s">
        <v>26</v>
      </c>
      <c r="E3689" s="7">
        <v>45649</v>
      </c>
      <c r="F3689" t="s">
        <v>380</v>
      </c>
      <c r="G3689">
        <v>0</v>
      </c>
      <c r="H3689" t="s">
        <v>22</v>
      </c>
      <c r="I3689" t="s">
        <v>16</v>
      </c>
      <c r="J3689" t="s">
        <v>16</v>
      </c>
      <c r="K3689" t="str">
        <f>VLOOKUP(C3689,CheckName!A:B,2,0)</f>
        <v>Emp</v>
      </c>
      <c r="L3689">
        <v>0</v>
      </c>
      <c r="M3689">
        <f t="shared" ref="M3689:M3690" si="533">DAY(E3689)</f>
        <v>23</v>
      </c>
      <c r="N3689" t="str">
        <f>TEXT(MTDRejection[[#This Row],[RejectionDate]],"dddd")</f>
        <v>Monday</v>
      </c>
    </row>
    <row r="3690" spans="1:14">
      <c r="A3690" t="s">
        <v>2077</v>
      </c>
      <c r="B3690" t="s">
        <v>5860</v>
      </c>
      <c r="C3690" t="s">
        <v>12</v>
      </c>
      <c r="D3690" t="s">
        <v>26</v>
      </c>
      <c r="E3690" s="7">
        <v>45649</v>
      </c>
      <c r="F3690" t="s">
        <v>1055</v>
      </c>
      <c r="G3690">
        <v>0</v>
      </c>
      <c r="H3690" t="s">
        <v>22</v>
      </c>
      <c r="I3690" t="s">
        <v>16</v>
      </c>
      <c r="J3690" t="s">
        <v>16</v>
      </c>
      <c r="K3690" t="str">
        <f>VLOOKUP(C3690,CheckName!A:B,2,0)</f>
        <v>Emp</v>
      </c>
      <c r="L3690">
        <v>0</v>
      </c>
      <c r="M3690">
        <f t="shared" si="533"/>
        <v>23</v>
      </c>
      <c r="N3690" t="str">
        <f>TEXT(MTDRejection[[#This Row],[RejectionDate]],"dddd")</f>
        <v>Monday</v>
      </c>
    </row>
    <row r="3691" spans="1:14">
      <c r="A3691" t="s">
        <v>45</v>
      </c>
      <c r="B3691" t="s">
        <v>5861</v>
      </c>
      <c r="C3691" t="s">
        <v>125</v>
      </c>
      <c r="D3691" t="s">
        <v>26</v>
      </c>
      <c r="E3691" s="7">
        <v>45649</v>
      </c>
      <c r="F3691" t="s">
        <v>2346</v>
      </c>
      <c r="G3691">
        <v>0</v>
      </c>
      <c r="H3691" t="s">
        <v>27</v>
      </c>
      <c r="I3691" t="s">
        <v>16</v>
      </c>
      <c r="J3691" t="s">
        <v>16</v>
      </c>
      <c r="K3691" t="str">
        <f>VLOOKUP(C3691,CheckName!A:B,2,0)</f>
        <v>Emp</v>
      </c>
      <c r="L3691">
        <v>1</v>
      </c>
      <c r="M3691">
        <f t="shared" ref="M3691:M3693" si="534">DAY(E3691)</f>
        <v>23</v>
      </c>
      <c r="N3691" t="str">
        <f>TEXT(MTDRejection[[#This Row],[RejectionDate]],"dddd")</f>
        <v>Monday</v>
      </c>
    </row>
    <row r="3692" spans="1:14">
      <c r="A3692" t="s">
        <v>165</v>
      </c>
      <c r="B3692" t="s">
        <v>5862</v>
      </c>
      <c r="C3692" t="s">
        <v>125</v>
      </c>
      <c r="D3692" t="s">
        <v>26</v>
      </c>
      <c r="E3692" s="7">
        <v>45649</v>
      </c>
      <c r="F3692" t="s">
        <v>2347</v>
      </c>
      <c r="G3692">
        <v>0</v>
      </c>
      <c r="H3692" t="s">
        <v>27</v>
      </c>
      <c r="I3692" t="s">
        <v>16</v>
      </c>
      <c r="J3692" t="s">
        <v>16</v>
      </c>
      <c r="K3692" t="str">
        <f>VLOOKUP(C3692,CheckName!A:B,2,0)</f>
        <v>Emp</v>
      </c>
      <c r="L3692">
        <v>0</v>
      </c>
      <c r="M3692">
        <f t="shared" si="534"/>
        <v>23</v>
      </c>
      <c r="N3692" t="str">
        <f>TEXT(MTDRejection[[#This Row],[RejectionDate]],"dddd")</f>
        <v>Monday</v>
      </c>
    </row>
    <row r="3693" spans="1:14">
      <c r="A3693" t="s">
        <v>165</v>
      </c>
      <c r="B3693" t="s">
        <v>5863</v>
      </c>
      <c r="C3693" t="s">
        <v>36</v>
      </c>
      <c r="D3693" t="s">
        <v>26</v>
      </c>
      <c r="E3693" s="7">
        <v>45649</v>
      </c>
      <c r="F3693" t="s">
        <v>2347</v>
      </c>
      <c r="G3693">
        <v>0</v>
      </c>
      <c r="H3693" t="s">
        <v>27</v>
      </c>
      <c r="I3693" t="s">
        <v>16</v>
      </c>
      <c r="J3693" t="s">
        <v>16</v>
      </c>
      <c r="K3693" t="str">
        <f>VLOOKUP(C3693,CheckName!A:B,2,0)</f>
        <v>Emp</v>
      </c>
      <c r="L3693">
        <v>0</v>
      </c>
      <c r="M3693">
        <f t="shared" si="534"/>
        <v>23</v>
      </c>
      <c r="N3693" t="str">
        <f>TEXT(MTDRejection[[#This Row],[RejectionDate]],"dddd")</f>
        <v>Monday</v>
      </c>
    </row>
    <row r="3694" spans="1:14">
      <c r="A3694" t="s">
        <v>137</v>
      </c>
      <c r="B3694" t="s">
        <v>2797</v>
      </c>
      <c r="C3694" t="s">
        <v>12</v>
      </c>
      <c r="D3694" t="s">
        <v>26</v>
      </c>
      <c r="E3694" s="7">
        <v>45649</v>
      </c>
      <c r="F3694" t="s">
        <v>222</v>
      </c>
      <c r="G3694">
        <v>0</v>
      </c>
      <c r="H3694" t="s">
        <v>27</v>
      </c>
      <c r="I3694" t="s">
        <v>16</v>
      </c>
      <c r="J3694" t="s">
        <v>16</v>
      </c>
      <c r="K3694" t="str">
        <f>VLOOKUP(C3694,CheckName!A:B,2,0)</f>
        <v>Emp</v>
      </c>
      <c r="L3694">
        <v>1</v>
      </c>
      <c r="M3694">
        <f>DAY(E3694)</f>
        <v>23</v>
      </c>
      <c r="N3694" t="str">
        <f>TEXT(MTDRejection[[#This Row],[RejectionDate]],"dddd")</f>
        <v>Monday</v>
      </c>
    </row>
    <row r="3695" spans="1:14">
      <c r="A3695" t="s">
        <v>419</v>
      </c>
      <c r="B3695" t="s">
        <v>5864</v>
      </c>
      <c r="C3695" t="s">
        <v>54</v>
      </c>
      <c r="D3695" t="s">
        <v>26</v>
      </c>
      <c r="E3695" s="7">
        <v>45642</v>
      </c>
      <c r="F3695" t="s">
        <v>121</v>
      </c>
      <c r="G3695">
        <v>7</v>
      </c>
      <c r="H3695" t="s">
        <v>27</v>
      </c>
      <c r="I3695" t="s">
        <v>16</v>
      </c>
      <c r="J3695" t="s">
        <v>16</v>
      </c>
      <c r="K3695" t="str">
        <f>VLOOKUP(C3695,CheckName!A:B,2,0)</f>
        <v>Edu</v>
      </c>
      <c r="L3695">
        <v>0</v>
      </c>
      <c r="M3695">
        <f>DAY(E3695)</f>
        <v>16</v>
      </c>
      <c r="N3695" t="str">
        <f>TEXT(MTDRejection[[#This Row],[RejectionDate]],"dddd")</f>
        <v>Monday</v>
      </c>
    </row>
    <row r="3696" spans="1:14">
      <c r="A3696" t="s">
        <v>176</v>
      </c>
      <c r="B3696" t="s">
        <v>5865</v>
      </c>
      <c r="C3696" t="s">
        <v>19</v>
      </c>
      <c r="D3696" t="s">
        <v>13</v>
      </c>
      <c r="E3696" s="7">
        <v>45650</v>
      </c>
      <c r="F3696" t="s">
        <v>2343</v>
      </c>
      <c r="G3696">
        <v>0</v>
      </c>
      <c r="H3696" t="s">
        <v>15</v>
      </c>
      <c r="I3696" t="s">
        <v>16</v>
      </c>
      <c r="J3696" t="s">
        <v>16</v>
      </c>
      <c r="K3696" t="str">
        <f>VLOOKUP(C3696,CheckName!A:B,2,0)</f>
        <v>Add</v>
      </c>
      <c r="L3696">
        <v>1</v>
      </c>
      <c r="M3696">
        <f t="shared" ref="M3696:M3701" si="535">DAY(E3696)</f>
        <v>24</v>
      </c>
      <c r="N3696" t="str">
        <f>TEXT(MTDRejection[[#This Row],[RejectionDate]],"dddd")</f>
        <v>Tuesday</v>
      </c>
    </row>
    <row r="3697" spans="1:14">
      <c r="A3697" t="s">
        <v>176</v>
      </c>
      <c r="B3697" t="s">
        <v>5866</v>
      </c>
      <c r="C3697" t="s">
        <v>25</v>
      </c>
      <c r="D3697" t="s">
        <v>13</v>
      </c>
      <c r="E3697" s="7">
        <v>45650</v>
      </c>
      <c r="F3697" t="s">
        <v>2343</v>
      </c>
      <c r="G3697">
        <v>0</v>
      </c>
      <c r="H3697" t="s">
        <v>15</v>
      </c>
      <c r="I3697" t="s">
        <v>16</v>
      </c>
      <c r="J3697" t="s">
        <v>16</v>
      </c>
      <c r="K3697" t="str">
        <f>VLOOKUP(C3697,CheckName!A:B,2,0)</f>
        <v>Add</v>
      </c>
      <c r="L3697">
        <v>0</v>
      </c>
      <c r="M3697">
        <f t="shared" si="535"/>
        <v>24</v>
      </c>
      <c r="N3697" t="str">
        <f>TEXT(MTDRejection[[#This Row],[RejectionDate]],"dddd")</f>
        <v>Tuesday</v>
      </c>
    </row>
    <row r="3698" spans="1:14">
      <c r="A3698" t="s">
        <v>176</v>
      </c>
      <c r="B3698" t="s">
        <v>5867</v>
      </c>
      <c r="C3698" t="s">
        <v>71</v>
      </c>
      <c r="D3698" t="s">
        <v>13</v>
      </c>
      <c r="E3698" s="7">
        <v>45650</v>
      </c>
      <c r="F3698" t="s">
        <v>2343</v>
      </c>
      <c r="G3698">
        <v>0</v>
      </c>
      <c r="H3698" t="s">
        <v>15</v>
      </c>
      <c r="I3698" t="s">
        <v>16</v>
      </c>
      <c r="J3698" t="s">
        <v>16</v>
      </c>
      <c r="K3698" t="str">
        <f>VLOOKUP(C3698,CheckName!A:B,2,0)</f>
        <v>CRC</v>
      </c>
      <c r="L3698">
        <v>0</v>
      </c>
      <c r="M3698">
        <f t="shared" si="535"/>
        <v>24</v>
      </c>
      <c r="N3698" t="str">
        <f>TEXT(MTDRejection[[#This Row],[RejectionDate]],"dddd")</f>
        <v>Tuesday</v>
      </c>
    </row>
    <row r="3699" spans="1:14">
      <c r="A3699" t="s">
        <v>644</v>
      </c>
      <c r="B3699" t="s">
        <v>5868</v>
      </c>
      <c r="C3699" t="s">
        <v>56</v>
      </c>
      <c r="D3699" t="s">
        <v>13</v>
      </c>
      <c r="E3699" s="7">
        <v>45650</v>
      </c>
      <c r="F3699" t="s">
        <v>1310</v>
      </c>
      <c r="G3699">
        <v>0</v>
      </c>
      <c r="H3699" t="s">
        <v>15</v>
      </c>
      <c r="I3699" t="s">
        <v>16</v>
      </c>
      <c r="J3699" t="s">
        <v>16</v>
      </c>
      <c r="K3699" t="str">
        <f>VLOOKUP(C3699,CheckName!A:B,2,0)</f>
        <v>Special Check</v>
      </c>
      <c r="L3699">
        <v>0</v>
      </c>
      <c r="M3699">
        <f t="shared" si="535"/>
        <v>24</v>
      </c>
      <c r="N3699" t="str">
        <f>TEXT(MTDRejection[[#This Row],[RejectionDate]],"dddd")</f>
        <v>Tuesday</v>
      </c>
    </row>
    <row r="3700" spans="1:14">
      <c r="A3700" t="s">
        <v>2078</v>
      </c>
      <c r="B3700" t="s">
        <v>5869</v>
      </c>
      <c r="C3700" t="s">
        <v>71</v>
      </c>
      <c r="D3700" t="s">
        <v>13</v>
      </c>
      <c r="E3700" s="7">
        <v>45650</v>
      </c>
      <c r="F3700" t="s">
        <v>33</v>
      </c>
      <c r="G3700">
        <v>0</v>
      </c>
      <c r="H3700" t="s">
        <v>15</v>
      </c>
      <c r="I3700" t="s">
        <v>16</v>
      </c>
      <c r="J3700" t="s">
        <v>16</v>
      </c>
      <c r="K3700" t="str">
        <f>VLOOKUP(C3700,CheckName!A:B,2,0)</f>
        <v>CRC</v>
      </c>
      <c r="L3700">
        <v>0</v>
      </c>
      <c r="M3700">
        <f t="shared" si="535"/>
        <v>24</v>
      </c>
      <c r="N3700" t="str">
        <f>TEXT(MTDRejection[[#This Row],[RejectionDate]],"dddd")</f>
        <v>Tuesday</v>
      </c>
    </row>
    <row r="3701" spans="1:14">
      <c r="A3701" t="s">
        <v>45</v>
      </c>
      <c r="B3701" t="s">
        <v>5870</v>
      </c>
      <c r="C3701" t="s">
        <v>54</v>
      </c>
      <c r="D3701" t="s">
        <v>26</v>
      </c>
      <c r="E3701" s="7">
        <v>45650</v>
      </c>
      <c r="F3701" t="s">
        <v>63</v>
      </c>
      <c r="G3701">
        <v>0</v>
      </c>
      <c r="H3701" t="s">
        <v>27</v>
      </c>
      <c r="I3701" t="s">
        <v>16</v>
      </c>
      <c r="J3701" t="s">
        <v>16</v>
      </c>
      <c r="K3701" t="str">
        <f>VLOOKUP(C3701,CheckName!A:B,2,0)</f>
        <v>Edu</v>
      </c>
      <c r="L3701">
        <v>0</v>
      </c>
      <c r="M3701">
        <f t="shared" si="535"/>
        <v>24</v>
      </c>
      <c r="N3701" t="str">
        <f>TEXT(MTDRejection[[#This Row],[RejectionDate]],"dddd")</f>
        <v>Tuesday</v>
      </c>
    </row>
    <row r="3702" spans="1:14">
      <c r="A3702" t="s">
        <v>186</v>
      </c>
      <c r="B3702" t="s">
        <v>2745</v>
      </c>
      <c r="C3702" t="s">
        <v>54</v>
      </c>
      <c r="D3702" t="s">
        <v>26</v>
      </c>
      <c r="E3702" s="7">
        <v>45649</v>
      </c>
      <c r="F3702" t="s">
        <v>63</v>
      </c>
      <c r="G3702">
        <v>1</v>
      </c>
      <c r="H3702" t="s">
        <v>27</v>
      </c>
      <c r="I3702" t="s">
        <v>16</v>
      </c>
      <c r="J3702" t="s">
        <v>16</v>
      </c>
      <c r="K3702" t="str">
        <f>VLOOKUP(C3702,CheckName!A:B,2,0)</f>
        <v>Edu</v>
      </c>
      <c r="L3702">
        <v>0</v>
      </c>
      <c r="M3702">
        <f t="shared" ref="M3702:M3703" si="536">DAY(E3702)</f>
        <v>23</v>
      </c>
      <c r="N3702" t="str">
        <f>TEXT(MTDRejection[[#This Row],[RejectionDate]],"dddd")</f>
        <v>Monday</v>
      </c>
    </row>
    <row r="3703" spans="1:14">
      <c r="A3703" t="s">
        <v>84</v>
      </c>
      <c r="B3703" t="s">
        <v>5871</v>
      </c>
      <c r="C3703" t="s">
        <v>25</v>
      </c>
      <c r="D3703" t="s">
        <v>26</v>
      </c>
      <c r="E3703" s="7">
        <v>45649</v>
      </c>
      <c r="F3703" t="s">
        <v>66</v>
      </c>
      <c r="G3703">
        <v>1</v>
      </c>
      <c r="H3703" t="s">
        <v>27</v>
      </c>
      <c r="I3703" t="s">
        <v>16</v>
      </c>
      <c r="J3703" t="s">
        <v>16</v>
      </c>
      <c r="K3703" t="str">
        <f>VLOOKUP(C3703,CheckName!A:B,2,0)</f>
        <v>Add</v>
      </c>
      <c r="L3703">
        <v>1</v>
      </c>
      <c r="M3703">
        <f t="shared" si="536"/>
        <v>23</v>
      </c>
      <c r="N3703" t="str">
        <f>TEXT(MTDRejection[[#This Row],[RejectionDate]],"dddd")</f>
        <v>Monday</v>
      </c>
    </row>
    <row r="3704" spans="1:14">
      <c r="A3704" t="s">
        <v>45</v>
      </c>
      <c r="B3704" t="s">
        <v>5872</v>
      </c>
      <c r="C3704" t="s">
        <v>19</v>
      </c>
      <c r="D3704" t="s">
        <v>26</v>
      </c>
      <c r="E3704" s="7">
        <v>45649</v>
      </c>
      <c r="F3704" t="s">
        <v>66</v>
      </c>
      <c r="G3704">
        <v>1</v>
      </c>
      <c r="H3704" t="s">
        <v>27</v>
      </c>
      <c r="I3704" t="s">
        <v>16</v>
      </c>
      <c r="J3704" t="s">
        <v>16</v>
      </c>
      <c r="K3704" t="str">
        <f>VLOOKUP(C3704,CheckName!A:B,2,0)</f>
        <v>Add</v>
      </c>
      <c r="L3704">
        <v>1</v>
      </c>
      <c r="M3704">
        <f>DAY(E3704)</f>
        <v>23</v>
      </c>
      <c r="N3704" t="str">
        <f>TEXT(MTDRejection[[#This Row],[RejectionDate]],"dddd")</f>
        <v>Monday</v>
      </c>
    </row>
    <row r="3705" spans="1:14">
      <c r="A3705" t="s">
        <v>45</v>
      </c>
      <c r="B3705" t="s">
        <v>5873</v>
      </c>
      <c r="C3705" t="s">
        <v>25</v>
      </c>
      <c r="D3705" t="s">
        <v>26</v>
      </c>
      <c r="E3705" s="7">
        <v>45649</v>
      </c>
      <c r="F3705" t="s">
        <v>2330</v>
      </c>
      <c r="G3705">
        <v>1</v>
      </c>
      <c r="H3705" t="s">
        <v>27</v>
      </c>
      <c r="I3705" t="s">
        <v>16</v>
      </c>
      <c r="J3705" t="s">
        <v>16</v>
      </c>
      <c r="K3705" t="str">
        <f>VLOOKUP(C3705,CheckName!A:B,2,0)</f>
        <v>Add</v>
      </c>
      <c r="L3705">
        <v>0</v>
      </c>
      <c r="M3705">
        <f t="shared" ref="M3705:M3706" si="537">DAY(E3705)</f>
        <v>23</v>
      </c>
      <c r="N3705" t="str">
        <f>TEXT(MTDRejection[[#This Row],[RejectionDate]],"dddd")</f>
        <v>Monday</v>
      </c>
    </row>
    <row r="3706" spans="1:14">
      <c r="A3706" t="s">
        <v>245</v>
      </c>
      <c r="B3706" t="s">
        <v>5874</v>
      </c>
      <c r="C3706" t="s">
        <v>54</v>
      </c>
      <c r="D3706" t="s">
        <v>26</v>
      </c>
      <c r="E3706" s="7">
        <v>45649</v>
      </c>
      <c r="F3706" t="s">
        <v>2344</v>
      </c>
      <c r="G3706">
        <v>1</v>
      </c>
      <c r="H3706" t="s">
        <v>27</v>
      </c>
      <c r="I3706" t="s">
        <v>16</v>
      </c>
      <c r="J3706" t="s">
        <v>16</v>
      </c>
      <c r="K3706" t="str">
        <f>VLOOKUP(C3706,CheckName!A:B,2,0)</f>
        <v>Edu</v>
      </c>
      <c r="L3706">
        <v>0</v>
      </c>
      <c r="M3706">
        <f t="shared" si="537"/>
        <v>23</v>
      </c>
      <c r="N3706" t="str">
        <f>TEXT(MTDRejection[[#This Row],[RejectionDate]],"dddd")</f>
        <v>Monday</v>
      </c>
    </row>
    <row r="3707" spans="1:14">
      <c r="A3707" t="s">
        <v>1221</v>
      </c>
      <c r="B3707" t="s">
        <v>5795</v>
      </c>
      <c r="C3707" t="s">
        <v>112</v>
      </c>
      <c r="D3707" t="s">
        <v>26</v>
      </c>
      <c r="E3707" s="7">
        <v>45649</v>
      </c>
      <c r="F3707" t="s">
        <v>222</v>
      </c>
      <c r="G3707">
        <v>1</v>
      </c>
      <c r="H3707" t="s">
        <v>22</v>
      </c>
      <c r="I3707" t="s">
        <v>16</v>
      </c>
      <c r="J3707" t="s">
        <v>16</v>
      </c>
      <c r="K3707" t="str">
        <f>VLOOKUP(C3707,CheckName!A:B,2,0)</f>
        <v>Emp</v>
      </c>
      <c r="L3707">
        <v>1</v>
      </c>
      <c r="M3707">
        <f>DAY(E3707)</f>
        <v>23</v>
      </c>
      <c r="N3707" t="str">
        <f>TEXT(MTDRejection[[#This Row],[RejectionDate]],"dddd")</f>
        <v>Monday</v>
      </c>
    </row>
    <row r="3708" spans="1:14">
      <c r="A3708" t="s">
        <v>91</v>
      </c>
      <c r="B3708" t="s">
        <v>5875</v>
      </c>
      <c r="C3708" t="s">
        <v>12</v>
      </c>
      <c r="D3708" t="s">
        <v>26</v>
      </c>
      <c r="E3708" s="7">
        <v>45649</v>
      </c>
      <c r="F3708" t="s">
        <v>675</v>
      </c>
      <c r="G3708">
        <v>1</v>
      </c>
      <c r="H3708" t="s">
        <v>27</v>
      </c>
      <c r="I3708" t="s">
        <v>16</v>
      </c>
      <c r="J3708" t="s">
        <v>16</v>
      </c>
      <c r="K3708" t="str">
        <f>VLOOKUP(C3708,CheckName!A:B,2,0)</f>
        <v>Emp</v>
      </c>
      <c r="L3708">
        <v>0</v>
      </c>
      <c r="M3708">
        <f t="shared" ref="M3708:M3710" si="538">DAY(E3708)</f>
        <v>23</v>
      </c>
      <c r="N3708" t="str">
        <f>TEXT(MTDRejection[[#This Row],[RejectionDate]],"dddd")</f>
        <v>Monday</v>
      </c>
    </row>
    <row r="3709" spans="1:14">
      <c r="A3709" t="s">
        <v>192</v>
      </c>
      <c r="B3709" t="s">
        <v>5876</v>
      </c>
      <c r="C3709" t="s">
        <v>36</v>
      </c>
      <c r="D3709" t="s">
        <v>26</v>
      </c>
      <c r="E3709" s="7">
        <v>45649</v>
      </c>
      <c r="F3709" t="s">
        <v>675</v>
      </c>
      <c r="G3709">
        <v>1</v>
      </c>
      <c r="H3709" t="s">
        <v>22</v>
      </c>
      <c r="I3709" t="s">
        <v>16</v>
      </c>
      <c r="J3709" t="s">
        <v>16</v>
      </c>
      <c r="K3709" t="str">
        <f>VLOOKUP(C3709,CheckName!A:B,2,0)</f>
        <v>Emp</v>
      </c>
      <c r="L3709">
        <v>0</v>
      </c>
      <c r="M3709">
        <f t="shared" si="538"/>
        <v>23</v>
      </c>
      <c r="N3709" t="str">
        <f>TEXT(MTDRejection[[#This Row],[RejectionDate]],"dddd")</f>
        <v>Monday</v>
      </c>
    </row>
    <row r="3710" spans="1:14">
      <c r="A3710" t="s">
        <v>100</v>
      </c>
      <c r="B3710" t="s">
        <v>5877</v>
      </c>
      <c r="C3710" t="s">
        <v>359</v>
      </c>
      <c r="D3710" t="s">
        <v>38</v>
      </c>
      <c r="E3710" s="7">
        <v>45649</v>
      </c>
      <c r="F3710" t="s">
        <v>39</v>
      </c>
      <c r="G3710">
        <v>1</v>
      </c>
      <c r="H3710" t="s">
        <v>130</v>
      </c>
      <c r="I3710" t="s">
        <v>16</v>
      </c>
      <c r="J3710" t="s">
        <v>16</v>
      </c>
      <c r="K3710" t="str">
        <f>VLOOKUP(C3710,CheckName!A:B,2,0)</f>
        <v>Emp</v>
      </c>
      <c r="L3710">
        <v>0</v>
      </c>
      <c r="M3710">
        <f t="shared" si="538"/>
        <v>23</v>
      </c>
      <c r="N3710" t="str">
        <f>TEXT(MTDRejection[[#This Row],[RejectionDate]],"dddd")</f>
        <v>Monday</v>
      </c>
    </row>
    <row r="3711" spans="1:14">
      <c r="A3711" t="s">
        <v>1874</v>
      </c>
      <c r="B3711" t="s">
        <v>5878</v>
      </c>
      <c r="C3711" t="s">
        <v>19</v>
      </c>
      <c r="D3711" t="s">
        <v>20</v>
      </c>
      <c r="E3711" s="7">
        <v>45649</v>
      </c>
      <c r="F3711" t="s">
        <v>273</v>
      </c>
      <c r="G3711">
        <v>1</v>
      </c>
      <c r="H3711" t="s">
        <v>22</v>
      </c>
      <c r="I3711" t="s">
        <v>16</v>
      </c>
      <c r="J3711" t="s">
        <v>16</v>
      </c>
      <c r="K3711" t="str">
        <f>VLOOKUP(C3711,CheckName!A:B,2,0)</f>
        <v>Add</v>
      </c>
      <c r="L3711">
        <v>1</v>
      </c>
      <c r="M3711">
        <f>DAY(E3711)</f>
        <v>23</v>
      </c>
      <c r="N3711" t="str">
        <f>TEXT(MTDRejection[[#This Row],[RejectionDate]],"dddd")</f>
        <v>Monday</v>
      </c>
    </row>
    <row r="3712" spans="1:14">
      <c r="A3712" t="s">
        <v>360</v>
      </c>
      <c r="B3712" t="s">
        <v>5764</v>
      </c>
      <c r="C3712" t="s">
        <v>36</v>
      </c>
      <c r="D3712" t="s">
        <v>26</v>
      </c>
      <c r="E3712" s="7">
        <v>45649</v>
      </c>
      <c r="F3712" t="s">
        <v>325</v>
      </c>
      <c r="G3712">
        <v>1</v>
      </c>
      <c r="H3712" t="s">
        <v>130</v>
      </c>
      <c r="I3712" t="s">
        <v>16</v>
      </c>
      <c r="J3712" t="s">
        <v>16</v>
      </c>
      <c r="K3712" t="str">
        <f>VLOOKUP(C3712,CheckName!A:B,2,0)</f>
        <v>Emp</v>
      </c>
      <c r="L3712">
        <v>0</v>
      </c>
      <c r="M3712">
        <f t="shared" ref="M3712:M3713" si="539">DAY(E3712)</f>
        <v>23</v>
      </c>
      <c r="N3712" t="str">
        <f>TEXT(MTDRejection[[#This Row],[RejectionDate]],"dddd")</f>
        <v>Monday</v>
      </c>
    </row>
    <row r="3713" spans="1:14">
      <c r="A3713" t="s">
        <v>84</v>
      </c>
      <c r="B3713" t="s">
        <v>5879</v>
      </c>
      <c r="C3713" t="s">
        <v>36</v>
      </c>
      <c r="D3713" t="s">
        <v>13</v>
      </c>
      <c r="E3713" s="7">
        <v>45649</v>
      </c>
      <c r="F3713" t="s">
        <v>706</v>
      </c>
      <c r="G3713">
        <v>1</v>
      </c>
      <c r="H3713" t="s">
        <v>15</v>
      </c>
      <c r="I3713" t="s">
        <v>16</v>
      </c>
      <c r="J3713" t="s">
        <v>16</v>
      </c>
      <c r="K3713" t="str">
        <f>VLOOKUP(C3713,CheckName!A:B,2,0)</f>
        <v>Emp</v>
      </c>
      <c r="L3713">
        <v>0</v>
      </c>
      <c r="M3713">
        <f t="shared" si="539"/>
        <v>23</v>
      </c>
      <c r="N3713" t="str">
        <f>TEXT(MTDRejection[[#This Row],[RejectionDate]],"dddd")</f>
        <v>Monday</v>
      </c>
    </row>
    <row r="3714" spans="1:14">
      <c r="A3714" t="s">
        <v>912</v>
      </c>
      <c r="B3714" t="s">
        <v>5880</v>
      </c>
      <c r="C3714" t="s">
        <v>125</v>
      </c>
      <c r="D3714" t="s">
        <v>26</v>
      </c>
      <c r="E3714" s="7">
        <v>45649</v>
      </c>
      <c r="F3714" t="s">
        <v>80</v>
      </c>
      <c r="G3714">
        <v>1</v>
      </c>
      <c r="H3714" t="s">
        <v>27</v>
      </c>
      <c r="I3714" t="s">
        <v>16</v>
      </c>
      <c r="J3714" t="s">
        <v>16</v>
      </c>
      <c r="K3714" t="str">
        <f>VLOOKUP(C3714,CheckName!A:B,2,0)</f>
        <v>Emp</v>
      </c>
      <c r="L3714">
        <v>1</v>
      </c>
      <c r="M3714">
        <f t="shared" ref="M3714:M3722" si="540">DAY(E3714)</f>
        <v>23</v>
      </c>
      <c r="N3714" t="str">
        <f>TEXT(MTDRejection[[#This Row],[RejectionDate]],"dddd")</f>
        <v>Monday</v>
      </c>
    </row>
    <row r="3715" spans="1:14">
      <c r="A3715" t="s">
        <v>100</v>
      </c>
      <c r="B3715" t="s">
        <v>2316</v>
      </c>
      <c r="C3715" t="s">
        <v>775</v>
      </c>
      <c r="D3715" t="s">
        <v>26</v>
      </c>
      <c r="E3715" s="7">
        <v>45649</v>
      </c>
      <c r="F3715" t="s">
        <v>80</v>
      </c>
      <c r="G3715">
        <v>1</v>
      </c>
      <c r="H3715" t="s">
        <v>27</v>
      </c>
      <c r="I3715" t="s">
        <v>16</v>
      </c>
      <c r="J3715" t="s">
        <v>16</v>
      </c>
      <c r="K3715" t="str">
        <f>VLOOKUP(C3715,CheckName!A:B,2,0)</f>
        <v>Emp</v>
      </c>
      <c r="L3715">
        <v>1</v>
      </c>
      <c r="M3715">
        <f t="shared" si="540"/>
        <v>23</v>
      </c>
      <c r="N3715" t="str">
        <f>TEXT(MTDRejection[[#This Row],[RejectionDate]],"dddd")</f>
        <v>Monday</v>
      </c>
    </row>
    <row r="3716" spans="1:14">
      <c r="A3716" t="s">
        <v>84</v>
      </c>
      <c r="B3716" t="s">
        <v>5881</v>
      </c>
      <c r="C3716" t="s">
        <v>36</v>
      </c>
      <c r="D3716" t="s">
        <v>13</v>
      </c>
      <c r="E3716" s="7">
        <v>45649</v>
      </c>
      <c r="F3716" t="s">
        <v>1861</v>
      </c>
      <c r="G3716">
        <v>1</v>
      </c>
      <c r="H3716" t="s">
        <v>505</v>
      </c>
      <c r="I3716" t="s">
        <v>16</v>
      </c>
      <c r="J3716" t="s">
        <v>16</v>
      </c>
      <c r="K3716" t="str">
        <f>VLOOKUP(C3716,CheckName!A:B,2,0)</f>
        <v>Emp</v>
      </c>
      <c r="L3716">
        <v>0</v>
      </c>
      <c r="M3716">
        <f t="shared" si="540"/>
        <v>23</v>
      </c>
      <c r="N3716" t="str">
        <f>TEXT(MTDRejection[[#This Row],[RejectionDate]],"dddd")</f>
        <v>Monday</v>
      </c>
    </row>
    <row r="3717" spans="1:14">
      <c r="A3717" t="s">
        <v>84</v>
      </c>
      <c r="B3717" t="s">
        <v>5882</v>
      </c>
      <c r="C3717" t="s">
        <v>1347</v>
      </c>
      <c r="D3717" t="s">
        <v>13</v>
      </c>
      <c r="E3717" s="7">
        <v>45649</v>
      </c>
      <c r="F3717" t="s">
        <v>1861</v>
      </c>
      <c r="G3717">
        <v>1</v>
      </c>
      <c r="H3717" t="s">
        <v>15</v>
      </c>
      <c r="I3717" t="s">
        <v>16</v>
      </c>
      <c r="J3717" t="s">
        <v>16</v>
      </c>
      <c r="K3717" t="str">
        <f>VLOOKUP(C3717,CheckName!A:B,2,0)</f>
        <v>CRC</v>
      </c>
      <c r="L3717">
        <v>0</v>
      </c>
      <c r="M3717">
        <f t="shared" si="540"/>
        <v>23</v>
      </c>
      <c r="N3717" t="str">
        <f>TEXT(MTDRejection[[#This Row],[RejectionDate]],"dddd")</f>
        <v>Monday</v>
      </c>
    </row>
    <row r="3718" spans="1:14">
      <c r="A3718" t="s">
        <v>100</v>
      </c>
      <c r="B3718" t="s">
        <v>5883</v>
      </c>
      <c r="C3718" t="s">
        <v>102</v>
      </c>
      <c r="D3718" t="s">
        <v>13</v>
      </c>
      <c r="E3718" s="7">
        <v>45649</v>
      </c>
      <c r="F3718" t="s">
        <v>1861</v>
      </c>
      <c r="G3718">
        <v>1</v>
      </c>
      <c r="H3718" t="s">
        <v>15</v>
      </c>
      <c r="I3718" t="s">
        <v>16</v>
      </c>
      <c r="J3718" t="s">
        <v>16</v>
      </c>
      <c r="K3718" t="str">
        <f>VLOOKUP(C3718,CheckName!A:B,2,0)</f>
        <v>Edu</v>
      </c>
      <c r="L3718">
        <v>0</v>
      </c>
      <c r="M3718">
        <f t="shared" si="540"/>
        <v>23</v>
      </c>
      <c r="N3718" t="str">
        <f>TEXT(MTDRejection[[#This Row],[RejectionDate]],"dddd")</f>
        <v>Monday</v>
      </c>
    </row>
    <row r="3719" spans="1:14">
      <c r="A3719" t="s">
        <v>100</v>
      </c>
      <c r="B3719" t="s">
        <v>5884</v>
      </c>
      <c r="C3719" t="s">
        <v>102</v>
      </c>
      <c r="D3719" t="s">
        <v>13</v>
      </c>
      <c r="E3719" s="7">
        <v>45649</v>
      </c>
      <c r="F3719" t="s">
        <v>1861</v>
      </c>
      <c r="G3719">
        <v>1</v>
      </c>
      <c r="H3719" t="s">
        <v>15</v>
      </c>
      <c r="I3719" t="s">
        <v>16</v>
      </c>
      <c r="J3719" t="s">
        <v>16</v>
      </c>
      <c r="K3719" t="str">
        <f>VLOOKUP(C3719,CheckName!A:B,2,0)</f>
        <v>Edu</v>
      </c>
      <c r="L3719">
        <v>0</v>
      </c>
      <c r="M3719">
        <f t="shared" si="540"/>
        <v>23</v>
      </c>
      <c r="N3719" t="str">
        <f>TEXT(MTDRejection[[#This Row],[RejectionDate]],"dddd")</f>
        <v>Monday</v>
      </c>
    </row>
    <row r="3720" spans="1:14">
      <c r="A3720" t="s">
        <v>469</v>
      </c>
      <c r="B3720" t="s">
        <v>5885</v>
      </c>
      <c r="C3720" t="s">
        <v>36</v>
      </c>
      <c r="D3720" t="s">
        <v>26</v>
      </c>
      <c r="E3720" s="7">
        <v>45649</v>
      </c>
      <c r="F3720" t="s">
        <v>608</v>
      </c>
      <c r="G3720">
        <v>1</v>
      </c>
      <c r="H3720" t="s">
        <v>27</v>
      </c>
      <c r="I3720" t="s">
        <v>16</v>
      </c>
      <c r="J3720" t="s">
        <v>16</v>
      </c>
      <c r="K3720" t="str">
        <f>VLOOKUP(C3720,CheckName!A:B,2,0)</f>
        <v>Emp</v>
      </c>
      <c r="L3720">
        <v>0</v>
      </c>
      <c r="M3720">
        <f t="shared" si="540"/>
        <v>23</v>
      </c>
      <c r="N3720" t="str">
        <f>TEXT(MTDRejection[[#This Row],[RejectionDate]],"dddd")</f>
        <v>Monday</v>
      </c>
    </row>
    <row r="3721" spans="1:14">
      <c r="A3721" t="s">
        <v>644</v>
      </c>
      <c r="B3721" t="s">
        <v>5886</v>
      </c>
      <c r="C3721" t="s">
        <v>12</v>
      </c>
      <c r="D3721" t="s">
        <v>26</v>
      </c>
      <c r="E3721" s="7">
        <v>45649</v>
      </c>
      <c r="F3721" t="s">
        <v>608</v>
      </c>
      <c r="G3721">
        <v>1</v>
      </c>
      <c r="H3721" t="s">
        <v>27</v>
      </c>
      <c r="I3721" t="s">
        <v>16</v>
      </c>
      <c r="J3721" t="s">
        <v>16</v>
      </c>
      <c r="K3721" t="str">
        <f>VLOOKUP(C3721,CheckName!A:B,2,0)</f>
        <v>Emp</v>
      </c>
      <c r="L3721">
        <v>0</v>
      </c>
      <c r="M3721">
        <f t="shared" si="540"/>
        <v>23</v>
      </c>
      <c r="N3721" t="str">
        <f>TEXT(MTDRejection[[#This Row],[RejectionDate]],"dddd")</f>
        <v>Monday</v>
      </c>
    </row>
    <row r="3722" spans="1:14">
      <c r="A3722" t="s">
        <v>671</v>
      </c>
      <c r="B3722" t="s">
        <v>5887</v>
      </c>
      <c r="C3722" t="s">
        <v>12</v>
      </c>
      <c r="D3722" t="s">
        <v>26</v>
      </c>
      <c r="E3722" s="7">
        <v>45649</v>
      </c>
      <c r="F3722" t="s">
        <v>182</v>
      </c>
      <c r="G3722">
        <v>1</v>
      </c>
      <c r="H3722" t="s">
        <v>95</v>
      </c>
      <c r="I3722" t="s">
        <v>16</v>
      </c>
      <c r="J3722" t="s">
        <v>16</v>
      </c>
      <c r="K3722" t="str">
        <f>VLOOKUP(C3722,CheckName!A:B,2,0)</f>
        <v>Emp</v>
      </c>
      <c r="L3722">
        <v>0</v>
      </c>
      <c r="M3722">
        <f t="shared" si="540"/>
        <v>23</v>
      </c>
      <c r="N3722" t="str">
        <f>TEXT(MTDRejection[[#This Row],[RejectionDate]],"dddd")</f>
        <v>Monday</v>
      </c>
    </row>
    <row r="3723" spans="1:14">
      <c r="A3723" t="s">
        <v>845</v>
      </c>
      <c r="B3723" t="s">
        <v>2746</v>
      </c>
      <c r="C3723" t="s">
        <v>112</v>
      </c>
      <c r="D3723" t="s">
        <v>26</v>
      </c>
      <c r="E3723" s="7">
        <v>45649</v>
      </c>
      <c r="F3723" t="s">
        <v>83</v>
      </c>
      <c r="G3723">
        <v>1</v>
      </c>
      <c r="H3723" t="s">
        <v>27</v>
      </c>
      <c r="I3723" t="s">
        <v>16</v>
      </c>
      <c r="J3723" t="s">
        <v>16</v>
      </c>
      <c r="K3723" t="str">
        <f>VLOOKUP(C3723,CheckName!A:B,2,0)</f>
        <v>Emp</v>
      </c>
      <c r="L3723">
        <v>0</v>
      </c>
      <c r="M3723">
        <f>DAY(E3723)</f>
        <v>23</v>
      </c>
      <c r="N3723" t="str">
        <f>TEXT(MTDRejection[[#This Row],[RejectionDate]],"dddd")</f>
        <v>Monday</v>
      </c>
    </row>
    <row r="3724" spans="1:14">
      <c r="A3724" t="s">
        <v>45</v>
      </c>
      <c r="B3724" t="s">
        <v>5888</v>
      </c>
      <c r="C3724" t="s">
        <v>12</v>
      </c>
      <c r="D3724" t="s">
        <v>26</v>
      </c>
      <c r="E3724" s="7">
        <v>45649</v>
      </c>
      <c r="F3724" t="s">
        <v>179</v>
      </c>
      <c r="G3724">
        <v>1</v>
      </c>
      <c r="H3724" t="s">
        <v>27</v>
      </c>
      <c r="I3724" t="s">
        <v>16</v>
      </c>
      <c r="J3724" t="s">
        <v>16</v>
      </c>
      <c r="K3724" t="str">
        <f>VLOOKUP(C3724,CheckName!A:B,2,0)</f>
        <v>Emp</v>
      </c>
      <c r="L3724">
        <v>1</v>
      </c>
      <c r="M3724">
        <f t="shared" ref="M3724:M3728" si="541">DAY(E3724)</f>
        <v>23</v>
      </c>
      <c r="N3724" t="str">
        <f>TEXT(MTDRejection[[#This Row],[RejectionDate]],"dddd")</f>
        <v>Monday</v>
      </c>
    </row>
    <row r="3725" spans="1:14">
      <c r="A3725" t="s">
        <v>84</v>
      </c>
      <c r="B3725" t="s">
        <v>2747</v>
      </c>
      <c r="C3725" t="s">
        <v>19</v>
      </c>
      <c r="D3725" t="s">
        <v>13</v>
      </c>
      <c r="E3725" s="7">
        <v>45649</v>
      </c>
      <c r="F3725" t="s">
        <v>2345</v>
      </c>
      <c r="G3725">
        <v>1</v>
      </c>
      <c r="H3725" t="s">
        <v>15</v>
      </c>
      <c r="I3725" t="s">
        <v>16</v>
      </c>
      <c r="J3725" t="s">
        <v>16</v>
      </c>
      <c r="K3725" t="str">
        <f>VLOOKUP(C3725,CheckName!A:B,2,0)</f>
        <v>Add</v>
      </c>
      <c r="L3725">
        <v>0</v>
      </c>
      <c r="M3725">
        <f t="shared" si="541"/>
        <v>23</v>
      </c>
      <c r="N3725" t="str">
        <f>TEXT(MTDRejection[[#This Row],[RejectionDate]],"dddd")</f>
        <v>Monday</v>
      </c>
    </row>
    <row r="3726" spans="1:14">
      <c r="A3726" t="s">
        <v>84</v>
      </c>
      <c r="B3726" t="s">
        <v>5889</v>
      </c>
      <c r="C3726" t="s">
        <v>49</v>
      </c>
      <c r="D3726" t="s">
        <v>13</v>
      </c>
      <c r="E3726" s="7">
        <v>45649</v>
      </c>
      <c r="F3726" t="s">
        <v>2345</v>
      </c>
      <c r="G3726">
        <v>1</v>
      </c>
      <c r="H3726" t="s">
        <v>15</v>
      </c>
      <c r="I3726" t="s">
        <v>16</v>
      </c>
      <c r="J3726" t="s">
        <v>16</v>
      </c>
      <c r="K3726" t="str">
        <f>VLOOKUP(C3726,CheckName!A:B,2,0)</f>
        <v>CRC</v>
      </c>
      <c r="L3726">
        <v>0</v>
      </c>
      <c r="M3726">
        <f t="shared" si="541"/>
        <v>23</v>
      </c>
      <c r="N3726" t="str">
        <f>TEXT(MTDRejection[[#This Row],[RejectionDate]],"dddd")</f>
        <v>Monday</v>
      </c>
    </row>
    <row r="3727" spans="1:14">
      <c r="A3727" t="s">
        <v>419</v>
      </c>
      <c r="B3727" t="s">
        <v>5890</v>
      </c>
      <c r="C3727" t="s">
        <v>125</v>
      </c>
      <c r="D3727" t="s">
        <v>13</v>
      </c>
      <c r="E3727" s="7">
        <v>45649</v>
      </c>
      <c r="F3727" t="s">
        <v>90</v>
      </c>
      <c r="G3727">
        <v>1</v>
      </c>
      <c r="H3727" t="s">
        <v>15</v>
      </c>
      <c r="I3727" t="s">
        <v>16</v>
      </c>
      <c r="J3727" t="s">
        <v>16</v>
      </c>
      <c r="K3727" t="str">
        <f>VLOOKUP(C3727,CheckName!A:B,2,0)</f>
        <v>Emp</v>
      </c>
      <c r="L3727">
        <v>0</v>
      </c>
      <c r="M3727">
        <f t="shared" si="541"/>
        <v>23</v>
      </c>
      <c r="N3727" t="str">
        <f>TEXT(MTDRejection[[#This Row],[RejectionDate]],"dddd")</f>
        <v>Monday</v>
      </c>
    </row>
    <row r="3728" spans="1:14">
      <c r="A3728" t="s">
        <v>306</v>
      </c>
      <c r="B3728" t="s">
        <v>5891</v>
      </c>
      <c r="C3728" t="s">
        <v>71</v>
      </c>
      <c r="D3728" t="s">
        <v>13</v>
      </c>
      <c r="E3728" s="7">
        <v>45649</v>
      </c>
      <c r="F3728" t="s">
        <v>90</v>
      </c>
      <c r="G3728">
        <v>1</v>
      </c>
      <c r="H3728" t="s">
        <v>15</v>
      </c>
      <c r="I3728" t="s">
        <v>16</v>
      </c>
      <c r="J3728" t="s">
        <v>16</v>
      </c>
      <c r="K3728" t="str">
        <f>VLOOKUP(C3728,CheckName!A:B,2,0)</f>
        <v>CRC</v>
      </c>
      <c r="L3728">
        <v>0</v>
      </c>
      <c r="M3728">
        <f t="shared" si="541"/>
        <v>23</v>
      </c>
      <c r="N3728" t="str">
        <f>TEXT(MTDRejection[[#This Row],[RejectionDate]],"dddd")</f>
        <v>Monday</v>
      </c>
    </row>
    <row r="3729" spans="1:14">
      <c r="A3729" t="s">
        <v>216</v>
      </c>
      <c r="B3729" t="s">
        <v>5892</v>
      </c>
      <c r="C3729" t="s">
        <v>49</v>
      </c>
      <c r="D3729" t="s">
        <v>13</v>
      </c>
      <c r="E3729" s="7">
        <v>45649</v>
      </c>
      <c r="F3729" t="s">
        <v>844</v>
      </c>
      <c r="G3729">
        <v>1</v>
      </c>
      <c r="H3729" t="s">
        <v>15</v>
      </c>
      <c r="I3729" t="s">
        <v>16</v>
      </c>
      <c r="J3729" t="s">
        <v>16</v>
      </c>
      <c r="K3729" t="str">
        <f>VLOOKUP(C3729,CheckName!A:B,2,0)</f>
        <v>CRC</v>
      </c>
      <c r="L3729">
        <v>0</v>
      </c>
      <c r="M3729">
        <f>DAY(E3729)</f>
        <v>23</v>
      </c>
      <c r="N3729" t="str">
        <f>TEXT(MTDRejection[[#This Row],[RejectionDate]],"dddd")</f>
        <v>Monday</v>
      </c>
    </row>
    <row r="3730" spans="1:14">
      <c r="A3730" t="s">
        <v>1455</v>
      </c>
      <c r="B3730" t="s">
        <v>5893</v>
      </c>
      <c r="C3730" t="s">
        <v>12</v>
      </c>
      <c r="D3730" t="s">
        <v>26</v>
      </c>
      <c r="E3730" s="7">
        <v>45649</v>
      </c>
      <c r="F3730" t="s">
        <v>175</v>
      </c>
      <c r="G3730">
        <v>1</v>
      </c>
      <c r="H3730" t="s">
        <v>27</v>
      </c>
      <c r="I3730" t="s">
        <v>16</v>
      </c>
      <c r="J3730" t="s">
        <v>16</v>
      </c>
      <c r="K3730" t="str">
        <f>VLOOKUP(C3730,CheckName!A:B,2,0)</f>
        <v>Emp</v>
      </c>
      <c r="L3730">
        <v>1</v>
      </c>
      <c r="M3730">
        <f t="shared" ref="M3730:M3732" si="542">DAY(E3730)</f>
        <v>23</v>
      </c>
      <c r="N3730" t="str">
        <f>TEXT(MTDRejection[[#This Row],[RejectionDate]],"dddd")</f>
        <v>Monday</v>
      </c>
    </row>
    <row r="3731" spans="1:14">
      <c r="A3731" t="s">
        <v>1835</v>
      </c>
      <c r="B3731" t="s">
        <v>2749</v>
      </c>
      <c r="C3731" t="s">
        <v>125</v>
      </c>
      <c r="D3731" t="s">
        <v>26</v>
      </c>
      <c r="E3731" s="7">
        <v>45649</v>
      </c>
      <c r="F3731" t="s">
        <v>721</v>
      </c>
      <c r="G3731">
        <v>1</v>
      </c>
      <c r="H3731" t="s">
        <v>27</v>
      </c>
      <c r="I3731" t="s">
        <v>16</v>
      </c>
      <c r="J3731" t="s">
        <v>16</v>
      </c>
      <c r="K3731" t="str">
        <f>VLOOKUP(C3731,CheckName!A:B,2,0)</f>
        <v>Emp</v>
      </c>
      <c r="L3731">
        <v>0</v>
      </c>
      <c r="M3731">
        <f t="shared" si="542"/>
        <v>23</v>
      </c>
      <c r="N3731" t="str">
        <f>TEXT(MTDRejection[[#This Row],[RejectionDate]],"dddd")</f>
        <v>Monday</v>
      </c>
    </row>
    <row r="3732" spans="1:14">
      <c r="A3732" t="s">
        <v>661</v>
      </c>
      <c r="B3732" t="s">
        <v>5894</v>
      </c>
      <c r="C3732" t="s">
        <v>12</v>
      </c>
      <c r="D3732" t="s">
        <v>26</v>
      </c>
      <c r="E3732" s="7">
        <v>45649</v>
      </c>
      <c r="F3732" t="s">
        <v>721</v>
      </c>
      <c r="G3732">
        <v>1</v>
      </c>
      <c r="H3732" t="s">
        <v>27</v>
      </c>
      <c r="I3732" t="s">
        <v>16</v>
      </c>
      <c r="J3732" t="s">
        <v>16</v>
      </c>
      <c r="K3732" t="str">
        <f>VLOOKUP(C3732,CheckName!A:B,2,0)</f>
        <v>Emp</v>
      </c>
      <c r="L3732">
        <v>0</v>
      </c>
      <c r="M3732">
        <f t="shared" si="542"/>
        <v>23</v>
      </c>
      <c r="N3732" t="str">
        <f>TEXT(MTDRejection[[#This Row],[RejectionDate]],"dddd")</f>
        <v>Monday</v>
      </c>
    </row>
    <row r="3733" spans="1:14">
      <c r="A3733" t="s">
        <v>176</v>
      </c>
      <c r="B3733" t="s">
        <v>5895</v>
      </c>
      <c r="C3733" t="s">
        <v>12</v>
      </c>
      <c r="D3733" t="s">
        <v>26</v>
      </c>
      <c r="E3733" s="7">
        <v>45649</v>
      </c>
      <c r="F3733" t="s">
        <v>311</v>
      </c>
      <c r="G3733">
        <v>1</v>
      </c>
      <c r="H3733" t="s">
        <v>27</v>
      </c>
      <c r="I3733" t="s">
        <v>16</v>
      </c>
      <c r="J3733" t="s">
        <v>16</v>
      </c>
      <c r="K3733" t="str">
        <f>VLOOKUP(C3733,CheckName!A:B,2,0)</f>
        <v>Emp</v>
      </c>
      <c r="L3733">
        <v>0</v>
      </c>
      <c r="M3733">
        <f>DAY(E3733)</f>
        <v>23</v>
      </c>
      <c r="N3733" t="str">
        <f>TEXT(MTDRejection[[#This Row],[RejectionDate]],"dddd")</f>
        <v>Monday</v>
      </c>
    </row>
    <row r="3734" spans="1:14">
      <c r="A3734" t="s">
        <v>250</v>
      </c>
      <c r="B3734" t="s">
        <v>5896</v>
      </c>
      <c r="C3734" t="s">
        <v>54</v>
      </c>
      <c r="D3734" t="s">
        <v>26</v>
      </c>
      <c r="E3734" s="7">
        <v>45649</v>
      </c>
      <c r="F3734" t="s">
        <v>94</v>
      </c>
      <c r="G3734">
        <v>1</v>
      </c>
      <c r="H3734" t="s">
        <v>27</v>
      </c>
      <c r="I3734" t="s">
        <v>16</v>
      </c>
      <c r="J3734" t="s">
        <v>16</v>
      </c>
      <c r="K3734" t="str">
        <f>VLOOKUP(C3734,CheckName!A:B,2,0)</f>
        <v>Edu</v>
      </c>
      <c r="L3734">
        <v>1</v>
      </c>
      <c r="M3734">
        <f>DAY(E3734)</f>
        <v>23</v>
      </c>
      <c r="N3734" t="str">
        <f>TEXT(MTDRejection[[#This Row],[RejectionDate]],"dddd")</f>
        <v>Monday</v>
      </c>
    </row>
    <row r="3735" spans="1:14">
      <c r="A3735" t="s">
        <v>250</v>
      </c>
      <c r="B3735" t="s">
        <v>5897</v>
      </c>
      <c r="C3735" t="s">
        <v>54</v>
      </c>
      <c r="D3735" t="s">
        <v>26</v>
      </c>
      <c r="E3735" s="7">
        <v>45649</v>
      </c>
      <c r="F3735" t="s">
        <v>538</v>
      </c>
      <c r="G3735">
        <v>1</v>
      </c>
      <c r="H3735" t="s">
        <v>27</v>
      </c>
      <c r="I3735" t="s">
        <v>16</v>
      </c>
      <c r="J3735" t="s">
        <v>16</v>
      </c>
      <c r="K3735" t="str">
        <f>VLOOKUP(C3735,CheckName!A:B,2,0)</f>
        <v>Edu</v>
      </c>
      <c r="L3735">
        <v>1</v>
      </c>
      <c r="M3735">
        <f t="shared" ref="M3735:M3738" si="543">DAY(E3735)</f>
        <v>23</v>
      </c>
      <c r="N3735" t="str">
        <f>TEXT(MTDRejection[[#This Row],[RejectionDate]],"dddd")</f>
        <v>Monday</v>
      </c>
    </row>
    <row r="3736" spans="1:14">
      <c r="A3736" t="s">
        <v>1814</v>
      </c>
      <c r="B3736" t="s">
        <v>5898</v>
      </c>
      <c r="C3736" t="s">
        <v>220</v>
      </c>
      <c r="D3736" t="s">
        <v>26</v>
      </c>
      <c r="E3736" s="7">
        <v>45649</v>
      </c>
      <c r="F3736" t="s">
        <v>330</v>
      </c>
      <c r="G3736">
        <v>1</v>
      </c>
      <c r="H3736" t="s">
        <v>27</v>
      </c>
      <c r="I3736" t="s">
        <v>16</v>
      </c>
      <c r="J3736" t="s">
        <v>16</v>
      </c>
      <c r="K3736" t="str">
        <f>VLOOKUP(C3736,CheckName!A:B,2,0)</f>
        <v>Ref</v>
      </c>
      <c r="L3736">
        <v>0</v>
      </c>
      <c r="M3736">
        <f t="shared" si="543"/>
        <v>23</v>
      </c>
      <c r="N3736" t="str">
        <f>TEXT(MTDRejection[[#This Row],[RejectionDate]],"dddd")</f>
        <v>Monday</v>
      </c>
    </row>
    <row r="3737" spans="1:14">
      <c r="A3737" t="s">
        <v>1828</v>
      </c>
      <c r="B3737" t="s">
        <v>5899</v>
      </c>
      <c r="C3737" t="s">
        <v>36</v>
      </c>
      <c r="D3737" t="s">
        <v>13</v>
      </c>
      <c r="E3737" s="7">
        <v>45649</v>
      </c>
      <c r="F3737" t="s">
        <v>579</v>
      </c>
      <c r="G3737">
        <v>1</v>
      </c>
      <c r="H3737" t="s">
        <v>30</v>
      </c>
      <c r="I3737" t="s">
        <v>16</v>
      </c>
      <c r="J3737" t="s">
        <v>16</v>
      </c>
      <c r="K3737" t="str">
        <f>VLOOKUP(C3737,CheckName!A:B,2,0)</f>
        <v>Emp</v>
      </c>
      <c r="L3737">
        <v>0</v>
      </c>
      <c r="M3737">
        <f t="shared" si="543"/>
        <v>23</v>
      </c>
      <c r="N3737" t="str">
        <f>TEXT(MTDRejection[[#This Row],[RejectionDate]],"dddd")</f>
        <v>Monday</v>
      </c>
    </row>
    <row r="3738" spans="1:14">
      <c r="A3738" t="s">
        <v>786</v>
      </c>
      <c r="B3738" t="s">
        <v>5900</v>
      </c>
      <c r="C3738" t="s">
        <v>36</v>
      </c>
      <c r="D3738" t="s">
        <v>26</v>
      </c>
      <c r="E3738" s="7">
        <v>45649</v>
      </c>
      <c r="F3738" t="s">
        <v>159</v>
      </c>
      <c r="G3738">
        <v>1</v>
      </c>
      <c r="H3738" t="s">
        <v>27</v>
      </c>
      <c r="I3738" t="s">
        <v>16</v>
      </c>
      <c r="J3738" t="s">
        <v>16</v>
      </c>
      <c r="K3738" t="str">
        <f>VLOOKUP(C3738,CheckName!A:B,2,0)</f>
        <v>Emp</v>
      </c>
      <c r="L3738">
        <v>0</v>
      </c>
      <c r="M3738">
        <f t="shared" si="543"/>
        <v>23</v>
      </c>
      <c r="N3738" t="str">
        <f>TEXT(MTDRejection[[#This Row],[RejectionDate]],"dddd")</f>
        <v>Monday</v>
      </c>
    </row>
    <row r="3739" spans="1:14">
      <c r="A3739" t="s">
        <v>1870</v>
      </c>
      <c r="B3739" t="s">
        <v>2750</v>
      </c>
      <c r="C3739" t="s">
        <v>106</v>
      </c>
      <c r="D3739" t="s">
        <v>26</v>
      </c>
      <c r="E3739" s="7">
        <v>45649</v>
      </c>
      <c r="F3739" t="s">
        <v>294</v>
      </c>
      <c r="G3739">
        <v>1</v>
      </c>
      <c r="H3739" t="s">
        <v>27</v>
      </c>
      <c r="I3739" t="s">
        <v>16</v>
      </c>
      <c r="J3739" t="s">
        <v>16</v>
      </c>
      <c r="K3739" t="str">
        <f>VLOOKUP(C3739,CheckName!A:B,2,0)</f>
        <v>Ref</v>
      </c>
      <c r="L3739">
        <v>1</v>
      </c>
      <c r="M3739">
        <f>DAY(E3739)</f>
        <v>23</v>
      </c>
      <c r="N3739" t="str">
        <f>TEXT(MTDRejection[[#This Row],[RejectionDate]],"dddd")</f>
        <v>Monday</v>
      </c>
    </row>
    <row r="3740" spans="1:14">
      <c r="A3740" t="s">
        <v>205</v>
      </c>
      <c r="B3740" t="s">
        <v>5901</v>
      </c>
      <c r="C3740" t="s">
        <v>54</v>
      </c>
      <c r="D3740" t="s">
        <v>13</v>
      </c>
      <c r="E3740" s="7">
        <v>45649</v>
      </c>
      <c r="F3740" t="s">
        <v>540</v>
      </c>
      <c r="G3740">
        <v>1</v>
      </c>
      <c r="H3740" t="s">
        <v>15</v>
      </c>
      <c r="I3740" t="s">
        <v>16</v>
      </c>
      <c r="J3740" t="s">
        <v>16</v>
      </c>
      <c r="K3740" t="str">
        <f>VLOOKUP(C3740,CheckName!A:B,2,0)</f>
        <v>Edu</v>
      </c>
      <c r="L3740">
        <v>0</v>
      </c>
      <c r="M3740">
        <f>DAY(E3740)</f>
        <v>23</v>
      </c>
      <c r="N3740" t="str">
        <f>TEXT(MTDRejection[[#This Row],[RejectionDate]],"dddd")</f>
        <v>Monday</v>
      </c>
    </row>
    <row r="3741" spans="1:14">
      <c r="A3741" t="s">
        <v>100</v>
      </c>
      <c r="B3741" t="s">
        <v>5902</v>
      </c>
      <c r="C3741" t="s">
        <v>102</v>
      </c>
      <c r="D3741" t="s">
        <v>26</v>
      </c>
      <c r="E3741" s="7">
        <v>45649</v>
      </c>
      <c r="F3741" t="s">
        <v>121</v>
      </c>
      <c r="G3741">
        <v>1</v>
      </c>
      <c r="H3741" t="s">
        <v>22</v>
      </c>
      <c r="I3741" t="s">
        <v>16</v>
      </c>
      <c r="J3741" t="s">
        <v>16</v>
      </c>
      <c r="K3741" t="str">
        <f>VLOOKUP(C3741,CheckName!A:B,2,0)</f>
        <v>Edu</v>
      </c>
      <c r="L3741">
        <v>0</v>
      </c>
      <c r="M3741">
        <f t="shared" ref="M3741:M3742" si="544">DAY(E3741)</f>
        <v>23</v>
      </c>
      <c r="N3741" t="str">
        <f>TEXT(MTDRejection[[#This Row],[RejectionDate]],"dddd")</f>
        <v>Monday</v>
      </c>
    </row>
    <row r="3742" spans="1:14">
      <c r="A3742" t="s">
        <v>100</v>
      </c>
      <c r="B3742" t="s">
        <v>2065</v>
      </c>
      <c r="C3742" t="s">
        <v>102</v>
      </c>
      <c r="D3742" t="s">
        <v>26</v>
      </c>
      <c r="E3742" s="7">
        <v>45649</v>
      </c>
      <c r="F3742" t="s">
        <v>121</v>
      </c>
      <c r="G3742">
        <v>1</v>
      </c>
      <c r="H3742" t="s">
        <v>27</v>
      </c>
      <c r="I3742" t="s">
        <v>16</v>
      </c>
      <c r="J3742" t="s">
        <v>16</v>
      </c>
      <c r="K3742" t="str">
        <f>VLOOKUP(C3742,CheckName!A:B,2,0)</f>
        <v>Edu</v>
      </c>
      <c r="L3742">
        <v>1</v>
      </c>
      <c r="M3742">
        <f t="shared" si="544"/>
        <v>23</v>
      </c>
      <c r="N3742" t="str">
        <f>TEXT(MTDRejection[[#This Row],[RejectionDate]],"dddd")</f>
        <v>Monday</v>
      </c>
    </row>
    <row r="3743" spans="1:14">
      <c r="A3743" t="s">
        <v>100</v>
      </c>
      <c r="B3743" t="s">
        <v>5903</v>
      </c>
      <c r="C3743" t="s">
        <v>235</v>
      </c>
      <c r="D3743" t="s">
        <v>38</v>
      </c>
      <c r="E3743" s="7">
        <v>45649</v>
      </c>
      <c r="F3743" t="s">
        <v>118</v>
      </c>
      <c r="G3743">
        <v>1</v>
      </c>
      <c r="H3743" t="s">
        <v>42</v>
      </c>
      <c r="I3743" t="s">
        <v>16</v>
      </c>
      <c r="J3743" t="s">
        <v>16</v>
      </c>
      <c r="K3743" t="str">
        <f>VLOOKUP(C3743,CheckName!A:B,2,0)</f>
        <v>Special Check</v>
      </c>
      <c r="L3743">
        <v>0</v>
      </c>
      <c r="M3743">
        <f t="shared" ref="M3743:M3745" si="545">DAY(E3743)</f>
        <v>23</v>
      </c>
      <c r="N3743" t="str">
        <f>TEXT(MTDRejection[[#This Row],[RejectionDate]],"dddd")</f>
        <v>Monday</v>
      </c>
    </row>
    <row r="3744" spans="1:14">
      <c r="A3744" t="s">
        <v>100</v>
      </c>
      <c r="B3744" t="s">
        <v>5904</v>
      </c>
      <c r="C3744" t="s">
        <v>255</v>
      </c>
      <c r="D3744" t="s">
        <v>38</v>
      </c>
      <c r="E3744" s="7">
        <v>45649</v>
      </c>
      <c r="F3744" t="s">
        <v>118</v>
      </c>
      <c r="G3744">
        <v>1</v>
      </c>
      <c r="H3744" t="s">
        <v>42</v>
      </c>
      <c r="I3744" t="s">
        <v>16</v>
      </c>
      <c r="J3744" t="s">
        <v>16</v>
      </c>
      <c r="K3744" t="str">
        <f>VLOOKUP(C3744,CheckName!A:B,2,0)</f>
        <v>Special Check</v>
      </c>
      <c r="L3744">
        <v>0</v>
      </c>
      <c r="M3744">
        <f t="shared" si="545"/>
        <v>23</v>
      </c>
      <c r="N3744" t="str">
        <f>TEXT(MTDRejection[[#This Row],[RejectionDate]],"dddd")</f>
        <v>Monday</v>
      </c>
    </row>
    <row r="3745" spans="1:14">
      <c r="A3745" t="s">
        <v>10</v>
      </c>
      <c r="B3745" t="s">
        <v>4373</v>
      </c>
      <c r="C3745" t="s">
        <v>1869</v>
      </c>
      <c r="D3745" t="s">
        <v>38</v>
      </c>
      <c r="E3745" s="7">
        <v>45649</v>
      </c>
      <c r="F3745" t="s">
        <v>118</v>
      </c>
      <c r="G3745">
        <v>1</v>
      </c>
      <c r="H3745" t="s">
        <v>42</v>
      </c>
      <c r="I3745" t="s">
        <v>16</v>
      </c>
      <c r="J3745" t="s">
        <v>16</v>
      </c>
      <c r="K3745" t="str">
        <f>VLOOKUP(C3745,CheckName!A:B,2,0)</f>
        <v>Special Check</v>
      </c>
      <c r="L3745">
        <v>1</v>
      </c>
      <c r="M3745">
        <f t="shared" si="545"/>
        <v>23</v>
      </c>
      <c r="N3745" t="str">
        <f>TEXT(MTDRejection[[#This Row],[RejectionDate]],"dddd")</f>
        <v>Monday</v>
      </c>
    </row>
    <row r="3746" spans="1:14">
      <c r="A3746" t="s">
        <v>84</v>
      </c>
      <c r="B3746" t="s">
        <v>5905</v>
      </c>
      <c r="C3746" t="s">
        <v>12</v>
      </c>
      <c r="D3746" t="s">
        <v>38</v>
      </c>
      <c r="E3746" s="7">
        <v>45649</v>
      </c>
      <c r="G3746">
        <v>1</v>
      </c>
      <c r="H3746" t="s">
        <v>42</v>
      </c>
      <c r="I3746" t="s">
        <v>16</v>
      </c>
      <c r="J3746" t="s">
        <v>16</v>
      </c>
      <c r="K3746" t="str">
        <f>VLOOKUP(C3746,CheckName!A:B,2,0)</f>
        <v>Emp</v>
      </c>
      <c r="L3746">
        <v>1</v>
      </c>
      <c r="M3746">
        <f t="shared" ref="M3746:M3752" si="546">DAY(E3746)</f>
        <v>23</v>
      </c>
      <c r="N3746" t="str">
        <f>TEXT(MTDRejection[[#This Row],[RejectionDate]],"dddd")</f>
        <v>Monday</v>
      </c>
    </row>
    <row r="3747" spans="1:14">
      <c r="A3747" t="s">
        <v>45</v>
      </c>
      <c r="B3747" t="s">
        <v>5906</v>
      </c>
      <c r="C3747" t="s">
        <v>54</v>
      </c>
      <c r="D3747" t="s">
        <v>26</v>
      </c>
      <c r="E3747" s="7">
        <v>45646</v>
      </c>
      <c r="F3747" t="s">
        <v>1304</v>
      </c>
      <c r="G3747">
        <v>4</v>
      </c>
      <c r="H3747" t="s">
        <v>22</v>
      </c>
      <c r="I3747" t="s">
        <v>16</v>
      </c>
      <c r="J3747" t="s">
        <v>16</v>
      </c>
      <c r="K3747" t="str">
        <f>VLOOKUP(C3747,CheckName!A:B,2,0)</f>
        <v>Edu</v>
      </c>
      <c r="L3747">
        <v>0</v>
      </c>
      <c r="M3747">
        <f t="shared" si="546"/>
        <v>20</v>
      </c>
      <c r="N3747" t="str">
        <f>TEXT(MTDRejection[[#This Row],[RejectionDate]],"dddd")</f>
        <v>Friday</v>
      </c>
    </row>
    <row r="3748" spans="1:14">
      <c r="A3748" t="s">
        <v>391</v>
      </c>
      <c r="B3748" t="s">
        <v>5907</v>
      </c>
      <c r="C3748" t="s">
        <v>54</v>
      </c>
      <c r="D3748" t="s">
        <v>26</v>
      </c>
      <c r="E3748" s="7">
        <v>45646</v>
      </c>
      <c r="F3748" t="s">
        <v>103</v>
      </c>
      <c r="G3748">
        <v>4</v>
      </c>
      <c r="H3748" t="s">
        <v>27</v>
      </c>
      <c r="I3748" t="s">
        <v>16</v>
      </c>
      <c r="J3748" t="s">
        <v>16</v>
      </c>
      <c r="K3748" t="str">
        <f>VLOOKUP(C3748,CheckName!A:B,2,0)</f>
        <v>Edu</v>
      </c>
      <c r="L3748">
        <v>1</v>
      </c>
      <c r="M3748">
        <f t="shared" si="546"/>
        <v>20</v>
      </c>
      <c r="N3748" t="str">
        <f>TEXT(MTDRejection[[#This Row],[RejectionDate]],"dddd")</f>
        <v>Friday</v>
      </c>
    </row>
    <row r="3749" spans="1:14">
      <c r="A3749" t="s">
        <v>186</v>
      </c>
      <c r="B3749" t="s">
        <v>5908</v>
      </c>
      <c r="C3749" t="s">
        <v>54</v>
      </c>
      <c r="D3749" t="s">
        <v>26</v>
      </c>
      <c r="E3749" s="7">
        <v>45645</v>
      </c>
      <c r="F3749" t="s">
        <v>604</v>
      </c>
      <c r="G3749">
        <v>5</v>
      </c>
      <c r="H3749" t="s">
        <v>27</v>
      </c>
      <c r="I3749" t="s">
        <v>16</v>
      </c>
      <c r="J3749" t="s">
        <v>16</v>
      </c>
      <c r="K3749" t="str">
        <f>VLOOKUP(C3749,CheckName!A:B,2,0)</f>
        <v>Edu</v>
      </c>
      <c r="L3749">
        <v>1</v>
      </c>
      <c r="M3749">
        <f t="shared" si="546"/>
        <v>19</v>
      </c>
      <c r="N3749" t="str">
        <f>TEXT(MTDRejection[[#This Row],[RejectionDate]],"dddd")</f>
        <v>Thursday</v>
      </c>
    </row>
    <row r="3750" spans="1:14">
      <c r="A3750" t="s">
        <v>883</v>
      </c>
      <c r="B3750" t="s">
        <v>2751</v>
      </c>
      <c r="C3750" t="s">
        <v>36</v>
      </c>
      <c r="D3750" t="s">
        <v>26</v>
      </c>
      <c r="E3750" s="7">
        <v>45642</v>
      </c>
      <c r="F3750" t="s">
        <v>182</v>
      </c>
      <c r="G3750">
        <v>8</v>
      </c>
      <c r="H3750" t="s">
        <v>130</v>
      </c>
      <c r="I3750" t="s">
        <v>16</v>
      </c>
      <c r="J3750" t="s">
        <v>16</v>
      </c>
      <c r="K3750" t="str">
        <f>VLOOKUP(C3750,CheckName!A:B,2,0)</f>
        <v>Emp</v>
      </c>
      <c r="L3750">
        <v>0</v>
      </c>
      <c r="M3750">
        <f t="shared" si="546"/>
        <v>16</v>
      </c>
      <c r="N3750" t="str">
        <f>TEXT(MTDRejection[[#This Row],[RejectionDate]],"dddd")</f>
        <v>Monday</v>
      </c>
    </row>
    <row r="3751" spans="1:14">
      <c r="A3751" t="s">
        <v>142</v>
      </c>
      <c r="B3751" t="s">
        <v>5909</v>
      </c>
      <c r="C3751" t="s">
        <v>19</v>
      </c>
      <c r="D3751" t="s">
        <v>26</v>
      </c>
      <c r="E3751" s="7">
        <v>45635</v>
      </c>
      <c r="F3751" t="s">
        <v>66</v>
      </c>
      <c r="G3751">
        <v>15</v>
      </c>
      <c r="H3751" t="s">
        <v>27</v>
      </c>
      <c r="I3751" t="s">
        <v>16</v>
      </c>
      <c r="J3751" t="s">
        <v>16</v>
      </c>
      <c r="K3751" t="str">
        <f>VLOOKUP(C3751,CheckName!A:B,2,0)</f>
        <v>Add</v>
      </c>
      <c r="L3751">
        <v>1</v>
      </c>
      <c r="M3751">
        <f t="shared" si="546"/>
        <v>9</v>
      </c>
      <c r="N3751" t="str">
        <f>TEXT(MTDRejection[[#This Row],[RejectionDate]],"dddd")</f>
        <v>Monday</v>
      </c>
    </row>
    <row r="3752" spans="1:14">
      <c r="A3752" t="s">
        <v>163</v>
      </c>
      <c r="B3752" t="s">
        <v>5910</v>
      </c>
      <c r="C3752" t="s">
        <v>25</v>
      </c>
      <c r="D3752" t="s">
        <v>26</v>
      </c>
      <c r="E3752" s="7">
        <v>45633</v>
      </c>
      <c r="F3752" t="s">
        <v>66</v>
      </c>
      <c r="G3752">
        <v>17</v>
      </c>
      <c r="H3752" t="s">
        <v>27</v>
      </c>
      <c r="I3752" t="s">
        <v>16</v>
      </c>
      <c r="J3752" t="s">
        <v>16</v>
      </c>
      <c r="K3752" t="str">
        <f>VLOOKUP(C3752,CheckName!A:B,2,0)</f>
        <v>Add</v>
      </c>
      <c r="L3752">
        <v>1</v>
      </c>
      <c r="M3752">
        <f t="shared" si="546"/>
        <v>7</v>
      </c>
      <c r="N3752" t="str">
        <f>TEXT(MTDRejection[[#This Row],[RejectionDate]],"dddd")</f>
        <v>Saturday</v>
      </c>
    </row>
    <row r="3753" spans="1:14">
      <c r="A3753" t="s">
        <v>186</v>
      </c>
      <c r="B3753" t="s">
        <v>2081</v>
      </c>
      <c r="C3753" t="s">
        <v>54</v>
      </c>
      <c r="D3753" t="s">
        <v>13</v>
      </c>
      <c r="E3753" s="7">
        <v>45650</v>
      </c>
      <c r="F3753" t="s">
        <v>2343</v>
      </c>
      <c r="G3753">
        <v>0</v>
      </c>
      <c r="H3753" t="s">
        <v>15</v>
      </c>
      <c r="I3753" t="s">
        <v>16</v>
      </c>
      <c r="J3753" t="s">
        <v>16</v>
      </c>
      <c r="K3753" t="str">
        <f>VLOOKUP(C3753,CheckName!A:B,2,0)</f>
        <v>Edu</v>
      </c>
      <c r="L3753">
        <v>1</v>
      </c>
      <c r="M3753">
        <f t="shared" ref="M3753:M3756" si="547">DAY(E3753)</f>
        <v>24</v>
      </c>
      <c r="N3753" t="str">
        <f>TEXT(MTDRejection[[#This Row],[RejectionDate]],"dddd")</f>
        <v>Tuesday</v>
      </c>
    </row>
    <row r="3754" spans="1:14">
      <c r="A3754" t="s">
        <v>2082</v>
      </c>
      <c r="B3754" t="s">
        <v>5911</v>
      </c>
      <c r="C3754" t="s">
        <v>71</v>
      </c>
      <c r="D3754" t="s">
        <v>13</v>
      </c>
      <c r="E3754" s="7">
        <v>45650</v>
      </c>
      <c r="F3754" t="s">
        <v>1310</v>
      </c>
      <c r="G3754">
        <v>0</v>
      </c>
      <c r="H3754" t="s">
        <v>15</v>
      </c>
      <c r="I3754" t="s">
        <v>16</v>
      </c>
      <c r="J3754" t="s">
        <v>16</v>
      </c>
      <c r="K3754" t="str">
        <f>VLOOKUP(C3754,CheckName!A:B,2,0)</f>
        <v>CRC</v>
      </c>
      <c r="L3754">
        <v>0</v>
      </c>
      <c r="M3754">
        <f t="shared" si="547"/>
        <v>24</v>
      </c>
      <c r="N3754" t="str">
        <f>TEXT(MTDRejection[[#This Row],[RejectionDate]],"dddd")</f>
        <v>Tuesday</v>
      </c>
    </row>
    <row r="3755" spans="1:14">
      <c r="A3755" t="s">
        <v>2083</v>
      </c>
      <c r="B3755" t="s">
        <v>5912</v>
      </c>
      <c r="C3755" t="s">
        <v>19</v>
      </c>
      <c r="D3755" t="s">
        <v>20</v>
      </c>
      <c r="E3755" s="7">
        <v>45650</v>
      </c>
      <c r="F3755" t="s">
        <v>273</v>
      </c>
      <c r="G3755">
        <v>0</v>
      </c>
      <c r="H3755" t="s">
        <v>130</v>
      </c>
      <c r="I3755" t="s">
        <v>16</v>
      </c>
      <c r="J3755" t="s">
        <v>16</v>
      </c>
      <c r="K3755" t="str">
        <f>VLOOKUP(C3755,CheckName!A:B,2,0)</f>
        <v>Add</v>
      </c>
      <c r="L3755">
        <v>1</v>
      </c>
      <c r="M3755">
        <f t="shared" si="547"/>
        <v>24</v>
      </c>
      <c r="N3755" t="str">
        <f>TEXT(MTDRejection[[#This Row],[RejectionDate]],"dddd")</f>
        <v>Tuesday</v>
      </c>
    </row>
    <row r="3756" spans="1:14">
      <c r="A3756" t="s">
        <v>119</v>
      </c>
      <c r="B3756" t="s">
        <v>5913</v>
      </c>
      <c r="C3756" t="s">
        <v>25</v>
      </c>
      <c r="D3756" t="s">
        <v>20</v>
      </c>
      <c r="E3756" s="7">
        <v>45650</v>
      </c>
      <c r="F3756" t="s">
        <v>2327</v>
      </c>
      <c r="G3756">
        <v>0</v>
      </c>
      <c r="H3756" t="s">
        <v>130</v>
      </c>
      <c r="I3756" t="s">
        <v>16</v>
      </c>
      <c r="J3756" t="s">
        <v>16</v>
      </c>
      <c r="K3756" t="str">
        <f>VLOOKUP(C3756,CheckName!A:B,2,0)</f>
        <v>Add</v>
      </c>
      <c r="L3756">
        <v>1</v>
      </c>
      <c r="M3756">
        <f t="shared" si="547"/>
        <v>24</v>
      </c>
      <c r="N3756" t="str">
        <f>TEXT(MTDRejection[[#This Row],[RejectionDate]],"dddd")</f>
        <v>Tuesday</v>
      </c>
    </row>
    <row r="3757" spans="1:14">
      <c r="A3757" t="s">
        <v>119</v>
      </c>
      <c r="B3757" t="s">
        <v>5914</v>
      </c>
      <c r="C3757" t="s">
        <v>19</v>
      </c>
      <c r="D3757" t="s">
        <v>20</v>
      </c>
      <c r="E3757" s="7">
        <v>45650</v>
      </c>
      <c r="F3757" t="s">
        <v>2327</v>
      </c>
      <c r="G3757">
        <v>0</v>
      </c>
      <c r="H3757" t="s">
        <v>130</v>
      </c>
      <c r="I3757" t="s">
        <v>16</v>
      </c>
      <c r="J3757" t="s">
        <v>16</v>
      </c>
      <c r="K3757" t="str">
        <f>VLOOKUP(C3757,CheckName!A:B,2,0)</f>
        <v>Add</v>
      </c>
      <c r="L3757">
        <v>1</v>
      </c>
      <c r="M3757">
        <f t="shared" ref="M3757:M3760" si="548">DAY(E3757)</f>
        <v>24</v>
      </c>
      <c r="N3757" t="str">
        <f>TEXT(MTDRejection[[#This Row],[RejectionDate]],"dddd")</f>
        <v>Tuesday</v>
      </c>
    </row>
    <row r="3758" spans="1:14">
      <c r="A3758" t="s">
        <v>1958</v>
      </c>
      <c r="B3758" t="s">
        <v>5915</v>
      </c>
      <c r="C3758" t="s">
        <v>25</v>
      </c>
      <c r="D3758" t="s">
        <v>20</v>
      </c>
      <c r="E3758" s="7">
        <v>45650</v>
      </c>
      <c r="F3758" t="s">
        <v>2327</v>
      </c>
      <c r="G3758">
        <v>0</v>
      </c>
      <c r="H3758" t="s">
        <v>22</v>
      </c>
      <c r="I3758" t="s">
        <v>16</v>
      </c>
      <c r="J3758" t="s">
        <v>16</v>
      </c>
      <c r="K3758" t="str">
        <f>VLOOKUP(C3758,CheckName!A:B,2,0)</f>
        <v>Add</v>
      </c>
      <c r="L3758">
        <v>1</v>
      </c>
      <c r="M3758">
        <f t="shared" si="548"/>
        <v>24</v>
      </c>
      <c r="N3758" t="str">
        <f>TEXT(MTDRejection[[#This Row],[RejectionDate]],"dddd")</f>
        <v>Tuesday</v>
      </c>
    </row>
    <row r="3759" spans="1:14">
      <c r="A3759" t="s">
        <v>446</v>
      </c>
      <c r="B3759" t="s">
        <v>5916</v>
      </c>
      <c r="C3759" t="s">
        <v>19</v>
      </c>
      <c r="D3759" t="s">
        <v>20</v>
      </c>
      <c r="E3759" s="7">
        <v>45650</v>
      </c>
      <c r="F3759" t="s">
        <v>2327</v>
      </c>
      <c r="G3759">
        <v>0</v>
      </c>
      <c r="H3759" t="s">
        <v>130</v>
      </c>
      <c r="I3759" t="s">
        <v>16</v>
      </c>
      <c r="J3759" t="s">
        <v>16</v>
      </c>
      <c r="K3759" t="str">
        <f>VLOOKUP(C3759,CheckName!A:B,2,0)</f>
        <v>Add</v>
      </c>
      <c r="L3759">
        <v>0</v>
      </c>
      <c r="M3759">
        <f t="shared" si="548"/>
        <v>24</v>
      </c>
      <c r="N3759" t="str">
        <f>TEXT(MTDRejection[[#This Row],[RejectionDate]],"dddd")</f>
        <v>Tuesday</v>
      </c>
    </row>
    <row r="3760" spans="1:14">
      <c r="A3760" t="s">
        <v>242</v>
      </c>
      <c r="B3760" t="s">
        <v>2716</v>
      </c>
      <c r="C3760" t="s">
        <v>19</v>
      </c>
      <c r="D3760" t="s">
        <v>20</v>
      </c>
      <c r="E3760" s="7">
        <v>45650</v>
      </c>
      <c r="F3760" t="s">
        <v>2327</v>
      </c>
      <c r="G3760">
        <v>0</v>
      </c>
      <c r="H3760" t="s">
        <v>22</v>
      </c>
      <c r="I3760" t="s">
        <v>16</v>
      </c>
      <c r="J3760" t="s">
        <v>16</v>
      </c>
      <c r="K3760" t="str">
        <f>VLOOKUP(C3760,CheckName!A:B,2,0)</f>
        <v>Add</v>
      </c>
      <c r="L3760">
        <v>1</v>
      </c>
      <c r="M3760">
        <f t="shared" si="548"/>
        <v>24</v>
      </c>
      <c r="N3760" t="str">
        <f>TEXT(MTDRejection[[#This Row],[RejectionDate]],"dddd")</f>
        <v>Tuesday</v>
      </c>
    </row>
    <row r="3761" spans="1:14">
      <c r="A3761" t="s">
        <v>419</v>
      </c>
      <c r="B3761" t="s">
        <v>5917</v>
      </c>
      <c r="C3761" t="s">
        <v>56</v>
      </c>
      <c r="D3761" t="s">
        <v>51</v>
      </c>
      <c r="E3761" s="7">
        <v>45650</v>
      </c>
      <c r="F3761" t="s">
        <v>555</v>
      </c>
      <c r="G3761">
        <v>0</v>
      </c>
      <c r="H3761" t="s">
        <v>53</v>
      </c>
      <c r="I3761" t="s">
        <v>16</v>
      </c>
      <c r="J3761" t="s">
        <v>16</v>
      </c>
      <c r="K3761" t="str">
        <f>VLOOKUP(C3761,CheckName!A:B,2,0)</f>
        <v>Special Check</v>
      </c>
      <c r="L3761">
        <v>0</v>
      </c>
      <c r="M3761">
        <f t="shared" ref="M3761" si="549">DAY(E3761)</f>
        <v>24</v>
      </c>
      <c r="N3761" t="str">
        <f>TEXT(MTDRejection[[#This Row],[RejectionDate]],"dddd")</f>
        <v>Tuesday</v>
      </c>
    </row>
    <row r="3762" spans="1:14">
      <c r="A3762" t="s">
        <v>45</v>
      </c>
      <c r="B3762" t="s">
        <v>5918</v>
      </c>
      <c r="C3762" t="s">
        <v>259</v>
      </c>
      <c r="D3762" t="s">
        <v>38</v>
      </c>
      <c r="E3762" s="7">
        <v>45650</v>
      </c>
      <c r="F3762" t="s">
        <v>39</v>
      </c>
      <c r="G3762">
        <v>0</v>
      </c>
      <c r="H3762" t="s">
        <v>42</v>
      </c>
      <c r="I3762" t="s">
        <v>16</v>
      </c>
      <c r="J3762" t="s">
        <v>16</v>
      </c>
      <c r="K3762" t="str">
        <f>VLOOKUP(C3762,CheckName!A:B,2,0)</f>
        <v>Emp</v>
      </c>
      <c r="L3762">
        <v>1</v>
      </c>
      <c r="M3762">
        <f t="shared" ref="M3762:M3779" si="550">DAY(E3762)</f>
        <v>24</v>
      </c>
      <c r="N3762" t="str">
        <f>TEXT(MTDRejection[[#This Row],[RejectionDate]],"dddd")</f>
        <v>Tuesday</v>
      </c>
    </row>
    <row r="3763" spans="1:14">
      <c r="A3763" t="s">
        <v>45</v>
      </c>
      <c r="B3763" t="s">
        <v>5919</v>
      </c>
      <c r="C3763" t="s">
        <v>12</v>
      </c>
      <c r="D3763" t="s">
        <v>38</v>
      </c>
      <c r="E3763" s="7">
        <v>45650</v>
      </c>
      <c r="F3763" t="s">
        <v>39</v>
      </c>
      <c r="G3763">
        <v>0</v>
      </c>
      <c r="H3763" t="s">
        <v>42</v>
      </c>
      <c r="I3763" t="s">
        <v>16</v>
      </c>
      <c r="J3763" t="s">
        <v>16</v>
      </c>
      <c r="K3763" t="str">
        <f>VLOOKUP(C3763,CheckName!A:B,2,0)</f>
        <v>Emp</v>
      </c>
      <c r="L3763">
        <v>1</v>
      </c>
      <c r="M3763">
        <f t="shared" si="550"/>
        <v>24</v>
      </c>
      <c r="N3763" t="str">
        <f>TEXT(MTDRejection[[#This Row],[RejectionDate]],"dddd")</f>
        <v>Tuesday</v>
      </c>
    </row>
    <row r="3764" spans="1:14">
      <c r="A3764" t="s">
        <v>45</v>
      </c>
      <c r="B3764" t="s">
        <v>5920</v>
      </c>
      <c r="C3764" t="s">
        <v>12</v>
      </c>
      <c r="D3764" t="s">
        <v>26</v>
      </c>
      <c r="E3764" s="7">
        <v>45650</v>
      </c>
      <c r="F3764" t="s">
        <v>222</v>
      </c>
      <c r="G3764">
        <v>0</v>
      </c>
      <c r="H3764" t="s">
        <v>27</v>
      </c>
      <c r="I3764" t="s">
        <v>16</v>
      </c>
      <c r="J3764" t="s">
        <v>16</v>
      </c>
      <c r="K3764" t="str">
        <f>VLOOKUP(C3764,CheckName!A:B,2,0)</f>
        <v>Emp</v>
      </c>
      <c r="L3764">
        <v>1</v>
      </c>
      <c r="M3764">
        <f t="shared" si="550"/>
        <v>24</v>
      </c>
      <c r="N3764" t="str">
        <f>TEXT(MTDRejection[[#This Row],[RejectionDate]],"dddd")</f>
        <v>Tuesday</v>
      </c>
    </row>
    <row r="3765" spans="1:14">
      <c r="A3765" t="s">
        <v>1393</v>
      </c>
      <c r="B3765" t="s">
        <v>5921</v>
      </c>
      <c r="C3765" t="s">
        <v>19</v>
      </c>
      <c r="D3765" t="s">
        <v>20</v>
      </c>
      <c r="E3765" s="7">
        <v>45650</v>
      </c>
      <c r="F3765" t="s">
        <v>2330</v>
      </c>
      <c r="G3765">
        <v>0</v>
      </c>
      <c r="H3765" t="s">
        <v>22</v>
      </c>
      <c r="I3765" t="s">
        <v>16</v>
      </c>
      <c r="J3765" t="s">
        <v>16</v>
      </c>
      <c r="K3765" t="str">
        <f>VLOOKUP(C3765,CheckName!A:B,2,0)</f>
        <v>Add</v>
      </c>
      <c r="L3765">
        <v>1</v>
      </c>
      <c r="M3765">
        <f t="shared" si="550"/>
        <v>24</v>
      </c>
      <c r="N3765" t="str">
        <f>TEXT(MTDRejection[[#This Row],[RejectionDate]],"dddd")</f>
        <v>Tuesday</v>
      </c>
    </row>
    <row r="3766" spans="1:14">
      <c r="A3766" t="s">
        <v>100</v>
      </c>
      <c r="B3766" t="s">
        <v>5922</v>
      </c>
      <c r="C3766" t="s">
        <v>775</v>
      </c>
      <c r="D3766" t="s">
        <v>26</v>
      </c>
      <c r="E3766" s="7">
        <v>45650</v>
      </c>
      <c r="F3766" t="s">
        <v>380</v>
      </c>
      <c r="G3766">
        <v>0</v>
      </c>
      <c r="H3766" t="s">
        <v>22</v>
      </c>
      <c r="I3766" t="s">
        <v>16</v>
      </c>
      <c r="J3766" t="s">
        <v>16</v>
      </c>
      <c r="K3766" t="str">
        <f>VLOOKUP(C3766,CheckName!A:B,2,0)</f>
        <v>Emp</v>
      </c>
      <c r="L3766">
        <v>1</v>
      </c>
      <c r="M3766">
        <f t="shared" si="550"/>
        <v>24</v>
      </c>
      <c r="N3766" t="str">
        <f>TEXT(MTDRejection[[#This Row],[RejectionDate]],"dddd")</f>
        <v>Tuesday</v>
      </c>
    </row>
    <row r="3767" spans="1:14">
      <c r="A3767" t="s">
        <v>100</v>
      </c>
      <c r="B3767" t="s">
        <v>5923</v>
      </c>
      <c r="C3767" t="s">
        <v>357</v>
      </c>
      <c r="D3767" t="s">
        <v>26</v>
      </c>
      <c r="E3767" s="7">
        <v>45650</v>
      </c>
      <c r="F3767" t="s">
        <v>380</v>
      </c>
      <c r="G3767">
        <v>0</v>
      </c>
      <c r="H3767" t="s">
        <v>27</v>
      </c>
      <c r="I3767" t="s">
        <v>16</v>
      </c>
      <c r="J3767" t="s">
        <v>16</v>
      </c>
      <c r="K3767" t="str">
        <f>VLOOKUP(C3767,CheckName!A:B,2,0)</f>
        <v>Emp</v>
      </c>
      <c r="L3767">
        <v>0</v>
      </c>
      <c r="M3767">
        <f t="shared" si="550"/>
        <v>24</v>
      </c>
      <c r="N3767" t="str">
        <f>TEXT(MTDRejection[[#This Row],[RejectionDate]],"dddd")</f>
        <v>Tuesday</v>
      </c>
    </row>
    <row r="3768" spans="1:14">
      <c r="A3768" t="s">
        <v>84</v>
      </c>
      <c r="B3768" t="s">
        <v>5924</v>
      </c>
      <c r="C3768" t="s">
        <v>12</v>
      </c>
      <c r="D3768" t="s">
        <v>26</v>
      </c>
      <c r="E3768" s="7">
        <v>45650</v>
      </c>
      <c r="F3768" t="s">
        <v>184</v>
      </c>
      <c r="G3768">
        <v>0</v>
      </c>
      <c r="H3768" t="s">
        <v>27</v>
      </c>
      <c r="I3768" t="s">
        <v>16</v>
      </c>
      <c r="J3768" t="s">
        <v>16</v>
      </c>
      <c r="K3768" t="str">
        <f>VLOOKUP(C3768,CheckName!A:B,2,0)</f>
        <v>Emp</v>
      </c>
      <c r="L3768">
        <v>0</v>
      </c>
      <c r="M3768">
        <f t="shared" si="550"/>
        <v>24</v>
      </c>
      <c r="N3768" t="str">
        <f>TEXT(MTDRejection[[#This Row],[RejectionDate]],"dddd")</f>
        <v>Tuesday</v>
      </c>
    </row>
    <row r="3769" spans="1:14">
      <c r="A3769" t="s">
        <v>100</v>
      </c>
      <c r="B3769" t="s">
        <v>5925</v>
      </c>
      <c r="C3769" t="s">
        <v>359</v>
      </c>
      <c r="D3769" t="s">
        <v>13</v>
      </c>
      <c r="E3769" s="7">
        <v>45650</v>
      </c>
      <c r="F3769" t="s">
        <v>98</v>
      </c>
      <c r="G3769">
        <v>0</v>
      </c>
      <c r="H3769" t="s">
        <v>15</v>
      </c>
      <c r="I3769" t="s">
        <v>16</v>
      </c>
      <c r="J3769" t="s">
        <v>16</v>
      </c>
      <c r="K3769" t="str">
        <f>VLOOKUP(C3769,CheckName!A:B,2,0)</f>
        <v>Emp</v>
      </c>
      <c r="L3769">
        <v>0</v>
      </c>
      <c r="M3769">
        <f t="shared" si="550"/>
        <v>24</v>
      </c>
      <c r="N3769" t="str">
        <f>TEXT(MTDRejection[[#This Row],[RejectionDate]],"dddd")</f>
        <v>Tuesday</v>
      </c>
    </row>
    <row r="3770" spans="1:14">
      <c r="A3770" t="s">
        <v>100</v>
      </c>
      <c r="B3770" t="s">
        <v>5926</v>
      </c>
      <c r="C3770" t="s">
        <v>357</v>
      </c>
      <c r="D3770" t="s">
        <v>13</v>
      </c>
      <c r="E3770" s="7">
        <v>45650</v>
      </c>
      <c r="F3770" t="s">
        <v>98</v>
      </c>
      <c r="G3770">
        <v>0</v>
      </c>
      <c r="H3770" t="s">
        <v>15</v>
      </c>
      <c r="I3770" t="s">
        <v>16</v>
      </c>
      <c r="J3770" t="s">
        <v>16</v>
      </c>
      <c r="K3770" t="str">
        <f>VLOOKUP(C3770,CheckName!A:B,2,0)</f>
        <v>Emp</v>
      </c>
      <c r="L3770">
        <v>0</v>
      </c>
      <c r="M3770">
        <f t="shared" si="550"/>
        <v>24</v>
      </c>
      <c r="N3770" t="str">
        <f>TEXT(MTDRejection[[#This Row],[RejectionDate]],"dddd")</f>
        <v>Tuesday</v>
      </c>
    </row>
    <row r="3771" spans="1:14">
      <c r="A3771" t="s">
        <v>137</v>
      </c>
      <c r="B3771" t="s">
        <v>2319</v>
      </c>
      <c r="C3771" t="s">
        <v>54</v>
      </c>
      <c r="D3771" t="s">
        <v>26</v>
      </c>
      <c r="E3771" s="7">
        <v>45650</v>
      </c>
      <c r="F3771" t="s">
        <v>103</v>
      </c>
      <c r="G3771">
        <v>0</v>
      </c>
      <c r="H3771" t="s">
        <v>27</v>
      </c>
      <c r="I3771" t="s">
        <v>16</v>
      </c>
      <c r="J3771" t="s">
        <v>16</v>
      </c>
      <c r="K3771" t="str">
        <f>VLOOKUP(C3771,CheckName!A:B,2,0)</f>
        <v>Edu</v>
      </c>
      <c r="L3771">
        <v>0</v>
      </c>
      <c r="M3771">
        <f t="shared" si="550"/>
        <v>24</v>
      </c>
      <c r="N3771" t="str">
        <f>TEXT(MTDRejection[[#This Row],[RejectionDate]],"dddd")</f>
        <v>Tuesday</v>
      </c>
    </row>
    <row r="3772" spans="1:14">
      <c r="A3772" t="s">
        <v>396</v>
      </c>
      <c r="B3772" t="s">
        <v>5927</v>
      </c>
      <c r="C3772" t="s">
        <v>36</v>
      </c>
      <c r="D3772" t="s">
        <v>26</v>
      </c>
      <c r="E3772" s="7">
        <v>45650</v>
      </c>
      <c r="F3772" t="s">
        <v>159</v>
      </c>
      <c r="G3772">
        <v>0</v>
      </c>
      <c r="H3772" t="s">
        <v>27</v>
      </c>
      <c r="I3772" t="s">
        <v>16</v>
      </c>
      <c r="J3772" t="s">
        <v>16</v>
      </c>
      <c r="K3772" t="str">
        <f>VLOOKUP(C3772,CheckName!A:B,2,0)</f>
        <v>Emp</v>
      </c>
      <c r="L3772">
        <v>0</v>
      </c>
      <c r="M3772">
        <f t="shared" si="550"/>
        <v>24</v>
      </c>
      <c r="N3772" t="str">
        <f>TEXT(MTDRejection[[#This Row],[RejectionDate]],"dddd")</f>
        <v>Tuesday</v>
      </c>
    </row>
    <row r="3773" spans="1:14">
      <c r="A3773" t="s">
        <v>84</v>
      </c>
      <c r="B3773" t="s">
        <v>5928</v>
      </c>
      <c r="C3773" t="s">
        <v>112</v>
      </c>
      <c r="D3773" t="s">
        <v>26</v>
      </c>
      <c r="E3773" s="7">
        <v>45650</v>
      </c>
      <c r="F3773" t="s">
        <v>2333</v>
      </c>
      <c r="G3773">
        <v>0</v>
      </c>
      <c r="H3773" t="s">
        <v>22</v>
      </c>
      <c r="I3773" t="s">
        <v>16</v>
      </c>
      <c r="J3773" t="s">
        <v>16</v>
      </c>
      <c r="K3773" t="str">
        <f>VLOOKUP(C3773,CheckName!A:B,2,0)</f>
        <v>Emp</v>
      </c>
      <c r="L3773">
        <v>1</v>
      </c>
      <c r="M3773">
        <f t="shared" si="550"/>
        <v>24</v>
      </c>
      <c r="N3773" t="str">
        <f>TEXT(MTDRejection[[#This Row],[RejectionDate]],"dddd")</f>
        <v>Tuesday</v>
      </c>
    </row>
    <row r="3774" spans="1:14">
      <c r="A3774" t="s">
        <v>100</v>
      </c>
      <c r="B3774" t="s">
        <v>5929</v>
      </c>
      <c r="C3774" t="s">
        <v>775</v>
      </c>
      <c r="D3774" t="s">
        <v>26</v>
      </c>
      <c r="E3774" s="7">
        <v>45650</v>
      </c>
      <c r="F3774" t="s">
        <v>115</v>
      </c>
      <c r="G3774">
        <v>0</v>
      </c>
      <c r="H3774" t="s">
        <v>27</v>
      </c>
      <c r="I3774" t="s">
        <v>16</v>
      </c>
      <c r="J3774" t="s">
        <v>16</v>
      </c>
      <c r="K3774" t="str">
        <f>VLOOKUP(C3774,CheckName!A:B,2,0)</f>
        <v>Emp</v>
      </c>
      <c r="L3774">
        <v>0</v>
      </c>
      <c r="M3774">
        <f t="shared" si="550"/>
        <v>24</v>
      </c>
      <c r="N3774" t="str">
        <f>TEXT(MTDRejection[[#This Row],[RejectionDate]],"dddd")</f>
        <v>Tuesday</v>
      </c>
    </row>
    <row r="3775" spans="1:14">
      <c r="A3775" t="s">
        <v>160</v>
      </c>
      <c r="B3775" t="s">
        <v>5930</v>
      </c>
      <c r="C3775" t="s">
        <v>36</v>
      </c>
      <c r="D3775" t="s">
        <v>13</v>
      </c>
      <c r="E3775" s="7">
        <v>45650</v>
      </c>
      <c r="F3775" t="s">
        <v>540</v>
      </c>
      <c r="G3775">
        <v>0</v>
      </c>
      <c r="H3775" t="s">
        <v>15</v>
      </c>
      <c r="I3775" t="s">
        <v>16</v>
      </c>
      <c r="J3775" t="s">
        <v>16</v>
      </c>
      <c r="K3775" t="str">
        <f>VLOOKUP(C3775,CheckName!A:B,2,0)</f>
        <v>Emp</v>
      </c>
      <c r="L3775">
        <v>0</v>
      </c>
      <c r="M3775">
        <f t="shared" si="550"/>
        <v>24</v>
      </c>
      <c r="N3775" t="str">
        <f>TEXT(MTDRejection[[#This Row],[RejectionDate]],"dddd")</f>
        <v>Tuesday</v>
      </c>
    </row>
    <row r="3776" spans="1:14">
      <c r="A3776" t="s">
        <v>1952</v>
      </c>
      <c r="B3776" t="s">
        <v>2752</v>
      </c>
      <c r="C3776" t="s">
        <v>54</v>
      </c>
      <c r="D3776" t="s">
        <v>13</v>
      </c>
      <c r="E3776" s="7">
        <v>45650</v>
      </c>
      <c r="F3776" t="s">
        <v>540</v>
      </c>
      <c r="G3776">
        <v>0</v>
      </c>
      <c r="H3776" t="s">
        <v>15</v>
      </c>
      <c r="I3776" t="s">
        <v>16</v>
      </c>
      <c r="J3776" t="s">
        <v>16</v>
      </c>
      <c r="K3776" t="str">
        <f>VLOOKUP(C3776,CheckName!A:B,2,0)</f>
        <v>Edu</v>
      </c>
      <c r="L3776">
        <v>0</v>
      </c>
      <c r="M3776">
        <f t="shared" si="550"/>
        <v>24</v>
      </c>
      <c r="N3776" t="str">
        <f>TEXT(MTDRejection[[#This Row],[RejectionDate]],"dddd")</f>
        <v>Tuesday</v>
      </c>
    </row>
    <row r="3777" spans="1:14">
      <c r="A3777" t="s">
        <v>165</v>
      </c>
      <c r="B3777" t="s">
        <v>5931</v>
      </c>
      <c r="C3777" t="s">
        <v>36</v>
      </c>
      <c r="D3777" t="s">
        <v>26</v>
      </c>
      <c r="E3777" s="7">
        <v>45650</v>
      </c>
      <c r="F3777" t="s">
        <v>2355</v>
      </c>
      <c r="G3777">
        <v>0</v>
      </c>
      <c r="H3777" t="s">
        <v>27</v>
      </c>
      <c r="I3777" t="s">
        <v>16</v>
      </c>
      <c r="J3777" t="s">
        <v>16</v>
      </c>
      <c r="K3777" t="str">
        <f>VLOOKUP(C3777,CheckName!A:B,2,0)</f>
        <v>Emp</v>
      </c>
      <c r="L3777">
        <v>0</v>
      </c>
      <c r="M3777">
        <f t="shared" si="550"/>
        <v>24</v>
      </c>
      <c r="N3777" t="str">
        <f>TEXT(MTDRejection[[#This Row],[RejectionDate]],"dddd")</f>
        <v>Tuesday</v>
      </c>
    </row>
    <row r="3778" spans="1:14">
      <c r="A3778" t="s">
        <v>84</v>
      </c>
      <c r="B3778" t="s">
        <v>5932</v>
      </c>
      <c r="C3778" t="s">
        <v>36</v>
      </c>
      <c r="D3778" t="s">
        <v>26</v>
      </c>
      <c r="E3778" s="7">
        <v>45650</v>
      </c>
      <c r="F3778" t="s">
        <v>2355</v>
      </c>
      <c r="G3778">
        <v>0</v>
      </c>
      <c r="H3778" t="s">
        <v>22</v>
      </c>
      <c r="I3778" t="s">
        <v>16</v>
      </c>
      <c r="J3778" t="s">
        <v>16</v>
      </c>
      <c r="K3778" t="str">
        <f>VLOOKUP(C3778,CheckName!A:B,2,0)</f>
        <v>Emp</v>
      </c>
      <c r="L3778">
        <v>1</v>
      </c>
      <c r="M3778">
        <f t="shared" si="550"/>
        <v>24</v>
      </c>
      <c r="N3778" t="str">
        <f>TEXT(MTDRejection[[#This Row],[RejectionDate]],"dddd")</f>
        <v>Tuesday</v>
      </c>
    </row>
    <row r="3779" spans="1:14">
      <c r="A3779" t="s">
        <v>584</v>
      </c>
      <c r="B3779" t="s">
        <v>5933</v>
      </c>
      <c r="C3779" t="s">
        <v>19</v>
      </c>
      <c r="D3779" t="s">
        <v>20</v>
      </c>
      <c r="E3779" s="7">
        <v>45650</v>
      </c>
      <c r="F3779" t="s">
        <v>129</v>
      </c>
      <c r="G3779">
        <v>0</v>
      </c>
      <c r="H3779" t="s">
        <v>22</v>
      </c>
      <c r="I3779" t="s">
        <v>16</v>
      </c>
      <c r="J3779" t="s">
        <v>16</v>
      </c>
      <c r="K3779" t="str">
        <f>VLOOKUP(C3779,CheckName!A:B,2,0)</f>
        <v>Add</v>
      </c>
      <c r="L3779">
        <v>1</v>
      </c>
      <c r="M3779">
        <f t="shared" si="550"/>
        <v>24</v>
      </c>
      <c r="N3779" t="str">
        <f>TEXT(MTDRejection[[#This Row],[RejectionDate]],"dddd")</f>
        <v>Tuesday</v>
      </c>
    </row>
    <row r="3780" spans="1:14">
      <c r="A3780" t="s">
        <v>40</v>
      </c>
      <c r="B3780" t="s">
        <v>5934</v>
      </c>
      <c r="C3780" t="s">
        <v>12</v>
      </c>
      <c r="D3780" t="s">
        <v>26</v>
      </c>
      <c r="E3780" s="7">
        <v>45646</v>
      </c>
      <c r="F3780" t="s">
        <v>2337</v>
      </c>
      <c r="G3780">
        <v>4</v>
      </c>
      <c r="H3780" t="s">
        <v>27</v>
      </c>
      <c r="I3780" t="s">
        <v>16</v>
      </c>
      <c r="J3780" t="s">
        <v>16</v>
      </c>
      <c r="K3780" t="str">
        <f>VLOOKUP(C3780,CheckName!A:B,2,0)</f>
        <v>Emp</v>
      </c>
      <c r="L3780">
        <v>1</v>
      </c>
      <c r="M3780">
        <f>DAY(E3780)</f>
        <v>20</v>
      </c>
      <c r="N3780" t="str">
        <f>TEXT(MTDRejection[[#This Row],[RejectionDate]],"dddd")</f>
        <v>Friday</v>
      </c>
    </row>
    <row r="3781" spans="1:14">
      <c r="A3781" t="s">
        <v>1770</v>
      </c>
      <c r="B3781" t="s">
        <v>5935</v>
      </c>
      <c r="C3781" t="s">
        <v>54</v>
      </c>
      <c r="D3781" t="s">
        <v>26</v>
      </c>
      <c r="E3781" s="7">
        <v>45639</v>
      </c>
      <c r="F3781" t="s">
        <v>103</v>
      </c>
      <c r="G3781">
        <v>11</v>
      </c>
      <c r="H3781" t="s">
        <v>22</v>
      </c>
      <c r="I3781" t="s">
        <v>16</v>
      </c>
      <c r="J3781" t="s">
        <v>16</v>
      </c>
      <c r="K3781" t="str">
        <f>VLOOKUP(C3781,CheckName!A:B,2,0)</f>
        <v>Edu</v>
      </c>
      <c r="L3781">
        <v>0</v>
      </c>
      <c r="M3781">
        <f>DAY(E3781)</f>
        <v>13</v>
      </c>
      <c r="N3781" t="str">
        <f>TEXT(MTDRejection[[#This Row],[RejectionDate]],"dddd")</f>
        <v>Friday</v>
      </c>
    </row>
    <row r="3782" spans="1:14">
      <c r="A3782" t="s">
        <v>1790</v>
      </c>
      <c r="B3782" t="s">
        <v>5936</v>
      </c>
      <c r="C3782" t="s">
        <v>36</v>
      </c>
      <c r="D3782" t="s">
        <v>38</v>
      </c>
      <c r="E3782" s="7">
        <v>45628</v>
      </c>
      <c r="F3782" t="s">
        <v>39</v>
      </c>
      <c r="G3782">
        <v>22</v>
      </c>
      <c r="H3782" t="s">
        <v>42</v>
      </c>
      <c r="I3782" t="s">
        <v>16</v>
      </c>
      <c r="J3782" t="s">
        <v>16</v>
      </c>
      <c r="K3782" t="str">
        <f>VLOOKUP(C3782,CheckName!A:B,2,0)</f>
        <v>Emp</v>
      </c>
      <c r="L3782">
        <v>1</v>
      </c>
      <c r="M3782">
        <f>DAY(E3782)</f>
        <v>2</v>
      </c>
      <c r="N3782" t="str">
        <f>TEXT(MTDRejection[[#This Row],[RejectionDate]],"dddd")</f>
        <v>Monday</v>
      </c>
    </row>
    <row r="3783" spans="1:14">
      <c r="A3783" t="s">
        <v>131</v>
      </c>
      <c r="B3783" t="s">
        <v>5937</v>
      </c>
      <c r="C3783" t="s">
        <v>19</v>
      </c>
      <c r="D3783" t="s">
        <v>20</v>
      </c>
      <c r="E3783" s="7">
        <v>45650</v>
      </c>
      <c r="F3783" t="s">
        <v>273</v>
      </c>
      <c r="G3783">
        <v>0</v>
      </c>
      <c r="H3783" t="s">
        <v>22</v>
      </c>
      <c r="I3783" t="s">
        <v>16</v>
      </c>
      <c r="J3783" t="s">
        <v>16</v>
      </c>
      <c r="K3783" t="str">
        <f>VLOOKUP(C3783,CheckName!A:B,2,0)</f>
        <v>Add</v>
      </c>
      <c r="L3783">
        <v>1</v>
      </c>
      <c r="M3783">
        <f>DAY(E3783)</f>
        <v>24</v>
      </c>
      <c r="N3783" t="str">
        <f>TEXT(MTDRejection[[#This Row],[RejectionDate]],"dddd")</f>
        <v>Tuesday</v>
      </c>
    </row>
    <row r="3784" spans="1:14">
      <c r="A3784" t="s">
        <v>2085</v>
      </c>
      <c r="B3784" t="s">
        <v>5938</v>
      </c>
      <c r="C3784" t="s">
        <v>19</v>
      </c>
      <c r="D3784" t="s">
        <v>20</v>
      </c>
      <c r="E3784" s="7">
        <v>45650</v>
      </c>
      <c r="F3784" t="s">
        <v>2327</v>
      </c>
      <c r="G3784">
        <v>0</v>
      </c>
      <c r="H3784" t="s">
        <v>22</v>
      </c>
      <c r="I3784" t="s">
        <v>16</v>
      </c>
      <c r="J3784" t="s">
        <v>16</v>
      </c>
      <c r="K3784" t="str">
        <f>VLOOKUP(C3784,CheckName!A:B,2,0)</f>
        <v>Add</v>
      </c>
      <c r="L3784">
        <v>1</v>
      </c>
      <c r="M3784">
        <f>DAY(E3784)</f>
        <v>24</v>
      </c>
      <c r="N3784" t="str">
        <f>TEXT(MTDRejection[[#This Row],[RejectionDate]],"dddd")</f>
        <v>Tuesday</v>
      </c>
    </row>
    <row r="3785" spans="1:14">
      <c r="A3785" t="s">
        <v>165</v>
      </c>
      <c r="B3785" t="s">
        <v>2753</v>
      </c>
      <c r="C3785" t="s">
        <v>36</v>
      </c>
      <c r="D3785" t="s">
        <v>26</v>
      </c>
      <c r="E3785" s="7">
        <v>45650</v>
      </c>
      <c r="F3785" t="s">
        <v>325</v>
      </c>
      <c r="G3785">
        <v>0</v>
      </c>
      <c r="H3785" t="s">
        <v>130</v>
      </c>
      <c r="I3785" t="s">
        <v>16</v>
      </c>
      <c r="J3785" t="s">
        <v>16</v>
      </c>
      <c r="K3785" t="str">
        <f>VLOOKUP(C3785,CheckName!A:B,2,0)</f>
        <v>Emp</v>
      </c>
      <c r="L3785">
        <v>1</v>
      </c>
      <c r="M3785">
        <f t="shared" ref="M3785:M3791" si="551">DAY(E3785)</f>
        <v>24</v>
      </c>
      <c r="N3785" t="str">
        <f>TEXT(MTDRejection[[#This Row],[RejectionDate]],"dddd")</f>
        <v>Tuesday</v>
      </c>
    </row>
    <row r="3786" spans="1:14">
      <c r="A3786" t="s">
        <v>84</v>
      </c>
      <c r="B3786" t="s">
        <v>2754</v>
      </c>
      <c r="C3786" t="s">
        <v>12</v>
      </c>
      <c r="D3786" t="s">
        <v>51</v>
      </c>
      <c r="E3786" s="7">
        <v>45650</v>
      </c>
      <c r="F3786" t="s">
        <v>555</v>
      </c>
      <c r="G3786">
        <v>0</v>
      </c>
      <c r="H3786" t="s">
        <v>53</v>
      </c>
      <c r="I3786" t="s">
        <v>16</v>
      </c>
      <c r="J3786" t="s">
        <v>16</v>
      </c>
      <c r="K3786" t="str">
        <f>VLOOKUP(C3786,CheckName!A:B,2,0)</f>
        <v>Emp</v>
      </c>
      <c r="L3786">
        <v>1</v>
      </c>
      <c r="M3786">
        <f t="shared" si="551"/>
        <v>24</v>
      </c>
      <c r="N3786" t="str">
        <f>TEXT(MTDRejection[[#This Row],[RejectionDate]],"dddd")</f>
        <v>Tuesday</v>
      </c>
    </row>
    <row r="3787" spans="1:14">
      <c r="A3787" t="s">
        <v>360</v>
      </c>
      <c r="B3787" t="s">
        <v>5939</v>
      </c>
      <c r="C3787" t="s">
        <v>1068</v>
      </c>
      <c r="D3787" t="s">
        <v>13</v>
      </c>
      <c r="E3787" s="7">
        <v>45650</v>
      </c>
      <c r="F3787" t="s">
        <v>230</v>
      </c>
      <c r="G3787">
        <v>0</v>
      </c>
      <c r="H3787" t="s">
        <v>505</v>
      </c>
      <c r="I3787" t="s">
        <v>16</v>
      </c>
      <c r="J3787" t="s">
        <v>16</v>
      </c>
      <c r="K3787" t="str">
        <f>VLOOKUP(C3787,CheckName!A:B,2,0)</f>
        <v>Special Check</v>
      </c>
      <c r="L3787">
        <v>1</v>
      </c>
      <c r="M3787">
        <f t="shared" si="551"/>
        <v>24</v>
      </c>
      <c r="N3787" t="str">
        <f>TEXT(MTDRejection[[#This Row],[RejectionDate]],"dddd")</f>
        <v>Tuesday</v>
      </c>
    </row>
    <row r="3788" spans="1:14">
      <c r="A3788" t="s">
        <v>360</v>
      </c>
      <c r="B3788" t="s">
        <v>5940</v>
      </c>
      <c r="C3788" t="s">
        <v>467</v>
      </c>
      <c r="D3788" t="s">
        <v>13</v>
      </c>
      <c r="E3788" s="7">
        <v>45650</v>
      </c>
      <c r="F3788" t="s">
        <v>230</v>
      </c>
      <c r="G3788">
        <v>0</v>
      </c>
      <c r="H3788" t="s">
        <v>505</v>
      </c>
      <c r="I3788" t="s">
        <v>16</v>
      </c>
      <c r="J3788" t="s">
        <v>16</v>
      </c>
      <c r="K3788" t="str">
        <f>VLOOKUP(C3788,CheckName!A:B,2,0)</f>
        <v>Special Check</v>
      </c>
      <c r="L3788">
        <v>1</v>
      </c>
      <c r="M3788">
        <f t="shared" si="551"/>
        <v>24</v>
      </c>
      <c r="N3788" t="str">
        <f>TEXT(MTDRejection[[#This Row],[RejectionDate]],"dddd")</f>
        <v>Tuesday</v>
      </c>
    </row>
    <row r="3789" spans="1:14">
      <c r="A3789" t="s">
        <v>360</v>
      </c>
      <c r="B3789" t="s">
        <v>5941</v>
      </c>
      <c r="C3789" t="s">
        <v>1629</v>
      </c>
      <c r="D3789" t="s">
        <v>13</v>
      </c>
      <c r="E3789" s="7">
        <v>45650</v>
      </c>
      <c r="F3789" t="s">
        <v>230</v>
      </c>
      <c r="G3789">
        <v>0</v>
      </c>
      <c r="H3789" t="s">
        <v>505</v>
      </c>
      <c r="I3789" t="s">
        <v>16</v>
      </c>
      <c r="J3789" t="s">
        <v>16</v>
      </c>
      <c r="K3789" t="str">
        <f>VLOOKUP(C3789,CheckName!A:B,2,0)</f>
        <v>CRC</v>
      </c>
      <c r="L3789">
        <v>1</v>
      </c>
      <c r="M3789">
        <f t="shared" si="551"/>
        <v>24</v>
      </c>
      <c r="N3789" t="str">
        <f>TEXT(MTDRejection[[#This Row],[RejectionDate]],"dddd")</f>
        <v>Tuesday</v>
      </c>
    </row>
    <row r="3790" spans="1:14">
      <c r="A3790" t="s">
        <v>360</v>
      </c>
      <c r="B3790" t="s">
        <v>5942</v>
      </c>
      <c r="C3790" t="s">
        <v>689</v>
      </c>
      <c r="D3790" t="s">
        <v>13</v>
      </c>
      <c r="E3790" s="7">
        <v>45650</v>
      </c>
      <c r="F3790" t="s">
        <v>230</v>
      </c>
      <c r="G3790">
        <v>0</v>
      </c>
      <c r="H3790" t="s">
        <v>505</v>
      </c>
      <c r="I3790" t="s">
        <v>16</v>
      </c>
      <c r="J3790" t="s">
        <v>16</v>
      </c>
      <c r="K3790" t="str">
        <f>VLOOKUP(C3790,CheckName!A:B,2,0)</f>
        <v>Special Check</v>
      </c>
      <c r="L3790">
        <v>1</v>
      </c>
      <c r="M3790">
        <f t="shared" si="551"/>
        <v>24</v>
      </c>
      <c r="N3790" t="str">
        <f>TEXT(MTDRejection[[#This Row],[RejectionDate]],"dddd")</f>
        <v>Tuesday</v>
      </c>
    </row>
    <row r="3791" spans="1:14">
      <c r="A3791" t="s">
        <v>360</v>
      </c>
      <c r="B3791" t="s">
        <v>5943</v>
      </c>
      <c r="C3791" t="s">
        <v>59</v>
      </c>
      <c r="D3791" t="s">
        <v>13</v>
      </c>
      <c r="E3791" s="7">
        <v>45650</v>
      </c>
      <c r="F3791" t="s">
        <v>230</v>
      </c>
      <c r="G3791">
        <v>0</v>
      </c>
      <c r="H3791" t="s">
        <v>505</v>
      </c>
      <c r="I3791" t="s">
        <v>16</v>
      </c>
      <c r="J3791" t="s">
        <v>16</v>
      </c>
      <c r="K3791" t="str">
        <f>VLOOKUP(C3791,CheckName!A:B,2,0)</f>
        <v>Special Check</v>
      </c>
      <c r="L3791">
        <v>1</v>
      </c>
      <c r="M3791">
        <f t="shared" si="551"/>
        <v>24</v>
      </c>
      <c r="N3791" t="str">
        <f>TEXT(MTDRejection[[#This Row],[RejectionDate]],"dddd")</f>
        <v>Tuesday</v>
      </c>
    </row>
    <row r="3792" spans="1:14">
      <c r="A3792" t="s">
        <v>10</v>
      </c>
      <c r="B3792" t="s">
        <v>5944</v>
      </c>
      <c r="C3792" t="s">
        <v>12</v>
      </c>
      <c r="D3792" t="s">
        <v>38</v>
      </c>
      <c r="E3792" s="7">
        <v>45650</v>
      </c>
      <c r="F3792" t="s">
        <v>39</v>
      </c>
      <c r="G3792">
        <v>0</v>
      </c>
      <c r="H3792" t="s">
        <v>42</v>
      </c>
      <c r="I3792" t="s">
        <v>16</v>
      </c>
      <c r="J3792" t="s">
        <v>16</v>
      </c>
      <c r="K3792" t="str">
        <f>VLOOKUP(C3792,CheckName!A:B,2,0)</f>
        <v>Emp</v>
      </c>
      <c r="L3792">
        <v>1</v>
      </c>
      <c r="M3792">
        <f t="shared" ref="M3792:M3793" si="552">DAY(E3792)</f>
        <v>24</v>
      </c>
      <c r="N3792" t="str">
        <f>TEXT(MTDRejection[[#This Row],[RejectionDate]],"dddd")</f>
        <v>Tuesday</v>
      </c>
    </row>
    <row r="3793" spans="1:14">
      <c r="A3793" t="s">
        <v>1070</v>
      </c>
      <c r="B3793" t="s">
        <v>5945</v>
      </c>
      <c r="C3793" t="s">
        <v>12</v>
      </c>
      <c r="D3793" t="s">
        <v>38</v>
      </c>
      <c r="E3793" s="7">
        <v>45650</v>
      </c>
      <c r="F3793" t="s">
        <v>39</v>
      </c>
      <c r="G3793">
        <v>0</v>
      </c>
      <c r="H3793" t="s">
        <v>42</v>
      </c>
      <c r="I3793" t="s">
        <v>16</v>
      </c>
      <c r="J3793" t="s">
        <v>16</v>
      </c>
      <c r="K3793" t="str">
        <f>VLOOKUP(C3793,CheckName!A:B,2,0)</f>
        <v>Emp</v>
      </c>
      <c r="L3793">
        <v>1</v>
      </c>
      <c r="M3793">
        <f t="shared" si="552"/>
        <v>24</v>
      </c>
      <c r="N3793" t="str">
        <f>TEXT(MTDRejection[[#This Row],[RejectionDate]],"dddd")</f>
        <v>Tuesday</v>
      </c>
    </row>
    <row r="3794" spans="1:14">
      <c r="A3794" t="s">
        <v>165</v>
      </c>
      <c r="B3794" t="s">
        <v>5946</v>
      </c>
      <c r="C3794" t="s">
        <v>54</v>
      </c>
      <c r="D3794" t="s">
        <v>26</v>
      </c>
      <c r="E3794" s="7">
        <v>45650</v>
      </c>
      <c r="F3794" t="s">
        <v>2344</v>
      </c>
      <c r="G3794">
        <v>0</v>
      </c>
      <c r="H3794" t="s">
        <v>27</v>
      </c>
      <c r="I3794" t="s">
        <v>16</v>
      </c>
      <c r="J3794" t="s">
        <v>16</v>
      </c>
      <c r="K3794" t="str">
        <f>VLOOKUP(C3794,CheckName!A:B,2,0)</f>
        <v>Edu</v>
      </c>
      <c r="L3794">
        <v>1</v>
      </c>
      <c r="M3794">
        <f t="shared" ref="M3794:M3795" si="553">DAY(E3794)</f>
        <v>24</v>
      </c>
      <c r="N3794" t="str">
        <f>TEXT(MTDRejection[[#This Row],[RejectionDate]],"dddd")</f>
        <v>Tuesday</v>
      </c>
    </row>
    <row r="3795" spans="1:14">
      <c r="A3795" t="s">
        <v>353</v>
      </c>
      <c r="B3795" t="s">
        <v>5947</v>
      </c>
      <c r="C3795" t="s">
        <v>12</v>
      </c>
      <c r="D3795" t="s">
        <v>26</v>
      </c>
      <c r="E3795" s="7">
        <v>45650</v>
      </c>
      <c r="F3795" t="s">
        <v>83</v>
      </c>
      <c r="G3795">
        <v>0</v>
      </c>
      <c r="H3795" t="s">
        <v>27</v>
      </c>
      <c r="I3795" t="s">
        <v>16</v>
      </c>
      <c r="J3795" t="s">
        <v>16</v>
      </c>
      <c r="K3795" t="str">
        <f>VLOOKUP(C3795,CheckName!A:B,2,0)</f>
        <v>Emp</v>
      </c>
      <c r="L3795">
        <v>1</v>
      </c>
      <c r="M3795">
        <f t="shared" si="553"/>
        <v>24</v>
      </c>
      <c r="N3795" t="str">
        <f>TEXT(MTDRejection[[#This Row],[RejectionDate]],"dddd")</f>
        <v>Tuesday</v>
      </c>
    </row>
    <row r="3796" spans="1:14">
      <c r="A3796" t="s">
        <v>81</v>
      </c>
      <c r="B3796" t="s">
        <v>5948</v>
      </c>
      <c r="C3796" t="s">
        <v>12</v>
      </c>
      <c r="D3796" t="s">
        <v>26</v>
      </c>
      <c r="E3796" s="7">
        <v>45650</v>
      </c>
      <c r="F3796" t="s">
        <v>184</v>
      </c>
      <c r="G3796">
        <v>0</v>
      </c>
      <c r="H3796" t="s">
        <v>27</v>
      </c>
      <c r="I3796" t="s">
        <v>16</v>
      </c>
      <c r="J3796" t="s">
        <v>16</v>
      </c>
      <c r="K3796" t="str">
        <f>VLOOKUP(C3796,CheckName!A:B,2,0)</f>
        <v>Emp</v>
      </c>
      <c r="L3796">
        <v>1</v>
      </c>
      <c r="M3796">
        <f t="shared" ref="M3796:M3799" si="554">DAY(E3796)</f>
        <v>24</v>
      </c>
      <c r="N3796" t="str">
        <f>TEXT(MTDRejection[[#This Row],[RejectionDate]],"dddd")</f>
        <v>Tuesday</v>
      </c>
    </row>
    <row r="3797" spans="1:14">
      <c r="A3797" t="s">
        <v>45</v>
      </c>
      <c r="B3797" t="s">
        <v>5949</v>
      </c>
      <c r="C3797" t="s">
        <v>12</v>
      </c>
      <c r="D3797" t="s">
        <v>26</v>
      </c>
      <c r="E3797" s="7">
        <v>45650</v>
      </c>
      <c r="F3797" t="s">
        <v>184</v>
      </c>
      <c r="G3797">
        <v>0</v>
      </c>
      <c r="H3797" t="s">
        <v>27</v>
      </c>
      <c r="I3797" t="s">
        <v>16</v>
      </c>
      <c r="J3797" t="s">
        <v>16</v>
      </c>
      <c r="K3797" t="str">
        <f>VLOOKUP(C3797,CheckName!A:B,2,0)</f>
        <v>Emp</v>
      </c>
      <c r="L3797">
        <v>1</v>
      </c>
      <c r="M3797">
        <f t="shared" si="554"/>
        <v>24</v>
      </c>
      <c r="N3797" t="str">
        <f>TEXT(MTDRejection[[#This Row],[RejectionDate]],"dddd")</f>
        <v>Tuesday</v>
      </c>
    </row>
    <row r="3798" spans="1:14">
      <c r="A3798" t="s">
        <v>469</v>
      </c>
      <c r="B3798" t="s">
        <v>5950</v>
      </c>
      <c r="C3798" t="s">
        <v>12</v>
      </c>
      <c r="D3798" t="s">
        <v>26</v>
      </c>
      <c r="E3798" s="7">
        <v>45650</v>
      </c>
      <c r="F3798" t="s">
        <v>2347</v>
      </c>
      <c r="G3798">
        <v>0</v>
      </c>
      <c r="H3798" t="s">
        <v>130</v>
      </c>
      <c r="I3798" t="s">
        <v>16</v>
      </c>
      <c r="J3798" t="s">
        <v>16</v>
      </c>
      <c r="K3798" t="str">
        <f>VLOOKUP(C3798,CheckName!A:B,2,0)</f>
        <v>Emp</v>
      </c>
      <c r="L3798">
        <v>1</v>
      </c>
      <c r="M3798">
        <f t="shared" si="554"/>
        <v>24</v>
      </c>
      <c r="N3798" t="str">
        <f>TEXT(MTDRejection[[#This Row],[RejectionDate]],"dddd")</f>
        <v>Tuesday</v>
      </c>
    </row>
    <row r="3799" spans="1:14">
      <c r="A3799" t="s">
        <v>292</v>
      </c>
      <c r="B3799" t="s">
        <v>2755</v>
      </c>
      <c r="C3799" t="s">
        <v>439</v>
      </c>
      <c r="D3799" t="s">
        <v>13</v>
      </c>
      <c r="E3799" s="7">
        <v>45650</v>
      </c>
      <c r="F3799" t="s">
        <v>530</v>
      </c>
      <c r="G3799">
        <v>0</v>
      </c>
      <c r="H3799" t="s">
        <v>15</v>
      </c>
      <c r="I3799" t="s">
        <v>16</v>
      </c>
      <c r="J3799" t="s">
        <v>16</v>
      </c>
      <c r="K3799" t="str">
        <f>VLOOKUP(C3799,CheckName!A:B,2,0)</f>
        <v>Edu</v>
      </c>
      <c r="L3799">
        <v>1</v>
      </c>
      <c r="M3799">
        <f t="shared" si="554"/>
        <v>24</v>
      </c>
      <c r="N3799" t="str">
        <f>TEXT(MTDRejection[[#This Row],[RejectionDate]],"dddd")</f>
        <v>Tuesday</v>
      </c>
    </row>
    <row r="3800" spans="1:14">
      <c r="A3800" t="s">
        <v>40</v>
      </c>
      <c r="B3800" t="s">
        <v>5951</v>
      </c>
      <c r="C3800" t="s">
        <v>12</v>
      </c>
      <c r="D3800" t="s">
        <v>26</v>
      </c>
      <c r="E3800" s="7">
        <v>45650</v>
      </c>
      <c r="F3800" t="s">
        <v>2337</v>
      </c>
      <c r="G3800">
        <v>0</v>
      </c>
      <c r="H3800" t="s">
        <v>27</v>
      </c>
      <c r="I3800" t="s">
        <v>16</v>
      </c>
      <c r="J3800" t="s">
        <v>16</v>
      </c>
      <c r="K3800" t="str">
        <f>VLOOKUP(C3800,CheckName!A:B,2,0)</f>
        <v>Emp</v>
      </c>
      <c r="L3800">
        <v>1</v>
      </c>
      <c r="M3800">
        <f>DAY(E3800)</f>
        <v>24</v>
      </c>
      <c r="N3800" t="str">
        <f>TEXT(MTDRejection[[#This Row],[RejectionDate]],"dddd")</f>
        <v>Tuesday</v>
      </c>
    </row>
    <row r="3801" spans="1:14">
      <c r="A3801" t="s">
        <v>419</v>
      </c>
      <c r="B3801" t="s">
        <v>5952</v>
      </c>
      <c r="C3801" t="s">
        <v>19</v>
      </c>
      <c r="D3801" t="s">
        <v>20</v>
      </c>
      <c r="E3801" s="7">
        <v>45650</v>
      </c>
      <c r="F3801" t="s">
        <v>129</v>
      </c>
      <c r="G3801">
        <v>0</v>
      </c>
      <c r="H3801" t="s">
        <v>22</v>
      </c>
      <c r="I3801" t="s">
        <v>16</v>
      </c>
      <c r="J3801" t="s">
        <v>16</v>
      </c>
      <c r="K3801" t="str">
        <f>VLOOKUP(C3801,CheckName!A:B,2,0)</f>
        <v>Add</v>
      </c>
      <c r="L3801">
        <v>1</v>
      </c>
      <c r="M3801">
        <f>DAY(E3801)</f>
        <v>24</v>
      </c>
      <c r="N3801" t="str">
        <f>TEXT(MTDRejection[[#This Row],[RejectionDate]],"dddd")</f>
        <v>Tuesday</v>
      </c>
    </row>
    <row r="3802" spans="1:14">
      <c r="A3802" t="s">
        <v>84</v>
      </c>
      <c r="B3802" t="s">
        <v>5953</v>
      </c>
      <c r="C3802" t="s">
        <v>36</v>
      </c>
      <c r="D3802" t="s">
        <v>26</v>
      </c>
      <c r="E3802" s="7">
        <v>45633</v>
      </c>
      <c r="F3802" t="s">
        <v>2333</v>
      </c>
      <c r="G3802">
        <v>17</v>
      </c>
      <c r="H3802" t="s">
        <v>27</v>
      </c>
      <c r="I3802" t="s">
        <v>16</v>
      </c>
      <c r="J3802" t="s">
        <v>16</v>
      </c>
      <c r="K3802" t="str">
        <f>VLOOKUP(C3802,CheckName!A:B,2,0)</f>
        <v>Emp</v>
      </c>
      <c r="L3802">
        <v>1</v>
      </c>
      <c r="M3802">
        <f>DAY(E3802)</f>
        <v>7</v>
      </c>
      <c r="N3802" t="str">
        <f>TEXT(MTDRejection[[#This Row],[RejectionDate]],"dddd")</f>
        <v>Saturday</v>
      </c>
    </row>
    <row r="3803" spans="1:14">
      <c r="A3803" t="s">
        <v>283</v>
      </c>
      <c r="B3803" t="s">
        <v>5954</v>
      </c>
      <c r="C3803" t="s">
        <v>36</v>
      </c>
      <c r="D3803" t="s">
        <v>13</v>
      </c>
      <c r="E3803" s="7">
        <v>45650</v>
      </c>
      <c r="F3803" t="s">
        <v>2326</v>
      </c>
      <c r="G3803">
        <v>0</v>
      </c>
      <c r="H3803" t="s">
        <v>15</v>
      </c>
      <c r="I3803" t="s">
        <v>16</v>
      </c>
      <c r="J3803" t="s">
        <v>16</v>
      </c>
      <c r="K3803" t="str">
        <f>VLOOKUP(C3803,CheckName!A:B,2,0)</f>
        <v>Emp</v>
      </c>
      <c r="L3803">
        <v>0</v>
      </c>
      <c r="M3803">
        <f t="shared" ref="M3803:M3804" si="555">DAY(E3803)</f>
        <v>24</v>
      </c>
      <c r="N3803" t="str">
        <f>TEXT(MTDRejection[[#This Row],[RejectionDate]],"dddd")</f>
        <v>Tuesday</v>
      </c>
    </row>
    <row r="3804" spans="1:14">
      <c r="A3804" t="s">
        <v>2086</v>
      </c>
      <c r="B3804" t="s">
        <v>5955</v>
      </c>
      <c r="C3804" t="s">
        <v>12</v>
      </c>
      <c r="D3804" t="s">
        <v>13</v>
      </c>
      <c r="E3804" s="7">
        <v>45650</v>
      </c>
      <c r="F3804" t="s">
        <v>2343</v>
      </c>
      <c r="G3804">
        <v>0</v>
      </c>
      <c r="H3804" t="s">
        <v>15</v>
      </c>
      <c r="I3804" t="s">
        <v>16</v>
      </c>
      <c r="J3804" t="s">
        <v>16</v>
      </c>
      <c r="K3804" t="str">
        <f>VLOOKUP(C3804,CheckName!A:B,2,0)</f>
        <v>Emp</v>
      </c>
      <c r="L3804">
        <v>0</v>
      </c>
      <c r="M3804">
        <f t="shared" si="555"/>
        <v>24</v>
      </c>
      <c r="N3804" t="str">
        <f>TEXT(MTDRejection[[#This Row],[RejectionDate]],"dddd")</f>
        <v>Tuesday</v>
      </c>
    </row>
    <row r="3805" spans="1:14">
      <c r="A3805" t="s">
        <v>133</v>
      </c>
      <c r="B3805" t="s">
        <v>5956</v>
      </c>
      <c r="C3805" t="s">
        <v>25</v>
      </c>
      <c r="D3805" t="s">
        <v>20</v>
      </c>
      <c r="E3805" s="7">
        <v>45650</v>
      </c>
      <c r="F3805" t="s">
        <v>273</v>
      </c>
      <c r="G3805">
        <v>0</v>
      </c>
      <c r="H3805" t="s">
        <v>22</v>
      </c>
      <c r="I3805" t="s">
        <v>16</v>
      </c>
      <c r="J3805" t="s">
        <v>16</v>
      </c>
      <c r="K3805" t="str">
        <f>VLOOKUP(C3805,CheckName!A:B,2,0)</f>
        <v>Add</v>
      </c>
      <c r="L3805">
        <v>0</v>
      </c>
      <c r="M3805">
        <f>DAY(E3805)</f>
        <v>24</v>
      </c>
      <c r="N3805" t="str">
        <f>TEXT(MTDRejection[[#This Row],[RejectionDate]],"dddd")</f>
        <v>Tuesday</v>
      </c>
    </row>
    <row r="3806" spans="1:14">
      <c r="A3806" t="s">
        <v>1824</v>
      </c>
      <c r="B3806" t="s">
        <v>5957</v>
      </c>
      <c r="C3806" t="s">
        <v>19</v>
      </c>
      <c r="D3806" t="s">
        <v>20</v>
      </c>
      <c r="E3806" s="7">
        <v>45650</v>
      </c>
      <c r="F3806" t="s">
        <v>2327</v>
      </c>
      <c r="G3806">
        <v>0</v>
      </c>
      <c r="H3806" t="s">
        <v>22</v>
      </c>
      <c r="I3806" t="s">
        <v>16</v>
      </c>
      <c r="J3806" t="s">
        <v>16</v>
      </c>
      <c r="K3806" t="str">
        <f>VLOOKUP(C3806,CheckName!A:B,2,0)</f>
        <v>Add</v>
      </c>
      <c r="L3806">
        <v>0</v>
      </c>
      <c r="M3806">
        <f t="shared" ref="M3806:M3810" si="556">DAY(E3806)</f>
        <v>24</v>
      </c>
      <c r="N3806" t="str">
        <f>TEXT(MTDRejection[[#This Row],[RejectionDate]],"dddd")</f>
        <v>Tuesday</v>
      </c>
    </row>
    <row r="3807" spans="1:14">
      <c r="A3807" t="s">
        <v>1824</v>
      </c>
      <c r="B3807" t="s">
        <v>2087</v>
      </c>
      <c r="C3807" t="s">
        <v>19</v>
      </c>
      <c r="D3807" t="s">
        <v>20</v>
      </c>
      <c r="E3807" s="7">
        <v>45650</v>
      </c>
      <c r="F3807" t="s">
        <v>2327</v>
      </c>
      <c r="G3807">
        <v>0</v>
      </c>
      <c r="H3807" t="s">
        <v>566</v>
      </c>
      <c r="I3807" t="s">
        <v>16</v>
      </c>
      <c r="J3807" t="s">
        <v>16</v>
      </c>
      <c r="K3807" t="str">
        <f>VLOOKUP(C3807,CheckName!A:B,2,0)</f>
        <v>Add</v>
      </c>
      <c r="L3807">
        <v>0</v>
      </c>
      <c r="M3807">
        <f t="shared" si="556"/>
        <v>24</v>
      </c>
      <c r="N3807" t="str">
        <f>TEXT(MTDRejection[[#This Row],[RejectionDate]],"dddd")</f>
        <v>Tuesday</v>
      </c>
    </row>
    <row r="3808" spans="1:14">
      <c r="A3808" t="s">
        <v>1824</v>
      </c>
      <c r="B3808" t="s">
        <v>5958</v>
      </c>
      <c r="C3808" t="s">
        <v>19</v>
      </c>
      <c r="D3808" t="s">
        <v>20</v>
      </c>
      <c r="E3808" s="7">
        <v>45650</v>
      </c>
      <c r="F3808" t="s">
        <v>2327</v>
      </c>
      <c r="G3808">
        <v>0</v>
      </c>
      <c r="H3808" t="s">
        <v>30</v>
      </c>
      <c r="I3808" t="s">
        <v>16</v>
      </c>
      <c r="J3808" t="s">
        <v>16</v>
      </c>
      <c r="K3808" t="str">
        <f>VLOOKUP(C3808,CheckName!A:B,2,0)</f>
        <v>Add</v>
      </c>
      <c r="L3808">
        <v>0</v>
      </c>
      <c r="M3808">
        <f t="shared" si="556"/>
        <v>24</v>
      </c>
      <c r="N3808" t="str">
        <f>TEXT(MTDRejection[[#This Row],[RejectionDate]],"dddd")</f>
        <v>Tuesday</v>
      </c>
    </row>
    <row r="3809" spans="1:14">
      <c r="A3809" t="s">
        <v>1393</v>
      </c>
      <c r="B3809" t="s">
        <v>5959</v>
      </c>
      <c r="C3809" t="s">
        <v>19</v>
      </c>
      <c r="D3809" t="s">
        <v>20</v>
      </c>
      <c r="E3809" s="7">
        <v>45650</v>
      </c>
      <c r="F3809" t="s">
        <v>2327</v>
      </c>
      <c r="G3809">
        <v>0</v>
      </c>
      <c r="H3809" t="s">
        <v>27</v>
      </c>
      <c r="I3809" t="s">
        <v>16</v>
      </c>
      <c r="J3809" t="s">
        <v>16</v>
      </c>
      <c r="K3809" t="str">
        <f>VLOOKUP(C3809,CheckName!A:B,2,0)</f>
        <v>Add</v>
      </c>
      <c r="L3809">
        <v>0</v>
      </c>
      <c r="M3809">
        <f t="shared" si="556"/>
        <v>24</v>
      </c>
      <c r="N3809" t="str">
        <f>TEXT(MTDRejection[[#This Row],[RejectionDate]],"dddd")</f>
        <v>Tuesday</v>
      </c>
    </row>
    <row r="3810" spans="1:14">
      <c r="A3810" t="s">
        <v>1945</v>
      </c>
      <c r="B3810" t="s">
        <v>5960</v>
      </c>
      <c r="C3810" t="s">
        <v>19</v>
      </c>
      <c r="D3810" t="s">
        <v>20</v>
      </c>
      <c r="E3810" s="7">
        <v>45650</v>
      </c>
      <c r="F3810" t="s">
        <v>2327</v>
      </c>
      <c r="G3810">
        <v>0</v>
      </c>
      <c r="H3810" t="s">
        <v>22</v>
      </c>
      <c r="I3810" t="s">
        <v>16</v>
      </c>
      <c r="J3810" t="s">
        <v>16</v>
      </c>
      <c r="K3810" t="str">
        <f>VLOOKUP(C3810,CheckName!A:B,2,0)</f>
        <v>Add</v>
      </c>
      <c r="L3810">
        <v>0</v>
      </c>
      <c r="M3810">
        <f t="shared" si="556"/>
        <v>24</v>
      </c>
      <c r="N3810" t="str">
        <f>TEXT(MTDRejection[[#This Row],[RejectionDate]],"dddd")</f>
        <v>Tuesday</v>
      </c>
    </row>
    <row r="3811" spans="1:14">
      <c r="A3811" t="s">
        <v>682</v>
      </c>
      <c r="B3811" t="s">
        <v>5961</v>
      </c>
      <c r="C3811" t="s">
        <v>54</v>
      </c>
      <c r="D3811" t="s">
        <v>38</v>
      </c>
      <c r="E3811" s="7">
        <v>45650</v>
      </c>
      <c r="F3811" t="s">
        <v>1776</v>
      </c>
      <c r="G3811">
        <v>0</v>
      </c>
      <c r="H3811" t="s">
        <v>42</v>
      </c>
      <c r="I3811" t="s">
        <v>16</v>
      </c>
      <c r="J3811" t="s">
        <v>16</v>
      </c>
      <c r="K3811" t="str">
        <f>VLOOKUP(C3811,CheckName!A:B,2,0)</f>
        <v>Edu</v>
      </c>
      <c r="L3811">
        <v>0</v>
      </c>
      <c r="M3811">
        <f>DAY(E3811)</f>
        <v>24</v>
      </c>
      <c r="N3811" t="str">
        <f>TEXT(MTDRejection[[#This Row],[RejectionDate]],"dddd")</f>
        <v>Tuesday</v>
      </c>
    </row>
    <row r="3812" spans="1:14">
      <c r="A3812" t="s">
        <v>391</v>
      </c>
      <c r="B3812" t="s">
        <v>5962</v>
      </c>
      <c r="C3812" t="s">
        <v>12</v>
      </c>
      <c r="D3812" t="s">
        <v>26</v>
      </c>
      <c r="E3812" s="7">
        <v>45650</v>
      </c>
      <c r="F3812" t="s">
        <v>222</v>
      </c>
      <c r="G3812">
        <v>0</v>
      </c>
      <c r="H3812" t="s">
        <v>27</v>
      </c>
      <c r="I3812" t="s">
        <v>16</v>
      </c>
      <c r="J3812" t="s">
        <v>16</v>
      </c>
      <c r="K3812" t="str">
        <f>VLOOKUP(C3812,CheckName!A:B,2,0)</f>
        <v>Emp</v>
      </c>
      <c r="L3812">
        <v>0</v>
      </c>
      <c r="M3812">
        <f t="shared" ref="M3812:M3813" si="557">DAY(E3812)</f>
        <v>24</v>
      </c>
      <c r="N3812" t="str">
        <f>TEXT(MTDRejection[[#This Row],[RejectionDate]],"dddd")</f>
        <v>Tuesday</v>
      </c>
    </row>
    <row r="3813" spans="1:14">
      <c r="A3813" t="s">
        <v>84</v>
      </c>
      <c r="B3813" t="s">
        <v>5963</v>
      </c>
      <c r="C3813" t="s">
        <v>125</v>
      </c>
      <c r="D3813" t="s">
        <v>26</v>
      </c>
      <c r="E3813" s="7">
        <v>45650</v>
      </c>
      <c r="F3813" t="s">
        <v>222</v>
      </c>
      <c r="G3813">
        <v>0</v>
      </c>
      <c r="H3813" t="s">
        <v>95</v>
      </c>
      <c r="I3813" t="s">
        <v>16</v>
      </c>
      <c r="J3813" t="s">
        <v>16</v>
      </c>
      <c r="K3813" t="str">
        <f>VLOOKUP(C3813,CheckName!A:B,2,0)</f>
        <v>Emp</v>
      </c>
      <c r="L3813">
        <v>0</v>
      </c>
      <c r="M3813">
        <f t="shared" si="557"/>
        <v>24</v>
      </c>
      <c r="N3813" t="str">
        <f>TEXT(MTDRejection[[#This Row],[RejectionDate]],"dddd")</f>
        <v>Tuesday</v>
      </c>
    </row>
    <row r="3814" spans="1:14">
      <c r="A3814" t="s">
        <v>228</v>
      </c>
      <c r="B3814" t="s">
        <v>5964</v>
      </c>
      <c r="C3814" t="s">
        <v>36</v>
      </c>
      <c r="D3814" t="s">
        <v>26</v>
      </c>
      <c r="E3814" s="7">
        <v>45650</v>
      </c>
      <c r="F3814" t="s">
        <v>222</v>
      </c>
      <c r="G3814">
        <v>0</v>
      </c>
      <c r="H3814" t="s">
        <v>27</v>
      </c>
      <c r="I3814" t="s">
        <v>16</v>
      </c>
      <c r="J3814" t="s">
        <v>16</v>
      </c>
      <c r="K3814" t="str">
        <f>VLOOKUP(C3814,CheckName!A:B,2,0)</f>
        <v>Emp</v>
      </c>
      <c r="L3814">
        <v>0</v>
      </c>
      <c r="M3814">
        <f t="shared" ref="M3814:M3817" si="558">DAY(E3814)</f>
        <v>24</v>
      </c>
      <c r="N3814" t="str">
        <f>TEXT(MTDRejection[[#This Row],[RejectionDate]],"dddd")</f>
        <v>Tuesday</v>
      </c>
    </row>
    <row r="3815" spans="1:14">
      <c r="A3815" t="s">
        <v>878</v>
      </c>
      <c r="B3815" t="s">
        <v>5965</v>
      </c>
      <c r="C3815" t="s">
        <v>112</v>
      </c>
      <c r="D3815" t="s">
        <v>26</v>
      </c>
      <c r="E3815" s="7">
        <v>45650</v>
      </c>
      <c r="F3815" t="s">
        <v>222</v>
      </c>
      <c r="G3815">
        <v>0</v>
      </c>
      <c r="H3815" t="s">
        <v>27</v>
      </c>
      <c r="I3815" t="s">
        <v>16</v>
      </c>
      <c r="J3815" t="s">
        <v>16</v>
      </c>
      <c r="K3815" t="str">
        <f>VLOOKUP(C3815,CheckName!A:B,2,0)</f>
        <v>Emp</v>
      </c>
      <c r="L3815">
        <v>0</v>
      </c>
      <c r="M3815">
        <f t="shared" si="558"/>
        <v>24</v>
      </c>
      <c r="N3815" t="str">
        <f>TEXT(MTDRejection[[#This Row],[RejectionDate]],"dddd")</f>
        <v>Tuesday</v>
      </c>
    </row>
    <row r="3816" spans="1:14">
      <c r="A3816" t="s">
        <v>180</v>
      </c>
      <c r="B3816" t="s">
        <v>5966</v>
      </c>
      <c r="C3816" t="s">
        <v>19</v>
      </c>
      <c r="D3816" t="s">
        <v>26</v>
      </c>
      <c r="E3816" s="7">
        <v>45650</v>
      </c>
      <c r="F3816" t="s">
        <v>66</v>
      </c>
      <c r="G3816">
        <v>0</v>
      </c>
      <c r="H3816" t="s">
        <v>425</v>
      </c>
      <c r="I3816" t="s">
        <v>16</v>
      </c>
      <c r="J3816" t="s">
        <v>16</v>
      </c>
      <c r="K3816" t="str">
        <f>VLOOKUP(C3816,CheckName!A:B,2,0)</f>
        <v>Add</v>
      </c>
      <c r="L3816">
        <v>0</v>
      </c>
      <c r="M3816">
        <f t="shared" si="558"/>
        <v>24</v>
      </c>
      <c r="N3816" t="str">
        <f>TEXT(MTDRejection[[#This Row],[RejectionDate]],"dddd")</f>
        <v>Tuesday</v>
      </c>
    </row>
    <row r="3817" spans="1:14">
      <c r="A3817" t="s">
        <v>10</v>
      </c>
      <c r="B3817" t="s">
        <v>5967</v>
      </c>
      <c r="C3817" t="s">
        <v>36</v>
      </c>
      <c r="D3817" t="s">
        <v>26</v>
      </c>
      <c r="E3817" s="7">
        <v>45650</v>
      </c>
      <c r="F3817" t="s">
        <v>2350</v>
      </c>
      <c r="G3817">
        <v>0</v>
      </c>
      <c r="H3817" t="s">
        <v>27</v>
      </c>
      <c r="I3817" t="s">
        <v>16</v>
      </c>
      <c r="J3817" t="s">
        <v>16</v>
      </c>
      <c r="K3817" t="str">
        <f>VLOOKUP(C3817,CheckName!A:B,2,0)</f>
        <v>Emp</v>
      </c>
      <c r="L3817">
        <v>0</v>
      </c>
      <c r="M3817">
        <f t="shared" si="558"/>
        <v>24</v>
      </c>
      <c r="N3817" t="str">
        <f>TEXT(MTDRejection[[#This Row],[RejectionDate]],"dddd")</f>
        <v>Tuesday</v>
      </c>
    </row>
    <row r="3818" spans="1:14">
      <c r="A3818" t="s">
        <v>84</v>
      </c>
      <c r="B3818" t="s">
        <v>5968</v>
      </c>
      <c r="C3818" t="s">
        <v>54</v>
      </c>
      <c r="D3818" t="s">
        <v>26</v>
      </c>
      <c r="E3818" s="7">
        <v>45650</v>
      </c>
      <c r="F3818" t="s">
        <v>2329</v>
      </c>
      <c r="G3818">
        <v>0</v>
      </c>
      <c r="H3818" t="s">
        <v>27</v>
      </c>
      <c r="I3818" t="s">
        <v>16</v>
      </c>
      <c r="J3818" t="s">
        <v>16</v>
      </c>
      <c r="K3818" t="str">
        <f>VLOOKUP(C3818,CheckName!A:B,2,0)</f>
        <v>Edu</v>
      </c>
      <c r="L3818">
        <v>0</v>
      </c>
      <c r="M3818">
        <f>DAY(E3818)</f>
        <v>24</v>
      </c>
      <c r="N3818" t="str">
        <f>TEXT(MTDRejection[[#This Row],[RejectionDate]],"dddd")</f>
        <v>Tuesday</v>
      </c>
    </row>
    <row r="3819" spans="1:14">
      <c r="A3819" t="s">
        <v>142</v>
      </c>
      <c r="B3819" t="s">
        <v>5969</v>
      </c>
      <c r="C3819" t="s">
        <v>12</v>
      </c>
      <c r="D3819" t="s">
        <v>26</v>
      </c>
      <c r="E3819" s="7">
        <v>45650</v>
      </c>
      <c r="F3819" t="s">
        <v>83</v>
      </c>
      <c r="G3819">
        <v>0</v>
      </c>
      <c r="H3819" t="s">
        <v>22</v>
      </c>
      <c r="I3819" t="s">
        <v>16</v>
      </c>
      <c r="J3819" t="s">
        <v>16</v>
      </c>
      <c r="K3819" t="str">
        <f>VLOOKUP(C3819,CheckName!A:B,2,0)</f>
        <v>Emp</v>
      </c>
      <c r="L3819">
        <v>0</v>
      </c>
      <c r="M3819">
        <f>DAY(E3819)</f>
        <v>24</v>
      </c>
      <c r="N3819" t="str">
        <f>TEXT(MTDRejection[[#This Row],[RejectionDate]],"dddd")</f>
        <v>Tuesday</v>
      </c>
    </row>
    <row r="3820" spans="1:14">
      <c r="A3820" t="s">
        <v>337</v>
      </c>
      <c r="B3820" t="s">
        <v>5970</v>
      </c>
      <c r="C3820" t="s">
        <v>36</v>
      </c>
      <c r="D3820" t="s">
        <v>26</v>
      </c>
      <c r="E3820" s="7">
        <v>45650</v>
      </c>
      <c r="F3820" t="s">
        <v>2347</v>
      </c>
      <c r="G3820">
        <v>0</v>
      </c>
      <c r="H3820" t="s">
        <v>95</v>
      </c>
      <c r="I3820" t="s">
        <v>16</v>
      </c>
      <c r="J3820" t="s">
        <v>16</v>
      </c>
      <c r="K3820" t="str">
        <f>VLOOKUP(C3820,CheckName!A:B,2,0)</f>
        <v>Emp</v>
      </c>
      <c r="L3820">
        <v>0</v>
      </c>
      <c r="M3820">
        <f t="shared" ref="M3820:M3824" si="559">DAY(E3820)</f>
        <v>24</v>
      </c>
      <c r="N3820" t="str">
        <f>TEXT(MTDRejection[[#This Row],[RejectionDate]],"dddd")</f>
        <v>Tuesday</v>
      </c>
    </row>
    <row r="3821" spans="1:14">
      <c r="A3821" t="s">
        <v>172</v>
      </c>
      <c r="B3821" t="s">
        <v>2757</v>
      </c>
      <c r="C3821" t="s">
        <v>125</v>
      </c>
      <c r="D3821" t="s">
        <v>13</v>
      </c>
      <c r="E3821" s="7">
        <v>45650</v>
      </c>
      <c r="F3821" t="s">
        <v>530</v>
      </c>
      <c r="G3821">
        <v>0</v>
      </c>
      <c r="H3821" t="s">
        <v>15</v>
      </c>
      <c r="I3821" t="s">
        <v>16</v>
      </c>
      <c r="J3821" t="s">
        <v>16</v>
      </c>
      <c r="K3821" t="str">
        <f>VLOOKUP(C3821,CheckName!A:B,2,0)</f>
        <v>Emp</v>
      </c>
      <c r="L3821">
        <v>0</v>
      </c>
      <c r="M3821">
        <f t="shared" si="559"/>
        <v>24</v>
      </c>
      <c r="N3821" t="str">
        <f>TEXT(MTDRejection[[#This Row],[RejectionDate]],"dddd")</f>
        <v>Tuesday</v>
      </c>
    </row>
    <row r="3822" spans="1:14">
      <c r="A3822" t="s">
        <v>216</v>
      </c>
      <c r="B3822" t="s">
        <v>5971</v>
      </c>
      <c r="C3822" t="s">
        <v>71</v>
      </c>
      <c r="D3822" t="s">
        <v>13</v>
      </c>
      <c r="E3822" s="7">
        <v>45650</v>
      </c>
      <c r="F3822" t="s">
        <v>90</v>
      </c>
      <c r="G3822">
        <v>0</v>
      </c>
      <c r="H3822" t="s">
        <v>15</v>
      </c>
      <c r="I3822" t="s">
        <v>16</v>
      </c>
      <c r="J3822" t="s">
        <v>16</v>
      </c>
      <c r="K3822" t="str">
        <f>VLOOKUP(C3822,CheckName!A:B,2,0)</f>
        <v>CRC</v>
      </c>
      <c r="L3822">
        <v>0</v>
      </c>
      <c r="M3822">
        <f t="shared" si="559"/>
        <v>24</v>
      </c>
      <c r="N3822" t="str">
        <f>TEXT(MTDRejection[[#This Row],[RejectionDate]],"dddd")</f>
        <v>Tuesday</v>
      </c>
    </row>
    <row r="3823" spans="1:14">
      <c r="A3823" t="s">
        <v>456</v>
      </c>
      <c r="B3823" t="s">
        <v>5972</v>
      </c>
      <c r="C3823" t="s">
        <v>1677</v>
      </c>
      <c r="D3823" t="s">
        <v>26</v>
      </c>
      <c r="E3823" s="7">
        <v>45650</v>
      </c>
      <c r="F3823" t="s">
        <v>1139</v>
      </c>
      <c r="G3823">
        <v>0</v>
      </c>
      <c r="H3823" t="s">
        <v>27</v>
      </c>
      <c r="I3823" t="s">
        <v>16</v>
      </c>
      <c r="J3823" t="s">
        <v>16</v>
      </c>
      <c r="K3823" t="str">
        <f>VLOOKUP(C3823,CheckName!A:B,2,0)</f>
        <v>Emp</v>
      </c>
      <c r="L3823">
        <v>0</v>
      </c>
      <c r="M3823">
        <f t="shared" si="559"/>
        <v>24</v>
      </c>
      <c r="N3823" t="str">
        <f>TEXT(MTDRejection[[#This Row],[RejectionDate]],"dddd")</f>
        <v>Tuesday</v>
      </c>
    </row>
    <row r="3824" spans="1:14">
      <c r="A3824" t="s">
        <v>176</v>
      </c>
      <c r="B3824" t="s">
        <v>5973</v>
      </c>
      <c r="C3824" t="s">
        <v>125</v>
      </c>
      <c r="D3824" t="s">
        <v>26</v>
      </c>
      <c r="E3824" s="7">
        <v>45650</v>
      </c>
      <c r="F3824" t="s">
        <v>311</v>
      </c>
      <c r="G3824">
        <v>0</v>
      </c>
      <c r="H3824" t="s">
        <v>27</v>
      </c>
      <c r="I3824" t="s">
        <v>16</v>
      </c>
      <c r="J3824" t="s">
        <v>16</v>
      </c>
      <c r="K3824" t="str">
        <f>VLOOKUP(C3824,CheckName!A:B,2,0)</f>
        <v>Emp</v>
      </c>
      <c r="L3824">
        <v>0</v>
      </c>
      <c r="M3824">
        <f t="shared" si="559"/>
        <v>24</v>
      </c>
      <c r="N3824" t="str">
        <f>TEXT(MTDRejection[[#This Row],[RejectionDate]],"dddd")</f>
        <v>Tuesday</v>
      </c>
    </row>
    <row r="3825" spans="1:14">
      <c r="A3825" t="s">
        <v>263</v>
      </c>
      <c r="B3825" t="s">
        <v>5974</v>
      </c>
      <c r="C3825" t="s">
        <v>59</v>
      </c>
      <c r="D3825" t="s">
        <v>13</v>
      </c>
      <c r="E3825" s="7">
        <v>45650</v>
      </c>
      <c r="F3825" t="s">
        <v>107</v>
      </c>
      <c r="G3825">
        <v>0</v>
      </c>
      <c r="H3825" t="s">
        <v>15</v>
      </c>
      <c r="I3825" t="s">
        <v>16</v>
      </c>
      <c r="J3825" t="s">
        <v>16</v>
      </c>
      <c r="K3825" t="str">
        <f>VLOOKUP(C3825,CheckName!A:B,2,0)</f>
        <v>Special Check</v>
      </c>
      <c r="L3825">
        <v>0</v>
      </c>
      <c r="M3825">
        <f t="shared" ref="M3825:M3832" si="560">DAY(E3825)</f>
        <v>24</v>
      </c>
      <c r="N3825" t="str">
        <f>TEXT(MTDRejection[[#This Row],[RejectionDate]],"dddd")</f>
        <v>Tuesday</v>
      </c>
    </row>
    <row r="3826" spans="1:14">
      <c r="A3826" t="s">
        <v>263</v>
      </c>
      <c r="B3826" t="s">
        <v>5975</v>
      </c>
      <c r="C3826" t="s">
        <v>49</v>
      </c>
      <c r="D3826" t="s">
        <v>13</v>
      </c>
      <c r="E3826" s="7">
        <v>45650</v>
      </c>
      <c r="F3826" t="s">
        <v>107</v>
      </c>
      <c r="G3826">
        <v>0</v>
      </c>
      <c r="H3826" t="s">
        <v>15</v>
      </c>
      <c r="I3826" t="s">
        <v>16</v>
      </c>
      <c r="J3826" t="s">
        <v>16</v>
      </c>
      <c r="K3826" t="str">
        <f>VLOOKUP(C3826,CheckName!A:B,2,0)</f>
        <v>CRC</v>
      </c>
      <c r="L3826">
        <v>0</v>
      </c>
      <c r="M3826">
        <f t="shared" si="560"/>
        <v>24</v>
      </c>
      <c r="N3826" t="str">
        <f>TEXT(MTDRejection[[#This Row],[RejectionDate]],"dddd")</f>
        <v>Tuesday</v>
      </c>
    </row>
    <row r="3827" spans="1:14">
      <c r="A3827" t="s">
        <v>263</v>
      </c>
      <c r="B3827" t="s">
        <v>5976</v>
      </c>
      <c r="C3827" t="s">
        <v>1700</v>
      </c>
      <c r="D3827" t="s">
        <v>13</v>
      </c>
      <c r="E3827" s="7">
        <v>45650</v>
      </c>
      <c r="F3827" t="s">
        <v>107</v>
      </c>
      <c r="G3827">
        <v>0</v>
      </c>
      <c r="H3827" t="s">
        <v>15</v>
      </c>
      <c r="I3827" t="s">
        <v>16</v>
      </c>
      <c r="J3827" t="s">
        <v>16</v>
      </c>
      <c r="K3827" t="str">
        <f>VLOOKUP(C3827,CheckName!A:B,2,0)</f>
        <v>CRC</v>
      </c>
      <c r="L3827">
        <v>0</v>
      </c>
      <c r="M3827">
        <f t="shared" si="560"/>
        <v>24</v>
      </c>
      <c r="N3827" t="str">
        <f>TEXT(MTDRejection[[#This Row],[RejectionDate]],"dddd")</f>
        <v>Tuesday</v>
      </c>
    </row>
    <row r="3828" spans="1:14">
      <c r="A3828" t="s">
        <v>263</v>
      </c>
      <c r="B3828" t="s">
        <v>2758</v>
      </c>
      <c r="C3828" t="s">
        <v>122</v>
      </c>
      <c r="D3828" t="s">
        <v>13</v>
      </c>
      <c r="E3828" s="7">
        <v>45650</v>
      </c>
      <c r="F3828" t="s">
        <v>107</v>
      </c>
      <c r="G3828">
        <v>0</v>
      </c>
      <c r="H3828" t="s">
        <v>15</v>
      </c>
      <c r="I3828" t="s">
        <v>16</v>
      </c>
      <c r="J3828" t="s">
        <v>16</v>
      </c>
      <c r="K3828" t="str">
        <f>VLOOKUP(C3828,CheckName!A:B,2,0)</f>
        <v>Special Check</v>
      </c>
      <c r="L3828">
        <v>0</v>
      </c>
      <c r="M3828">
        <f t="shared" si="560"/>
        <v>24</v>
      </c>
      <c r="N3828" t="str">
        <f>TEXT(MTDRejection[[#This Row],[RejectionDate]],"dddd")</f>
        <v>Tuesday</v>
      </c>
    </row>
    <row r="3829" spans="1:14">
      <c r="A3829" t="s">
        <v>1908</v>
      </c>
      <c r="B3829" t="s">
        <v>5977</v>
      </c>
      <c r="C3829" t="s">
        <v>36</v>
      </c>
      <c r="D3829" t="s">
        <v>26</v>
      </c>
      <c r="E3829" s="7">
        <v>45650</v>
      </c>
      <c r="F3829" t="s">
        <v>2335</v>
      </c>
      <c r="G3829">
        <v>0</v>
      </c>
      <c r="H3829" t="s">
        <v>27</v>
      </c>
      <c r="I3829" t="s">
        <v>16</v>
      </c>
      <c r="J3829" t="s">
        <v>16</v>
      </c>
      <c r="K3829" t="str">
        <f>VLOOKUP(C3829,CheckName!A:B,2,0)</f>
        <v>Emp</v>
      </c>
      <c r="L3829">
        <v>0</v>
      </c>
      <c r="M3829">
        <f t="shared" si="560"/>
        <v>24</v>
      </c>
      <c r="N3829" t="str">
        <f>TEXT(MTDRejection[[#This Row],[RejectionDate]],"dddd")</f>
        <v>Tuesday</v>
      </c>
    </row>
    <row r="3830" spans="1:14">
      <c r="A3830" t="s">
        <v>385</v>
      </c>
      <c r="B3830" t="s">
        <v>5978</v>
      </c>
      <c r="C3830" t="s">
        <v>36</v>
      </c>
      <c r="D3830" t="s">
        <v>26</v>
      </c>
      <c r="E3830" s="7">
        <v>45650</v>
      </c>
      <c r="F3830" t="s">
        <v>2335</v>
      </c>
      <c r="G3830">
        <v>0</v>
      </c>
      <c r="H3830" t="s">
        <v>27</v>
      </c>
      <c r="I3830" t="s">
        <v>16</v>
      </c>
      <c r="J3830" t="s">
        <v>16</v>
      </c>
      <c r="K3830" t="str">
        <f>VLOOKUP(C3830,CheckName!A:B,2,0)</f>
        <v>Emp</v>
      </c>
      <c r="L3830">
        <v>0</v>
      </c>
      <c r="M3830">
        <f t="shared" si="560"/>
        <v>24</v>
      </c>
      <c r="N3830" t="str">
        <f>TEXT(MTDRejection[[#This Row],[RejectionDate]],"dddd")</f>
        <v>Tuesday</v>
      </c>
    </row>
    <row r="3831" spans="1:14">
      <c r="A3831" t="s">
        <v>1110</v>
      </c>
      <c r="B3831" t="s">
        <v>5979</v>
      </c>
      <c r="C3831" t="s">
        <v>1623</v>
      </c>
      <c r="D3831" t="s">
        <v>13</v>
      </c>
      <c r="E3831" s="7">
        <v>45650</v>
      </c>
      <c r="F3831" t="s">
        <v>540</v>
      </c>
      <c r="G3831">
        <v>0</v>
      </c>
      <c r="H3831" t="s">
        <v>15</v>
      </c>
      <c r="I3831" t="s">
        <v>16</v>
      </c>
      <c r="J3831" t="s">
        <v>16</v>
      </c>
      <c r="K3831" t="str">
        <f>VLOOKUP(C3831,CheckName!A:B,2,0)</f>
        <v>CRC</v>
      </c>
      <c r="L3831">
        <v>0</v>
      </c>
      <c r="M3831">
        <f t="shared" si="560"/>
        <v>24</v>
      </c>
      <c r="N3831" t="str">
        <f>TEXT(MTDRejection[[#This Row],[RejectionDate]],"dddd")</f>
        <v>Tuesday</v>
      </c>
    </row>
    <row r="3832" spans="1:14">
      <c r="A3832" t="s">
        <v>306</v>
      </c>
      <c r="B3832" t="s">
        <v>5980</v>
      </c>
      <c r="C3832" t="s">
        <v>71</v>
      </c>
      <c r="D3832" t="s">
        <v>26</v>
      </c>
      <c r="E3832" s="7">
        <v>45650</v>
      </c>
      <c r="F3832" t="s">
        <v>118</v>
      </c>
      <c r="G3832">
        <v>0</v>
      </c>
      <c r="H3832" t="s">
        <v>27</v>
      </c>
      <c r="I3832" t="s">
        <v>16</v>
      </c>
      <c r="J3832" t="s">
        <v>16</v>
      </c>
      <c r="K3832" t="str">
        <f>VLOOKUP(C3832,CheckName!A:B,2,0)</f>
        <v>CRC</v>
      </c>
      <c r="L3832">
        <v>0</v>
      </c>
      <c r="M3832">
        <f t="shared" si="560"/>
        <v>24</v>
      </c>
      <c r="N3832" t="str">
        <f>TEXT(MTDRejection[[#This Row],[RejectionDate]],"dddd")</f>
        <v>Tuesday</v>
      </c>
    </row>
    <row r="3833" spans="1:14">
      <c r="A3833" t="s">
        <v>170</v>
      </c>
      <c r="B3833" t="s">
        <v>5981</v>
      </c>
      <c r="C3833" t="s">
        <v>36</v>
      </c>
      <c r="D3833" t="s">
        <v>26</v>
      </c>
      <c r="E3833" s="7">
        <v>45650</v>
      </c>
      <c r="F3833" t="s">
        <v>141</v>
      </c>
      <c r="G3833">
        <v>0</v>
      </c>
      <c r="H3833" t="s">
        <v>22</v>
      </c>
      <c r="I3833" t="s">
        <v>16</v>
      </c>
      <c r="J3833" t="s">
        <v>16</v>
      </c>
      <c r="K3833" t="str">
        <f>VLOOKUP(C3833,CheckName!A:B,2,0)</f>
        <v>Emp</v>
      </c>
      <c r="L3833">
        <v>0</v>
      </c>
      <c r="M3833">
        <f t="shared" ref="M3833:M3834" si="561">DAY(E3833)</f>
        <v>24</v>
      </c>
      <c r="N3833" t="str">
        <f>TEXT(MTDRejection[[#This Row],[RejectionDate]],"dddd")</f>
        <v>Tuesday</v>
      </c>
    </row>
    <row r="3834" spans="1:14">
      <c r="A3834" t="s">
        <v>429</v>
      </c>
      <c r="B3834" t="s">
        <v>5982</v>
      </c>
      <c r="C3834" t="s">
        <v>59</v>
      </c>
      <c r="D3834" t="s">
        <v>38</v>
      </c>
      <c r="E3834" s="7">
        <v>45650</v>
      </c>
      <c r="F3834" t="s">
        <v>118</v>
      </c>
      <c r="G3834">
        <v>0</v>
      </c>
      <c r="H3834" t="s">
        <v>42</v>
      </c>
      <c r="I3834" t="s">
        <v>16</v>
      </c>
      <c r="J3834" t="s">
        <v>16</v>
      </c>
      <c r="K3834" t="str">
        <f>VLOOKUP(C3834,CheckName!A:B,2,0)</f>
        <v>Special Check</v>
      </c>
      <c r="L3834">
        <v>0</v>
      </c>
      <c r="M3834">
        <f t="shared" si="561"/>
        <v>24</v>
      </c>
      <c r="N3834" t="str">
        <f>TEXT(MTDRejection[[#This Row],[RejectionDate]],"dddd")</f>
        <v>Tuesday</v>
      </c>
    </row>
    <row r="3835" spans="1:14">
      <c r="A3835" t="s">
        <v>211</v>
      </c>
      <c r="B3835" t="s">
        <v>5983</v>
      </c>
      <c r="C3835" t="s">
        <v>12</v>
      </c>
      <c r="D3835" t="s">
        <v>26</v>
      </c>
      <c r="E3835" s="7">
        <v>45649</v>
      </c>
      <c r="F3835" t="s">
        <v>2354</v>
      </c>
      <c r="G3835">
        <v>1</v>
      </c>
      <c r="H3835" t="s">
        <v>27</v>
      </c>
      <c r="I3835" t="s">
        <v>16</v>
      </c>
      <c r="J3835" t="s">
        <v>16</v>
      </c>
      <c r="K3835" t="str">
        <f>VLOOKUP(C3835,CheckName!A:B,2,0)</f>
        <v>Emp</v>
      </c>
      <c r="L3835">
        <v>0</v>
      </c>
      <c r="M3835">
        <f>DAY(E3835)</f>
        <v>23</v>
      </c>
      <c r="N3835" t="str">
        <f>TEXT(MTDRejection[[#This Row],[RejectionDate]],"dddd")</f>
        <v>Monday</v>
      </c>
    </row>
    <row r="3836" spans="1:14">
      <c r="A3836" t="s">
        <v>2088</v>
      </c>
      <c r="B3836" t="s">
        <v>5984</v>
      </c>
      <c r="C3836" t="s">
        <v>12</v>
      </c>
      <c r="D3836" t="s">
        <v>26</v>
      </c>
      <c r="E3836" s="7">
        <v>45643</v>
      </c>
      <c r="F3836" t="s">
        <v>2335</v>
      </c>
      <c r="G3836">
        <v>7</v>
      </c>
      <c r="H3836" t="s">
        <v>27</v>
      </c>
      <c r="I3836" t="s">
        <v>16</v>
      </c>
      <c r="J3836" t="s">
        <v>16</v>
      </c>
      <c r="K3836" t="str">
        <f>VLOOKUP(C3836,CheckName!A:B,2,0)</f>
        <v>Emp</v>
      </c>
      <c r="L3836">
        <v>0</v>
      </c>
      <c r="M3836">
        <f>DAY(E3836)</f>
        <v>17</v>
      </c>
      <c r="N3836" t="str">
        <f>TEXT(MTDRejection[[#This Row],[RejectionDate]],"dddd")</f>
        <v>Tuesday</v>
      </c>
    </row>
    <row r="3837" spans="1:14">
      <c r="A3837" t="s">
        <v>2089</v>
      </c>
      <c r="B3837" t="s">
        <v>5985</v>
      </c>
      <c r="C3837" t="s">
        <v>36</v>
      </c>
      <c r="D3837" t="s">
        <v>13</v>
      </c>
      <c r="E3837" s="7">
        <v>45652</v>
      </c>
      <c r="F3837" t="s">
        <v>2326</v>
      </c>
      <c r="G3837">
        <v>0</v>
      </c>
      <c r="H3837" t="s">
        <v>15</v>
      </c>
      <c r="I3837" t="s">
        <v>16</v>
      </c>
      <c r="J3837" t="s">
        <v>16</v>
      </c>
      <c r="K3837" t="str">
        <f>VLOOKUP(C3837,CheckName!A:B,2,0)</f>
        <v>Emp</v>
      </c>
      <c r="L3837">
        <v>0</v>
      </c>
      <c r="M3837">
        <f t="shared" ref="M3837:M3857" si="562">DAY(E3837)</f>
        <v>26</v>
      </c>
      <c r="N3837" t="str">
        <f>TEXT(MTDRejection[[#This Row],[RejectionDate]],"dddd")</f>
        <v>Thursday</v>
      </c>
    </row>
    <row r="3838" spans="1:14">
      <c r="A3838" t="s">
        <v>2090</v>
      </c>
      <c r="B3838" t="s">
        <v>5986</v>
      </c>
      <c r="C3838" t="s">
        <v>36</v>
      </c>
      <c r="D3838" t="s">
        <v>13</v>
      </c>
      <c r="E3838" s="7">
        <v>45652</v>
      </c>
      <c r="F3838" t="s">
        <v>2326</v>
      </c>
      <c r="G3838">
        <v>0</v>
      </c>
      <c r="H3838" t="s">
        <v>30</v>
      </c>
      <c r="I3838" t="s">
        <v>16</v>
      </c>
      <c r="J3838" t="s">
        <v>16</v>
      </c>
      <c r="K3838" t="str">
        <f>VLOOKUP(C3838,CheckName!A:B,2,0)</f>
        <v>Emp</v>
      </c>
      <c r="L3838">
        <v>0</v>
      </c>
      <c r="M3838">
        <f t="shared" si="562"/>
        <v>26</v>
      </c>
      <c r="N3838" t="str">
        <f>TEXT(MTDRejection[[#This Row],[RejectionDate]],"dddd")</f>
        <v>Thursday</v>
      </c>
    </row>
    <row r="3839" spans="1:14">
      <c r="A3839" t="s">
        <v>45</v>
      </c>
      <c r="B3839" t="s">
        <v>5987</v>
      </c>
      <c r="C3839" t="s">
        <v>54</v>
      </c>
      <c r="D3839" t="s">
        <v>26</v>
      </c>
      <c r="E3839" s="7">
        <v>45652</v>
      </c>
      <c r="F3839" t="s">
        <v>63</v>
      </c>
      <c r="G3839">
        <v>0</v>
      </c>
      <c r="H3839" t="s">
        <v>95</v>
      </c>
      <c r="I3839" t="s">
        <v>16</v>
      </c>
      <c r="J3839" t="s">
        <v>16</v>
      </c>
      <c r="K3839" t="str">
        <f>VLOOKUP(C3839,CheckName!A:B,2,0)</f>
        <v>Edu</v>
      </c>
      <c r="L3839">
        <v>0</v>
      </c>
      <c r="M3839">
        <f t="shared" si="562"/>
        <v>26</v>
      </c>
      <c r="N3839" t="str">
        <f>TEXT(MTDRejection[[#This Row],[RejectionDate]],"dddd")</f>
        <v>Thursday</v>
      </c>
    </row>
    <row r="3840" spans="1:14">
      <c r="A3840" t="s">
        <v>883</v>
      </c>
      <c r="B3840" t="s">
        <v>5988</v>
      </c>
      <c r="C3840" t="s">
        <v>54</v>
      </c>
      <c r="D3840" t="s">
        <v>26</v>
      </c>
      <c r="E3840" s="7">
        <v>45652</v>
      </c>
      <c r="F3840" t="s">
        <v>309</v>
      </c>
      <c r="G3840">
        <v>0</v>
      </c>
      <c r="H3840" t="s">
        <v>22</v>
      </c>
      <c r="I3840" t="s">
        <v>16</v>
      </c>
      <c r="J3840" t="s">
        <v>16</v>
      </c>
      <c r="K3840" t="str">
        <f>VLOOKUP(C3840,CheckName!A:B,2,0)</f>
        <v>Edu</v>
      </c>
      <c r="L3840">
        <v>0</v>
      </c>
      <c r="M3840">
        <f t="shared" si="562"/>
        <v>26</v>
      </c>
      <c r="N3840" t="str">
        <f>TEXT(MTDRejection[[#This Row],[RejectionDate]],"dddd")</f>
        <v>Thursday</v>
      </c>
    </row>
    <row r="3841" spans="1:14">
      <c r="A3841" t="s">
        <v>170</v>
      </c>
      <c r="B3841" t="s">
        <v>5989</v>
      </c>
      <c r="C3841" t="s">
        <v>36</v>
      </c>
      <c r="D3841" t="s">
        <v>13</v>
      </c>
      <c r="E3841" s="7">
        <v>45651</v>
      </c>
      <c r="F3841" t="s">
        <v>579</v>
      </c>
      <c r="G3841">
        <v>1</v>
      </c>
      <c r="H3841" t="s">
        <v>15</v>
      </c>
      <c r="I3841" t="s">
        <v>16</v>
      </c>
      <c r="J3841" t="s">
        <v>16</v>
      </c>
      <c r="K3841" t="str">
        <f>VLOOKUP(C3841,CheckName!A:B,2,0)</f>
        <v>Emp</v>
      </c>
      <c r="L3841">
        <v>0</v>
      </c>
      <c r="M3841">
        <f t="shared" si="562"/>
        <v>25</v>
      </c>
      <c r="N3841" t="str">
        <f>TEXT(MTDRejection[[#This Row],[RejectionDate]],"dddd")</f>
        <v>Wednesday</v>
      </c>
    </row>
    <row r="3842" spans="1:14">
      <c r="A3842" t="s">
        <v>263</v>
      </c>
      <c r="B3842" t="s">
        <v>5990</v>
      </c>
      <c r="C3842" t="s">
        <v>12</v>
      </c>
      <c r="D3842" t="s">
        <v>13</v>
      </c>
      <c r="E3842" s="7">
        <v>45651</v>
      </c>
      <c r="F3842" t="s">
        <v>579</v>
      </c>
      <c r="G3842">
        <v>1</v>
      </c>
      <c r="H3842" t="s">
        <v>15</v>
      </c>
      <c r="I3842" t="s">
        <v>16</v>
      </c>
      <c r="J3842" t="s">
        <v>16</v>
      </c>
      <c r="K3842" t="str">
        <f>VLOOKUP(C3842,CheckName!A:B,2,0)</f>
        <v>Emp</v>
      </c>
      <c r="L3842">
        <v>0</v>
      </c>
      <c r="M3842">
        <f t="shared" si="562"/>
        <v>25</v>
      </c>
      <c r="N3842" t="str">
        <f>TEXT(MTDRejection[[#This Row],[RejectionDate]],"dddd")</f>
        <v>Wednesday</v>
      </c>
    </row>
    <row r="3843" spans="1:14">
      <c r="A3843" t="s">
        <v>263</v>
      </c>
      <c r="B3843" t="s">
        <v>5991</v>
      </c>
      <c r="C3843" t="s">
        <v>12</v>
      </c>
      <c r="D3843" t="s">
        <v>13</v>
      </c>
      <c r="E3843" s="7">
        <v>45651</v>
      </c>
      <c r="F3843" t="s">
        <v>579</v>
      </c>
      <c r="G3843">
        <v>1</v>
      </c>
      <c r="H3843" t="s">
        <v>30</v>
      </c>
      <c r="I3843" t="s">
        <v>16</v>
      </c>
      <c r="J3843" t="s">
        <v>16</v>
      </c>
      <c r="K3843" t="str">
        <f>VLOOKUP(C3843,CheckName!A:B,2,0)</f>
        <v>Emp</v>
      </c>
      <c r="L3843">
        <v>0</v>
      </c>
      <c r="M3843">
        <f t="shared" si="562"/>
        <v>25</v>
      </c>
      <c r="N3843" t="str">
        <f>TEXT(MTDRejection[[#This Row],[RejectionDate]],"dddd")</f>
        <v>Wednesday</v>
      </c>
    </row>
    <row r="3844" spans="1:14">
      <c r="A3844" t="s">
        <v>312</v>
      </c>
      <c r="B3844" t="s">
        <v>5992</v>
      </c>
      <c r="C3844" t="s">
        <v>25</v>
      </c>
      <c r="D3844" t="s">
        <v>13</v>
      </c>
      <c r="E3844" s="7">
        <v>45651</v>
      </c>
      <c r="F3844" t="s">
        <v>2332</v>
      </c>
      <c r="G3844">
        <v>1</v>
      </c>
      <c r="H3844" t="s">
        <v>30</v>
      </c>
      <c r="I3844" t="s">
        <v>16</v>
      </c>
      <c r="J3844" t="s">
        <v>16</v>
      </c>
      <c r="K3844" t="str">
        <f>VLOOKUP(C3844,CheckName!A:B,2,0)</f>
        <v>Add</v>
      </c>
      <c r="L3844">
        <v>0</v>
      </c>
      <c r="M3844">
        <f t="shared" si="562"/>
        <v>25</v>
      </c>
      <c r="N3844" t="str">
        <f>TEXT(MTDRejection[[#This Row],[RejectionDate]],"dddd")</f>
        <v>Wednesday</v>
      </c>
    </row>
    <row r="3845" spans="1:14">
      <c r="A3845" t="s">
        <v>456</v>
      </c>
      <c r="B3845" t="s">
        <v>5993</v>
      </c>
      <c r="C3845" t="s">
        <v>1677</v>
      </c>
      <c r="D3845" t="s">
        <v>26</v>
      </c>
      <c r="E3845" s="7">
        <v>45651</v>
      </c>
      <c r="F3845" t="s">
        <v>159</v>
      </c>
      <c r="G3845">
        <v>1</v>
      </c>
      <c r="H3845" t="s">
        <v>27</v>
      </c>
      <c r="I3845" t="s">
        <v>16</v>
      </c>
      <c r="J3845" t="s">
        <v>16</v>
      </c>
      <c r="K3845" t="str">
        <f>VLOOKUP(C3845,CheckName!A:B,2,0)</f>
        <v>Emp</v>
      </c>
      <c r="L3845">
        <v>0</v>
      </c>
      <c r="M3845">
        <f t="shared" si="562"/>
        <v>25</v>
      </c>
      <c r="N3845" t="str">
        <f>TEXT(MTDRejection[[#This Row],[RejectionDate]],"dddd")</f>
        <v>Wednesday</v>
      </c>
    </row>
    <row r="3846" spans="1:14">
      <c r="A3846" t="s">
        <v>977</v>
      </c>
      <c r="B3846" t="s">
        <v>5994</v>
      </c>
      <c r="C3846" t="s">
        <v>1347</v>
      </c>
      <c r="D3846" t="s">
        <v>13</v>
      </c>
      <c r="E3846" s="7">
        <v>45651</v>
      </c>
      <c r="F3846" t="s">
        <v>1310</v>
      </c>
      <c r="G3846">
        <v>1</v>
      </c>
      <c r="H3846" t="s">
        <v>30</v>
      </c>
      <c r="I3846" t="s">
        <v>16</v>
      </c>
      <c r="J3846" t="s">
        <v>16</v>
      </c>
      <c r="K3846" t="str">
        <f>VLOOKUP(C3846,CheckName!A:B,2,0)</f>
        <v>CRC</v>
      </c>
      <c r="L3846">
        <v>0</v>
      </c>
      <c r="M3846">
        <f t="shared" si="562"/>
        <v>25</v>
      </c>
      <c r="N3846" t="str">
        <f>TEXT(MTDRejection[[#This Row],[RejectionDate]],"dddd")</f>
        <v>Wednesday</v>
      </c>
    </row>
    <row r="3847" spans="1:14">
      <c r="A3847" t="s">
        <v>2091</v>
      </c>
      <c r="B3847" t="s">
        <v>5995</v>
      </c>
      <c r="C3847" t="s">
        <v>112</v>
      </c>
      <c r="D3847" t="s">
        <v>26</v>
      </c>
      <c r="E3847" s="7">
        <v>45651</v>
      </c>
      <c r="F3847" t="s">
        <v>83</v>
      </c>
      <c r="G3847">
        <v>1</v>
      </c>
      <c r="H3847" t="s">
        <v>27</v>
      </c>
      <c r="I3847" t="s">
        <v>16</v>
      </c>
      <c r="J3847" t="s">
        <v>16</v>
      </c>
      <c r="K3847" t="str">
        <f>VLOOKUP(C3847,CheckName!A:B,2,0)</f>
        <v>Emp</v>
      </c>
      <c r="L3847">
        <v>0</v>
      </c>
      <c r="M3847">
        <f t="shared" si="562"/>
        <v>25</v>
      </c>
      <c r="N3847" t="str">
        <f>TEXT(MTDRejection[[#This Row],[RejectionDate]],"dddd")</f>
        <v>Wednesday</v>
      </c>
    </row>
    <row r="3848" spans="1:14">
      <c r="A3848" t="s">
        <v>100</v>
      </c>
      <c r="B3848" t="s">
        <v>5996</v>
      </c>
      <c r="C3848" t="s">
        <v>359</v>
      </c>
      <c r="D3848" t="s">
        <v>26</v>
      </c>
      <c r="E3848" s="7">
        <v>45651</v>
      </c>
      <c r="F3848" t="s">
        <v>83</v>
      </c>
      <c r="G3848">
        <v>1</v>
      </c>
      <c r="H3848" t="s">
        <v>425</v>
      </c>
      <c r="I3848" t="s">
        <v>16</v>
      </c>
      <c r="J3848" t="s">
        <v>16</v>
      </c>
      <c r="K3848" t="str">
        <f>VLOOKUP(C3848,CheckName!A:B,2,0)</f>
        <v>Emp</v>
      </c>
      <c r="L3848">
        <v>0</v>
      </c>
      <c r="M3848">
        <f t="shared" si="562"/>
        <v>25</v>
      </c>
      <c r="N3848" t="str">
        <f>TEXT(MTDRejection[[#This Row],[RejectionDate]],"dddd")</f>
        <v>Wednesday</v>
      </c>
    </row>
    <row r="3849" spans="1:14">
      <c r="A3849" t="s">
        <v>385</v>
      </c>
      <c r="B3849" t="s">
        <v>2092</v>
      </c>
      <c r="C3849" t="s">
        <v>54</v>
      </c>
      <c r="D3849" t="s">
        <v>26</v>
      </c>
      <c r="E3849" s="7">
        <v>45651</v>
      </c>
      <c r="F3849" t="s">
        <v>351</v>
      </c>
      <c r="G3849">
        <v>1</v>
      </c>
      <c r="H3849" t="s">
        <v>425</v>
      </c>
      <c r="I3849" t="s">
        <v>16</v>
      </c>
      <c r="J3849" t="s">
        <v>16</v>
      </c>
      <c r="K3849" t="str">
        <f>VLOOKUP(C3849,CheckName!A:B,2,0)</f>
        <v>Edu</v>
      </c>
      <c r="L3849">
        <v>0</v>
      </c>
      <c r="M3849">
        <f t="shared" si="562"/>
        <v>25</v>
      </c>
      <c r="N3849" t="str">
        <f>TEXT(MTDRejection[[#This Row],[RejectionDate]],"dddd")</f>
        <v>Wednesday</v>
      </c>
    </row>
    <row r="3850" spans="1:14">
      <c r="A3850" t="s">
        <v>419</v>
      </c>
      <c r="B3850" t="s">
        <v>5997</v>
      </c>
      <c r="C3850" t="s">
        <v>36</v>
      </c>
      <c r="D3850" t="s">
        <v>13</v>
      </c>
      <c r="E3850" s="7">
        <v>45651</v>
      </c>
      <c r="F3850" t="s">
        <v>90</v>
      </c>
      <c r="G3850">
        <v>1</v>
      </c>
      <c r="H3850" t="s">
        <v>15</v>
      </c>
      <c r="I3850" t="s">
        <v>16</v>
      </c>
      <c r="J3850" t="s">
        <v>16</v>
      </c>
      <c r="K3850" t="str">
        <f>VLOOKUP(C3850,CheckName!A:B,2,0)</f>
        <v>Emp</v>
      </c>
      <c r="L3850">
        <v>0</v>
      </c>
      <c r="M3850">
        <f t="shared" si="562"/>
        <v>25</v>
      </c>
      <c r="N3850" t="str">
        <f>TEXT(MTDRejection[[#This Row],[RejectionDate]],"dddd")</f>
        <v>Wednesday</v>
      </c>
    </row>
    <row r="3851" spans="1:14">
      <c r="A3851" t="s">
        <v>312</v>
      </c>
      <c r="B3851" t="s">
        <v>5998</v>
      </c>
      <c r="C3851" t="s">
        <v>36</v>
      </c>
      <c r="D3851" t="s">
        <v>13</v>
      </c>
      <c r="E3851" s="7">
        <v>45651</v>
      </c>
      <c r="F3851" t="s">
        <v>1421</v>
      </c>
      <c r="G3851">
        <v>1</v>
      </c>
      <c r="H3851" t="s">
        <v>15</v>
      </c>
      <c r="I3851" t="s">
        <v>16</v>
      </c>
      <c r="J3851" t="s">
        <v>16</v>
      </c>
      <c r="K3851" t="str">
        <f>VLOOKUP(C3851,CheckName!A:B,2,0)</f>
        <v>Emp</v>
      </c>
      <c r="L3851">
        <v>0</v>
      </c>
      <c r="M3851">
        <f t="shared" si="562"/>
        <v>25</v>
      </c>
      <c r="N3851" t="str">
        <f>TEXT(MTDRejection[[#This Row],[RejectionDate]],"dddd")</f>
        <v>Wednesday</v>
      </c>
    </row>
    <row r="3852" spans="1:14">
      <c r="A3852" t="s">
        <v>306</v>
      </c>
      <c r="B3852" t="s">
        <v>5999</v>
      </c>
      <c r="C3852" t="s">
        <v>533</v>
      </c>
      <c r="D3852" t="s">
        <v>13</v>
      </c>
      <c r="E3852" s="7">
        <v>45650</v>
      </c>
      <c r="F3852" t="s">
        <v>844</v>
      </c>
      <c r="G3852">
        <v>2</v>
      </c>
      <c r="H3852" t="s">
        <v>15</v>
      </c>
      <c r="I3852" t="s">
        <v>16</v>
      </c>
      <c r="J3852" t="s">
        <v>16</v>
      </c>
      <c r="K3852" t="str">
        <f>VLOOKUP(C3852,CheckName!A:B,2,0)</f>
        <v>CRC</v>
      </c>
      <c r="L3852">
        <v>0</v>
      </c>
      <c r="M3852">
        <f t="shared" si="562"/>
        <v>24</v>
      </c>
      <c r="N3852" t="str">
        <f>TEXT(MTDRejection[[#This Row],[RejectionDate]],"dddd")</f>
        <v>Tuesday</v>
      </c>
    </row>
    <row r="3853" spans="1:14">
      <c r="A3853" t="s">
        <v>216</v>
      </c>
      <c r="B3853" t="s">
        <v>6000</v>
      </c>
      <c r="C3853" t="s">
        <v>533</v>
      </c>
      <c r="D3853" t="s">
        <v>13</v>
      </c>
      <c r="E3853" s="7">
        <v>45650</v>
      </c>
      <c r="F3853" t="s">
        <v>844</v>
      </c>
      <c r="G3853">
        <v>2</v>
      </c>
      <c r="H3853" t="s">
        <v>15</v>
      </c>
      <c r="I3853" t="s">
        <v>16</v>
      </c>
      <c r="J3853" t="s">
        <v>16</v>
      </c>
      <c r="K3853" t="str">
        <f>VLOOKUP(C3853,CheckName!A:B,2,0)</f>
        <v>CRC</v>
      </c>
      <c r="L3853">
        <v>0</v>
      </c>
      <c r="M3853">
        <f t="shared" si="562"/>
        <v>24</v>
      </c>
      <c r="N3853" t="str">
        <f>TEXT(MTDRejection[[#This Row],[RejectionDate]],"dddd")</f>
        <v>Tuesday</v>
      </c>
    </row>
    <row r="3854" spans="1:14">
      <c r="A3854" t="s">
        <v>419</v>
      </c>
      <c r="B3854" t="s">
        <v>3290</v>
      </c>
      <c r="C3854" t="s">
        <v>125</v>
      </c>
      <c r="D3854" t="s">
        <v>13</v>
      </c>
      <c r="E3854" s="7">
        <v>45650</v>
      </c>
      <c r="F3854" t="s">
        <v>90</v>
      </c>
      <c r="G3854">
        <v>2</v>
      </c>
      <c r="H3854" t="s">
        <v>15</v>
      </c>
      <c r="I3854" t="s">
        <v>16</v>
      </c>
      <c r="J3854" t="s">
        <v>16</v>
      </c>
      <c r="K3854" t="str">
        <f>VLOOKUP(C3854,CheckName!A:B,2,0)</f>
        <v>Emp</v>
      </c>
      <c r="L3854">
        <v>0</v>
      </c>
      <c r="M3854">
        <f t="shared" si="562"/>
        <v>24</v>
      </c>
      <c r="N3854" t="str">
        <f>TEXT(MTDRejection[[#This Row],[RejectionDate]],"dddd")</f>
        <v>Tuesday</v>
      </c>
    </row>
    <row r="3855" spans="1:14">
      <c r="A3855" t="s">
        <v>81</v>
      </c>
      <c r="B3855" t="s">
        <v>6001</v>
      </c>
      <c r="C3855" t="s">
        <v>25</v>
      </c>
      <c r="D3855" t="s">
        <v>13</v>
      </c>
      <c r="E3855" s="7">
        <v>45650</v>
      </c>
      <c r="F3855" t="s">
        <v>2345</v>
      </c>
      <c r="G3855">
        <v>2</v>
      </c>
      <c r="H3855" t="s">
        <v>30</v>
      </c>
      <c r="I3855" t="s">
        <v>16</v>
      </c>
      <c r="J3855" t="s">
        <v>16</v>
      </c>
      <c r="K3855" t="str">
        <f>VLOOKUP(C3855,CheckName!A:B,2,0)</f>
        <v>Add</v>
      </c>
      <c r="L3855">
        <v>0</v>
      </c>
      <c r="M3855">
        <f t="shared" si="562"/>
        <v>24</v>
      </c>
      <c r="N3855" t="str">
        <f>TEXT(MTDRejection[[#This Row],[RejectionDate]],"dddd")</f>
        <v>Tuesday</v>
      </c>
    </row>
    <row r="3856" spans="1:14">
      <c r="A3856" t="s">
        <v>312</v>
      </c>
      <c r="B3856" t="s">
        <v>6002</v>
      </c>
      <c r="C3856" t="s">
        <v>125</v>
      </c>
      <c r="D3856" t="s">
        <v>26</v>
      </c>
      <c r="E3856" s="7">
        <v>45650</v>
      </c>
      <c r="F3856" t="s">
        <v>1139</v>
      </c>
      <c r="G3856">
        <v>2</v>
      </c>
      <c r="H3856" t="s">
        <v>27</v>
      </c>
      <c r="I3856" t="s">
        <v>16</v>
      </c>
      <c r="J3856" t="s">
        <v>16</v>
      </c>
      <c r="K3856" t="str">
        <f>VLOOKUP(C3856,CheckName!A:B,2,0)</f>
        <v>Emp</v>
      </c>
      <c r="L3856">
        <v>0</v>
      </c>
      <c r="M3856">
        <f t="shared" si="562"/>
        <v>24</v>
      </c>
      <c r="N3856" t="str">
        <f>TEXT(MTDRejection[[#This Row],[RejectionDate]],"dddd")</f>
        <v>Tuesday</v>
      </c>
    </row>
    <row r="3857" spans="1:14">
      <c r="A3857" t="s">
        <v>299</v>
      </c>
      <c r="B3857" t="s">
        <v>6003</v>
      </c>
      <c r="C3857" t="s">
        <v>36</v>
      </c>
      <c r="D3857" t="s">
        <v>26</v>
      </c>
      <c r="E3857" s="7">
        <v>45650</v>
      </c>
      <c r="F3857" t="s">
        <v>721</v>
      </c>
      <c r="G3857">
        <v>2</v>
      </c>
      <c r="H3857" t="s">
        <v>22</v>
      </c>
      <c r="I3857" t="s">
        <v>16</v>
      </c>
      <c r="J3857" t="s">
        <v>16</v>
      </c>
      <c r="K3857" t="str">
        <f>VLOOKUP(C3857,CheckName!A:B,2,0)</f>
        <v>Emp</v>
      </c>
      <c r="L3857">
        <v>0</v>
      </c>
      <c r="M3857">
        <f t="shared" si="562"/>
        <v>24</v>
      </c>
      <c r="N3857" t="str">
        <f>TEXT(MTDRejection[[#This Row],[RejectionDate]],"dddd")</f>
        <v>Tuesday</v>
      </c>
    </row>
    <row r="3858" spans="1:14">
      <c r="A3858" t="s">
        <v>176</v>
      </c>
      <c r="B3858" t="s">
        <v>6004</v>
      </c>
      <c r="C3858" t="s">
        <v>36</v>
      </c>
      <c r="D3858" t="s">
        <v>26</v>
      </c>
      <c r="E3858" s="7">
        <v>45650</v>
      </c>
      <c r="F3858" t="s">
        <v>311</v>
      </c>
      <c r="G3858">
        <v>2</v>
      </c>
      <c r="H3858" t="s">
        <v>27</v>
      </c>
      <c r="I3858" t="s">
        <v>16</v>
      </c>
      <c r="J3858" t="s">
        <v>16</v>
      </c>
      <c r="K3858" t="str">
        <f>VLOOKUP(C3858,CheckName!A:B,2,0)</f>
        <v>Emp</v>
      </c>
      <c r="L3858">
        <v>0</v>
      </c>
      <c r="M3858">
        <f>DAY(E3858)</f>
        <v>24</v>
      </c>
      <c r="N3858" t="str">
        <f>TEXT(MTDRejection[[#This Row],[RejectionDate]],"dddd")</f>
        <v>Tuesday</v>
      </c>
    </row>
    <row r="3859" spans="1:14">
      <c r="A3859" t="s">
        <v>2057</v>
      </c>
      <c r="B3859" t="s">
        <v>6005</v>
      </c>
      <c r="C3859" t="s">
        <v>54</v>
      </c>
      <c r="D3859" t="s">
        <v>26</v>
      </c>
      <c r="E3859" s="7">
        <v>45650</v>
      </c>
      <c r="F3859" t="s">
        <v>538</v>
      </c>
      <c r="G3859">
        <v>2</v>
      </c>
      <c r="H3859" t="s">
        <v>27</v>
      </c>
      <c r="I3859" t="s">
        <v>16</v>
      </c>
      <c r="J3859" t="s">
        <v>16</v>
      </c>
      <c r="K3859" t="str">
        <f>VLOOKUP(C3859,CheckName!A:B,2,0)</f>
        <v>Edu</v>
      </c>
      <c r="L3859">
        <v>0</v>
      </c>
      <c r="M3859">
        <f t="shared" ref="M3859:M3860" si="563">DAY(E3859)</f>
        <v>24</v>
      </c>
      <c r="N3859" t="str">
        <f>TEXT(MTDRejection[[#This Row],[RejectionDate]],"dddd")</f>
        <v>Tuesday</v>
      </c>
    </row>
    <row r="3860" spans="1:14">
      <c r="A3860" t="s">
        <v>299</v>
      </c>
      <c r="B3860" t="s">
        <v>6006</v>
      </c>
      <c r="C3860" t="s">
        <v>36</v>
      </c>
      <c r="D3860" t="s">
        <v>26</v>
      </c>
      <c r="E3860" s="7">
        <v>45650</v>
      </c>
      <c r="F3860" t="s">
        <v>169</v>
      </c>
      <c r="G3860">
        <v>2</v>
      </c>
      <c r="H3860" t="s">
        <v>22</v>
      </c>
      <c r="I3860" t="s">
        <v>16</v>
      </c>
      <c r="J3860" t="s">
        <v>16</v>
      </c>
      <c r="K3860" t="str">
        <f>VLOOKUP(C3860,CheckName!A:B,2,0)</f>
        <v>Emp</v>
      </c>
      <c r="L3860">
        <v>0</v>
      </c>
      <c r="M3860">
        <f t="shared" si="563"/>
        <v>24</v>
      </c>
      <c r="N3860" t="str">
        <f>TEXT(MTDRejection[[#This Row],[RejectionDate]],"dddd")</f>
        <v>Tuesday</v>
      </c>
    </row>
    <row r="3861" spans="1:14">
      <c r="A3861" t="s">
        <v>84</v>
      </c>
      <c r="B3861" t="s">
        <v>2748</v>
      </c>
      <c r="C3861" t="s">
        <v>36</v>
      </c>
      <c r="D3861" t="s">
        <v>26</v>
      </c>
      <c r="E3861" s="7">
        <v>45650</v>
      </c>
      <c r="F3861" t="s">
        <v>184</v>
      </c>
      <c r="G3861">
        <v>2</v>
      </c>
      <c r="H3861" t="s">
        <v>27</v>
      </c>
      <c r="I3861" t="s">
        <v>16</v>
      </c>
      <c r="J3861" t="s">
        <v>16</v>
      </c>
      <c r="K3861" t="str">
        <f>VLOOKUP(C3861,CheckName!A:B,2,0)</f>
        <v>Emp</v>
      </c>
      <c r="L3861">
        <v>0</v>
      </c>
      <c r="M3861">
        <f>DAY(E3861)</f>
        <v>24</v>
      </c>
      <c r="N3861" t="str">
        <f>TEXT(MTDRejection[[#This Row],[RejectionDate]],"dddd")</f>
        <v>Tuesday</v>
      </c>
    </row>
    <row r="3862" spans="1:14">
      <c r="A3862" t="s">
        <v>2032</v>
      </c>
      <c r="B3862" t="s">
        <v>6007</v>
      </c>
      <c r="C3862" t="s">
        <v>125</v>
      </c>
      <c r="D3862" t="s">
        <v>26</v>
      </c>
      <c r="E3862" s="7">
        <v>45650</v>
      </c>
      <c r="F3862" t="s">
        <v>2347</v>
      </c>
      <c r="G3862">
        <v>2</v>
      </c>
      <c r="H3862" t="s">
        <v>130</v>
      </c>
      <c r="I3862" t="s">
        <v>16</v>
      </c>
      <c r="J3862" t="s">
        <v>16</v>
      </c>
      <c r="K3862" t="str">
        <f>VLOOKUP(C3862,CheckName!A:B,2,0)</f>
        <v>Emp</v>
      </c>
      <c r="L3862">
        <v>0</v>
      </c>
      <c r="M3862">
        <f>DAY(E3862)</f>
        <v>24</v>
      </c>
      <c r="N3862" t="str">
        <f>TEXT(MTDRejection[[#This Row],[RejectionDate]],"dddd")</f>
        <v>Tuesday</v>
      </c>
    </row>
    <row r="3863" spans="1:14">
      <c r="A3863" t="s">
        <v>299</v>
      </c>
      <c r="B3863" t="s">
        <v>6008</v>
      </c>
      <c r="C3863" t="s">
        <v>12</v>
      </c>
      <c r="D3863" t="s">
        <v>26</v>
      </c>
      <c r="E3863" s="7">
        <v>45650</v>
      </c>
      <c r="F3863" t="s">
        <v>277</v>
      </c>
      <c r="G3863">
        <v>2</v>
      </c>
      <c r="H3863" t="s">
        <v>22</v>
      </c>
      <c r="I3863" t="s">
        <v>16</v>
      </c>
      <c r="J3863" t="s">
        <v>16</v>
      </c>
      <c r="K3863" t="str">
        <f>VLOOKUP(C3863,CheckName!A:B,2,0)</f>
        <v>Emp</v>
      </c>
      <c r="L3863">
        <v>0</v>
      </c>
      <c r="M3863">
        <f t="shared" ref="M3863:M3864" si="564">DAY(E3863)</f>
        <v>24</v>
      </c>
      <c r="N3863" t="str">
        <f>TEXT(MTDRejection[[#This Row],[RejectionDate]],"dddd")</f>
        <v>Tuesday</v>
      </c>
    </row>
    <row r="3864" spans="1:14">
      <c r="A3864" t="s">
        <v>845</v>
      </c>
      <c r="B3864" t="s">
        <v>6009</v>
      </c>
      <c r="C3864" t="s">
        <v>125</v>
      </c>
      <c r="D3864" t="s">
        <v>26</v>
      </c>
      <c r="E3864" s="7">
        <v>45650</v>
      </c>
      <c r="F3864" t="s">
        <v>277</v>
      </c>
      <c r="G3864">
        <v>2</v>
      </c>
      <c r="H3864" t="s">
        <v>27</v>
      </c>
      <c r="I3864" t="s">
        <v>16</v>
      </c>
      <c r="J3864" t="s">
        <v>16</v>
      </c>
      <c r="K3864" t="str">
        <f>VLOOKUP(C3864,CheckName!A:B,2,0)</f>
        <v>Emp</v>
      </c>
      <c r="L3864">
        <v>0</v>
      </c>
      <c r="M3864">
        <f t="shared" si="564"/>
        <v>24</v>
      </c>
      <c r="N3864" t="str">
        <f>TEXT(MTDRejection[[#This Row],[RejectionDate]],"dddd")</f>
        <v>Tuesday</v>
      </c>
    </row>
    <row r="3865" spans="1:14">
      <c r="A3865" t="s">
        <v>216</v>
      </c>
      <c r="B3865" t="s">
        <v>6010</v>
      </c>
      <c r="C3865" t="s">
        <v>54</v>
      </c>
      <c r="D3865" t="s">
        <v>13</v>
      </c>
      <c r="E3865" s="7">
        <v>45650</v>
      </c>
      <c r="F3865" t="s">
        <v>1861</v>
      </c>
      <c r="G3865">
        <v>2</v>
      </c>
      <c r="H3865" t="s">
        <v>15</v>
      </c>
      <c r="I3865" t="s">
        <v>16</v>
      </c>
      <c r="J3865" t="s">
        <v>16</v>
      </c>
      <c r="K3865" t="str">
        <f>VLOOKUP(C3865,CheckName!A:B,2,0)</f>
        <v>Edu</v>
      </c>
      <c r="L3865">
        <v>0</v>
      </c>
      <c r="M3865">
        <f t="shared" ref="M3865:M3866" si="565">DAY(E3865)</f>
        <v>24</v>
      </c>
      <c r="N3865" t="str">
        <f>TEXT(MTDRejection[[#This Row],[RejectionDate]],"dddd")</f>
        <v>Tuesday</v>
      </c>
    </row>
    <row r="3866" spans="1:14">
      <c r="A3866" t="s">
        <v>100</v>
      </c>
      <c r="B3866" t="s">
        <v>6011</v>
      </c>
      <c r="C3866" t="s">
        <v>775</v>
      </c>
      <c r="D3866" t="s">
        <v>13</v>
      </c>
      <c r="E3866" s="7">
        <v>45650</v>
      </c>
      <c r="F3866" t="s">
        <v>1861</v>
      </c>
      <c r="G3866">
        <v>2</v>
      </c>
      <c r="H3866" t="s">
        <v>15</v>
      </c>
      <c r="I3866" t="s">
        <v>16</v>
      </c>
      <c r="J3866" t="s">
        <v>16</v>
      </c>
      <c r="K3866" t="str">
        <f>VLOOKUP(C3866,CheckName!A:B,2,0)</f>
        <v>Emp</v>
      </c>
      <c r="L3866">
        <v>0</v>
      </c>
      <c r="M3866">
        <f t="shared" si="565"/>
        <v>24</v>
      </c>
      <c r="N3866" t="str">
        <f>TEXT(MTDRejection[[#This Row],[RejectionDate]],"dddd")</f>
        <v>Tuesday</v>
      </c>
    </row>
    <row r="3867" spans="1:14">
      <c r="A3867" t="s">
        <v>45</v>
      </c>
      <c r="B3867" t="s">
        <v>6012</v>
      </c>
      <c r="C3867" t="s">
        <v>36</v>
      </c>
      <c r="D3867" t="s">
        <v>26</v>
      </c>
      <c r="E3867" s="7">
        <v>45650</v>
      </c>
      <c r="F3867" t="s">
        <v>80</v>
      </c>
      <c r="G3867">
        <v>2</v>
      </c>
      <c r="H3867" t="s">
        <v>27</v>
      </c>
      <c r="I3867" t="s">
        <v>16</v>
      </c>
      <c r="J3867" t="s">
        <v>16</v>
      </c>
      <c r="K3867" t="str">
        <f>VLOOKUP(C3867,CheckName!A:B,2,0)</f>
        <v>Emp</v>
      </c>
      <c r="L3867">
        <v>0</v>
      </c>
      <c r="M3867">
        <f t="shared" ref="M3867:M3874" si="566">DAY(E3867)</f>
        <v>24</v>
      </c>
      <c r="N3867" t="str">
        <f>TEXT(MTDRejection[[#This Row],[RejectionDate]],"dddd")</f>
        <v>Tuesday</v>
      </c>
    </row>
    <row r="3868" spans="1:14">
      <c r="A3868" t="s">
        <v>1552</v>
      </c>
      <c r="B3868" t="s">
        <v>6013</v>
      </c>
      <c r="C3868" t="s">
        <v>25</v>
      </c>
      <c r="D3868" t="s">
        <v>13</v>
      </c>
      <c r="E3868" s="7">
        <v>45650</v>
      </c>
      <c r="F3868" t="s">
        <v>1310</v>
      </c>
      <c r="G3868">
        <v>2</v>
      </c>
      <c r="H3868" t="s">
        <v>15</v>
      </c>
      <c r="I3868" t="s">
        <v>16</v>
      </c>
      <c r="J3868" t="s">
        <v>16</v>
      </c>
      <c r="K3868" t="str">
        <f>VLOOKUP(C3868,CheckName!A:B,2,0)</f>
        <v>Add</v>
      </c>
      <c r="L3868">
        <v>0</v>
      </c>
      <c r="M3868">
        <f t="shared" si="566"/>
        <v>24</v>
      </c>
      <c r="N3868" t="str">
        <f>TEXT(MTDRejection[[#This Row],[RejectionDate]],"dddd")</f>
        <v>Tuesday</v>
      </c>
    </row>
    <row r="3869" spans="1:14">
      <c r="A3869" t="s">
        <v>1552</v>
      </c>
      <c r="B3869" t="s">
        <v>2759</v>
      </c>
      <c r="C3869" t="s">
        <v>71</v>
      </c>
      <c r="D3869" t="s">
        <v>13</v>
      </c>
      <c r="E3869" s="7">
        <v>45650</v>
      </c>
      <c r="F3869" t="s">
        <v>1310</v>
      </c>
      <c r="G3869">
        <v>2</v>
      </c>
      <c r="H3869" t="s">
        <v>15</v>
      </c>
      <c r="I3869" t="s">
        <v>16</v>
      </c>
      <c r="J3869" t="s">
        <v>16</v>
      </c>
      <c r="K3869" t="str">
        <f>VLOOKUP(C3869,CheckName!A:B,2,0)</f>
        <v>CRC</v>
      </c>
      <c r="L3869">
        <v>0</v>
      </c>
      <c r="M3869">
        <f t="shared" si="566"/>
        <v>24</v>
      </c>
      <c r="N3869" t="str">
        <f>TEXT(MTDRejection[[#This Row],[RejectionDate]],"dddd")</f>
        <v>Tuesday</v>
      </c>
    </row>
    <row r="3870" spans="1:14">
      <c r="A3870" t="s">
        <v>1552</v>
      </c>
      <c r="B3870" t="s">
        <v>6014</v>
      </c>
      <c r="C3870" t="s">
        <v>1686</v>
      </c>
      <c r="D3870" t="s">
        <v>13</v>
      </c>
      <c r="E3870" s="7">
        <v>45650</v>
      </c>
      <c r="F3870" t="s">
        <v>1310</v>
      </c>
      <c r="G3870">
        <v>2</v>
      </c>
      <c r="H3870" t="s">
        <v>15</v>
      </c>
      <c r="I3870" t="s">
        <v>16</v>
      </c>
      <c r="J3870" t="s">
        <v>16</v>
      </c>
      <c r="K3870" t="str">
        <f>VLOOKUP(C3870,CheckName!A:B,2,0)</f>
        <v>CRC</v>
      </c>
      <c r="L3870">
        <v>0</v>
      </c>
      <c r="M3870">
        <f t="shared" si="566"/>
        <v>24</v>
      </c>
      <c r="N3870" t="str">
        <f>TEXT(MTDRejection[[#This Row],[RejectionDate]],"dddd")</f>
        <v>Tuesday</v>
      </c>
    </row>
    <row r="3871" spans="1:14">
      <c r="A3871" t="s">
        <v>10</v>
      </c>
      <c r="B3871" t="s">
        <v>6015</v>
      </c>
      <c r="C3871" t="s">
        <v>1869</v>
      </c>
      <c r="D3871" t="s">
        <v>26</v>
      </c>
      <c r="E3871" s="7">
        <v>45650</v>
      </c>
      <c r="F3871" t="s">
        <v>236</v>
      </c>
      <c r="G3871">
        <v>2</v>
      </c>
      <c r="H3871" t="s">
        <v>27</v>
      </c>
      <c r="I3871" t="s">
        <v>16</v>
      </c>
      <c r="J3871" t="s">
        <v>16</v>
      </c>
      <c r="K3871" t="str">
        <f>VLOOKUP(C3871,CheckName!A:B,2,0)</f>
        <v>Special Check</v>
      </c>
      <c r="L3871">
        <v>0</v>
      </c>
      <c r="M3871">
        <f t="shared" si="566"/>
        <v>24</v>
      </c>
      <c r="N3871" t="str">
        <f>TEXT(MTDRejection[[#This Row],[RejectionDate]],"dddd")</f>
        <v>Tuesday</v>
      </c>
    </row>
    <row r="3872" spans="1:14">
      <c r="A3872" t="s">
        <v>10</v>
      </c>
      <c r="B3872" t="s">
        <v>6016</v>
      </c>
      <c r="C3872" t="s">
        <v>1869</v>
      </c>
      <c r="D3872" t="s">
        <v>26</v>
      </c>
      <c r="E3872" s="7">
        <v>45650</v>
      </c>
      <c r="F3872" t="s">
        <v>236</v>
      </c>
      <c r="G3872">
        <v>2</v>
      </c>
      <c r="H3872" t="s">
        <v>27</v>
      </c>
      <c r="I3872" t="s">
        <v>16</v>
      </c>
      <c r="J3872" t="s">
        <v>16</v>
      </c>
      <c r="K3872" t="str">
        <f>VLOOKUP(C3872,CheckName!A:B,2,0)</f>
        <v>Special Check</v>
      </c>
      <c r="L3872">
        <v>0</v>
      </c>
      <c r="M3872">
        <f t="shared" si="566"/>
        <v>24</v>
      </c>
      <c r="N3872" t="str">
        <f>TEXT(MTDRejection[[#This Row],[RejectionDate]],"dddd")</f>
        <v>Tuesday</v>
      </c>
    </row>
    <row r="3873" spans="1:14">
      <c r="A3873" t="s">
        <v>10</v>
      </c>
      <c r="B3873" t="s">
        <v>6017</v>
      </c>
      <c r="C3873" t="s">
        <v>2093</v>
      </c>
      <c r="D3873" t="s">
        <v>26</v>
      </c>
      <c r="E3873" s="7">
        <v>45650</v>
      </c>
      <c r="F3873" t="s">
        <v>236</v>
      </c>
      <c r="G3873">
        <v>2</v>
      </c>
      <c r="H3873" t="s">
        <v>27</v>
      </c>
      <c r="I3873" t="s">
        <v>16</v>
      </c>
      <c r="J3873" t="s">
        <v>16</v>
      </c>
      <c r="K3873" t="str">
        <f>VLOOKUP(C3873,CheckName!A:B,2,0)</f>
        <v>Special Check</v>
      </c>
      <c r="L3873">
        <v>0</v>
      </c>
      <c r="M3873">
        <f t="shared" si="566"/>
        <v>24</v>
      </c>
      <c r="N3873" t="str">
        <f>TEXT(MTDRejection[[#This Row],[RejectionDate]],"dddd")</f>
        <v>Tuesday</v>
      </c>
    </row>
    <row r="3874" spans="1:14">
      <c r="A3874" t="s">
        <v>96</v>
      </c>
      <c r="B3874" t="s">
        <v>6018</v>
      </c>
      <c r="C3874" t="s">
        <v>59</v>
      </c>
      <c r="D3874" t="s">
        <v>26</v>
      </c>
      <c r="E3874" s="7">
        <v>45650</v>
      </c>
      <c r="F3874" t="s">
        <v>236</v>
      </c>
      <c r="G3874">
        <v>2</v>
      </c>
      <c r="H3874" t="s">
        <v>27</v>
      </c>
      <c r="I3874" t="s">
        <v>16</v>
      </c>
      <c r="J3874" t="s">
        <v>16</v>
      </c>
      <c r="K3874" t="str">
        <f>VLOOKUP(C3874,CheckName!A:B,2,0)</f>
        <v>Special Check</v>
      </c>
      <c r="L3874">
        <v>0</v>
      </c>
      <c r="M3874">
        <f t="shared" si="566"/>
        <v>24</v>
      </c>
      <c r="N3874" t="str">
        <f>TEXT(MTDRejection[[#This Row],[RejectionDate]],"dddd")</f>
        <v>Tuesday</v>
      </c>
    </row>
    <row r="3875" spans="1:14">
      <c r="A3875" t="s">
        <v>64</v>
      </c>
      <c r="B3875" t="s">
        <v>6019</v>
      </c>
      <c r="C3875" t="s">
        <v>25</v>
      </c>
      <c r="D3875" t="s">
        <v>26</v>
      </c>
      <c r="E3875" s="7">
        <v>45650</v>
      </c>
      <c r="F3875" t="s">
        <v>273</v>
      </c>
      <c r="G3875">
        <v>2</v>
      </c>
      <c r="H3875" t="s">
        <v>27</v>
      </c>
      <c r="I3875" t="s">
        <v>16</v>
      </c>
      <c r="J3875" t="s">
        <v>16</v>
      </c>
      <c r="K3875" t="str">
        <f>VLOOKUP(C3875,CheckName!A:B,2,0)</f>
        <v>Add</v>
      </c>
      <c r="L3875">
        <v>0</v>
      </c>
      <c r="M3875">
        <f t="shared" ref="M3875:M3876" si="567">DAY(E3875)</f>
        <v>24</v>
      </c>
      <c r="N3875" t="str">
        <f>TEXT(MTDRejection[[#This Row],[RejectionDate]],"dddd")</f>
        <v>Tuesday</v>
      </c>
    </row>
    <row r="3876" spans="1:14">
      <c r="A3876" t="s">
        <v>1110</v>
      </c>
      <c r="B3876" t="s">
        <v>6020</v>
      </c>
      <c r="C3876" t="s">
        <v>965</v>
      </c>
      <c r="D3876" t="s">
        <v>20</v>
      </c>
      <c r="E3876" s="7">
        <v>45650</v>
      </c>
      <c r="F3876" t="s">
        <v>2327</v>
      </c>
      <c r="G3876">
        <v>2</v>
      </c>
      <c r="H3876" t="s">
        <v>22</v>
      </c>
      <c r="I3876" t="s">
        <v>16</v>
      </c>
      <c r="J3876" t="s">
        <v>16</v>
      </c>
      <c r="K3876" t="str">
        <f>VLOOKUP(C3876,CheckName!A:B,2,0)</f>
        <v>Add</v>
      </c>
      <c r="L3876">
        <v>0</v>
      </c>
      <c r="M3876">
        <f t="shared" si="567"/>
        <v>24</v>
      </c>
      <c r="N3876" t="str">
        <f>TEXT(MTDRejection[[#This Row],[RejectionDate]],"dddd")</f>
        <v>Tuesday</v>
      </c>
    </row>
    <row r="3877" spans="1:14">
      <c r="A3877" t="s">
        <v>45</v>
      </c>
      <c r="B3877" t="s">
        <v>6021</v>
      </c>
      <c r="C3877" t="s">
        <v>19</v>
      </c>
      <c r="D3877" t="s">
        <v>20</v>
      </c>
      <c r="E3877" s="7">
        <v>45650</v>
      </c>
      <c r="F3877" t="s">
        <v>2327</v>
      </c>
      <c r="G3877">
        <v>2</v>
      </c>
      <c r="H3877" t="s">
        <v>22</v>
      </c>
      <c r="I3877" t="s">
        <v>16</v>
      </c>
      <c r="J3877" t="s">
        <v>16</v>
      </c>
      <c r="K3877" t="str">
        <f>VLOOKUP(C3877,CheckName!A:B,2,0)</f>
        <v>Add</v>
      </c>
      <c r="L3877">
        <v>0</v>
      </c>
      <c r="M3877">
        <f>DAY(E3877)</f>
        <v>24</v>
      </c>
      <c r="N3877" t="str">
        <f>TEXT(MTDRejection[[#This Row],[RejectionDate]],"dddd")</f>
        <v>Tuesday</v>
      </c>
    </row>
    <row r="3878" spans="1:14">
      <c r="A3878" t="s">
        <v>1799</v>
      </c>
      <c r="B3878" t="s">
        <v>6022</v>
      </c>
      <c r="C3878" t="s">
        <v>25</v>
      </c>
      <c r="D3878" t="s">
        <v>20</v>
      </c>
      <c r="E3878" s="7">
        <v>45650</v>
      </c>
      <c r="F3878" t="s">
        <v>2327</v>
      </c>
      <c r="G3878">
        <v>2</v>
      </c>
      <c r="H3878" t="s">
        <v>22</v>
      </c>
      <c r="I3878" t="s">
        <v>16</v>
      </c>
      <c r="J3878" t="s">
        <v>16</v>
      </c>
      <c r="K3878" t="str">
        <f>VLOOKUP(C3878,CheckName!A:B,2,0)</f>
        <v>Add</v>
      </c>
      <c r="L3878">
        <v>0</v>
      </c>
      <c r="M3878">
        <f t="shared" ref="M3878:M3884" si="568">DAY(E3878)</f>
        <v>24</v>
      </c>
      <c r="N3878" t="str">
        <f>TEXT(MTDRejection[[#This Row],[RejectionDate]],"dddd")</f>
        <v>Tuesday</v>
      </c>
    </row>
    <row r="3879" spans="1:14">
      <c r="A3879" t="s">
        <v>160</v>
      </c>
      <c r="B3879" t="s">
        <v>6023</v>
      </c>
      <c r="C3879" t="s">
        <v>19</v>
      </c>
      <c r="D3879" t="s">
        <v>20</v>
      </c>
      <c r="E3879" s="7">
        <v>45650</v>
      </c>
      <c r="F3879" t="s">
        <v>2327</v>
      </c>
      <c r="G3879">
        <v>2</v>
      </c>
      <c r="H3879" t="s">
        <v>22</v>
      </c>
      <c r="I3879" t="s">
        <v>16</v>
      </c>
      <c r="J3879" t="s">
        <v>16</v>
      </c>
      <c r="K3879" t="str">
        <f>VLOOKUP(C3879,CheckName!A:B,2,0)</f>
        <v>Add</v>
      </c>
      <c r="L3879">
        <v>0</v>
      </c>
      <c r="M3879">
        <f t="shared" si="568"/>
        <v>24</v>
      </c>
      <c r="N3879" t="str">
        <f>TEXT(MTDRejection[[#This Row],[RejectionDate]],"dddd")</f>
        <v>Tuesday</v>
      </c>
    </row>
    <row r="3880" spans="1:14">
      <c r="A3880" t="s">
        <v>1813</v>
      </c>
      <c r="B3880" t="s">
        <v>6024</v>
      </c>
      <c r="C3880" t="s">
        <v>54</v>
      </c>
      <c r="D3880" t="s">
        <v>26</v>
      </c>
      <c r="E3880" s="7">
        <v>45650</v>
      </c>
      <c r="F3880" t="s">
        <v>663</v>
      </c>
      <c r="G3880">
        <v>2</v>
      </c>
      <c r="H3880" t="s">
        <v>27</v>
      </c>
      <c r="I3880" t="s">
        <v>16</v>
      </c>
      <c r="J3880" t="s">
        <v>16</v>
      </c>
      <c r="K3880" t="str">
        <f>VLOOKUP(C3880,CheckName!A:B,2,0)</f>
        <v>Edu</v>
      </c>
      <c r="L3880">
        <v>0</v>
      </c>
      <c r="M3880">
        <f t="shared" si="568"/>
        <v>24</v>
      </c>
      <c r="N3880" t="str">
        <f>TEXT(MTDRejection[[#This Row],[RejectionDate]],"dddd")</f>
        <v>Tuesday</v>
      </c>
    </row>
    <row r="3881" spans="1:14">
      <c r="A3881" t="s">
        <v>100</v>
      </c>
      <c r="B3881" t="s">
        <v>1947</v>
      </c>
      <c r="C3881" t="s">
        <v>102</v>
      </c>
      <c r="D3881" t="s">
        <v>26</v>
      </c>
      <c r="E3881" s="7">
        <v>45650</v>
      </c>
      <c r="F3881" t="s">
        <v>663</v>
      </c>
      <c r="G3881">
        <v>2</v>
      </c>
      <c r="H3881" t="s">
        <v>27</v>
      </c>
      <c r="I3881" t="s">
        <v>16</v>
      </c>
      <c r="J3881" t="s">
        <v>16</v>
      </c>
      <c r="K3881" t="str">
        <f>VLOOKUP(C3881,CheckName!A:B,2,0)</f>
        <v>Edu</v>
      </c>
      <c r="L3881">
        <v>0</v>
      </c>
      <c r="M3881">
        <f t="shared" si="568"/>
        <v>24</v>
      </c>
      <c r="N3881" t="str">
        <f>TEXT(MTDRejection[[#This Row],[RejectionDate]],"dddd")</f>
        <v>Tuesday</v>
      </c>
    </row>
    <row r="3882" spans="1:14">
      <c r="A3882" t="s">
        <v>45</v>
      </c>
      <c r="B3882" t="s">
        <v>2494</v>
      </c>
      <c r="C3882" t="s">
        <v>54</v>
      </c>
      <c r="D3882" t="s">
        <v>26</v>
      </c>
      <c r="E3882" s="7">
        <v>45650</v>
      </c>
      <c r="F3882" t="s">
        <v>663</v>
      </c>
      <c r="G3882">
        <v>2</v>
      </c>
      <c r="H3882" t="s">
        <v>27</v>
      </c>
      <c r="I3882" t="s">
        <v>16</v>
      </c>
      <c r="J3882" t="s">
        <v>16</v>
      </c>
      <c r="K3882" t="str">
        <f>VLOOKUP(C3882,CheckName!A:B,2,0)</f>
        <v>Edu</v>
      </c>
      <c r="L3882">
        <v>0</v>
      </c>
      <c r="M3882">
        <f t="shared" si="568"/>
        <v>24</v>
      </c>
      <c r="N3882" t="str">
        <f>TEXT(MTDRejection[[#This Row],[RejectionDate]],"dddd")</f>
        <v>Tuesday</v>
      </c>
    </row>
    <row r="3883" spans="1:14">
      <c r="A3883" t="s">
        <v>165</v>
      </c>
      <c r="B3883" t="s">
        <v>6025</v>
      </c>
      <c r="C3883" t="s">
        <v>259</v>
      </c>
      <c r="D3883" t="s">
        <v>26</v>
      </c>
      <c r="E3883" s="7">
        <v>45650</v>
      </c>
      <c r="F3883" t="s">
        <v>325</v>
      </c>
      <c r="G3883">
        <v>2</v>
      </c>
      <c r="H3883" t="s">
        <v>27</v>
      </c>
      <c r="I3883" t="s">
        <v>16</v>
      </c>
      <c r="J3883" t="s">
        <v>16</v>
      </c>
      <c r="K3883" t="str">
        <f>VLOOKUP(C3883,CheckName!A:B,2,0)</f>
        <v>Emp</v>
      </c>
      <c r="L3883">
        <v>0</v>
      </c>
      <c r="M3883">
        <f t="shared" si="568"/>
        <v>24</v>
      </c>
      <c r="N3883" t="str">
        <f>TEXT(MTDRejection[[#This Row],[RejectionDate]],"dddd")</f>
        <v>Tuesday</v>
      </c>
    </row>
    <row r="3884" spans="1:14">
      <c r="A3884" t="s">
        <v>165</v>
      </c>
      <c r="B3884" t="s">
        <v>6026</v>
      </c>
      <c r="C3884" t="s">
        <v>36</v>
      </c>
      <c r="D3884" t="s">
        <v>26</v>
      </c>
      <c r="E3884" s="7">
        <v>45650</v>
      </c>
      <c r="F3884" t="s">
        <v>325</v>
      </c>
      <c r="G3884">
        <v>2</v>
      </c>
      <c r="H3884" t="s">
        <v>22</v>
      </c>
      <c r="I3884" t="s">
        <v>16</v>
      </c>
      <c r="J3884" t="s">
        <v>16</v>
      </c>
      <c r="K3884" t="str">
        <f>VLOOKUP(C3884,CheckName!A:B,2,0)</f>
        <v>Emp</v>
      </c>
      <c r="L3884">
        <v>0</v>
      </c>
      <c r="M3884">
        <f t="shared" si="568"/>
        <v>24</v>
      </c>
      <c r="N3884" t="str">
        <f>TEXT(MTDRejection[[#This Row],[RejectionDate]],"dddd")</f>
        <v>Tuesday</v>
      </c>
    </row>
    <row r="3885" spans="1:14">
      <c r="A3885" t="s">
        <v>1860</v>
      </c>
      <c r="B3885" t="s">
        <v>6027</v>
      </c>
      <c r="C3885" t="s">
        <v>36</v>
      </c>
      <c r="D3885" t="s">
        <v>26</v>
      </c>
      <c r="E3885" s="7">
        <v>45650</v>
      </c>
      <c r="F3885" t="s">
        <v>37</v>
      </c>
      <c r="G3885">
        <v>2</v>
      </c>
      <c r="H3885" t="s">
        <v>27</v>
      </c>
      <c r="I3885" t="s">
        <v>16</v>
      </c>
      <c r="J3885" t="s">
        <v>16</v>
      </c>
      <c r="K3885" t="str">
        <f>VLOOKUP(C3885,CheckName!A:B,2,0)</f>
        <v>Emp</v>
      </c>
      <c r="L3885">
        <v>0</v>
      </c>
      <c r="M3885">
        <f t="shared" ref="M3885:M3886" si="569">DAY(E3885)</f>
        <v>24</v>
      </c>
      <c r="N3885" t="str">
        <f>TEXT(MTDRejection[[#This Row],[RejectionDate]],"dddd")</f>
        <v>Tuesday</v>
      </c>
    </row>
    <row r="3886" spans="1:14">
      <c r="A3886" t="s">
        <v>176</v>
      </c>
      <c r="B3886" t="s">
        <v>6028</v>
      </c>
      <c r="C3886" t="s">
        <v>106</v>
      </c>
      <c r="D3886" t="s">
        <v>38</v>
      </c>
      <c r="E3886" s="7">
        <v>45650</v>
      </c>
      <c r="F3886" t="s">
        <v>39</v>
      </c>
      <c r="G3886">
        <v>2</v>
      </c>
      <c r="H3886" t="s">
        <v>42</v>
      </c>
      <c r="I3886" t="s">
        <v>16</v>
      </c>
      <c r="J3886" t="s">
        <v>16</v>
      </c>
      <c r="K3886" t="str">
        <f>VLOOKUP(C3886,CheckName!A:B,2,0)</f>
        <v>Ref</v>
      </c>
      <c r="L3886">
        <v>0</v>
      </c>
      <c r="M3886">
        <f t="shared" si="569"/>
        <v>24</v>
      </c>
      <c r="N3886" t="str">
        <f>TEXT(MTDRejection[[#This Row],[RejectionDate]],"dddd")</f>
        <v>Tuesday</v>
      </c>
    </row>
    <row r="3887" spans="1:14">
      <c r="A3887" t="s">
        <v>133</v>
      </c>
      <c r="B3887" t="s">
        <v>6029</v>
      </c>
      <c r="C3887" t="s">
        <v>19</v>
      </c>
      <c r="D3887" t="s">
        <v>20</v>
      </c>
      <c r="E3887" s="7">
        <v>45650</v>
      </c>
      <c r="F3887" t="s">
        <v>2330</v>
      </c>
      <c r="G3887">
        <v>2</v>
      </c>
      <c r="H3887" t="s">
        <v>22</v>
      </c>
      <c r="I3887" t="s">
        <v>16</v>
      </c>
      <c r="J3887" t="s">
        <v>16</v>
      </c>
      <c r="K3887" t="str">
        <f>VLOOKUP(C3887,CheckName!A:B,2,0)</f>
        <v>Add</v>
      </c>
      <c r="L3887">
        <v>0</v>
      </c>
      <c r="M3887">
        <f t="shared" ref="M3887:M3888" si="570">DAY(E3887)</f>
        <v>24</v>
      </c>
      <c r="N3887" t="str">
        <f>TEXT(MTDRejection[[#This Row],[RejectionDate]],"dddd")</f>
        <v>Tuesday</v>
      </c>
    </row>
    <row r="3888" spans="1:14">
      <c r="A3888" t="s">
        <v>84</v>
      </c>
      <c r="B3888" t="s">
        <v>4549</v>
      </c>
      <c r="C3888" t="s">
        <v>54</v>
      </c>
      <c r="D3888" t="s">
        <v>26</v>
      </c>
      <c r="E3888" s="7">
        <v>45650</v>
      </c>
      <c r="F3888" t="s">
        <v>63</v>
      </c>
      <c r="G3888">
        <v>2</v>
      </c>
      <c r="H3888" t="s">
        <v>27</v>
      </c>
      <c r="I3888" t="s">
        <v>16</v>
      </c>
      <c r="J3888" t="s">
        <v>16</v>
      </c>
      <c r="K3888" t="str">
        <f>VLOOKUP(C3888,CheckName!A:B,2,0)</f>
        <v>Edu</v>
      </c>
      <c r="L3888">
        <v>0</v>
      </c>
      <c r="M3888">
        <f t="shared" si="570"/>
        <v>24</v>
      </c>
      <c r="N3888" t="str">
        <f>TEXT(MTDRejection[[#This Row],[RejectionDate]],"dddd")</f>
        <v>Tuesday</v>
      </c>
    </row>
    <row r="3889" spans="1:14">
      <c r="A3889" t="s">
        <v>519</v>
      </c>
      <c r="B3889" t="s">
        <v>6030</v>
      </c>
      <c r="C3889" t="s">
        <v>1293</v>
      </c>
      <c r="D3889" t="s">
        <v>26</v>
      </c>
      <c r="E3889" s="7">
        <v>45650</v>
      </c>
      <c r="F3889" t="s">
        <v>2344</v>
      </c>
      <c r="G3889">
        <v>2</v>
      </c>
      <c r="H3889" t="s">
        <v>30</v>
      </c>
      <c r="I3889" t="s">
        <v>16</v>
      </c>
      <c r="J3889" t="s">
        <v>16</v>
      </c>
      <c r="K3889" t="str">
        <f>VLOOKUP(C3889,CheckName!A:B,2,0)</f>
        <v>Edu</v>
      </c>
      <c r="L3889">
        <v>0</v>
      </c>
      <c r="M3889">
        <f t="shared" ref="M3889:M3890" si="571">DAY(E3889)</f>
        <v>24</v>
      </c>
      <c r="N3889" t="str">
        <f>TEXT(MTDRejection[[#This Row],[RejectionDate]],"dddd")</f>
        <v>Tuesday</v>
      </c>
    </row>
    <row r="3890" spans="1:14">
      <c r="A3890" t="s">
        <v>1221</v>
      </c>
      <c r="B3890" t="s">
        <v>6031</v>
      </c>
      <c r="C3890" t="s">
        <v>19</v>
      </c>
      <c r="D3890" t="s">
        <v>20</v>
      </c>
      <c r="E3890" s="7">
        <v>45650</v>
      </c>
      <c r="F3890" t="s">
        <v>66</v>
      </c>
      <c r="G3890">
        <v>2</v>
      </c>
      <c r="H3890" t="s">
        <v>22</v>
      </c>
      <c r="I3890" t="s">
        <v>16</v>
      </c>
      <c r="J3890" t="s">
        <v>16</v>
      </c>
      <c r="K3890" t="str">
        <f>VLOOKUP(C3890,CheckName!A:B,2,0)</f>
        <v>Add</v>
      </c>
      <c r="L3890">
        <v>0</v>
      </c>
      <c r="M3890">
        <f t="shared" si="571"/>
        <v>24</v>
      </c>
      <c r="N3890" t="str">
        <f>TEXT(MTDRejection[[#This Row],[RejectionDate]],"dddd")</f>
        <v>Tuesday</v>
      </c>
    </row>
    <row r="3891" spans="1:14">
      <c r="A3891" t="s">
        <v>1570</v>
      </c>
      <c r="B3891" t="s">
        <v>6032</v>
      </c>
      <c r="C3891" t="s">
        <v>125</v>
      </c>
      <c r="D3891" t="s">
        <v>26</v>
      </c>
      <c r="E3891" s="7">
        <v>45650</v>
      </c>
      <c r="F3891" t="s">
        <v>1055</v>
      </c>
      <c r="G3891">
        <v>2</v>
      </c>
      <c r="H3891" t="s">
        <v>22</v>
      </c>
      <c r="I3891" t="s">
        <v>16</v>
      </c>
      <c r="J3891" t="s">
        <v>16</v>
      </c>
      <c r="K3891" t="str">
        <f>VLOOKUP(C3891,CheckName!A:B,2,0)</f>
        <v>Emp</v>
      </c>
      <c r="L3891">
        <v>0</v>
      </c>
      <c r="M3891">
        <f t="shared" ref="M3891:M3893" si="572">DAY(E3891)</f>
        <v>24</v>
      </c>
      <c r="N3891" t="str">
        <f>TEXT(MTDRejection[[#This Row],[RejectionDate]],"dddd")</f>
        <v>Tuesday</v>
      </c>
    </row>
    <row r="3892" spans="1:14">
      <c r="A3892" t="s">
        <v>142</v>
      </c>
      <c r="B3892" t="s">
        <v>6033</v>
      </c>
      <c r="C3892" t="s">
        <v>36</v>
      </c>
      <c r="D3892" t="s">
        <v>26</v>
      </c>
      <c r="E3892" s="7">
        <v>45650</v>
      </c>
      <c r="F3892" t="s">
        <v>222</v>
      </c>
      <c r="G3892">
        <v>2</v>
      </c>
      <c r="H3892" t="s">
        <v>22</v>
      </c>
      <c r="I3892" t="s">
        <v>16</v>
      </c>
      <c r="J3892" t="s">
        <v>16</v>
      </c>
      <c r="K3892" t="str">
        <f>VLOOKUP(C3892,CheckName!A:B,2,0)</f>
        <v>Emp</v>
      </c>
      <c r="L3892">
        <v>0</v>
      </c>
      <c r="M3892">
        <f t="shared" si="572"/>
        <v>24</v>
      </c>
      <c r="N3892" t="str">
        <f>TEXT(MTDRejection[[#This Row],[RejectionDate]],"dddd")</f>
        <v>Tuesday</v>
      </c>
    </row>
    <row r="3893" spans="1:14">
      <c r="A3893" t="s">
        <v>86</v>
      </c>
      <c r="B3893" t="s">
        <v>6034</v>
      </c>
      <c r="C3893" t="s">
        <v>12</v>
      </c>
      <c r="D3893" t="s">
        <v>26</v>
      </c>
      <c r="E3893" s="7">
        <v>45650</v>
      </c>
      <c r="F3893" t="s">
        <v>222</v>
      </c>
      <c r="G3893">
        <v>2</v>
      </c>
      <c r="H3893" t="s">
        <v>27</v>
      </c>
      <c r="I3893" t="s">
        <v>16</v>
      </c>
      <c r="J3893" t="s">
        <v>16</v>
      </c>
      <c r="K3893" t="str">
        <f>VLOOKUP(C3893,CheckName!A:B,2,0)</f>
        <v>Emp</v>
      </c>
      <c r="L3893">
        <v>0</v>
      </c>
      <c r="M3893">
        <f t="shared" si="572"/>
        <v>24</v>
      </c>
      <c r="N3893" t="str">
        <f>TEXT(MTDRejection[[#This Row],[RejectionDate]],"dddd")</f>
        <v>Tuesday</v>
      </c>
    </row>
    <row r="3894" spans="1:14">
      <c r="A3894" t="s">
        <v>45</v>
      </c>
      <c r="B3894" t="s">
        <v>6035</v>
      </c>
      <c r="C3894" t="s">
        <v>125</v>
      </c>
      <c r="D3894" t="s">
        <v>26</v>
      </c>
      <c r="E3894" s="7">
        <v>45650</v>
      </c>
      <c r="F3894" t="s">
        <v>222</v>
      </c>
      <c r="G3894">
        <v>2</v>
      </c>
      <c r="H3894" t="s">
        <v>27</v>
      </c>
      <c r="I3894" t="s">
        <v>16</v>
      </c>
      <c r="J3894" t="s">
        <v>16</v>
      </c>
      <c r="K3894" t="str">
        <f>VLOOKUP(C3894,CheckName!A:B,2,0)</f>
        <v>Emp</v>
      </c>
      <c r="L3894">
        <v>0</v>
      </c>
      <c r="M3894">
        <f t="shared" ref="M3894:M3895" si="573">DAY(E3894)</f>
        <v>24</v>
      </c>
      <c r="N3894" t="str">
        <f>TEXT(MTDRejection[[#This Row],[RejectionDate]],"dddd")</f>
        <v>Tuesday</v>
      </c>
    </row>
    <row r="3895" spans="1:14">
      <c r="A3895" t="s">
        <v>84</v>
      </c>
      <c r="B3895" t="s">
        <v>6036</v>
      </c>
      <c r="C3895" t="s">
        <v>36</v>
      </c>
      <c r="D3895" t="s">
        <v>26</v>
      </c>
      <c r="E3895" s="7">
        <v>45650</v>
      </c>
      <c r="F3895" t="s">
        <v>222</v>
      </c>
      <c r="G3895">
        <v>2</v>
      </c>
      <c r="H3895" t="s">
        <v>27</v>
      </c>
      <c r="I3895" t="s">
        <v>16</v>
      </c>
      <c r="J3895" t="s">
        <v>16</v>
      </c>
      <c r="K3895" t="str">
        <f>VLOOKUP(C3895,CheckName!A:B,2,0)</f>
        <v>Emp</v>
      </c>
      <c r="L3895">
        <v>0</v>
      </c>
      <c r="M3895">
        <f t="shared" si="573"/>
        <v>24</v>
      </c>
      <c r="N3895" t="str">
        <f>TEXT(MTDRejection[[#This Row],[RejectionDate]],"dddd")</f>
        <v>Tuesday</v>
      </c>
    </row>
    <row r="3896" spans="1:14">
      <c r="A3896" t="s">
        <v>751</v>
      </c>
      <c r="B3896" t="s">
        <v>6037</v>
      </c>
      <c r="C3896" t="s">
        <v>125</v>
      </c>
      <c r="D3896" t="s">
        <v>26</v>
      </c>
      <c r="E3896" s="7">
        <v>45650</v>
      </c>
      <c r="F3896" t="s">
        <v>222</v>
      </c>
      <c r="G3896">
        <v>2</v>
      </c>
      <c r="H3896" t="s">
        <v>27</v>
      </c>
      <c r="I3896" t="s">
        <v>16</v>
      </c>
      <c r="J3896" t="s">
        <v>16</v>
      </c>
      <c r="K3896" t="str">
        <f>VLOOKUP(C3896,CheckName!A:B,2,0)</f>
        <v>Emp</v>
      </c>
      <c r="L3896">
        <v>0</v>
      </c>
      <c r="M3896">
        <f t="shared" ref="M3896:M3902" si="574">DAY(E3896)</f>
        <v>24</v>
      </c>
      <c r="N3896" t="str">
        <f>TEXT(MTDRejection[[#This Row],[RejectionDate]],"dddd")</f>
        <v>Tuesday</v>
      </c>
    </row>
    <row r="3897" spans="1:14">
      <c r="A3897" t="s">
        <v>176</v>
      </c>
      <c r="B3897" t="s">
        <v>6038</v>
      </c>
      <c r="C3897" t="s">
        <v>106</v>
      </c>
      <c r="D3897" t="s">
        <v>26</v>
      </c>
      <c r="E3897" s="7">
        <v>45650</v>
      </c>
      <c r="F3897" t="s">
        <v>294</v>
      </c>
      <c r="G3897">
        <v>2</v>
      </c>
      <c r="H3897" t="s">
        <v>130</v>
      </c>
      <c r="I3897" t="s">
        <v>16</v>
      </c>
      <c r="J3897" t="s">
        <v>16</v>
      </c>
      <c r="K3897" t="str">
        <f>VLOOKUP(C3897,CheckName!A:B,2,0)</f>
        <v>Ref</v>
      </c>
      <c r="L3897">
        <v>0</v>
      </c>
      <c r="M3897">
        <f t="shared" si="574"/>
        <v>24</v>
      </c>
      <c r="N3897" t="str">
        <f>TEXT(MTDRejection[[#This Row],[RejectionDate]],"dddd")</f>
        <v>Tuesday</v>
      </c>
    </row>
    <row r="3898" spans="1:14">
      <c r="A3898" t="s">
        <v>517</v>
      </c>
      <c r="B3898" t="s">
        <v>6039</v>
      </c>
      <c r="C3898" t="s">
        <v>106</v>
      </c>
      <c r="D3898" t="s">
        <v>26</v>
      </c>
      <c r="E3898" s="7">
        <v>45650</v>
      </c>
      <c r="F3898" t="s">
        <v>294</v>
      </c>
      <c r="G3898">
        <v>2</v>
      </c>
      <c r="H3898" t="s">
        <v>27</v>
      </c>
      <c r="I3898" t="s">
        <v>16</v>
      </c>
      <c r="J3898" t="s">
        <v>16</v>
      </c>
      <c r="K3898" t="str">
        <f>VLOOKUP(C3898,CheckName!A:B,2,0)</f>
        <v>Ref</v>
      </c>
      <c r="L3898">
        <v>0</v>
      </c>
      <c r="M3898">
        <f t="shared" si="574"/>
        <v>24</v>
      </c>
      <c r="N3898" t="str">
        <f>TEXT(MTDRejection[[#This Row],[RejectionDate]],"dddd")</f>
        <v>Tuesday</v>
      </c>
    </row>
    <row r="3899" spans="1:14">
      <c r="A3899" t="s">
        <v>43</v>
      </c>
      <c r="B3899" t="s">
        <v>6040</v>
      </c>
      <c r="C3899" t="s">
        <v>12</v>
      </c>
      <c r="D3899" t="s">
        <v>26</v>
      </c>
      <c r="E3899" s="7">
        <v>45650</v>
      </c>
      <c r="F3899" t="s">
        <v>159</v>
      </c>
      <c r="G3899">
        <v>2</v>
      </c>
      <c r="H3899" t="s">
        <v>27</v>
      </c>
      <c r="I3899" t="s">
        <v>16</v>
      </c>
      <c r="J3899" t="s">
        <v>16</v>
      </c>
      <c r="K3899" t="str">
        <f>VLOOKUP(C3899,CheckName!A:B,2,0)</f>
        <v>Emp</v>
      </c>
      <c r="L3899">
        <v>0</v>
      </c>
      <c r="M3899">
        <f t="shared" si="574"/>
        <v>24</v>
      </c>
      <c r="N3899" t="str">
        <f>TEXT(MTDRejection[[#This Row],[RejectionDate]],"dddd")</f>
        <v>Tuesday</v>
      </c>
    </row>
    <row r="3900" spans="1:14">
      <c r="A3900" t="s">
        <v>84</v>
      </c>
      <c r="B3900" t="s">
        <v>1897</v>
      </c>
      <c r="C3900" t="s">
        <v>36</v>
      </c>
      <c r="D3900" t="s">
        <v>26</v>
      </c>
      <c r="E3900" s="7">
        <v>45650</v>
      </c>
      <c r="F3900" t="s">
        <v>2333</v>
      </c>
      <c r="G3900">
        <v>2</v>
      </c>
      <c r="H3900" t="s">
        <v>27</v>
      </c>
      <c r="I3900" t="s">
        <v>16</v>
      </c>
      <c r="J3900" t="s">
        <v>16</v>
      </c>
      <c r="K3900" t="str">
        <f>VLOOKUP(C3900,CheckName!A:B,2,0)</f>
        <v>Emp</v>
      </c>
      <c r="L3900">
        <v>0</v>
      </c>
      <c r="M3900">
        <f t="shared" si="574"/>
        <v>24</v>
      </c>
      <c r="N3900" t="str">
        <f>TEXT(MTDRejection[[#This Row],[RejectionDate]],"dddd")</f>
        <v>Tuesday</v>
      </c>
    </row>
    <row r="3901" spans="1:14">
      <c r="A3901" t="s">
        <v>2032</v>
      </c>
      <c r="B3901" t="s">
        <v>6041</v>
      </c>
      <c r="C3901" t="s">
        <v>125</v>
      </c>
      <c r="D3901" t="s">
        <v>26</v>
      </c>
      <c r="E3901" s="7">
        <v>45650</v>
      </c>
      <c r="F3901" t="s">
        <v>2335</v>
      </c>
      <c r="G3901">
        <v>2</v>
      </c>
      <c r="H3901" t="s">
        <v>27</v>
      </c>
      <c r="I3901" t="s">
        <v>16</v>
      </c>
      <c r="J3901" t="s">
        <v>16</v>
      </c>
      <c r="K3901" t="str">
        <f>VLOOKUP(C3901,CheckName!A:B,2,0)</f>
        <v>Emp</v>
      </c>
      <c r="L3901">
        <v>0</v>
      </c>
      <c r="M3901">
        <f t="shared" si="574"/>
        <v>24</v>
      </c>
      <c r="N3901" t="str">
        <f>TEXT(MTDRejection[[#This Row],[RejectionDate]],"dddd")</f>
        <v>Tuesday</v>
      </c>
    </row>
    <row r="3902" spans="1:14">
      <c r="A3902" t="s">
        <v>45</v>
      </c>
      <c r="B3902" t="s">
        <v>2314</v>
      </c>
      <c r="C3902" t="s">
        <v>54</v>
      </c>
      <c r="D3902" t="s">
        <v>13</v>
      </c>
      <c r="E3902" s="7">
        <v>45650</v>
      </c>
      <c r="F3902" t="s">
        <v>1013</v>
      </c>
      <c r="G3902">
        <v>2</v>
      </c>
      <c r="H3902" t="s">
        <v>505</v>
      </c>
      <c r="I3902" t="s">
        <v>16</v>
      </c>
      <c r="J3902" t="s">
        <v>16</v>
      </c>
      <c r="K3902" t="str">
        <f>VLOOKUP(C3902,CheckName!A:B,2,0)</f>
        <v>Edu</v>
      </c>
      <c r="L3902">
        <v>0</v>
      </c>
      <c r="M3902">
        <f t="shared" si="574"/>
        <v>24</v>
      </c>
      <c r="N3902" t="str">
        <f>TEXT(MTDRejection[[#This Row],[RejectionDate]],"dddd")</f>
        <v>Tuesday</v>
      </c>
    </row>
    <row r="3903" spans="1:14">
      <c r="A3903" t="s">
        <v>461</v>
      </c>
      <c r="B3903" t="s">
        <v>6042</v>
      </c>
      <c r="C3903" t="s">
        <v>125</v>
      </c>
      <c r="D3903" t="s">
        <v>26</v>
      </c>
      <c r="E3903" s="7">
        <v>45650</v>
      </c>
      <c r="F3903" t="s">
        <v>2355</v>
      </c>
      <c r="G3903">
        <v>2</v>
      </c>
      <c r="H3903" t="s">
        <v>27</v>
      </c>
      <c r="I3903" t="s">
        <v>16</v>
      </c>
      <c r="J3903" t="s">
        <v>16</v>
      </c>
      <c r="K3903" t="str">
        <f>VLOOKUP(C3903,CheckName!A:B,2,0)</f>
        <v>Emp</v>
      </c>
      <c r="L3903">
        <v>0</v>
      </c>
      <c r="M3903">
        <f t="shared" ref="M3903:M3904" si="575">DAY(E3903)</f>
        <v>24</v>
      </c>
      <c r="N3903" t="str">
        <f>TEXT(MTDRejection[[#This Row],[RejectionDate]],"dddd")</f>
        <v>Tuesday</v>
      </c>
    </row>
    <row r="3904" spans="1:14">
      <c r="A3904" t="s">
        <v>1306</v>
      </c>
      <c r="B3904" t="s">
        <v>6043</v>
      </c>
      <c r="C3904" t="s">
        <v>19</v>
      </c>
      <c r="D3904" t="s">
        <v>20</v>
      </c>
      <c r="E3904" s="7">
        <v>45650</v>
      </c>
      <c r="F3904" t="s">
        <v>129</v>
      </c>
      <c r="G3904">
        <v>2</v>
      </c>
      <c r="H3904" t="s">
        <v>22</v>
      </c>
      <c r="I3904" t="s">
        <v>16</v>
      </c>
      <c r="J3904" t="s">
        <v>16</v>
      </c>
      <c r="K3904" t="str">
        <f>VLOOKUP(C3904,CheckName!A:B,2,0)</f>
        <v>Add</v>
      </c>
      <c r="L3904">
        <v>0</v>
      </c>
      <c r="M3904">
        <f t="shared" si="575"/>
        <v>24</v>
      </c>
      <c r="N3904" t="str">
        <f>TEXT(MTDRejection[[#This Row],[RejectionDate]],"dddd")</f>
        <v>Tuesday</v>
      </c>
    </row>
    <row r="3905" spans="1:14">
      <c r="A3905" t="s">
        <v>685</v>
      </c>
      <c r="B3905" t="s">
        <v>6044</v>
      </c>
      <c r="C3905" t="s">
        <v>25</v>
      </c>
      <c r="D3905" t="s">
        <v>13</v>
      </c>
      <c r="E3905" s="7">
        <v>45650</v>
      </c>
      <c r="F3905" t="s">
        <v>540</v>
      </c>
      <c r="G3905">
        <v>2</v>
      </c>
      <c r="H3905" t="s">
        <v>15</v>
      </c>
      <c r="I3905" t="s">
        <v>16</v>
      </c>
      <c r="J3905" t="s">
        <v>16</v>
      </c>
      <c r="K3905" t="str">
        <f>VLOOKUP(C3905,CheckName!A:B,2,0)</f>
        <v>Add</v>
      </c>
      <c r="L3905">
        <v>0</v>
      </c>
      <c r="M3905">
        <f>DAY(E3905)</f>
        <v>24</v>
      </c>
      <c r="N3905" t="str">
        <f>TEXT(MTDRejection[[#This Row],[RejectionDate]],"dddd")</f>
        <v>Tuesday</v>
      </c>
    </row>
    <row r="3906" spans="1:14">
      <c r="A3906" t="s">
        <v>176</v>
      </c>
      <c r="B3906" t="s">
        <v>6045</v>
      </c>
      <c r="C3906" t="s">
        <v>12</v>
      </c>
      <c r="D3906" t="s">
        <v>26</v>
      </c>
      <c r="E3906" s="7">
        <v>45650</v>
      </c>
      <c r="F3906" t="s">
        <v>115</v>
      </c>
      <c r="G3906">
        <v>2</v>
      </c>
      <c r="H3906" t="s">
        <v>27</v>
      </c>
      <c r="I3906" t="s">
        <v>16</v>
      </c>
      <c r="J3906" t="s">
        <v>16</v>
      </c>
      <c r="K3906" t="str">
        <f>VLOOKUP(C3906,CheckName!A:B,2,0)</f>
        <v>Emp</v>
      </c>
      <c r="L3906">
        <v>0</v>
      </c>
      <c r="M3906">
        <f t="shared" ref="M3906:M3914" si="576">DAY(E3906)</f>
        <v>24</v>
      </c>
      <c r="N3906" t="str">
        <f>TEXT(MTDRejection[[#This Row],[RejectionDate]],"dddd")</f>
        <v>Tuesday</v>
      </c>
    </row>
    <row r="3907" spans="1:14">
      <c r="A3907" t="s">
        <v>64</v>
      </c>
      <c r="B3907" t="s">
        <v>5439</v>
      </c>
      <c r="C3907" t="s">
        <v>54</v>
      </c>
      <c r="D3907" t="s">
        <v>26</v>
      </c>
      <c r="E3907" s="7">
        <v>45650</v>
      </c>
      <c r="F3907" t="s">
        <v>121</v>
      </c>
      <c r="G3907">
        <v>2</v>
      </c>
      <c r="H3907" t="s">
        <v>27</v>
      </c>
      <c r="I3907" t="s">
        <v>16</v>
      </c>
      <c r="J3907" t="s">
        <v>16</v>
      </c>
      <c r="K3907" t="str">
        <f>VLOOKUP(C3907,CheckName!A:B,2,0)</f>
        <v>Edu</v>
      </c>
      <c r="L3907">
        <v>0</v>
      </c>
      <c r="M3907">
        <f t="shared" si="576"/>
        <v>24</v>
      </c>
      <c r="N3907" t="str">
        <f>TEXT(MTDRejection[[#This Row],[RejectionDate]],"dddd")</f>
        <v>Tuesday</v>
      </c>
    </row>
    <row r="3908" spans="1:14">
      <c r="A3908" t="s">
        <v>556</v>
      </c>
      <c r="B3908" t="s">
        <v>6046</v>
      </c>
      <c r="C3908" t="s">
        <v>2094</v>
      </c>
      <c r="D3908" t="s">
        <v>38</v>
      </c>
      <c r="E3908" s="7">
        <v>45650</v>
      </c>
      <c r="F3908" t="s">
        <v>118</v>
      </c>
      <c r="G3908">
        <v>2</v>
      </c>
      <c r="H3908" t="s">
        <v>42</v>
      </c>
      <c r="I3908" t="s">
        <v>16</v>
      </c>
      <c r="J3908" t="s">
        <v>16</v>
      </c>
      <c r="K3908" t="str">
        <f>VLOOKUP(C3908,CheckName!A:B,2,0)</f>
        <v>Special Check</v>
      </c>
      <c r="L3908">
        <v>0</v>
      </c>
      <c r="M3908">
        <f t="shared" si="576"/>
        <v>24</v>
      </c>
      <c r="N3908" t="str">
        <f>TEXT(MTDRejection[[#This Row],[RejectionDate]],"dddd")</f>
        <v>Tuesday</v>
      </c>
    </row>
    <row r="3909" spans="1:14">
      <c r="A3909" t="s">
        <v>100</v>
      </c>
      <c r="B3909" t="s">
        <v>6047</v>
      </c>
      <c r="C3909" t="s">
        <v>255</v>
      </c>
      <c r="D3909" t="s">
        <v>38</v>
      </c>
      <c r="E3909" s="7">
        <v>45650</v>
      </c>
      <c r="F3909" t="s">
        <v>118</v>
      </c>
      <c r="G3909">
        <v>2</v>
      </c>
      <c r="H3909" t="s">
        <v>42</v>
      </c>
      <c r="I3909" t="s">
        <v>16</v>
      </c>
      <c r="J3909" t="s">
        <v>16</v>
      </c>
      <c r="K3909" t="str">
        <f>VLOOKUP(C3909,CheckName!A:B,2,0)</f>
        <v>Special Check</v>
      </c>
      <c r="L3909">
        <v>0</v>
      </c>
      <c r="M3909">
        <f t="shared" si="576"/>
        <v>24</v>
      </c>
      <c r="N3909" t="str">
        <f>TEXT(MTDRejection[[#This Row],[RejectionDate]],"dddd")</f>
        <v>Tuesday</v>
      </c>
    </row>
    <row r="3910" spans="1:14">
      <c r="A3910" t="s">
        <v>100</v>
      </c>
      <c r="B3910" t="s">
        <v>6048</v>
      </c>
      <c r="C3910" t="s">
        <v>255</v>
      </c>
      <c r="D3910" t="s">
        <v>38</v>
      </c>
      <c r="E3910" s="7">
        <v>45650</v>
      </c>
      <c r="F3910" t="s">
        <v>118</v>
      </c>
      <c r="G3910">
        <v>2</v>
      </c>
      <c r="H3910" t="s">
        <v>42</v>
      </c>
      <c r="I3910" t="s">
        <v>16</v>
      </c>
      <c r="J3910" t="s">
        <v>16</v>
      </c>
      <c r="K3910" t="str">
        <f>VLOOKUP(C3910,CheckName!A:B,2,0)</f>
        <v>Special Check</v>
      </c>
      <c r="L3910">
        <v>0</v>
      </c>
      <c r="M3910">
        <f t="shared" si="576"/>
        <v>24</v>
      </c>
      <c r="N3910" t="str">
        <f>TEXT(MTDRejection[[#This Row],[RejectionDate]],"dddd")</f>
        <v>Tuesday</v>
      </c>
    </row>
    <row r="3911" spans="1:14">
      <c r="A3911" t="s">
        <v>100</v>
      </c>
      <c r="B3911" t="s">
        <v>6049</v>
      </c>
      <c r="C3911" t="s">
        <v>235</v>
      </c>
      <c r="D3911" t="s">
        <v>38</v>
      </c>
      <c r="E3911" s="7">
        <v>45650</v>
      </c>
      <c r="F3911" t="s">
        <v>118</v>
      </c>
      <c r="G3911">
        <v>2</v>
      </c>
      <c r="H3911" t="s">
        <v>42</v>
      </c>
      <c r="I3911" t="s">
        <v>16</v>
      </c>
      <c r="J3911" t="s">
        <v>16</v>
      </c>
      <c r="K3911" t="str">
        <f>VLOOKUP(C3911,CheckName!A:B,2,0)</f>
        <v>Special Check</v>
      </c>
      <c r="L3911">
        <v>0</v>
      </c>
      <c r="M3911">
        <f t="shared" si="576"/>
        <v>24</v>
      </c>
      <c r="N3911" t="str">
        <f>TEXT(MTDRejection[[#This Row],[RejectionDate]],"dddd")</f>
        <v>Tuesday</v>
      </c>
    </row>
    <row r="3912" spans="1:14">
      <c r="A3912" t="s">
        <v>100</v>
      </c>
      <c r="B3912" t="s">
        <v>6050</v>
      </c>
      <c r="C3912" t="s">
        <v>235</v>
      </c>
      <c r="D3912" t="s">
        <v>38</v>
      </c>
      <c r="E3912" s="7">
        <v>45650</v>
      </c>
      <c r="F3912" t="s">
        <v>118</v>
      </c>
      <c r="G3912">
        <v>2</v>
      </c>
      <c r="H3912" t="s">
        <v>42</v>
      </c>
      <c r="I3912" t="s">
        <v>16</v>
      </c>
      <c r="J3912" t="s">
        <v>16</v>
      </c>
      <c r="K3912" t="str">
        <f>VLOOKUP(C3912,CheckName!A:B,2,0)</f>
        <v>Special Check</v>
      </c>
      <c r="L3912">
        <v>0</v>
      </c>
      <c r="M3912">
        <f t="shared" si="576"/>
        <v>24</v>
      </c>
      <c r="N3912" t="str">
        <f>TEXT(MTDRejection[[#This Row],[RejectionDate]],"dddd")</f>
        <v>Tuesday</v>
      </c>
    </row>
    <row r="3913" spans="1:14">
      <c r="A3913" t="s">
        <v>10</v>
      </c>
      <c r="B3913" t="s">
        <v>6051</v>
      </c>
      <c r="C3913" t="s">
        <v>1869</v>
      </c>
      <c r="D3913" t="s">
        <v>38</v>
      </c>
      <c r="E3913" s="7">
        <v>45650</v>
      </c>
      <c r="F3913" t="s">
        <v>118</v>
      </c>
      <c r="G3913">
        <v>2</v>
      </c>
      <c r="H3913" t="s">
        <v>42</v>
      </c>
      <c r="I3913" t="s">
        <v>16</v>
      </c>
      <c r="J3913" t="s">
        <v>16</v>
      </c>
      <c r="K3913" t="str">
        <f>VLOOKUP(C3913,CheckName!A:B,2,0)</f>
        <v>Special Check</v>
      </c>
      <c r="L3913">
        <v>0</v>
      </c>
      <c r="M3913">
        <f t="shared" si="576"/>
        <v>24</v>
      </c>
      <c r="N3913" t="str">
        <f>TEXT(MTDRejection[[#This Row],[RejectionDate]],"dddd")</f>
        <v>Tuesday</v>
      </c>
    </row>
    <row r="3914" spans="1:14">
      <c r="A3914" t="s">
        <v>312</v>
      </c>
      <c r="B3914" t="s">
        <v>6052</v>
      </c>
      <c r="C3914" t="s">
        <v>123</v>
      </c>
      <c r="D3914" t="s">
        <v>38</v>
      </c>
      <c r="E3914" s="7">
        <v>45650</v>
      </c>
      <c r="F3914" t="s">
        <v>118</v>
      </c>
      <c r="G3914">
        <v>2</v>
      </c>
      <c r="H3914" t="s">
        <v>42</v>
      </c>
      <c r="I3914" t="s">
        <v>16</v>
      </c>
      <c r="J3914" t="s">
        <v>16</v>
      </c>
      <c r="K3914" t="str">
        <f>VLOOKUP(C3914,CheckName!A:B,2,0)</f>
        <v>Special Check</v>
      </c>
      <c r="L3914">
        <v>0</v>
      </c>
      <c r="M3914">
        <f t="shared" si="576"/>
        <v>24</v>
      </c>
      <c r="N3914" t="str">
        <f>TEXT(MTDRejection[[#This Row],[RejectionDate]],"dddd")</f>
        <v>Tuesday</v>
      </c>
    </row>
    <row r="3915" spans="1:14">
      <c r="A3915" t="s">
        <v>165</v>
      </c>
      <c r="B3915" t="s">
        <v>6053</v>
      </c>
      <c r="C3915" t="s">
        <v>36</v>
      </c>
      <c r="D3915" t="s">
        <v>26</v>
      </c>
      <c r="E3915" s="7">
        <v>45649</v>
      </c>
      <c r="F3915" t="s">
        <v>2347</v>
      </c>
      <c r="G3915">
        <v>3</v>
      </c>
      <c r="H3915" t="s">
        <v>22</v>
      </c>
      <c r="I3915" t="s">
        <v>16</v>
      </c>
      <c r="J3915" t="s">
        <v>16</v>
      </c>
      <c r="K3915" t="str">
        <f>VLOOKUP(C3915,CheckName!A:B,2,0)</f>
        <v>Emp</v>
      </c>
      <c r="L3915">
        <v>0</v>
      </c>
      <c r="M3915">
        <f>DAY(E3915)</f>
        <v>23</v>
      </c>
      <c r="N3915" t="str">
        <f>TEXT(MTDRejection[[#This Row],[RejectionDate]],"dddd")</f>
        <v>Monday</v>
      </c>
    </row>
    <row r="3916" spans="1:14">
      <c r="A3916" t="s">
        <v>1573</v>
      </c>
      <c r="B3916" t="s">
        <v>6054</v>
      </c>
      <c r="C3916" t="s">
        <v>54</v>
      </c>
      <c r="D3916" t="s">
        <v>26</v>
      </c>
      <c r="E3916" s="7">
        <v>45649</v>
      </c>
      <c r="F3916" t="s">
        <v>535</v>
      </c>
      <c r="G3916">
        <v>3</v>
      </c>
      <c r="H3916" t="s">
        <v>27</v>
      </c>
      <c r="I3916" t="s">
        <v>16</v>
      </c>
      <c r="J3916" t="s">
        <v>16</v>
      </c>
      <c r="K3916" t="str">
        <f>VLOOKUP(C3916,CheckName!A:B,2,0)</f>
        <v>Edu</v>
      </c>
      <c r="L3916">
        <v>0</v>
      </c>
      <c r="M3916">
        <f>DAY(E3916)</f>
        <v>23</v>
      </c>
      <c r="N3916" t="str">
        <f>TEXT(MTDRejection[[#This Row],[RejectionDate]],"dddd")</f>
        <v>Monday</v>
      </c>
    </row>
    <row r="3917" spans="1:14">
      <c r="A3917" t="s">
        <v>1246</v>
      </c>
      <c r="B3917" t="s">
        <v>6055</v>
      </c>
      <c r="C3917" t="s">
        <v>12</v>
      </c>
      <c r="D3917" t="s">
        <v>26</v>
      </c>
      <c r="E3917" s="7">
        <v>45646</v>
      </c>
      <c r="F3917" t="s">
        <v>675</v>
      </c>
      <c r="G3917">
        <v>6</v>
      </c>
      <c r="H3917" t="s">
        <v>27</v>
      </c>
      <c r="I3917" t="s">
        <v>16</v>
      </c>
      <c r="J3917" t="s">
        <v>16</v>
      </c>
      <c r="K3917" t="str">
        <f>VLOOKUP(C3917,CheckName!A:B,2,0)</f>
        <v>Emp</v>
      </c>
      <c r="L3917">
        <v>0</v>
      </c>
      <c r="M3917">
        <f t="shared" ref="M3917:M3919" si="577">DAY(E3917)</f>
        <v>20</v>
      </c>
      <c r="N3917" t="str">
        <f>TEXT(MTDRejection[[#This Row],[RejectionDate]],"dddd")</f>
        <v>Friday</v>
      </c>
    </row>
    <row r="3918" spans="1:14">
      <c r="A3918" t="s">
        <v>391</v>
      </c>
      <c r="B3918" t="s">
        <v>6056</v>
      </c>
      <c r="C3918" t="s">
        <v>12</v>
      </c>
      <c r="D3918" t="s">
        <v>38</v>
      </c>
      <c r="E3918" s="7">
        <v>45646</v>
      </c>
      <c r="F3918" t="s">
        <v>39</v>
      </c>
      <c r="G3918">
        <v>6</v>
      </c>
      <c r="H3918" t="s">
        <v>42</v>
      </c>
      <c r="I3918" t="s">
        <v>16</v>
      </c>
      <c r="J3918" t="s">
        <v>16</v>
      </c>
      <c r="K3918" t="str">
        <f>VLOOKUP(C3918,CheckName!A:B,2,0)</f>
        <v>Emp</v>
      </c>
      <c r="L3918">
        <v>0</v>
      </c>
      <c r="M3918">
        <f t="shared" si="577"/>
        <v>20</v>
      </c>
      <c r="N3918" t="str">
        <f>TEXT(MTDRejection[[#This Row],[RejectionDate]],"dddd")</f>
        <v>Friday</v>
      </c>
    </row>
    <row r="3919" spans="1:14">
      <c r="A3919" t="s">
        <v>685</v>
      </c>
      <c r="B3919" t="s">
        <v>6057</v>
      </c>
      <c r="C3919" t="s">
        <v>54</v>
      </c>
      <c r="D3919" t="s">
        <v>26</v>
      </c>
      <c r="E3919" s="7">
        <v>45646</v>
      </c>
      <c r="F3919" t="s">
        <v>2344</v>
      </c>
      <c r="G3919">
        <v>6</v>
      </c>
      <c r="H3919" t="s">
        <v>27</v>
      </c>
      <c r="I3919" t="s">
        <v>16</v>
      </c>
      <c r="J3919" t="s">
        <v>16</v>
      </c>
      <c r="K3919" t="str">
        <f>VLOOKUP(C3919,CheckName!A:B,2,0)</f>
        <v>Edu</v>
      </c>
      <c r="L3919">
        <v>0</v>
      </c>
      <c r="M3919">
        <f t="shared" si="577"/>
        <v>20</v>
      </c>
      <c r="N3919" t="str">
        <f>TEXT(MTDRejection[[#This Row],[RejectionDate]],"dddd")</f>
        <v>Friday</v>
      </c>
    </row>
    <row r="3920" spans="1:14">
      <c r="A3920" t="s">
        <v>360</v>
      </c>
      <c r="B3920" t="s">
        <v>6058</v>
      </c>
      <c r="C3920" t="s">
        <v>36</v>
      </c>
      <c r="D3920" t="s">
        <v>26</v>
      </c>
      <c r="E3920" s="7">
        <v>45645</v>
      </c>
      <c r="F3920" t="s">
        <v>325</v>
      </c>
      <c r="G3920">
        <v>7</v>
      </c>
      <c r="H3920" t="s">
        <v>130</v>
      </c>
      <c r="I3920" t="s">
        <v>16</v>
      </c>
      <c r="J3920" t="s">
        <v>16</v>
      </c>
      <c r="K3920" t="str">
        <f>VLOOKUP(C3920,CheckName!A:B,2,0)</f>
        <v>Emp</v>
      </c>
      <c r="L3920">
        <v>0</v>
      </c>
      <c r="M3920">
        <f t="shared" ref="M3920:M3925" si="578">DAY(E3920)</f>
        <v>19</v>
      </c>
      <c r="N3920" t="str">
        <f>TEXT(MTDRejection[[#This Row],[RejectionDate]],"dddd")</f>
        <v>Thursday</v>
      </c>
    </row>
    <row r="3921" spans="1:14">
      <c r="A3921" t="s">
        <v>2095</v>
      </c>
      <c r="B3921" t="s">
        <v>2760</v>
      </c>
      <c r="C3921" t="s">
        <v>12</v>
      </c>
      <c r="D3921" t="s">
        <v>26</v>
      </c>
      <c r="E3921" s="7">
        <v>45643</v>
      </c>
      <c r="F3921" t="s">
        <v>675</v>
      </c>
      <c r="G3921">
        <v>9</v>
      </c>
      <c r="H3921" t="s">
        <v>27</v>
      </c>
      <c r="I3921" t="s">
        <v>16</v>
      </c>
      <c r="J3921" t="s">
        <v>16</v>
      </c>
      <c r="K3921" t="str">
        <f>VLOOKUP(C3921,CheckName!A:B,2,0)</f>
        <v>Emp</v>
      </c>
      <c r="L3921">
        <v>0</v>
      </c>
      <c r="M3921">
        <f t="shared" si="578"/>
        <v>17</v>
      </c>
      <c r="N3921" t="str">
        <f>TEXT(MTDRejection[[#This Row],[RejectionDate]],"dddd")</f>
        <v>Tuesday</v>
      </c>
    </row>
    <row r="3922" spans="1:14">
      <c r="A3922" t="s">
        <v>456</v>
      </c>
      <c r="B3922" t="s">
        <v>6059</v>
      </c>
      <c r="C3922" t="s">
        <v>1677</v>
      </c>
      <c r="D3922" t="s">
        <v>26</v>
      </c>
      <c r="E3922" s="7">
        <v>45642</v>
      </c>
      <c r="F3922" t="s">
        <v>159</v>
      </c>
      <c r="G3922">
        <v>10</v>
      </c>
      <c r="H3922" t="s">
        <v>27</v>
      </c>
      <c r="I3922" t="s">
        <v>16</v>
      </c>
      <c r="J3922" t="s">
        <v>16</v>
      </c>
      <c r="K3922" t="str">
        <f>VLOOKUP(C3922,CheckName!A:B,2,0)</f>
        <v>Emp</v>
      </c>
      <c r="L3922">
        <v>0</v>
      </c>
      <c r="M3922">
        <f t="shared" si="578"/>
        <v>16</v>
      </c>
      <c r="N3922" t="str">
        <f>TEXT(MTDRejection[[#This Row],[RejectionDate]],"dddd")</f>
        <v>Monday</v>
      </c>
    </row>
    <row r="3923" spans="1:14">
      <c r="A3923" t="s">
        <v>96</v>
      </c>
      <c r="B3923" t="s">
        <v>6060</v>
      </c>
      <c r="C3923" t="s">
        <v>112</v>
      </c>
      <c r="D3923" t="s">
        <v>26</v>
      </c>
      <c r="E3923" s="7">
        <v>45641</v>
      </c>
      <c r="F3923" t="s">
        <v>2341</v>
      </c>
      <c r="G3923">
        <v>11</v>
      </c>
      <c r="H3923" t="s">
        <v>130</v>
      </c>
      <c r="I3923" t="s">
        <v>16</v>
      </c>
      <c r="J3923" t="s">
        <v>16</v>
      </c>
      <c r="K3923" t="str">
        <f>VLOOKUP(C3923,CheckName!A:B,2,0)</f>
        <v>Emp</v>
      </c>
      <c r="L3923">
        <v>0</v>
      </c>
      <c r="M3923">
        <f t="shared" si="578"/>
        <v>15</v>
      </c>
      <c r="N3923" t="str">
        <f>TEXT(MTDRejection[[#This Row],[RejectionDate]],"dddd")</f>
        <v>Sunday</v>
      </c>
    </row>
    <row r="3924" spans="1:14">
      <c r="A3924" t="s">
        <v>45</v>
      </c>
      <c r="B3924" t="s">
        <v>6061</v>
      </c>
      <c r="C3924" t="s">
        <v>2097</v>
      </c>
      <c r="D3924" t="s">
        <v>13</v>
      </c>
      <c r="E3924" s="7">
        <v>45636</v>
      </c>
      <c r="F3924" t="s">
        <v>706</v>
      </c>
      <c r="G3924">
        <v>16</v>
      </c>
      <c r="H3924" t="s">
        <v>15</v>
      </c>
      <c r="I3924" t="s">
        <v>16</v>
      </c>
      <c r="J3924" t="s">
        <v>16</v>
      </c>
      <c r="K3924" t="str">
        <f>VLOOKUP(C3924,CheckName!A:B,2,0)</f>
        <v>Special Check</v>
      </c>
      <c r="L3924">
        <v>0</v>
      </c>
      <c r="M3924">
        <f t="shared" si="578"/>
        <v>10</v>
      </c>
      <c r="N3924" t="str">
        <f>TEXT(MTDRejection[[#This Row],[RejectionDate]],"dddd")</f>
        <v>Tuesday</v>
      </c>
    </row>
    <row r="3925" spans="1:14">
      <c r="A3925" t="s">
        <v>299</v>
      </c>
      <c r="B3925" t="s">
        <v>6062</v>
      </c>
      <c r="C3925" t="s">
        <v>12</v>
      </c>
      <c r="D3925" t="s">
        <v>26</v>
      </c>
      <c r="E3925" s="7">
        <v>45635</v>
      </c>
      <c r="F3925" t="s">
        <v>151</v>
      </c>
      <c r="G3925">
        <v>17</v>
      </c>
      <c r="H3925" t="s">
        <v>27</v>
      </c>
      <c r="I3925" t="s">
        <v>16</v>
      </c>
      <c r="J3925" t="s">
        <v>16</v>
      </c>
      <c r="K3925" t="str">
        <f>VLOOKUP(C3925,CheckName!A:B,2,0)</f>
        <v>Emp</v>
      </c>
      <c r="L3925">
        <v>0</v>
      </c>
      <c r="M3925">
        <f t="shared" si="578"/>
        <v>9</v>
      </c>
      <c r="N3925" t="str">
        <f>TEXT(MTDRejection[[#This Row],[RejectionDate]],"dddd")</f>
        <v>Monday</v>
      </c>
    </row>
    <row r="3926" spans="1:14">
      <c r="A3926" t="s">
        <v>1110</v>
      </c>
      <c r="B3926" t="s">
        <v>6063</v>
      </c>
      <c r="C3926" t="s">
        <v>1623</v>
      </c>
      <c r="D3926" t="s">
        <v>13</v>
      </c>
      <c r="E3926" s="7">
        <v>45652</v>
      </c>
      <c r="F3926" t="s">
        <v>1310</v>
      </c>
      <c r="G3926">
        <v>0</v>
      </c>
      <c r="H3926" t="s">
        <v>15</v>
      </c>
      <c r="I3926" t="s">
        <v>16</v>
      </c>
      <c r="J3926" t="s">
        <v>16</v>
      </c>
      <c r="K3926" t="str">
        <f>VLOOKUP(C3926,CheckName!A:B,2,0)</f>
        <v>CRC</v>
      </c>
      <c r="L3926">
        <v>0</v>
      </c>
      <c r="M3926">
        <f t="shared" ref="M3926:M3929" si="579">DAY(E3926)</f>
        <v>26</v>
      </c>
      <c r="N3926" t="str">
        <f>TEXT(MTDRejection[[#This Row],[RejectionDate]],"dddd")</f>
        <v>Thursday</v>
      </c>
    </row>
    <row r="3927" spans="1:14">
      <c r="A3927" t="s">
        <v>1110</v>
      </c>
      <c r="B3927" t="s">
        <v>2101</v>
      </c>
      <c r="C3927" t="s">
        <v>1623</v>
      </c>
      <c r="D3927" t="s">
        <v>13</v>
      </c>
      <c r="E3927" s="7">
        <v>45652</v>
      </c>
      <c r="F3927" t="s">
        <v>1310</v>
      </c>
      <c r="G3927">
        <v>0</v>
      </c>
      <c r="H3927" t="s">
        <v>15</v>
      </c>
      <c r="I3927" t="s">
        <v>16</v>
      </c>
      <c r="J3927" t="s">
        <v>16</v>
      </c>
      <c r="K3927" t="str">
        <f>VLOOKUP(C3927,CheckName!A:B,2,0)</f>
        <v>CRC</v>
      </c>
      <c r="L3927">
        <v>0</v>
      </c>
      <c r="M3927">
        <f t="shared" si="579"/>
        <v>26</v>
      </c>
      <c r="N3927" t="str">
        <f>TEXT(MTDRejection[[#This Row],[RejectionDate]],"dddd")</f>
        <v>Thursday</v>
      </c>
    </row>
    <row r="3928" spans="1:14">
      <c r="A3928" t="s">
        <v>1110</v>
      </c>
      <c r="B3928" t="s">
        <v>6064</v>
      </c>
      <c r="C3928" t="s">
        <v>1623</v>
      </c>
      <c r="D3928" t="s">
        <v>13</v>
      </c>
      <c r="E3928" s="7">
        <v>45652</v>
      </c>
      <c r="F3928" t="s">
        <v>1310</v>
      </c>
      <c r="G3928">
        <v>0</v>
      </c>
      <c r="H3928" t="s">
        <v>15</v>
      </c>
      <c r="I3928" t="s">
        <v>16</v>
      </c>
      <c r="J3928" t="s">
        <v>16</v>
      </c>
      <c r="K3928" t="str">
        <f>VLOOKUP(C3928,CheckName!A:B,2,0)</f>
        <v>CRC</v>
      </c>
      <c r="L3928">
        <v>0</v>
      </c>
      <c r="M3928">
        <f t="shared" si="579"/>
        <v>26</v>
      </c>
      <c r="N3928" t="str">
        <f>TEXT(MTDRejection[[#This Row],[RejectionDate]],"dddd")</f>
        <v>Thursday</v>
      </c>
    </row>
    <row r="3929" spans="1:14">
      <c r="A3929" t="s">
        <v>10</v>
      </c>
      <c r="B3929" t="s">
        <v>2761</v>
      </c>
      <c r="C3929" t="s">
        <v>467</v>
      </c>
      <c r="D3929" t="s">
        <v>26</v>
      </c>
      <c r="E3929" s="7">
        <v>45652</v>
      </c>
      <c r="F3929" t="s">
        <v>236</v>
      </c>
      <c r="G3929">
        <v>0</v>
      </c>
      <c r="H3929" t="s">
        <v>27</v>
      </c>
      <c r="I3929" t="s">
        <v>16</v>
      </c>
      <c r="J3929" t="s">
        <v>16</v>
      </c>
      <c r="K3929" t="str">
        <f>VLOOKUP(C3929,CheckName!A:B,2,0)</f>
        <v>Special Check</v>
      </c>
      <c r="L3929">
        <v>0</v>
      </c>
      <c r="M3929">
        <f t="shared" si="579"/>
        <v>26</v>
      </c>
      <c r="N3929" t="str">
        <f>TEXT(MTDRejection[[#This Row],[RejectionDate]],"dddd")</f>
        <v>Thursday</v>
      </c>
    </row>
    <row r="3930" spans="1:14">
      <c r="A3930" t="s">
        <v>274</v>
      </c>
      <c r="B3930" t="s">
        <v>6065</v>
      </c>
      <c r="C3930" t="s">
        <v>25</v>
      </c>
      <c r="D3930" t="s">
        <v>20</v>
      </c>
      <c r="E3930" s="7">
        <v>45652</v>
      </c>
      <c r="F3930" t="s">
        <v>2327</v>
      </c>
      <c r="G3930">
        <v>0</v>
      </c>
      <c r="H3930" t="s">
        <v>27</v>
      </c>
      <c r="I3930" t="s">
        <v>16</v>
      </c>
      <c r="J3930" t="s">
        <v>16</v>
      </c>
      <c r="K3930" t="str">
        <f>VLOOKUP(C3930,CheckName!A:B,2,0)</f>
        <v>Add</v>
      </c>
      <c r="L3930">
        <v>0</v>
      </c>
      <c r="M3930">
        <f t="shared" ref="M3930:M3938" si="580">DAY(E3930)</f>
        <v>26</v>
      </c>
      <c r="N3930" t="str">
        <f>TEXT(MTDRejection[[#This Row],[RejectionDate]],"dddd")</f>
        <v>Thursday</v>
      </c>
    </row>
    <row r="3931" spans="1:14">
      <c r="A3931" t="s">
        <v>100</v>
      </c>
      <c r="B3931" t="s">
        <v>6066</v>
      </c>
      <c r="C3931" t="s">
        <v>357</v>
      </c>
      <c r="D3931" t="s">
        <v>51</v>
      </c>
      <c r="E3931" s="7">
        <v>45652</v>
      </c>
      <c r="F3931" t="s">
        <v>555</v>
      </c>
      <c r="G3931">
        <v>0</v>
      </c>
      <c r="H3931" t="s">
        <v>53</v>
      </c>
      <c r="I3931" t="s">
        <v>16</v>
      </c>
      <c r="J3931" t="s">
        <v>16</v>
      </c>
      <c r="K3931" t="str">
        <f>VLOOKUP(C3931,CheckName!A:B,2,0)</f>
        <v>Emp</v>
      </c>
      <c r="L3931">
        <v>0</v>
      </c>
      <c r="M3931">
        <f t="shared" si="580"/>
        <v>26</v>
      </c>
      <c r="N3931" t="str">
        <f>TEXT(MTDRejection[[#This Row],[RejectionDate]],"dddd")</f>
        <v>Thursday</v>
      </c>
    </row>
    <row r="3932" spans="1:14">
      <c r="A3932" t="s">
        <v>519</v>
      </c>
      <c r="B3932" t="s">
        <v>6067</v>
      </c>
      <c r="C3932" t="s">
        <v>1293</v>
      </c>
      <c r="D3932" t="s">
        <v>13</v>
      </c>
      <c r="E3932" s="7">
        <v>45652</v>
      </c>
      <c r="F3932" t="s">
        <v>230</v>
      </c>
      <c r="G3932">
        <v>0</v>
      </c>
      <c r="H3932" t="s">
        <v>30</v>
      </c>
      <c r="I3932" t="s">
        <v>16</v>
      </c>
      <c r="J3932" t="s">
        <v>16</v>
      </c>
      <c r="K3932" t="str">
        <f>VLOOKUP(C3932,CheckName!A:B,2,0)</f>
        <v>Edu</v>
      </c>
      <c r="L3932">
        <v>0</v>
      </c>
      <c r="M3932">
        <f t="shared" si="580"/>
        <v>26</v>
      </c>
      <c r="N3932" t="str">
        <f>TEXT(MTDRejection[[#This Row],[RejectionDate]],"dddd")</f>
        <v>Thursday</v>
      </c>
    </row>
    <row r="3933" spans="1:14">
      <c r="A3933" t="s">
        <v>519</v>
      </c>
      <c r="B3933" t="s">
        <v>6068</v>
      </c>
      <c r="C3933" t="s">
        <v>1671</v>
      </c>
      <c r="D3933" t="s">
        <v>13</v>
      </c>
      <c r="E3933" s="7">
        <v>45652</v>
      </c>
      <c r="F3933" t="s">
        <v>230</v>
      </c>
      <c r="G3933">
        <v>0</v>
      </c>
      <c r="H3933" t="s">
        <v>15</v>
      </c>
      <c r="I3933" t="s">
        <v>16</v>
      </c>
      <c r="J3933" t="s">
        <v>16</v>
      </c>
      <c r="K3933" t="str">
        <f>VLOOKUP(C3933,CheckName!A:B,2,0)</f>
        <v>Edu</v>
      </c>
      <c r="L3933">
        <v>0</v>
      </c>
      <c r="M3933">
        <f t="shared" si="580"/>
        <v>26</v>
      </c>
      <c r="N3933" t="str">
        <f>TEXT(MTDRejection[[#This Row],[RejectionDate]],"dddd")</f>
        <v>Thursday</v>
      </c>
    </row>
    <row r="3934" spans="1:14">
      <c r="A3934" t="s">
        <v>349</v>
      </c>
      <c r="B3934" t="s">
        <v>6069</v>
      </c>
      <c r="C3934" t="s">
        <v>54</v>
      </c>
      <c r="D3934" t="s">
        <v>51</v>
      </c>
      <c r="E3934" s="7">
        <v>45652</v>
      </c>
      <c r="F3934" t="s">
        <v>52</v>
      </c>
      <c r="G3934">
        <v>0</v>
      </c>
      <c r="H3934" t="s">
        <v>53</v>
      </c>
      <c r="I3934" t="s">
        <v>16</v>
      </c>
      <c r="J3934" t="s">
        <v>16</v>
      </c>
      <c r="K3934" t="str">
        <f>VLOOKUP(C3934,CheckName!A:B,2,0)</f>
        <v>Edu</v>
      </c>
      <c r="L3934">
        <v>0</v>
      </c>
      <c r="M3934">
        <f t="shared" si="580"/>
        <v>26</v>
      </c>
      <c r="N3934" t="str">
        <f>TEXT(MTDRejection[[#This Row],[RejectionDate]],"dddd")</f>
        <v>Thursday</v>
      </c>
    </row>
    <row r="3935" spans="1:14">
      <c r="A3935" t="s">
        <v>91</v>
      </c>
      <c r="B3935" t="s">
        <v>6070</v>
      </c>
      <c r="C3935" t="s">
        <v>93</v>
      </c>
      <c r="D3935" t="s">
        <v>26</v>
      </c>
      <c r="E3935" s="7">
        <v>45652</v>
      </c>
      <c r="F3935" t="s">
        <v>63</v>
      </c>
      <c r="G3935">
        <v>0</v>
      </c>
      <c r="H3935" t="s">
        <v>27</v>
      </c>
      <c r="I3935" t="s">
        <v>16</v>
      </c>
      <c r="J3935" t="s">
        <v>16</v>
      </c>
      <c r="K3935" t="str">
        <f>VLOOKUP(C3935,CheckName!A:B,2,0)</f>
        <v>Edu</v>
      </c>
      <c r="L3935">
        <v>0</v>
      </c>
      <c r="M3935">
        <f t="shared" si="580"/>
        <v>26</v>
      </c>
      <c r="N3935" t="str">
        <f>TEXT(MTDRejection[[#This Row],[RejectionDate]],"dddd")</f>
        <v>Thursday</v>
      </c>
    </row>
    <row r="3936" spans="1:14">
      <c r="A3936" t="s">
        <v>43</v>
      </c>
      <c r="B3936" t="s">
        <v>6071</v>
      </c>
      <c r="C3936" t="s">
        <v>54</v>
      </c>
      <c r="D3936" t="s">
        <v>26</v>
      </c>
      <c r="E3936" s="7">
        <v>45652</v>
      </c>
      <c r="F3936" t="s">
        <v>63</v>
      </c>
      <c r="G3936">
        <v>0</v>
      </c>
      <c r="H3936" t="s">
        <v>27</v>
      </c>
      <c r="I3936" t="s">
        <v>16</v>
      </c>
      <c r="J3936" t="s">
        <v>16</v>
      </c>
      <c r="K3936" t="str">
        <f>VLOOKUP(C3936,CheckName!A:B,2,0)</f>
        <v>Edu</v>
      </c>
      <c r="L3936">
        <v>0</v>
      </c>
      <c r="M3936">
        <f t="shared" si="580"/>
        <v>26</v>
      </c>
      <c r="N3936" t="str">
        <f>TEXT(MTDRejection[[#This Row],[RejectionDate]],"dddd")</f>
        <v>Thursday</v>
      </c>
    </row>
    <row r="3937" spans="1:14">
      <c r="A3937" t="s">
        <v>2098</v>
      </c>
      <c r="B3937" t="s">
        <v>6072</v>
      </c>
      <c r="C3937" t="s">
        <v>54</v>
      </c>
      <c r="D3937" t="s">
        <v>26</v>
      </c>
      <c r="E3937" s="7">
        <v>45652</v>
      </c>
      <c r="F3937" t="s">
        <v>63</v>
      </c>
      <c r="G3937">
        <v>0</v>
      </c>
      <c r="H3937" t="s">
        <v>22</v>
      </c>
      <c r="I3937" t="s">
        <v>16</v>
      </c>
      <c r="J3937" t="s">
        <v>16</v>
      </c>
      <c r="K3937" t="str">
        <f>VLOOKUP(C3937,CheckName!A:B,2,0)</f>
        <v>Edu</v>
      </c>
      <c r="L3937">
        <v>0</v>
      </c>
      <c r="M3937">
        <f t="shared" si="580"/>
        <v>26</v>
      </c>
      <c r="N3937" t="str">
        <f>TEXT(MTDRejection[[#This Row],[RejectionDate]],"dddd")</f>
        <v>Thursday</v>
      </c>
    </row>
    <row r="3938" spans="1:14">
      <c r="A3938" t="s">
        <v>1001</v>
      </c>
      <c r="B3938" t="s">
        <v>6073</v>
      </c>
      <c r="C3938" t="s">
        <v>54</v>
      </c>
      <c r="D3938" t="s">
        <v>26</v>
      </c>
      <c r="E3938" s="7">
        <v>45652</v>
      </c>
      <c r="F3938" t="s">
        <v>63</v>
      </c>
      <c r="G3938">
        <v>0</v>
      </c>
      <c r="H3938" t="s">
        <v>27</v>
      </c>
      <c r="I3938" t="s">
        <v>16</v>
      </c>
      <c r="J3938" t="s">
        <v>16</v>
      </c>
      <c r="K3938" t="str">
        <f>VLOOKUP(C3938,CheckName!A:B,2,0)</f>
        <v>Edu</v>
      </c>
      <c r="L3938">
        <v>0</v>
      </c>
      <c r="M3938">
        <f t="shared" si="580"/>
        <v>26</v>
      </c>
      <c r="N3938" t="str">
        <f>TEXT(MTDRejection[[#This Row],[RejectionDate]],"dddd")</f>
        <v>Thursday</v>
      </c>
    </row>
    <row r="3939" spans="1:14">
      <c r="A3939" t="s">
        <v>2099</v>
      </c>
      <c r="B3939" t="s">
        <v>6074</v>
      </c>
      <c r="C3939" t="s">
        <v>1724</v>
      </c>
      <c r="D3939" t="s">
        <v>13</v>
      </c>
      <c r="E3939" s="7">
        <v>45652</v>
      </c>
      <c r="F3939" t="s">
        <v>72</v>
      </c>
      <c r="G3939">
        <v>0</v>
      </c>
      <c r="H3939" t="s">
        <v>30</v>
      </c>
      <c r="I3939" t="s">
        <v>16</v>
      </c>
      <c r="J3939" t="s">
        <v>16</v>
      </c>
      <c r="K3939" t="str">
        <f>VLOOKUP(C3939,CheckName!A:B,2,0)</f>
        <v>Investigation</v>
      </c>
      <c r="L3939">
        <v>0</v>
      </c>
      <c r="M3939">
        <f t="shared" ref="M3939:M3959" si="581">DAY(E3939)</f>
        <v>26</v>
      </c>
      <c r="N3939" t="str">
        <f>TEXT(MTDRejection[[#This Row],[RejectionDate]],"dddd")</f>
        <v>Thursday</v>
      </c>
    </row>
    <row r="3940" spans="1:14">
      <c r="A3940" t="s">
        <v>1437</v>
      </c>
      <c r="B3940" t="s">
        <v>6075</v>
      </c>
      <c r="C3940" t="s">
        <v>1068</v>
      </c>
      <c r="D3940" t="s">
        <v>13</v>
      </c>
      <c r="E3940" s="7">
        <v>45652</v>
      </c>
      <c r="F3940" t="s">
        <v>72</v>
      </c>
      <c r="G3940">
        <v>0</v>
      </c>
      <c r="H3940" t="s">
        <v>15</v>
      </c>
      <c r="I3940" t="s">
        <v>16</v>
      </c>
      <c r="J3940" t="s">
        <v>16</v>
      </c>
      <c r="K3940" t="str">
        <f>VLOOKUP(C3940,CheckName!A:B,2,0)</f>
        <v>Special Check</v>
      </c>
      <c r="L3940">
        <v>0</v>
      </c>
      <c r="M3940">
        <f t="shared" si="581"/>
        <v>26</v>
      </c>
      <c r="N3940" t="str">
        <f>TEXT(MTDRejection[[#This Row],[RejectionDate]],"dddd")</f>
        <v>Thursday</v>
      </c>
    </row>
    <row r="3941" spans="1:14">
      <c r="A3941" t="s">
        <v>753</v>
      </c>
      <c r="B3941" t="s">
        <v>2762</v>
      </c>
      <c r="C3941" t="s">
        <v>1721</v>
      </c>
      <c r="D3941" t="s">
        <v>13</v>
      </c>
      <c r="E3941" s="7">
        <v>45652</v>
      </c>
      <c r="F3941" t="s">
        <v>574</v>
      </c>
      <c r="G3941">
        <v>0</v>
      </c>
      <c r="H3941" t="s">
        <v>15</v>
      </c>
      <c r="I3941" t="s">
        <v>16</v>
      </c>
      <c r="J3941" t="s">
        <v>16</v>
      </c>
      <c r="K3941" t="str">
        <f>VLOOKUP(C3941,CheckName!A:B,2,0)</f>
        <v>Special Check</v>
      </c>
      <c r="L3941">
        <v>0</v>
      </c>
      <c r="M3941">
        <f t="shared" si="581"/>
        <v>26</v>
      </c>
      <c r="N3941" t="str">
        <f>TEXT(MTDRejection[[#This Row],[RejectionDate]],"dddd")</f>
        <v>Thursday</v>
      </c>
    </row>
    <row r="3942" spans="1:14">
      <c r="A3942" t="s">
        <v>469</v>
      </c>
      <c r="B3942" t="s">
        <v>6076</v>
      </c>
      <c r="C3942" t="s">
        <v>54</v>
      </c>
      <c r="D3942" t="s">
        <v>26</v>
      </c>
      <c r="E3942" s="7">
        <v>45652</v>
      </c>
      <c r="F3942" t="s">
        <v>188</v>
      </c>
      <c r="G3942">
        <v>0</v>
      </c>
      <c r="H3942" t="s">
        <v>27</v>
      </c>
      <c r="I3942" t="s">
        <v>16</v>
      </c>
      <c r="J3942" t="s">
        <v>16</v>
      </c>
      <c r="K3942" t="str">
        <f>VLOOKUP(C3942,CheckName!A:B,2,0)</f>
        <v>Edu</v>
      </c>
      <c r="L3942">
        <v>0</v>
      </c>
      <c r="M3942">
        <f t="shared" si="581"/>
        <v>26</v>
      </c>
      <c r="N3942" t="str">
        <f>TEXT(MTDRejection[[#This Row],[RejectionDate]],"dddd")</f>
        <v>Thursday</v>
      </c>
    </row>
    <row r="3943" spans="1:14">
      <c r="A3943" t="s">
        <v>2100</v>
      </c>
      <c r="B3943" t="s">
        <v>2763</v>
      </c>
      <c r="C3943" t="s">
        <v>36</v>
      </c>
      <c r="D3943" t="s">
        <v>26</v>
      </c>
      <c r="E3943" s="7">
        <v>45652</v>
      </c>
      <c r="F3943" t="s">
        <v>182</v>
      </c>
      <c r="G3943">
        <v>0</v>
      </c>
      <c r="H3943" t="s">
        <v>22</v>
      </c>
      <c r="I3943" t="s">
        <v>16</v>
      </c>
      <c r="J3943" t="s">
        <v>16</v>
      </c>
      <c r="K3943" t="str">
        <f>VLOOKUP(C3943,CheckName!A:B,2,0)</f>
        <v>Emp</v>
      </c>
      <c r="L3943">
        <v>0</v>
      </c>
      <c r="M3943">
        <f t="shared" si="581"/>
        <v>26</v>
      </c>
      <c r="N3943" t="str">
        <f>TEXT(MTDRejection[[#This Row],[RejectionDate]],"dddd")</f>
        <v>Thursday</v>
      </c>
    </row>
    <row r="3944" spans="1:14">
      <c r="A3944" t="s">
        <v>100</v>
      </c>
      <c r="B3944" t="s">
        <v>6077</v>
      </c>
      <c r="C3944" t="s">
        <v>359</v>
      </c>
      <c r="D3944" t="s">
        <v>13</v>
      </c>
      <c r="E3944" s="7">
        <v>45652</v>
      </c>
      <c r="F3944" t="s">
        <v>98</v>
      </c>
      <c r="G3944">
        <v>0</v>
      </c>
      <c r="H3944" t="s">
        <v>505</v>
      </c>
      <c r="I3944" t="s">
        <v>16</v>
      </c>
      <c r="J3944" t="s">
        <v>16</v>
      </c>
      <c r="K3944" t="str">
        <f>VLOOKUP(C3944,CheckName!A:B,2,0)</f>
        <v>Emp</v>
      </c>
      <c r="L3944">
        <v>0</v>
      </c>
      <c r="M3944">
        <f t="shared" si="581"/>
        <v>26</v>
      </c>
      <c r="N3944" t="str">
        <f>TEXT(MTDRejection[[#This Row],[RejectionDate]],"dddd")</f>
        <v>Thursday</v>
      </c>
    </row>
    <row r="3945" spans="1:14">
      <c r="A3945" t="s">
        <v>228</v>
      </c>
      <c r="B3945" t="s">
        <v>2756</v>
      </c>
      <c r="C3945" t="s">
        <v>54</v>
      </c>
      <c r="D3945" t="s">
        <v>13</v>
      </c>
      <c r="E3945" s="7">
        <v>45652</v>
      </c>
      <c r="F3945" t="s">
        <v>98</v>
      </c>
      <c r="G3945">
        <v>0</v>
      </c>
      <c r="H3945" t="s">
        <v>15</v>
      </c>
      <c r="I3945" t="s">
        <v>16</v>
      </c>
      <c r="J3945" t="s">
        <v>16</v>
      </c>
      <c r="K3945" t="str">
        <f>VLOOKUP(C3945,CheckName!A:B,2,0)</f>
        <v>Edu</v>
      </c>
      <c r="L3945">
        <v>0</v>
      </c>
      <c r="M3945">
        <f t="shared" si="581"/>
        <v>26</v>
      </c>
      <c r="N3945" t="str">
        <f>TEXT(MTDRejection[[#This Row],[RejectionDate]],"dddd")</f>
        <v>Thursday</v>
      </c>
    </row>
    <row r="3946" spans="1:14">
      <c r="A3946" t="s">
        <v>186</v>
      </c>
      <c r="B3946" t="s">
        <v>6078</v>
      </c>
      <c r="C3946" t="s">
        <v>54</v>
      </c>
      <c r="D3946" t="s">
        <v>26</v>
      </c>
      <c r="E3946" s="7">
        <v>45652</v>
      </c>
      <c r="F3946" t="s">
        <v>604</v>
      </c>
      <c r="G3946">
        <v>0</v>
      </c>
      <c r="H3946" t="s">
        <v>27</v>
      </c>
      <c r="I3946" t="s">
        <v>16</v>
      </c>
      <c r="J3946" t="s">
        <v>16</v>
      </c>
      <c r="K3946" t="str">
        <f>VLOOKUP(C3946,CheckName!A:B,2,0)</f>
        <v>Edu</v>
      </c>
      <c r="L3946">
        <v>0</v>
      </c>
      <c r="M3946">
        <f t="shared" si="581"/>
        <v>26</v>
      </c>
      <c r="N3946" t="str">
        <f>TEXT(MTDRejection[[#This Row],[RejectionDate]],"dddd")</f>
        <v>Thursday</v>
      </c>
    </row>
    <row r="3947" spans="1:14">
      <c r="A3947" t="s">
        <v>84</v>
      </c>
      <c r="B3947" t="s">
        <v>6079</v>
      </c>
      <c r="C3947" t="s">
        <v>12</v>
      </c>
      <c r="D3947" t="s">
        <v>26</v>
      </c>
      <c r="E3947" s="7">
        <v>45652</v>
      </c>
      <c r="F3947" t="s">
        <v>2333</v>
      </c>
      <c r="G3947">
        <v>0</v>
      </c>
      <c r="H3947" t="s">
        <v>27</v>
      </c>
      <c r="I3947" t="s">
        <v>16</v>
      </c>
      <c r="J3947" t="s">
        <v>16</v>
      </c>
      <c r="K3947" t="str">
        <f>VLOOKUP(C3947,CheckName!A:B,2,0)</f>
        <v>Emp</v>
      </c>
      <c r="L3947">
        <v>0</v>
      </c>
      <c r="M3947">
        <f t="shared" si="581"/>
        <v>26</v>
      </c>
      <c r="N3947" t="str">
        <f>TEXT(MTDRejection[[#This Row],[RejectionDate]],"dddd")</f>
        <v>Thursday</v>
      </c>
    </row>
    <row r="3948" spans="1:14">
      <c r="A3948" t="s">
        <v>84</v>
      </c>
      <c r="B3948" t="s">
        <v>6080</v>
      </c>
      <c r="C3948" t="s">
        <v>12</v>
      </c>
      <c r="D3948" t="s">
        <v>26</v>
      </c>
      <c r="E3948" s="7">
        <v>45652</v>
      </c>
      <c r="F3948" t="s">
        <v>2333</v>
      </c>
      <c r="G3948">
        <v>0</v>
      </c>
      <c r="H3948" t="s">
        <v>27</v>
      </c>
      <c r="I3948" t="s">
        <v>16</v>
      </c>
      <c r="J3948" t="s">
        <v>16</v>
      </c>
      <c r="K3948" t="str">
        <f>VLOOKUP(C3948,CheckName!A:B,2,0)</f>
        <v>Emp</v>
      </c>
      <c r="L3948">
        <v>0</v>
      </c>
      <c r="M3948">
        <f t="shared" si="581"/>
        <v>26</v>
      </c>
      <c r="N3948" t="str">
        <f>TEXT(MTDRejection[[#This Row],[RejectionDate]],"dddd")</f>
        <v>Thursday</v>
      </c>
    </row>
    <row r="3949" spans="1:14">
      <c r="A3949" t="s">
        <v>84</v>
      </c>
      <c r="B3949" t="s">
        <v>6081</v>
      </c>
      <c r="C3949" t="s">
        <v>12</v>
      </c>
      <c r="D3949" t="s">
        <v>26</v>
      </c>
      <c r="E3949" s="7">
        <v>45652</v>
      </c>
      <c r="F3949" t="s">
        <v>2333</v>
      </c>
      <c r="G3949">
        <v>0</v>
      </c>
      <c r="H3949" t="s">
        <v>27</v>
      </c>
      <c r="I3949" t="s">
        <v>16</v>
      </c>
      <c r="J3949" t="s">
        <v>16</v>
      </c>
      <c r="K3949" t="str">
        <f>VLOOKUP(C3949,CheckName!A:B,2,0)</f>
        <v>Emp</v>
      </c>
      <c r="L3949">
        <v>0</v>
      </c>
      <c r="M3949">
        <f t="shared" si="581"/>
        <v>26</v>
      </c>
      <c r="N3949" t="str">
        <f>TEXT(MTDRejection[[#This Row],[RejectionDate]],"dddd")</f>
        <v>Thursday</v>
      </c>
    </row>
    <row r="3950" spans="1:14">
      <c r="A3950" t="s">
        <v>385</v>
      </c>
      <c r="B3950" t="s">
        <v>6082</v>
      </c>
      <c r="C3950" t="s">
        <v>36</v>
      </c>
      <c r="D3950" t="s">
        <v>26</v>
      </c>
      <c r="E3950" s="7">
        <v>45652</v>
      </c>
      <c r="F3950" t="s">
        <v>2335</v>
      </c>
      <c r="G3950">
        <v>0</v>
      </c>
      <c r="H3950" t="s">
        <v>27</v>
      </c>
      <c r="I3950" t="s">
        <v>16</v>
      </c>
      <c r="J3950" t="s">
        <v>16</v>
      </c>
      <c r="K3950" t="str">
        <f>VLOOKUP(C3950,CheckName!A:B,2,0)</f>
        <v>Emp</v>
      </c>
      <c r="L3950">
        <v>0</v>
      </c>
      <c r="M3950">
        <f t="shared" si="581"/>
        <v>26</v>
      </c>
      <c r="N3950" t="str">
        <f>TEXT(MTDRejection[[#This Row],[RejectionDate]],"dddd")</f>
        <v>Thursday</v>
      </c>
    </row>
    <row r="3951" spans="1:14">
      <c r="A3951" t="s">
        <v>883</v>
      </c>
      <c r="B3951" t="s">
        <v>6083</v>
      </c>
      <c r="C3951" t="s">
        <v>36</v>
      </c>
      <c r="D3951" t="s">
        <v>26</v>
      </c>
      <c r="E3951" s="7">
        <v>45652</v>
      </c>
      <c r="F3951" t="s">
        <v>2335</v>
      </c>
      <c r="G3951">
        <v>0</v>
      </c>
      <c r="H3951" t="s">
        <v>30</v>
      </c>
      <c r="I3951" t="s">
        <v>16</v>
      </c>
      <c r="J3951" t="s">
        <v>16</v>
      </c>
      <c r="K3951" t="str">
        <f>VLOOKUP(C3951,CheckName!A:B,2,0)</f>
        <v>Emp</v>
      </c>
      <c r="L3951">
        <v>0</v>
      </c>
      <c r="M3951">
        <f t="shared" si="581"/>
        <v>26</v>
      </c>
      <c r="N3951" t="str">
        <f>TEXT(MTDRejection[[#This Row],[RejectionDate]],"dddd")</f>
        <v>Thursday</v>
      </c>
    </row>
    <row r="3952" spans="1:14">
      <c r="A3952" t="s">
        <v>883</v>
      </c>
      <c r="B3952" t="s">
        <v>6084</v>
      </c>
      <c r="C3952" t="s">
        <v>12</v>
      </c>
      <c r="D3952" t="s">
        <v>26</v>
      </c>
      <c r="E3952" s="7">
        <v>45652</v>
      </c>
      <c r="F3952" t="s">
        <v>2335</v>
      </c>
      <c r="G3952">
        <v>0</v>
      </c>
      <c r="H3952" t="s">
        <v>30</v>
      </c>
      <c r="I3952" t="s">
        <v>16</v>
      </c>
      <c r="J3952" t="s">
        <v>16</v>
      </c>
      <c r="K3952" t="str">
        <f>VLOOKUP(C3952,CheckName!A:B,2,0)</f>
        <v>Emp</v>
      </c>
      <c r="L3952">
        <v>0</v>
      </c>
      <c r="M3952">
        <f t="shared" si="581"/>
        <v>26</v>
      </c>
      <c r="N3952" t="str">
        <f>TEXT(MTDRejection[[#This Row],[RejectionDate]],"dddd")</f>
        <v>Thursday</v>
      </c>
    </row>
    <row r="3953" spans="1:14">
      <c r="A3953" t="s">
        <v>84</v>
      </c>
      <c r="B3953" t="s">
        <v>6085</v>
      </c>
      <c r="C3953" t="s">
        <v>36</v>
      </c>
      <c r="D3953" t="s">
        <v>26</v>
      </c>
      <c r="E3953" s="7">
        <v>45652</v>
      </c>
      <c r="F3953" t="s">
        <v>2333</v>
      </c>
      <c r="G3953">
        <v>0</v>
      </c>
      <c r="H3953" t="s">
        <v>27</v>
      </c>
      <c r="I3953" t="s">
        <v>16</v>
      </c>
      <c r="J3953" t="s">
        <v>16</v>
      </c>
      <c r="K3953" t="str">
        <f>VLOOKUP(C3953,CheckName!A:B,2,0)</f>
        <v>Emp</v>
      </c>
      <c r="L3953">
        <v>0</v>
      </c>
      <c r="M3953">
        <f t="shared" si="581"/>
        <v>26</v>
      </c>
      <c r="N3953" t="str">
        <f>TEXT(MTDRejection[[#This Row],[RejectionDate]],"dddd")</f>
        <v>Thursday</v>
      </c>
    </row>
    <row r="3954" spans="1:14">
      <c r="A3954" t="s">
        <v>876</v>
      </c>
      <c r="B3954" t="s">
        <v>2764</v>
      </c>
      <c r="C3954" t="s">
        <v>12</v>
      </c>
      <c r="D3954" t="s">
        <v>13</v>
      </c>
      <c r="E3954" s="7">
        <v>45652</v>
      </c>
      <c r="F3954" t="s">
        <v>540</v>
      </c>
      <c r="G3954">
        <v>0</v>
      </c>
      <c r="H3954" t="s">
        <v>15</v>
      </c>
      <c r="I3954" t="s">
        <v>16</v>
      </c>
      <c r="J3954" t="s">
        <v>16</v>
      </c>
      <c r="K3954" t="str">
        <f>VLOOKUP(C3954,CheckName!A:B,2,0)</f>
        <v>Emp</v>
      </c>
      <c r="L3954">
        <v>0</v>
      </c>
      <c r="M3954">
        <f t="shared" si="581"/>
        <v>26</v>
      </c>
      <c r="N3954" t="str">
        <f>TEXT(MTDRejection[[#This Row],[RejectionDate]],"dddd")</f>
        <v>Thursday</v>
      </c>
    </row>
    <row r="3955" spans="1:14">
      <c r="A3955" t="s">
        <v>876</v>
      </c>
      <c r="B3955" t="s">
        <v>6086</v>
      </c>
      <c r="C3955" t="s">
        <v>36</v>
      </c>
      <c r="D3955" t="s">
        <v>13</v>
      </c>
      <c r="E3955" s="7">
        <v>45652</v>
      </c>
      <c r="F3955" t="s">
        <v>540</v>
      </c>
      <c r="G3955">
        <v>0</v>
      </c>
      <c r="H3955" t="s">
        <v>15</v>
      </c>
      <c r="I3955" t="s">
        <v>16</v>
      </c>
      <c r="J3955" t="s">
        <v>16</v>
      </c>
      <c r="K3955" t="str">
        <f>VLOOKUP(C3955,CheckName!A:B,2,0)</f>
        <v>Emp</v>
      </c>
      <c r="L3955">
        <v>0</v>
      </c>
      <c r="M3955">
        <f t="shared" si="581"/>
        <v>26</v>
      </c>
      <c r="N3955" t="str">
        <f>TEXT(MTDRejection[[#This Row],[RejectionDate]],"dddd")</f>
        <v>Thursday</v>
      </c>
    </row>
    <row r="3956" spans="1:14">
      <c r="A3956" t="s">
        <v>160</v>
      </c>
      <c r="B3956" t="s">
        <v>6087</v>
      </c>
      <c r="C3956" t="s">
        <v>36</v>
      </c>
      <c r="D3956" t="s">
        <v>26</v>
      </c>
      <c r="E3956" s="7">
        <v>45652</v>
      </c>
      <c r="F3956" t="s">
        <v>115</v>
      </c>
      <c r="G3956">
        <v>0</v>
      </c>
      <c r="H3956" t="s">
        <v>27</v>
      </c>
      <c r="I3956" t="s">
        <v>16</v>
      </c>
      <c r="J3956" t="s">
        <v>16</v>
      </c>
      <c r="K3956" t="str">
        <f>VLOOKUP(C3956,CheckName!A:B,2,0)</f>
        <v>Emp</v>
      </c>
      <c r="L3956">
        <v>0</v>
      </c>
      <c r="M3956">
        <f t="shared" si="581"/>
        <v>26</v>
      </c>
      <c r="N3956" t="str">
        <f>TEXT(MTDRejection[[#This Row],[RejectionDate]],"dddd")</f>
        <v>Thursday</v>
      </c>
    </row>
    <row r="3957" spans="1:14">
      <c r="A3957" t="s">
        <v>100</v>
      </c>
      <c r="B3957" t="s">
        <v>6088</v>
      </c>
      <c r="C3957" t="s">
        <v>102</v>
      </c>
      <c r="D3957" t="s">
        <v>26</v>
      </c>
      <c r="E3957" s="7">
        <v>45652</v>
      </c>
      <c r="F3957" t="s">
        <v>2353</v>
      </c>
      <c r="G3957">
        <v>0</v>
      </c>
      <c r="H3957" t="s">
        <v>130</v>
      </c>
      <c r="I3957" t="s">
        <v>16</v>
      </c>
      <c r="J3957" t="s">
        <v>16</v>
      </c>
      <c r="K3957" t="str">
        <f>VLOOKUP(C3957,CheckName!A:B,2,0)</f>
        <v>Edu</v>
      </c>
      <c r="L3957">
        <v>0</v>
      </c>
      <c r="M3957">
        <f t="shared" si="581"/>
        <v>26</v>
      </c>
      <c r="N3957" t="str">
        <f>TEXT(MTDRejection[[#This Row],[RejectionDate]],"dddd")</f>
        <v>Thursday</v>
      </c>
    </row>
    <row r="3958" spans="1:14">
      <c r="A3958" t="s">
        <v>88</v>
      </c>
      <c r="B3958" t="s">
        <v>6089</v>
      </c>
      <c r="C3958" t="s">
        <v>36</v>
      </c>
      <c r="D3958" t="s">
        <v>26</v>
      </c>
      <c r="E3958" s="7">
        <v>45652</v>
      </c>
      <c r="F3958" t="s">
        <v>2355</v>
      </c>
      <c r="G3958">
        <v>0</v>
      </c>
      <c r="H3958" t="s">
        <v>27</v>
      </c>
      <c r="I3958" t="s">
        <v>16</v>
      </c>
      <c r="J3958" t="s">
        <v>16</v>
      </c>
      <c r="K3958" t="str">
        <f>VLOOKUP(C3958,CheckName!A:B,2,0)</f>
        <v>Emp</v>
      </c>
      <c r="L3958">
        <v>0</v>
      </c>
      <c r="M3958">
        <f t="shared" si="581"/>
        <v>26</v>
      </c>
      <c r="N3958" t="str">
        <f>TEXT(MTDRejection[[#This Row],[RejectionDate]],"dddd")</f>
        <v>Thursday</v>
      </c>
    </row>
    <row r="3959" spans="1:14">
      <c r="A3959" t="s">
        <v>84</v>
      </c>
      <c r="B3959" t="s">
        <v>6090</v>
      </c>
      <c r="C3959" t="s">
        <v>36</v>
      </c>
      <c r="D3959" t="s">
        <v>26</v>
      </c>
      <c r="E3959" s="7">
        <v>45651</v>
      </c>
      <c r="F3959" t="s">
        <v>2333</v>
      </c>
      <c r="G3959">
        <v>1</v>
      </c>
      <c r="H3959" t="s">
        <v>130</v>
      </c>
      <c r="I3959" t="s">
        <v>16</v>
      </c>
      <c r="J3959" t="s">
        <v>16</v>
      </c>
      <c r="K3959" t="str">
        <f>VLOOKUP(C3959,CheckName!A:B,2,0)</f>
        <v>Emp</v>
      </c>
      <c r="L3959">
        <v>0</v>
      </c>
      <c r="M3959">
        <f t="shared" si="581"/>
        <v>25</v>
      </c>
      <c r="N3959" t="str">
        <f>TEXT(MTDRejection[[#This Row],[RejectionDate]],"dddd")</f>
        <v>Wednesday</v>
      </c>
    </row>
    <row r="3960" spans="1:14">
      <c r="A3960" t="s">
        <v>1110</v>
      </c>
      <c r="B3960" t="s">
        <v>6091</v>
      </c>
      <c r="C3960" t="s">
        <v>1623</v>
      </c>
      <c r="D3960" t="s">
        <v>13</v>
      </c>
      <c r="E3960" s="7">
        <v>45650</v>
      </c>
      <c r="F3960" t="s">
        <v>579</v>
      </c>
      <c r="G3960">
        <v>2</v>
      </c>
      <c r="H3960" t="s">
        <v>15</v>
      </c>
      <c r="I3960" t="s">
        <v>16</v>
      </c>
      <c r="J3960" t="s">
        <v>16</v>
      </c>
      <c r="K3960" t="str">
        <f>VLOOKUP(C3960,CheckName!A:B,2,0)</f>
        <v>CRC</v>
      </c>
      <c r="L3960">
        <v>0</v>
      </c>
      <c r="M3960">
        <f>DAY(E3960)</f>
        <v>24</v>
      </c>
      <c r="N3960" t="str">
        <f>TEXT(MTDRejection[[#This Row],[RejectionDate]],"dddd")</f>
        <v>Tuesday</v>
      </c>
    </row>
    <row r="3961" spans="1:14">
      <c r="A3961" t="s">
        <v>100</v>
      </c>
      <c r="B3961" t="s">
        <v>6092</v>
      </c>
      <c r="C3961" t="s">
        <v>102</v>
      </c>
      <c r="D3961" t="s">
        <v>26</v>
      </c>
      <c r="E3961" s="7">
        <v>45650</v>
      </c>
      <c r="F3961" t="s">
        <v>2353</v>
      </c>
      <c r="G3961">
        <v>2</v>
      </c>
      <c r="H3961" t="s">
        <v>27</v>
      </c>
      <c r="I3961" t="s">
        <v>16</v>
      </c>
      <c r="J3961" t="s">
        <v>16</v>
      </c>
      <c r="K3961" t="str">
        <f>VLOOKUP(C3961,CheckName!A:B,2,0)</f>
        <v>Edu</v>
      </c>
      <c r="L3961">
        <v>0</v>
      </c>
      <c r="M3961">
        <f>DAY(E3961)</f>
        <v>24</v>
      </c>
      <c r="N3961" t="str">
        <f>TEXT(MTDRejection[[#This Row],[RejectionDate]],"dddd")</f>
        <v>Tuesday</v>
      </c>
    </row>
    <row r="3962" spans="1:14">
      <c r="A3962" t="s">
        <v>446</v>
      </c>
      <c r="B3962" t="s">
        <v>6093</v>
      </c>
      <c r="C3962" t="s">
        <v>12</v>
      </c>
      <c r="D3962" t="s">
        <v>26</v>
      </c>
      <c r="E3962" s="7">
        <v>45642</v>
      </c>
      <c r="F3962" t="s">
        <v>162</v>
      </c>
      <c r="G3962">
        <v>10</v>
      </c>
      <c r="H3962" t="s">
        <v>27</v>
      </c>
      <c r="I3962" t="s">
        <v>16</v>
      </c>
      <c r="J3962" t="s">
        <v>16</v>
      </c>
      <c r="K3962" t="str">
        <f>VLOOKUP(C3962,CheckName!A:B,2,0)</f>
        <v>Emp</v>
      </c>
      <c r="L3962">
        <v>0</v>
      </c>
      <c r="M3962">
        <f>DAY(E3962)</f>
        <v>16</v>
      </c>
      <c r="N3962" t="str">
        <f>TEXT(MTDRejection[[#This Row],[RejectionDate]],"dddd")</f>
        <v>Monday</v>
      </c>
    </row>
    <row r="3963" spans="1:14">
      <c r="A3963" t="s">
        <v>429</v>
      </c>
      <c r="B3963" t="s">
        <v>6094</v>
      </c>
      <c r="C3963" t="s">
        <v>54</v>
      </c>
      <c r="D3963" t="s">
        <v>51</v>
      </c>
      <c r="E3963" s="7">
        <v>45652</v>
      </c>
      <c r="F3963" t="s">
        <v>2331</v>
      </c>
      <c r="G3963">
        <v>0</v>
      </c>
      <c r="H3963" t="s">
        <v>53</v>
      </c>
      <c r="I3963" t="s">
        <v>16</v>
      </c>
      <c r="J3963" t="s">
        <v>16</v>
      </c>
      <c r="K3963" t="str">
        <f>VLOOKUP(C3963,CheckName!A:B,2,0)</f>
        <v>Edu</v>
      </c>
      <c r="L3963">
        <v>0</v>
      </c>
      <c r="M3963">
        <f t="shared" ref="M3963:M3964" si="582">DAY(E3963)</f>
        <v>26</v>
      </c>
      <c r="N3963" t="str">
        <f>TEXT(MTDRejection[[#This Row],[RejectionDate]],"dddd")</f>
        <v>Thursday</v>
      </c>
    </row>
    <row r="3964" spans="1:14">
      <c r="A3964" t="s">
        <v>100</v>
      </c>
      <c r="B3964" t="s">
        <v>2765</v>
      </c>
      <c r="C3964" t="s">
        <v>775</v>
      </c>
      <c r="D3964" t="s">
        <v>13</v>
      </c>
      <c r="E3964" s="7">
        <v>45652</v>
      </c>
      <c r="F3964" t="s">
        <v>706</v>
      </c>
      <c r="G3964">
        <v>0</v>
      </c>
      <c r="H3964" t="s">
        <v>15</v>
      </c>
      <c r="I3964" t="s">
        <v>16</v>
      </c>
      <c r="J3964" t="s">
        <v>16</v>
      </c>
      <c r="K3964" t="str">
        <f>VLOOKUP(C3964,CheckName!A:B,2,0)</f>
        <v>Emp</v>
      </c>
      <c r="L3964">
        <v>0</v>
      </c>
      <c r="M3964">
        <f t="shared" si="582"/>
        <v>26</v>
      </c>
      <c r="N3964" t="str">
        <f>TEXT(MTDRejection[[#This Row],[RejectionDate]],"dddd")</f>
        <v>Thursday</v>
      </c>
    </row>
    <row r="3965" spans="1:14">
      <c r="A3965" t="s">
        <v>461</v>
      </c>
      <c r="B3965" t="s">
        <v>6095</v>
      </c>
      <c r="C3965" t="s">
        <v>12</v>
      </c>
      <c r="D3965" t="s">
        <v>13</v>
      </c>
      <c r="E3965" s="7">
        <v>45652</v>
      </c>
      <c r="F3965" t="s">
        <v>72</v>
      </c>
      <c r="G3965">
        <v>0</v>
      </c>
      <c r="H3965" t="s">
        <v>130</v>
      </c>
      <c r="I3965" t="s">
        <v>16</v>
      </c>
      <c r="J3965" t="s">
        <v>16</v>
      </c>
      <c r="K3965" t="str">
        <f>VLOOKUP(C3965,CheckName!A:B,2,0)</f>
        <v>Emp</v>
      </c>
      <c r="L3965">
        <v>0</v>
      </c>
      <c r="M3965">
        <f>DAY(E3965)</f>
        <v>26</v>
      </c>
      <c r="N3965" t="str">
        <f>TEXT(MTDRejection[[#This Row],[RejectionDate]],"dddd")</f>
        <v>Thursday</v>
      </c>
    </row>
    <row r="3966" spans="1:14">
      <c r="A3966" t="s">
        <v>10</v>
      </c>
      <c r="B3966" t="s">
        <v>6096</v>
      </c>
      <c r="C3966" t="s">
        <v>2093</v>
      </c>
      <c r="D3966" t="s">
        <v>26</v>
      </c>
      <c r="E3966" s="7">
        <v>45652</v>
      </c>
      <c r="F3966" t="s">
        <v>236</v>
      </c>
      <c r="G3966">
        <v>0</v>
      </c>
      <c r="H3966" t="s">
        <v>27</v>
      </c>
      <c r="I3966" t="s">
        <v>16</v>
      </c>
      <c r="J3966" t="s">
        <v>16</v>
      </c>
      <c r="K3966" t="str">
        <f>VLOOKUP(C3966,CheckName!A:B,2,0)</f>
        <v>Special Check</v>
      </c>
      <c r="L3966">
        <v>0</v>
      </c>
      <c r="M3966">
        <f>DAY(E3966)</f>
        <v>26</v>
      </c>
      <c r="N3966" t="str">
        <f>TEXT(MTDRejection[[#This Row],[RejectionDate]],"dddd")</f>
        <v>Thursday</v>
      </c>
    </row>
    <row r="3967" spans="1:14">
      <c r="A3967" t="s">
        <v>176</v>
      </c>
      <c r="B3967" t="s">
        <v>6097</v>
      </c>
      <c r="C3967" t="s">
        <v>36</v>
      </c>
      <c r="D3967" t="s">
        <v>26</v>
      </c>
      <c r="E3967" s="7">
        <v>45652</v>
      </c>
      <c r="F3967" t="s">
        <v>614</v>
      </c>
      <c r="G3967">
        <v>0</v>
      </c>
      <c r="H3967" t="s">
        <v>27</v>
      </c>
      <c r="I3967" t="s">
        <v>16</v>
      </c>
      <c r="J3967" t="s">
        <v>16</v>
      </c>
      <c r="K3967" t="str">
        <f>VLOOKUP(C3967,CheckName!A:B,2,0)</f>
        <v>Emp</v>
      </c>
      <c r="L3967">
        <v>0</v>
      </c>
      <c r="M3967">
        <f t="shared" ref="M3967:M3969" si="583">DAY(E3967)</f>
        <v>26</v>
      </c>
      <c r="N3967" t="str">
        <f>TEXT(MTDRejection[[#This Row],[RejectionDate]],"dddd")</f>
        <v>Thursday</v>
      </c>
    </row>
    <row r="3968" spans="1:14">
      <c r="A3968" t="s">
        <v>2311</v>
      </c>
      <c r="B3968" t="s">
        <v>6098</v>
      </c>
      <c r="C3968" t="s">
        <v>25</v>
      </c>
      <c r="D3968" t="s">
        <v>20</v>
      </c>
      <c r="E3968" s="7">
        <v>45652</v>
      </c>
      <c r="F3968" t="s">
        <v>2330</v>
      </c>
      <c r="G3968">
        <v>0</v>
      </c>
      <c r="H3968" t="s">
        <v>22</v>
      </c>
      <c r="I3968" t="s">
        <v>16</v>
      </c>
      <c r="J3968" t="s">
        <v>16</v>
      </c>
      <c r="K3968" t="str">
        <f>VLOOKUP(C3968,CheckName!A:B,2,0)</f>
        <v>Add</v>
      </c>
      <c r="L3968">
        <v>0</v>
      </c>
      <c r="M3968">
        <f t="shared" si="583"/>
        <v>26</v>
      </c>
      <c r="N3968" t="str">
        <f>TEXT(MTDRejection[[#This Row],[RejectionDate]],"dddd")</f>
        <v>Thursday</v>
      </c>
    </row>
    <row r="3969" spans="1:14">
      <c r="A3969" t="s">
        <v>1815</v>
      </c>
      <c r="B3969" t="s">
        <v>2766</v>
      </c>
      <c r="C3969" t="s">
        <v>965</v>
      </c>
      <c r="D3969" t="s">
        <v>20</v>
      </c>
      <c r="E3969" s="7">
        <v>45652</v>
      </c>
      <c r="F3969" t="s">
        <v>2330</v>
      </c>
      <c r="G3969">
        <v>0</v>
      </c>
      <c r="H3969" t="s">
        <v>130</v>
      </c>
      <c r="I3969" t="s">
        <v>16</v>
      </c>
      <c r="J3969" t="s">
        <v>16</v>
      </c>
      <c r="K3969" t="str">
        <f>VLOOKUP(C3969,CheckName!A:B,2,0)</f>
        <v>Add</v>
      </c>
      <c r="L3969">
        <v>0</v>
      </c>
      <c r="M3969">
        <f t="shared" si="583"/>
        <v>26</v>
      </c>
      <c r="N3969" t="str">
        <f>TEXT(MTDRejection[[#This Row],[RejectionDate]],"dddd")</f>
        <v>Thursday</v>
      </c>
    </row>
    <row r="3970" spans="1:14">
      <c r="A3970" t="s">
        <v>687</v>
      </c>
      <c r="B3970" t="s">
        <v>6099</v>
      </c>
      <c r="C3970" t="s">
        <v>12</v>
      </c>
      <c r="D3970" t="s">
        <v>26</v>
      </c>
      <c r="E3970" s="7">
        <v>45652</v>
      </c>
      <c r="F3970" t="s">
        <v>83</v>
      </c>
      <c r="G3970">
        <v>0</v>
      </c>
      <c r="H3970" t="s">
        <v>27</v>
      </c>
      <c r="I3970" t="s">
        <v>16</v>
      </c>
      <c r="J3970" t="s">
        <v>16</v>
      </c>
      <c r="K3970" t="str">
        <f>VLOOKUP(C3970,CheckName!A:B,2,0)</f>
        <v>Emp</v>
      </c>
      <c r="L3970">
        <v>0</v>
      </c>
      <c r="M3970">
        <f t="shared" ref="M3970:M3973" si="584">DAY(E3970)</f>
        <v>26</v>
      </c>
      <c r="N3970" t="str">
        <f>TEXT(MTDRejection[[#This Row],[RejectionDate]],"dddd")</f>
        <v>Thursday</v>
      </c>
    </row>
    <row r="3971" spans="1:14">
      <c r="A3971" t="s">
        <v>912</v>
      </c>
      <c r="B3971" t="s">
        <v>6100</v>
      </c>
      <c r="C3971" t="s">
        <v>54</v>
      </c>
      <c r="D3971" t="s">
        <v>26</v>
      </c>
      <c r="E3971" s="7">
        <v>45652</v>
      </c>
      <c r="F3971" t="s">
        <v>63</v>
      </c>
      <c r="G3971">
        <v>0</v>
      </c>
      <c r="H3971" t="s">
        <v>27</v>
      </c>
      <c r="I3971" t="s">
        <v>16</v>
      </c>
      <c r="J3971" t="s">
        <v>16</v>
      </c>
      <c r="K3971" t="str">
        <f>VLOOKUP(C3971,CheckName!A:B,2,0)</f>
        <v>Edu</v>
      </c>
      <c r="L3971">
        <v>0</v>
      </c>
      <c r="M3971">
        <f t="shared" si="584"/>
        <v>26</v>
      </c>
      <c r="N3971" t="str">
        <f>TEXT(MTDRejection[[#This Row],[RejectionDate]],"dddd")</f>
        <v>Thursday</v>
      </c>
    </row>
    <row r="3972" spans="1:14">
      <c r="A3972" t="s">
        <v>685</v>
      </c>
      <c r="B3972" t="s">
        <v>6101</v>
      </c>
      <c r="C3972" t="s">
        <v>54</v>
      </c>
      <c r="D3972" t="s">
        <v>26</v>
      </c>
      <c r="E3972" s="7">
        <v>45652</v>
      </c>
      <c r="F3972" t="s">
        <v>63</v>
      </c>
      <c r="G3972">
        <v>0</v>
      </c>
      <c r="H3972" t="s">
        <v>95</v>
      </c>
      <c r="I3972" t="s">
        <v>16</v>
      </c>
      <c r="J3972" t="s">
        <v>16</v>
      </c>
      <c r="K3972" t="str">
        <f>VLOOKUP(C3972,CheckName!A:B,2,0)</f>
        <v>Edu</v>
      </c>
      <c r="L3972">
        <v>0</v>
      </c>
      <c r="M3972">
        <f t="shared" si="584"/>
        <v>26</v>
      </c>
      <c r="N3972" t="str">
        <f>TEXT(MTDRejection[[#This Row],[RejectionDate]],"dddd")</f>
        <v>Thursday</v>
      </c>
    </row>
    <row r="3973" spans="1:14">
      <c r="A3973" t="s">
        <v>45</v>
      </c>
      <c r="B3973" t="s">
        <v>6102</v>
      </c>
      <c r="C3973" t="s">
        <v>54</v>
      </c>
      <c r="D3973" t="s">
        <v>26</v>
      </c>
      <c r="E3973" s="7">
        <v>45652</v>
      </c>
      <c r="F3973" t="s">
        <v>63</v>
      </c>
      <c r="G3973">
        <v>0</v>
      </c>
      <c r="H3973" t="s">
        <v>27</v>
      </c>
      <c r="I3973" t="s">
        <v>16</v>
      </c>
      <c r="J3973" t="s">
        <v>16</v>
      </c>
      <c r="K3973" t="str">
        <f>VLOOKUP(C3973,CheckName!A:B,2,0)</f>
        <v>Edu</v>
      </c>
      <c r="L3973">
        <v>0</v>
      </c>
      <c r="M3973">
        <f t="shared" si="584"/>
        <v>26</v>
      </c>
      <c r="N3973" t="str">
        <f>TEXT(MTDRejection[[#This Row],[RejectionDate]],"dddd")</f>
        <v>Thursday</v>
      </c>
    </row>
    <row r="3974" spans="1:14">
      <c r="A3974" t="s">
        <v>1824</v>
      </c>
      <c r="B3974" t="s">
        <v>2087</v>
      </c>
      <c r="C3974" t="s">
        <v>19</v>
      </c>
      <c r="D3974" t="s">
        <v>20</v>
      </c>
      <c r="E3974" s="7">
        <v>45652</v>
      </c>
      <c r="F3974" t="s">
        <v>273</v>
      </c>
      <c r="G3974">
        <v>0</v>
      </c>
      <c r="H3974" t="s">
        <v>22</v>
      </c>
      <c r="I3974" t="s">
        <v>16</v>
      </c>
      <c r="J3974" t="s">
        <v>16</v>
      </c>
      <c r="K3974" t="str">
        <f>VLOOKUP(C3974,CheckName!A:B,2,0)</f>
        <v>Add</v>
      </c>
      <c r="L3974">
        <v>0</v>
      </c>
      <c r="M3974">
        <f t="shared" ref="M3974:M3978" si="585">DAY(E3974)</f>
        <v>26</v>
      </c>
      <c r="N3974" t="str">
        <f>TEXT(MTDRejection[[#This Row],[RejectionDate]],"dddd")</f>
        <v>Thursday</v>
      </c>
    </row>
    <row r="3975" spans="1:14">
      <c r="A3975" t="s">
        <v>292</v>
      </c>
      <c r="B3975" t="s">
        <v>6103</v>
      </c>
      <c r="C3975" t="s">
        <v>25</v>
      </c>
      <c r="D3975" t="s">
        <v>20</v>
      </c>
      <c r="E3975" s="7">
        <v>45652</v>
      </c>
      <c r="F3975" t="s">
        <v>273</v>
      </c>
      <c r="G3975">
        <v>0</v>
      </c>
      <c r="H3975" t="s">
        <v>27</v>
      </c>
      <c r="I3975" t="s">
        <v>16</v>
      </c>
      <c r="J3975" t="s">
        <v>16</v>
      </c>
      <c r="K3975" t="str">
        <f>VLOOKUP(C3975,CheckName!A:B,2,0)</f>
        <v>Add</v>
      </c>
      <c r="L3975">
        <v>0</v>
      </c>
      <c r="M3975">
        <f t="shared" si="585"/>
        <v>26</v>
      </c>
      <c r="N3975" t="str">
        <f>TEXT(MTDRejection[[#This Row],[RejectionDate]],"dddd")</f>
        <v>Thursday</v>
      </c>
    </row>
    <row r="3976" spans="1:14">
      <c r="A3976" t="s">
        <v>1016</v>
      </c>
      <c r="B3976" t="s">
        <v>6104</v>
      </c>
      <c r="C3976" t="s">
        <v>25</v>
      </c>
      <c r="D3976" t="s">
        <v>20</v>
      </c>
      <c r="E3976" s="7">
        <v>45652</v>
      </c>
      <c r="F3976" t="s">
        <v>273</v>
      </c>
      <c r="G3976">
        <v>0</v>
      </c>
      <c r="H3976" t="s">
        <v>22</v>
      </c>
      <c r="I3976" t="s">
        <v>16</v>
      </c>
      <c r="J3976" t="s">
        <v>16</v>
      </c>
      <c r="K3976" t="str">
        <f>VLOOKUP(C3976,CheckName!A:B,2,0)</f>
        <v>Add</v>
      </c>
      <c r="L3976">
        <v>0</v>
      </c>
      <c r="M3976">
        <f t="shared" si="585"/>
        <v>26</v>
      </c>
      <c r="N3976" t="str">
        <f>TEXT(MTDRejection[[#This Row],[RejectionDate]],"dddd")</f>
        <v>Thursday</v>
      </c>
    </row>
    <row r="3977" spans="1:14">
      <c r="A3977" t="s">
        <v>671</v>
      </c>
      <c r="B3977" t="s">
        <v>6105</v>
      </c>
      <c r="C3977" t="s">
        <v>25</v>
      </c>
      <c r="D3977" t="s">
        <v>20</v>
      </c>
      <c r="E3977" s="7">
        <v>45652</v>
      </c>
      <c r="F3977" t="s">
        <v>2327</v>
      </c>
      <c r="G3977">
        <v>0</v>
      </c>
      <c r="H3977" t="s">
        <v>22</v>
      </c>
      <c r="I3977" t="s">
        <v>16</v>
      </c>
      <c r="J3977" t="s">
        <v>16</v>
      </c>
      <c r="K3977" t="str">
        <f>VLOOKUP(C3977,CheckName!A:B,2,0)</f>
        <v>Add</v>
      </c>
      <c r="L3977">
        <v>0</v>
      </c>
      <c r="M3977">
        <f t="shared" si="585"/>
        <v>26</v>
      </c>
      <c r="N3977" t="str">
        <f>TEXT(MTDRejection[[#This Row],[RejectionDate]],"dddd")</f>
        <v>Thursday</v>
      </c>
    </row>
    <row r="3978" spans="1:14">
      <c r="A3978" t="s">
        <v>671</v>
      </c>
      <c r="B3978" t="s">
        <v>6106</v>
      </c>
      <c r="C3978" t="s">
        <v>25</v>
      </c>
      <c r="D3978" t="s">
        <v>20</v>
      </c>
      <c r="E3978" s="7">
        <v>45652</v>
      </c>
      <c r="F3978" t="s">
        <v>2327</v>
      </c>
      <c r="G3978">
        <v>0</v>
      </c>
      <c r="H3978" t="s">
        <v>130</v>
      </c>
      <c r="I3978" t="s">
        <v>16</v>
      </c>
      <c r="J3978" t="s">
        <v>16</v>
      </c>
      <c r="K3978" t="str">
        <f>VLOOKUP(C3978,CheckName!A:B,2,0)</f>
        <v>Add</v>
      </c>
      <c r="L3978">
        <v>0</v>
      </c>
      <c r="M3978">
        <f t="shared" si="585"/>
        <v>26</v>
      </c>
      <c r="N3978" t="str">
        <f>TEXT(MTDRejection[[#This Row],[RejectionDate]],"dddd")</f>
        <v>Thursday</v>
      </c>
    </row>
    <row r="3979" spans="1:14">
      <c r="A3979" t="s">
        <v>456</v>
      </c>
      <c r="B3979" t="s">
        <v>6107</v>
      </c>
      <c r="C3979" t="s">
        <v>25</v>
      </c>
      <c r="D3979" t="s">
        <v>20</v>
      </c>
      <c r="E3979" s="7">
        <v>45652</v>
      </c>
      <c r="F3979" t="s">
        <v>2327</v>
      </c>
      <c r="G3979">
        <v>0</v>
      </c>
      <c r="H3979" t="s">
        <v>27</v>
      </c>
      <c r="I3979" t="s">
        <v>16</v>
      </c>
      <c r="J3979" t="s">
        <v>16</v>
      </c>
      <c r="K3979" t="str">
        <f>VLOOKUP(C3979,CheckName!A:B,2,0)</f>
        <v>Add</v>
      </c>
      <c r="L3979">
        <v>0</v>
      </c>
      <c r="M3979">
        <f t="shared" ref="M3979:M3984" si="586">DAY(E3979)</f>
        <v>26</v>
      </c>
      <c r="N3979" t="str">
        <f>TEXT(MTDRejection[[#This Row],[RejectionDate]],"dddd")</f>
        <v>Thursday</v>
      </c>
    </row>
    <row r="3980" spans="1:14">
      <c r="A3980" t="s">
        <v>1828</v>
      </c>
      <c r="B3980" t="s">
        <v>6108</v>
      </c>
      <c r="C3980" t="s">
        <v>25</v>
      </c>
      <c r="D3980" t="s">
        <v>20</v>
      </c>
      <c r="E3980" s="7">
        <v>45652</v>
      </c>
      <c r="F3980" t="s">
        <v>273</v>
      </c>
      <c r="G3980">
        <v>0</v>
      </c>
      <c r="H3980" t="s">
        <v>27</v>
      </c>
      <c r="I3980" t="s">
        <v>16</v>
      </c>
      <c r="J3980" t="s">
        <v>16</v>
      </c>
      <c r="K3980" t="str">
        <f>VLOOKUP(C3980,CheckName!A:B,2,0)</f>
        <v>Add</v>
      </c>
      <c r="L3980">
        <v>0</v>
      </c>
      <c r="M3980">
        <f t="shared" si="586"/>
        <v>26</v>
      </c>
      <c r="N3980" t="str">
        <f>TEXT(MTDRejection[[#This Row],[RejectionDate]],"dddd")</f>
        <v>Thursday</v>
      </c>
    </row>
    <row r="3981" spans="1:14">
      <c r="A3981" t="s">
        <v>365</v>
      </c>
      <c r="B3981" t="s">
        <v>6109</v>
      </c>
      <c r="C3981" t="s">
        <v>19</v>
      </c>
      <c r="D3981" t="s">
        <v>20</v>
      </c>
      <c r="E3981" s="7">
        <v>45652</v>
      </c>
      <c r="F3981" t="s">
        <v>2327</v>
      </c>
      <c r="G3981">
        <v>0</v>
      </c>
      <c r="H3981" t="s">
        <v>30</v>
      </c>
      <c r="I3981" t="s">
        <v>16</v>
      </c>
      <c r="J3981" t="s">
        <v>16</v>
      </c>
      <c r="K3981" t="str">
        <f>VLOOKUP(C3981,CheckName!A:B,2,0)</f>
        <v>Add</v>
      </c>
      <c r="L3981">
        <v>0</v>
      </c>
      <c r="M3981">
        <f t="shared" si="586"/>
        <v>26</v>
      </c>
      <c r="N3981" t="str">
        <f>TEXT(MTDRejection[[#This Row],[RejectionDate]],"dddd")</f>
        <v>Thursday</v>
      </c>
    </row>
    <row r="3982" spans="1:14">
      <c r="A3982" t="s">
        <v>682</v>
      </c>
      <c r="B3982" t="s">
        <v>6110</v>
      </c>
      <c r="C3982" t="s">
        <v>12</v>
      </c>
      <c r="D3982" t="s">
        <v>26</v>
      </c>
      <c r="E3982" s="7">
        <v>45652</v>
      </c>
      <c r="F3982" t="s">
        <v>37</v>
      </c>
      <c r="G3982">
        <v>0</v>
      </c>
      <c r="H3982" t="s">
        <v>27</v>
      </c>
      <c r="I3982" t="s">
        <v>16</v>
      </c>
      <c r="J3982" t="s">
        <v>16</v>
      </c>
      <c r="K3982" t="str">
        <f>VLOOKUP(C3982,CheckName!A:B,2,0)</f>
        <v>Emp</v>
      </c>
      <c r="L3982">
        <v>0</v>
      </c>
      <c r="M3982">
        <f t="shared" si="586"/>
        <v>26</v>
      </c>
      <c r="N3982" t="str">
        <f>TEXT(MTDRejection[[#This Row],[RejectionDate]],"dddd")</f>
        <v>Thursday</v>
      </c>
    </row>
    <row r="3983" spans="1:14">
      <c r="A3983" t="s">
        <v>45</v>
      </c>
      <c r="B3983" t="s">
        <v>6111</v>
      </c>
      <c r="C3983" t="s">
        <v>112</v>
      </c>
      <c r="D3983" t="s">
        <v>26</v>
      </c>
      <c r="E3983" s="7">
        <v>45652</v>
      </c>
      <c r="F3983" t="s">
        <v>2355</v>
      </c>
      <c r="G3983">
        <v>0</v>
      </c>
      <c r="H3983" t="s">
        <v>22</v>
      </c>
      <c r="I3983" t="s">
        <v>16</v>
      </c>
      <c r="J3983" t="s">
        <v>16</v>
      </c>
      <c r="K3983" t="str">
        <f>VLOOKUP(C3983,CheckName!A:B,2,0)</f>
        <v>Emp</v>
      </c>
      <c r="L3983">
        <v>0</v>
      </c>
      <c r="M3983">
        <f t="shared" si="586"/>
        <v>26</v>
      </c>
      <c r="N3983" t="str">
        <f>TEXT(MTDRejection[[#This Row],[RejectionDate]],"dddd")</f>
        <v>Thursday</v>
      </c>
    </row>
    <row r="3984" spans="1:14">
      <c r="A3984" t="s">
        <v>1796</v>
      </c>
      <c r="B3984" t="s">
        <v>6112</v>
      </c>
      <c r="C3984" t="s">
        <v>12</v>
      </c>
      <c r="D3984" t="s">
        <v>26</v>
      </c>
      <c r="E3984" s="7">
        <v>45652</v>
      </c>
      <c r="F3984" t="s">
        <v>2350</v>
      </c>
      <c r="G3984">
        <v>0</v>
      </c>
      <c r="H3984" t="s">
        <v>425</v>
      </c>
      <c r="I3984" t="s">
        <v>16</v>
      </c>
      <c r="J3984" t="s">
        <v>16</v>
      </c>
      <c r="K3984" t="str">
        <f>VLOOKUP(C3984,CheckName!A:B,2,0)</f>
        <v>Emp</v>
      </c>
      <c r="L3984">
        <v>0</v>
      </c>
      <c r="M3984">
        <f t="shared" si="586"/>
        <v>26</v>
      </c>
      <c r="N3984" t="str">
        <f>TEXT(MTDRejection[[#This Row],[RejectionDate]],"dddd")</f>
        <v>Thursday</v>
      </c>
    </row>
    <row r="3985" spans="1:14">
      <c r="A3985" t="s">
        <v>176</v>
      </c>
      <c r="B3985" t="s">
        <v>6113</v>
      </c>
      <c r="C3985" t="s">
        <v>12</v>
      </c>
      <c r="D3985" t="s">
        <v>26</v>
      </c>
      <c r="E3985" s="7">
        <v>45652</v>
      </c>
      <c r="F3985" t="s">
        <v>184</v>
      </c>
      <c r="G3985">
        <v>0</v>
      </c>
      <c r="H3985" t="s">
        <v>27</v>
      </c>
      <c r="I3985" t="s">
        <v>16</v>
      </c>
      <c r="J3985" t="s">
        <v>16</v>
      </c>
      <c r="K3985" t="str">
        <f>VLOOKUP(C3985,CheckName!A:B,2,0)</f>
        <v>Emp</v>
      </c>
      <c r="L3985">
        <v>0</v>
      </c>
      <c r="M3985">
        <f>DAY(E3985)</f>
        <v>26</v>
      </c>
      <c r="N3985" t="str">
        <f>TEXT(MTDRejection[[#This Row],[RejectionDate]],"dddd")</f>
        <v>Thursday</v>
      </c>
    </row>
    <row r="3986" spans="1:14">
      <c r="A3986" t="s">
        <v>680</v>
      </c>
      <c r="B3986" t="s">
        <v>6114</v>
      </c>
      <c r="C3986" t="s">
        <v>12</v>
      </c>
      <c r="D3986" t="s">
        <v>38</v>
      </c>
      <c r="E3986" s="7">
        <v>45652</v>
      </c>
      <c r="F3986" t="s">
        <v>39</v>
      </c>
      <c r="G3986">
        <v>0</v>
      </c>
      <c r="H3986" t="s">
        <v>42</v>
      </c>
      <c r="I3986" t="s">
        <v>16</v>
      </c>
      <c r="J3986" t="s">
        <v>16</v>
      </c>
      <c r="K3986" t="str">
        <f>VLOOKUP(C3986,CheckName!A:B,2,0)</f>
        <v>Emp</v>
      </c>
      <c r="L3986">
        <v>0</v>
      </c>
      <c r="M3986">
        <f>DAY(E3986)</f>
        <v>26</v>
      </c>
      <c r="N3986" t="str">
        <f>TEXT(MTDRejection[[#This Row],[RejectionDate]],"dddd")</f>
        <v>Thursday</v>
      </c>
    </row>
    <row r="3987" spans="1:14">
      <c r="A3987" t="s">
        <v>45</v>
      </c>
      <c r="B3987" t="s">
        <v>6115</v>
      </c>
      <c r="C3987" t="s">
        <v>125</v>
      </c>
      <c r="D3987" t="s">
        <v>26</v>
      </c>
      <c r="E3987" s="7">
        <v>45650</v>
      </c>
      <c r="F3987" t="s">
        <v>224</v>
      </c>
      <c r="G3987">
        <v>2</v>
      </c>
      <c r="H3987" t="s">
        <v>27</v>
      </c>
      <c r="I3987" t="s">
        <v>16</v>
      </c>
      <c r="J3987" t="s">
        <v>16</v>
      </c>
      <c r="K3987" t="str">
        <f>VLOOKUP(C3987,CheckName!A:B,2,0)</f>
        <v>Emp</v>
      </c>
      <c r="L3987">
        <v>0</v>
      </c>
      <c r="M3987">
        <f>DAY(E3987)</f>
        <v>24</v>
      </c>
      <c r="N3987" t="str">
        <f>TEXT(MTDRejection[[#This Row],[RejectionDate]],"dddd")</f>
        <v>Tuesday</v>
      </c>
    </row>
    <row r="3988" spans="1:14">
      <c r="A3988" t="s">
        <v>119</v>
      </c>
      <c r="B3988" t="s">
        <v>6116</v>
      </c>
      <c r="C3988" t="s">
        <v>12</v>
      </c>
      <c r="D3988" t="s">
        <v>26</v>
      </c>
      <c r="E3988" s="7">
        <v>45645</v>
      </c>
      <c r="F3988" t="s">
        <v>2354</v>
      </c>
      <c r="G3988">
        <v>7</v>
      </c>
      <c r="H3988" t="s">
        <v>27</v>
      </c>
      <c r="I3988" t="s">
        <v>16</v>
      </c>
      <c r="J3988" t="s">
        <v>16</v>
      </c>
      <c r="K3988" t="str">
        <f>VLOOKUP(C3988,CheckName!A:B,2,0)</f>
        <v>Emp</v>
      </c>
      <c r="L3988">
        <v>0</v>
      </c>
      <c r="M3988">
        <f>DAY(E3988)</f>
        <v>19</v>
      </c>
      <c r="N3988" t="str">
        <f>TEXT(MTDRejection[[#This Row],[RejectionDate]],"dddd")</f>
        <v>Thursday</v>
      </c>
    </row>
    <row r="3989" spans="1:14">
      <c r="A3989" t="s">
        <v>362</v>
      </c>
      <c r="B3989" t="s">
        <v>6117</v>
      </c>
      <c r="C3989" t="s">
        <v>54</v>
      </c>
      <c r="D3989" t="s">
        <v>51</v>
      </c>
      <c r="E3989" s="7">
        <v>45652</v>
      </c>
      <c r="F3989" t="s">
        <v>2349</v>
      </c>
      <c r="G3989">
        <v>0</v>
      </c>
      <c r="H3989" t="s">
        <v>53</v>
      </c>
      <c r="I3989" t="s">
        <v>16</v>
      </c>
      <c r="J3989" t="s">
        <v>16</v>
      </c>
      <c r="K3989" t="str">
        <f>VLOOKUP(C3989,CheckName!A:B,2,0)</f>
        <v>Edu</v>
      </c>
      <c r="L3989">
        <v>0</v>
      </c>
      <c r="M3989">
        <f t="shared" ref="M3989:M3992" si="587">DAY(E3989)</f>
        <v>26</v>
      </c>
      <c r="N3989" t="str">
        <f>TEXT(MTDRejection[[#This Row],[RejectionDate]],"dddd")</f>
        <v>Thursday</v>
      </c>
    </row>
    <row r="3990" spans="1:14">
      <c r="A3990" t="s">
        <v>306</v>
      </c>
      <c r="B3990" t="s">
        <v>6118</v>
      </c>
      <c r="C3990" t="s">
        <v>19</v>
      </c>
      <c r="D3990" t="s">
        <v>13</v>
      </c>
      <c r="E3990" s="7">
        <v>45652</v>
      </c>
      <c r="F3990" t="s">
        <v>819</v>
      </c>
      <c r="G3990">
        <v>0</v>
      </c>
      <c r="H3990" t="s">
        <v>15</v>
      </c>
      <c r="I3990" t="s">
        <v>16</v>
      </c>
      <c r="J3990" t="s">
        <v>16</v>
      </c>
      <c r="K3990" t="str">
        <f>VLOOKUP(C3990,CheckName!A:B,2,0)</f>
        <v>Add</v>
      </c>
      <c r="L3990">
        <v>0</v>
      </c>
      <c r="M3990">
        <f t="shared" si="587"/>
        <v>26</v>
      </c>
      <c r="N3990" t="str">
        <f>TEXT(MTDRejection[[#This Row],[RejectionDate]],"dddd")</f>
        <v>Thursday</v>
      </c>
    </row>
    <row r="3991" spans="1:14">
      <c r="A3991" t="s">
        <v>91</v>
      </c>
      <c r="B3991" t="s">
        <v>6119</v>
      </c>
      <c r="C3991" t="s">
        <v>71</v>
      </c>
      <c r="D3991" t="s">
        <v>13</v>
      </c>
      <c r="E3991" s="7">
        <v>45652</v>
      </c>
      <c r="F3991" t="s">
        <v>2326</v>
      </c>
      <c r="G3991">
        <v>0</v>
      </c>
      <c r="H3991" t="s">
        <v>15</v>
      </c>
      <c r="I3991" t="s">
        <v>16</v>
      </c>
      <c r="J3991" t="s">
        <v>16</v>
      </c>
      <c r="K3991" t="str">
        <f>VLOOKUP(C3991,CheckName!A:B,2,0)</f>
        <v>CRC</v>
      </c>
      <c r="L3991">
        <v>0</v>
      </c>
      <c r="M3991">
        <f t="shared" si="587"/>
        <v>26</v>
      </c>
      <c r="N3991" t="str">
        <f>TEXT(MTDRejection[[#This Row],[RejectionDate]],"dddd")</f>
        <v>Thursday</v>
      </c>
    </row>
    <row r="3992" spans="1:14">
      <c r="A3992" t="s">
        <v>91</v>
      </c>
      <c r="B3992" t="s">
        <v>6120</v>
      </c>
      <c r="C3992" t="s">
        <v>71</v>
      </c>
      <c r="D3992" t="s">
        <v>13</v>
      </c>
      <c r="E3992" s="7">
        <v>45652</v>
      </c>
      <c r="F3992" t="s">
        <v>2326</v>
      </c>
      <c r="G3992">
        <v>0</v>
      </c>
      <c r="H3992" t="s">
        <v>15</v>
      </c>
      <c r="I3992" t="s">
        <v>16</v>
      </c>
      <c r="J3992" t="s">
        <v>16</v>
      </c>
      <c r="K3992" t="str">
        <f>VLOOKUP(C3992,CheckName!A:B,2,0)</f>
        <v>CRC</v>
      </c>
      <c r="L3992">
        <v>0</v>
      </c>
      <c r="M3992">
        <f t="shared" si="587"/>
        <v>26</v>
      </c>
      <c r="N3992" t="str">
        <f>TEXT(MTDRejection[[#This Row],[RejectionDate]],"dddd")</f>
        <v>Thursday</v>
      </c>
    </row>
    <row r="3993" spans="1:14">
      <c r="A3993" t="s">
        <v>391</v>
      </c>
      <c r="B3993" t="s">
        <v>6121</v>
      </c>
      <c r="C3993" t="s">
        <v>71</v>
      </c>
      <c r="D3993" t="s">
        <v>13</v>
      </c>
      <c r="E3993" s="7">
        <v>45652</v>
      </c>
      <c r="F3993" t="s">
        <v>2343</v>
      </c>
      <c r="G3993">
        <v>0</v>
      </c>
      <c r="H3993" t="s">
        <v>15</v>
      </c>
      <c r="I3993" t="s">
        <v>16</v>
      </c>
      <c r="J3993" t="s">
        <v>16</v>
      </c>
      <c r="K3993" t="str">
        <f>VLOOKUP(C3993,CheckName!A:B,2,0)</f>
        <v>CRC</v>
      </c>
      <c r="L3993">
        <v>0</v>
      </c>
      <c r="M3993">
        <f t="shared" ref="M3993:M3994" si="588">DAY(E3993)</f>
        <v>26</v>
      </c>
      <c r="N3993" t="str">
        <f>TEXT(MTDRejection[[#This Row],[RejectionDate]],"dddd")</f>
        <v>Thursday</v>
      </c>
    </row>
    <row r="3994" spans="1:14">
      <c r="A3994" t="s">
        <v>47</v>
      </c>
      <c r="B3994" t="s">
        <v>6122</v>
      </c>
      <c r="C3994" t="s">
        <v>54</v>
      </c>
      <c r="D3994" t="s">
        <v>13</v>
      </c>
      <c r="E3994" s="7">
        <v>45652</v>
      </c>
      <c r="F3994" t="s">
        <v>540</v>
      </c>
      <c r="G3994">
        <v>0</v>
      </c>
      <c r="H3994" t="s">
        <v>15</v>
      </c>
      <c r="I3994" t="s">
        <v>16</v>
      </c>
      <c r="J3994" t="s">
        <v>16</v>
      </c>
      <c r="K3994" t="str">
        <f>VLOOKUP(C3994,CheckName!A:B,2,0)</f>
        <v>Edu</v>
      </c>
      <c r="L3994">
        <v>0</v>
      </c>
      <c r="M3994">
        <f t="shared" si="588"/>
        <v>26</v>
      </c>
      <c r="N3994" t="str">
        <f>TEXT(MTDRejection[[#This Row],[RejectionDate]],"dddd")</f>
        <v>Thursday</v>
      </c>
    </row>
    <row r="3995" spans="1:14">
      <c r="A3995" t="s">
        <v>1246</v>
      </c>
      <c r="B3995" t="s">
        <v>6123</v>
      </c>
      <c r="C3995" t="s">
        <v>12</v>
      </c>
      <c r="D3995" t="s">
        <v>13</v>
      </c>
      <c r="E3995" s="7">
        <v>45652</v>
      </c>
      <c r="F3995" t="s">
        <v>540</v>
      </c>
      <c r="G3995">
        <v>0</v>
      </c>
      <c r="H3995" t="s">
        <v>15</v>
      </c>
      <c r="I3995" t="s">
        <v>16</v>
      </c>
      <c r="J3995" t="s">
        <v>16</v>
      </c>
      <c r="K3995" t="str">
        <f>VLOOKUP(C3995,CheckName!A:B,2,0)</f>
        <v>Emp</v>
      </c>
      <c r="L3995">
        <v>0</v>
      </c>
      <c r="M3995">
        <f t="shared" ref="M3995:M3998" si="589">DAY(E3995)</f>
        <v>26</v>
      </c>
      <c r="N3995" t="str">
        <f>TEXT(MTDRejection[[#This Row],[RejectionDate]],"dddd")</f>
        <v>Thursday</v>
      </c>
    </row>
    <row r="3996" spans="1:14">
      <c r="A3996" t="s">
        <v>45</v>
      </c>
      <c r="B3996" t="s">
        <v>2767</v>
      </c>
      <c r="C3996" t="s">
        <v>1218</v>
      </c>
      <c r="D3996" t="s">
        <v>13</v>
      </c>
      <c r="E3996" s="7">
        <v>45652</v>
      </c>
      <c r="F3996" t="s">
        <v>98</v>
      </c>
      <c r="G3996">
        <v>0</v>
      </c>
      <c r="H3996" t="s">
        <v>30</v>
      </c>
      <c r="I3996" t="s">
        <v>16</v>
      </c>
      <c r="J3996" t="s">
        <v>16</v>
      </c>
      <c r="K3996" t="str">
        <f>VLOOKUP(C3996,CheckName!A:B,2,0)</f>
        <v>Special Check</v>
      </c>
      <c r="L3996">
        <v>0</v>
      </c>
      <c r="M3996">
        <f t="shared" si="589"/>
        <v>26</v>
      </c>
      <c r="N3996" t="str">
        <f>TEXT(MTDRejection[[#This Row],[RejectionDate]],"dddd")</f>
        <v>Thursday</v>
      </c>
    </row>
    <row r="3997" spans="1:14">
      <c r="A3997" t="s">
        <v>160</v>
      </c>
      <c r="B3997" t="s">
        <v>6124</v>
      </c>
      <c r="C3997" t="s">
        <v>125</v>
      </c>
      <c r="D3997" t="s">
        <v>13</v>
      </c>
      <c r="E3997" s="7">
        <v>45652</v>
      </c>
      <c r="F3997" t="s">
        <v>2332</v>
      </c>
      <c r="G3997">
        <v>0</v>
      </c>
      <c r="H3997" t="s">
        <v>130</v>
      </c>
      <c r="I3997" t="s">
        <v>16</v>
      </c>
      <c r="J3997" t="s">
        <v>16</v>
      </c>
      <c r="K3997" t="str">
        <f>VLOOKUP(C3997,CheckName!A:B,2,0)</f>
        <v>Emp</v>
      </c>
      <c r="L3997">
        <v>0</v>
      </c>
      <c r="M3997">
        <f t="shared" si="589"/>
        <v>26</v>
      </c>
      <c r="N3997" t="str">
        <f>TEXT(MTDRejection[[#This Row],[RejectionDate]],"dddd")</f>
        <v>Thursday</v>
      </c>
    </row>
    <row r="3998" spans="1:14">
      <c r="A3998" t="s">
        <v>1221</v>
      </c>
      <c r="B3998" t="s">
        <v>6125</v>
      </c>
      <c r="C3998" t="s">
        <v>19</v>
      </c>
      <c r="D3998" t="s">
        <v>20</v>
      </c>
      <c r="E3998" s="7">
        <v>45652</v>
      </c>
      <c r="F3998" t="s">
        <v>66</v>
      </c>
      <c r="G3998">
        <v>0</v>
      </c>
      <c r="H3998" t="s">
        <v>22</v>
      </c>
      <c r="I3998" t="s">
        <v>16</v>
      </c>
      <c r="J3998" t="s">
        <v>16</v>
      </c>
      <c r="K3998" t="str">
        <f>VLOOKUP(C3998,CheckName!A:B,2,0)</f>
        <v>Add</v>
      </c>
      <c r="L3998">
        <v>0</v>
      </c>
      <c r="M3998">
        <f t="shared" si="589"/>
        <v>26</v>
      </c>
      <c r="N3998" t="str">
        <f>TEXT(MTDRejection[[#This Row],[RejectionDate]],"dddd")</f>
        <v>Thursday</v>
      </c>
    </row>
    <row r="3999" spans="1:14">
      <c r="A3999" t="s">
        <v>517</v>
      </c>
      <c r="B3999" t="s">
        <v>6126</v>
      </c>
      <c r="C3999" t="s">
        <v>1686</v>
      </c>
      <c r="D3999" t="s">
        <v>26</v>
      </c>
      <c r="E3999" s="7">
        <v>45652</v>
      </c>
      <c r="F3999" t="s">
        <v>118</v>
      </c>
      <c r="G3999">
        <v>0</v>
      </c>
      <c r="H3999" t="s">
        <v>27</v>
      </c>
      <c r="I3999" t="s">
        <v>16</v>
      </c>
      <c r="J3999" t="s">
        <v>16</v>
      </c>
      <c r="K3999" t="str">
        <f>VLOOKUP(C3999,CheckName!A:B,2,0)</f>
        <v>CRC</v>
      </c>
      <c r="L3999">
        <v>0</v>
      </c>
      <c r="M3999">
        <f t="shared" ref="M3999:M4045" si="590">DAY(E3999)</f>
        <v>26</v>
      </c>
      <c r="N3999" t="str">
        <f>TEXT(MTDRejection[[#This Row],[RejectionDate]],"dddd")</f>
        <v>Thursday</v>
      </c>
    </row>
    <row r="4000" spans="1:14">
      <c r="A4000" t="s">
        <v>1808</v>
      </c>
      <c r="B4000" t="s">
        <v>6127</v>
      </c>
      <c r="C4000" t="s">
        <v>1687</v>
      </c>
      <c r="D4000" t="s">
        <v>26</v>
      </c>
      <c r="E4000" s="7">
        <v>45652</v>
      </c>
      <c r="F4000" t="s">
        <v>118</v>
      </c>
      <c r="G4000">
        <v>0</v>
      </c>
      <c r="H4000" t="s">
        <v>27</v>
      </c>
      <c r="I4000" t="s">
        <v>16</v>
      </c>
      <c r="J4000" t="s">
        <v>16</v>
      </c>
      <c r="K4000" t="str">
        <f>VLOOKUP(C4000,CheckName!A:B,2,0)</f>
        <v>CRC</v>
      </c>
      <c r="L4000">
        <v>0</v>
      </c>
      <c r="M4000">
        <f t="shared" si="590"/>
        <v>26</v>
      </c>
      <c r="N4000" t="str">
        <f>TEXT(MTDRejection[[#This Row],[RejectionDate]],"dddd")</f>
        <v>Thursday</v>
      </c>
    </row>
    <row r="4001" spans="1:14">
      <c r="A4001" t="s">
        <v>1808</v>
      </c>
      <c r="B4001" t="s">
        <v>6128</v>
      </c>
      <c r="C4001" t="s">
        <v>1687</v>
      </c>
      <c r="D4001" t="s">
        <v>26</v>
      </c>
      <c r="E4001" s="7">
        <v>45652</v>
      </c>
      <c r="F4001" t="s">
        <v>118</v>
      </c>
      <c r="G4001">
        <v>0</v>
      </c>
      <c r="H4001" t="s">
        <v>27</v>
      </c>
      <c r="I4001" t="s">
        <v>16</v>
      </c>
      <c r="J4001" t="s">
        <v>16</v>
      </c>
      <c r="K4001" t="str">
        <f>VLOOKUP(C4001,CheckName!A:B,2,0)</f>
        <v>CRC</v>
      </c>
      <c r="L4001">
        <v>0</v>
      </c>
      <c r="M4001">
        <f t="shared" si="590"/>
        <v>26</v>
      </c>
      <c r="N4001" t="str">
        <f>TEXT(MTDRejection[[#This Row],[RejectionDate]],"dddd")</f>
        <v>Thursday</v>
      </c>
    </row>
    <row r="4002" spans="1:14">
      <c r="A4002" t="s">
        <v>1808</v>
      </c>
      <c r="B4002" t="s">
        <v>6129</v>
      </c>
      <c r="C4002" t="s">
        <v>1687</v>
      </c>
      <c r="D4002" t="s">
        <v>26</v>
      </c>
      <c r="E4002" s="7">
        <v>45652</v>
      </c>
      <c r="F4002" t="s">
        <v>118</v>
      </c>
      <c r="G4002">
        <v>0</v>
      </c>
      <c r="H4002" t="s">
        <v>27</v>
      </c>
      <c r="I4002" t="s">
        <v>16</v>
      </c>
      <c r="J4002" t="s">
        <v>16</v>
      </c>
      <c r="K4002" t="str">
        <f>VLOOKUP(C4002,CheckName!A:B,2,0)</f>
        <v>CRC</v>
      </c>
      <c r="L4002">
        <v>0</v>
      </c>
      <c r="M4002">
        <f t="shared" si="590"/>
        <v>26</v>
      </c>
      <c r="N4002" t="str">
        <f>TEXT(MTDRejection[[#This Row],[RejectionDate]],"dddd")</f>
        <v>Thursday</v>
      </c>
    </row>
    <row r="4003" spans="1:14">
      <c r="A4003" t="s">
        <v>1808</v>
      </c>
      <c r="B4003" t="s">
        <v>6130</v>
      </c>
      <c r="C4003" t="s">
        <v>1687</v>
      </c>
      <c r="D4003" t="s">
        <v>26</v>
      </c>
      <c r="E4003" s="7">
        <v>45652</v>
      </c>
      <c r="F4003" t="s">
        <v>118</v>
      </c>
      <c r="G4003">
        <v>0</v>
      </c>
      <c r="H4003" t="s">
        <v>27</v>
      </c>
      <c r="I4003" t="s">
        <v>16</v>
      </c>
      <c r="J4003" t="s">
        <v>16</v>
      </c>
      <c r="K4003" t="str">
        <f>VLOOKUP(C4003,CheckName!A:B,2,0)</f>
        <v>CRC</v>
      </c>
      <c r="L4003">
        <v>0</v>
      </c>
      <c r="M4003">
        <f t="shared" si="590"/>
        <v>26</v>
      </c>
      <c r="N4003" t="str">
        <f>TEXT(MTDRejection[[#This Row],[RejectionDate]],"dddd")</f>
        <v>Thursday</v>
      </c>
    </row>
    <row r="4004" spans="1:14">
      <c r="A4004" t="s">
        <v>1808</v>
      </c>
      <c r="B4004" t="s">
        <v>6131</v>
      </c>
      <c r="C4004" t="s">
        <v>1687</v>
      </c>
      <c r="D4004" t="s">
        <v>26</v>
      </c>
      <c r="E4004" s="7">
        <v>45652</v>
      </c>
      <c r="F4004" t="s">
        <v>118</v>
      </c>
      <c r="G4004">
        <v>0</v>
      </c>
      <c r="H4004" t="s">
        <v>27</v>
      </c>
      <c r="I4004" t="s">
        <v>16</v>
      </c>
      <c r="J4004" t="s">
        <v>16</v>
      </c>
      <c r="K4004" t="str">
        <f>VLOOKUP(C4004,CheckName!A:B,2,0)</f>
        <v>CRC</v>
      </c>
      <c r="L4004">
        <v>0</v>
      </c>
      <c r="M4004">
        <f t="shared" si="590"/>
        <v>26</v>
      </c>
      <c r="N4004" t="str">
        <f>TEXT(MTDRejection[[#This Row],[RejectionDate]],"dddd")</f>
        <v>Thursday</v>
      </c>
    </row>
    <row r="4005" spans="1:14">
      <c r="A4005" t="s">
        <v>1808</v>
      </c>
      <c r="B4005" t="s">
        <v>6132</v>
      </c>
      <c r="C4005" t="s">
        <v>1687</v>
      </c>
      <c r="D4005" t="s">
        <v>26</v>
      </c>
      <c r="E4005" s="7">
        <v>45652</v>
      </c>
      <c r="F4005" t="s">
        <v>118</v>
      </c>
      <c r="G4005">
        <v>0</v>
      </c>
      <c r="H4005" t="s">
        <v>27</v>
      </c>
      <c r="I4005" t="s">
        <v>16</v>
      </c>
      <c r="J4005" t="s">
        <v>16</v>
      </c>
      <c r="K4005" t="str">
        <f>VLOOKUP(C4005,CheckName!A:B,2,0)</f>
        <v>CRC</v>
      </c>
      <c r="L4005">
        <v>0</v>
      </c>
      <c r="M4005">
        <f t="shared" si="590"/>
        <v>26</v>
      </c>
      <c r="N4005" t="str">
        <f>TEXT(MTDRejection[[#This Row],[RejectionDate]],"dddd")</f>
        <v>Thursday</v>
      </c>
    </row>
    <row r="4006" spans="1:14">
      <c r="A4006" t="s">
        <v>671</v>
      </c>
      <c r="B4006" t="s">
        <v>6133</v>
      </c>
      <c r="C4006" t="s">
        <v>1686</v>
      </c>
      <c r="D4006" t="s">
        <v>26</v>
      </c>
      <c r="E4006" s="7">
        <v>45652</v>
      </c>
      <c r="F4006" t="s">
        <v>118</v>
      </c>
      <c r="G4006">
        <v>0</v>
      </c>
      <c r="H4006" t="s">
        <v>27</v>
      </c>
      <c r="I4006" t="s">
        <v>16</v>
      </c>
      <c r="J4006" t="s">
        <v>16</v>
      </c>
      <c r="K4006" t="str">
        <f>VLOOKUP(C4006,CheckName!A:B,2,0)</f>
        <v>CRC</v>
      </c>
      <c r="L4006">
        <v>0</v>
      </c>
      <c r="M4006">
        <f t="shared" si="590"/>
        <v>26</v>
      </c>
      <c r="N4006" t="str">
        <f>TEXT(MTDRejection[[#This Row],[RejectionDate]],"dddd")</f>
        <v>Thursday</v>
      </c>
    </row>
    <row r="4007" spans="1:14">
      <c r="A4007" t="s">
        <v>1879</v>
      </c>
      <c r="B4007" t="s">
        <v>1987</v>
      </c>
      <c r="C4007" t="s">
        <v>1686</v>
      </c>
      <c r="D4007" t="s">
        <v>26</v>
      </c>
      <c r="E4007" s="7">
        <v>45652</v>
      </c>
      <c r="F4007" t="s">
        <v>118</v>
      </c>
      <c r="G4007">
        <v>0</v>
      </c>
      <c r="H4007" t="s">
        <v>27</v>
      </c>
      <c r="I4007" t="s">
        <v>16</v>
      </c>
      <c r="J4007" t="s">
        <v>16</v>
      </c>
      <c r="K4007" t="str">
        <f>VLOOKUP(C4007,CheckName!A:B,2,0)</f>
        <v>CRC</v>
      </c>
      <c r="L4007">
        <v>0</v>
      </c>
      <c r="M4007">
        <f t="shared" si="590"/>
        <v>26</v>
      </c>
      <c r="N4007" t="str">
        <f>TEXT(MTDRejection[[#This Row],[RejectionDate]],"dddd")</f>
        <v>Thursday</v>
      </c>
    </row>
    <row r="4008" spans="1:14">
      <c r="A4008" t="s">
        <v>1879</v>
      </c>
      <c r="B4008" t="s">
        <v>6134</v>
      </c>
      <c r="C4008" t="s">
        <v>1686</v>
      </c>
      <c r="D4008" t="s">
        <v>26</v>
      </c>
      <c r="E4008" s="7">
        <v>45652</v>
      </c>
      <c r="F4008" t="s">
        <v>118</v>
      </c>
      <c r="G4008">
        <v>0</v>
      </c>
      <c r="H4008" t="s">
        <v>27</v>
      </c>
      <c r="I4008" t="s">
        <v>16</v>
      </c>
      <c r="J4008" t="s">
        <v>16</v>
      </c>
      <c r="K4008" t="str">
        <f>VLOOKUP(C4008,CheckName!A:B,2,0)</f>
        <v>CRC</v>
      </c>
      <c r="L4008">
        <v>0</v>
      </c>
      <c r="M4008">
        <f t="shared" si="590"/>
        <v>26</v>
      </c>
      <c r="N4008" t="str">
        <f>TEXT(MTDRejection[[#This Row],[RejectionDate]],"dddd")</f>
        <v>Thursday</v>
      </c>
    </row>
    <row r="4009" spans="1:14">
      <c r="A4009" t="s">
        <v>1879</v>
      </c>
      <c r="B4009" t="s">
        <v>2636</v>
      </c>
      <c r="C4009" t="s">
        <v>1686</v>
      </c>
      <c r="D4009" t="s">
        <v>26</v>
      </c>
      <c r="E4009" s="7">
        <v>45652</v>
      </c>
      <c r="F4009" t="s">
        <v>118</v>
      </c>
      <c r="G4009">
        <v>0</v>
      </c>
      <c r="H4009" t="s">
        <v>27</v>
      </c>
      <c r="I4009" t="s">
        <v>16</v>
      </c>
      <c r="J4009" t="s">
        <v>16</v>
      </c>
      <c r="K4009" t="str">
        <f>VLOOKUP(C4009,CheckName!A:B,2,0)</f>
        <v>CRC</v>
      </c>
      <c r="L4009">
        <v>0</v>
      </c>
      <c r="M4009">
        <f t="shared" si="590"/>
        <v>26</v>
      </c>
      <c r="N4009" t="str">
        <f>TEXT(MTDRejection[[#This Row],[RejectionDate]],"dddd")</f>
        <v>Thursday</v>
      </c>
    </row>
    <row r="4010" spans="1:14">
      <c r="A4010" t="s">
        <v>1879</v>
      </c>
      <c r="B4010" t="s">
        <v>6135</v>
      </c>
      <c r="C4010" t="s">
        <v>1686</v>
      </c>
      <c r="D4010" t="s">
        <v>26</v>
      </c>
      <c r="E4010" s="7">
        <v>45652</v>
      </c>
      <c r="F4010" t="s">
        <v>118</v>
      </c>
      <c r="G4010">
        <v>0</v>
      </c>
      <c r="H4010" t="s">
        <v>27</v>
      </c>
      <c r="I4010" t="s">
        <v>16</v>
      </c>
      <c r="J4010" t="s">
        <v>16</v>
      </c>
      <c r="K4010" t="str">
        <f>VLOOKUP(C4010,CheckName!A:B,2,0)</f>
        <v>CRC</v>
      </c>
      <c r="L4010">
        <v>0</v>
      </c>
      <c r="M4010">
        <f t="shared" si="590"/>
        <v>26</v>
      </c>
      <c r="N4010" t="str">
        <f>TEXT(MTDRejection[[#This Row],[RejectionDate]],"dddd")</f>
        <v>Thursday</v>
      </c>
    </row>
    <row r="4011" spans="1:14">
      <c r="A4011" t="s">
        <v>1879</v>
      </c>
      <c r="B4011" t="s">
        <v>6136</v>
      </c>
      <c r="C4011" t="s">
        <v>1686</v>
      </c>
      <c r="D4011" t="s">
        <v>26</v>
      </c>
      <c r="E4011" s="7">
        <v>45652</v>
      </c>
      <c r="F4011" t="s">
        <v>118</v>
      </c>
      <c r="G4011">
        <v>0</v>
      </c>
      <c r="H4011" t="s">
        <v>27</v>
      </c>
      <c r="I4011" t="s">
        <v>16</v>
      </c>
      <c r="J4011" t="s">
        <v>16</v>
      </c>
      <c r="K4011" t="str">
        <f>VLOOKUP(C4011,CheckName!A:B,2,0)</f>
        <v>CRC</v>
      </c>
      <c r="L4011">
        <v>0</v>
      </c>
      <c r="M4011">
        <f t="shared" si="590"/>
        <v>26</v>
      </c>
      <c r="N4011" t="str">
        <f>TEXT(MTDRejection[[#This Row],[RejectionDate]],"dddd")</f>
        <v>Thursday</v>
      </c>
    </row>
    <row r="4012" spans="1:14">
      <c r="A4012" t="s">
        <v>1879</v>
      </c>
      <c r="B4012" t="s">
        <v>6137</v>
      </c>
      <c r="C4012" t="s">
        <v>1686</v>
      </c>
      <c r="D4012" t="s">
        <v>26</v>
      </c>
      <c r="E4012" s="7">
        <v>45652</v>
      </c>
      <c r="F4012" t="s">
        <v>118</v>
      </c>
      <c r="G4012">
        <v>0</v>
      </c>
      <c r="H4012" t="s">
        <v>27</v>
      </c>
      <c r="I4012" t="s">
        <v>16</v>
      </c>
      <c r="J4012" t="s">
        <v>16</v>
      </c>
      <c r="K4012" t="str">
        <f>VLOOKUP(C4012,CheckName!A:B,2,0)</f>
        <v>CRC</v>
      </c>
      <c r="L4012">
        <v>0</v>
      </c>
      <c r="M4012">
        <f t="shared" si="590"/>
        <v>26</v>
      </c>
      <c r="N4012" t="str">
        <f>TEXT(MTDRejection[[#This Row],[RejectionDate]],"dddd")</f>
        <v>Thursday</v>
      </c>
    </row>
    <row r="4013" spans="1:14">
      <c r="A4013" t="s">
        <v>1879</v>
      </c>
      <c r="B4013" t="s">
        <v>6138</v>
      </c>
      <c r="C4013" t="s">
        <v>1686</v>
      </c>
      <c r="D4013" t="s">
        <v>26</v>
      </c>
      <c r="E4013" s="7">
        <v>45652</v>
      </c>
      <c r="F4013" t="s">
        <v>118</v>
      </c>
      <c r="G4013">
        <v>0</v>
      </c>
      <c r="H4013" t="s">
        <v>27</v>
      </c>
      <c r="I4013" t="s">
        <v>16</v>
      </c>
      <c r="J4013" t="s">
        <v>16</v>
      </c>
      <c r="K4013" t="str">
        <f>VLOOKUP(C4013,CheckName!A:B,2,0)</f>
        <v>CRC</v>
      </c>
      <c r="L4013">
        <v>0</v>
      </c>
      <c r="M4013">
        <f t="shared" si="590"/>
        <v>26</v>
      </c>
      <c r="N4013" t="str">
        <f>TEXT(MTDRejection[[#This Row],[RejectionDate]],"dddd")</f>
        <v>Thursday</v>
      </c>
    </row>
    <row r="4014" spans="1:14">
      <c r="A4014" t="s">
        <v>1879</v>
      </c>
      <c r="B4014" t="s">
        <v>6139</v>
      </c>
      <c r="C4014" t="s">
        <v>1686</v>
      </c>
      <c r="D4014" t="s">
        <v>26</v>
      </c>
      <c r="E4014" s="7">
        <v>45652</v>
      </c>
      <c r="F4014" t="s">
        <v>118</v>
      </c>
      <c r="G4014">
        <v>0</v>
      </c>
      <c r="H4014" t="s">
        <v>27</v>
      </c>
      <c r="I4014" t="s">
        <v>16</v>
      </c>
      <c r="J4014" t="s">
        <v>16</v>
      </c>
      <c r="K4014" t="str">
        <f>VLOOKUP(C4014,CheckName!A:B,2,0)</f>
        <v>CRC</v>
      </c>
      <c r="L4014">
        <v>0</v>
      </c>
      <c r="M4014">
        <f t="shared" si="590"/>
        <v>26</v>
      </c>
      <c r="N4014" t="str">
        <f>TEXT(MTDRejection[[#This Row],[RejectionDate]],"dddd")</f>
        <v>Thursday</v>
      </c>
    </row>
    <row r="4015" spans="1:14">
      <c r="A4015" t="s">
        <v>1879</v>
      </c>
      <c r="B4015" t="s">
        <v>6140</v>
      </c>
      <c r="C4015" t="s">
        <v>1686</v>
      </c>
      <c r="D4015" t="s">
        <v>26</v>
      </c>
      <c r="E4015" s="7">
        <v>45652</v>
      </c>
      <c r="F4015" t="s">
        <v>118</v>
      </c>
      <c r="G4015">
        <v>0</v>
      </c>
      <c r="H4015" t="s">
        <v>27</v>
      </c>
      <c r="I4015" t="s">
        <v>16</v>
      </c>
      <c r="J4015" t="s">
        <v>16</v>
      </c>
      <c r="K4015" t="str">
        <f>VLOOKUP(C4015,CheckName!A:B,2,0)</f>
        <v>CRC</v>
      </c>
      <c r="L4015">
        <v>0</v>
      </c>
      <c r="M4015">
        <f t="shared" si="590"/>
        <v>26</v>
      </c>
      <c r="N4015" t="str">
        <f>TEXT(MTDRejection[[#This Row],[RejectionDate]],"dddd")</f>
        <v>Thursday</v>
      </c>
    </row>
    <row r="4016" spans="1:14">
      <c r="A4016" t="s">
        <v>1879</v>
      </c>
      <c r="B4016" t="s">
        <v>2769</v>
      </c>
      <c r="C4016" t="s">
        <v>1686</v>
      </c>
      <c r="D4016" t="s">
        <v>26</v>
      </c>
      <c r="E4016" s="7">
        <v>45652</v>
      </c>
      <c r="F4016" t="s">
        <v>118</v>
      </c>
      <c r="G4016">
        <v>0</v>
      </c>
      <c r="H4016" t="s">
        <v>27</v>
      </c>
      <c r="I4016" t="s">
        <v>16</v>
      </c>
      <c r="J4016" t="s">
        <v>16</v>
      </c>
      <c r="K4016" t="str">
        <f>VLOOKUP(C4016,CheckName!A:B,2,0)</f>
        <v>CRC</v>
      </c>
      <c r="L4016">
        <v>0</v>
      </c>
      <c r="M4016">
        <f t="shared" si="590"/>
        <v>26</v>
      </c>
      <c r="N4016" t="str">
        <f>TEXT(MTDRejection[[#This Row],[RejectionDate]],"dddd")</f>
        <v>Thursday</v>
      </c>
    </row>
    <row r="4017" spans="1:14">
      <c r="A4017" t="s">
        <v>1879</v>
      </c>
      <c r="B4017" t="s">
        <v>6141</v>
      </c>
      <c r="C4017" t="s">
        <v>1686</v>
      </c>
      <c r="D4017" t="s">
        <v>26</v>
      </c>
      <c r="E4017" s="7">
        <v>45652</v>
      </c>
      <c r="F4017" t="s">
        <v>118</v>
      </c>
      <c r="G4017">
        <v>0</v>
      </c>
      <c r="H4017" t="s">
        <v>27</v>
      </c>
      <c r="I4017" t="s">
        <v>16</v>
      </c>
      <c r="J4017" t="s">
        <v>16</v>
      </c>
      <c r="K4017" t="str">
        <f>VLOOKUP(C4017,CheckName!A:B,2,0)</f>
        <v>CRC</v>
      </c>
      <c r="L4017">
        <v>0</v>
      </c>
      <c r="M4017">
        <f t="shared" si="590"/>
        <v>26</v>
      </c>
      <c r="N4017" t="str">
        <f>TEXT(MTDRejection[[#This Row],[RejectionDate]],"dddd")</f>
        <v>Thursday</v>
      </c>
    </row>
    <row r="4018" spans="1:14">
      <c r="A4018" t="s">
        <v>1879</v>
      </c>
      <c r="B4018" t="s">
        <v>5098</v>
      </c>
      <c r="C4018" t="s">
        <v>1686</v>
      </c>
      <c r="D4018" t="s">
        <v>26</v>
      </c>
      <c r="E4018" s="7">
        <v>45652</v>
      </c>
      <c r="F4018" t="s">
        <v>118</v>
      </c>
      <c r="G4018">
        <v>0</v>
      </c>
      <c r="H4018" t="s">
        <v>27</v>
      </c>
      <c r="I4018" t="s">
        <v>16</v>
      </c>
      <c r="J4018" t="s">
        <v>16</v>
      </c>
      <c r="K4018" t="str">
        <f>VLOOKUP(C4018,CheckName!A:B,2,0)</f>
        <v>CRC</v>
      </c>
      <c r="L4018">
        <v>0</v>
      </c>
      <c r="M4018">
        <f t="shared" si="590"/>
        <v>26</v>
      </c>
      <c r="N4018" t="str">
        <f>TEXT(MTDRejection[[#This Row],[RejectionDate]],"dddd")</f>
        <v>Thursday</v>
      </c>
    </row>
    <row r="4019" spans="1:14">
      <c r="A4019" t="s">
        <v>1879</v>
      </c>
      <c r="B4019" t="s">
        <v>6142</v>
      </c>
      <c r="C4019" t="s">
        <v>1686</v>
      </c>
      <c r="D4019" t="s">
        <v>26</v>
      </c>
      <c r="E4019" s="7">
        <v>45652</v>
      </c>
      <c r="F4019" t="s">
        <v>118</v>
      </c>
      <c r="G4019">
        <v>0</v>
      </c>
      <c r="H4019" t="s">
        <v>27</v>
      </c>
      <c r="I4019" t="s">
        <v>16</v>
      </c>
      <c r="J4019" t="s">
        <v>16</v>
      </c>
      <c r="K4019" t="str">
        <f>VLOOKUP(C4019,CheckName!A:B,2,0)</f>
        <v>CRC</v>
      </c>
      <c r="L4019">
        <v>0</v>
      </c>
      <c r="M4019">
        <f t="shared" si="590"/>
        <v>26</v>
      </c>
      <c r="N4019" t="str">
        <f>TEXT(MTDRejection[[#This Row],[RejectionDate]],"dddd")</f>
        <v>Thursday</v>
      </c>
    </row>
    <row r="4020" spans="1:14">
      <c r="A4020" t="s">
        <v>1879</v>
      </c>
      <c r="B4020" t="s">
        <v>6143</v>
      </c>
      <c r="C4020" t="s">
        <v>1686</v>
      </c>
      <c r="D4020" t="s">
        <v>26</v>
      </c>
      <c r="E4020" s="7">
        <v>45652</v>
      </c>
      <c r="F4020" t="s">
        <v>118</v>
      </c>
      <c r="G4020">
        <v>0</v>
      </c>
      <c r="H4020" t="s">
        <v>27</v>
      </c>
      <c r="I4020" t="s">
        <v>16</v>
      </c>
      <c r="J4020" t="s">
        <v>16</v>
      </c>
      <c r="K4020" t="str">
        <f>VLOOKUP(C4020,CheckName!A:B,2,0)</f>
        <v>CRC</v>
      </c>
      <c r="L4020">
        <v>0</v>
      </c>
      <c r="M4020">
        <f t="shared" si="590"/>
        <v>26</v>
      </c>
      <c r="N4020" t="str">
        <f>TEXT(MTDRejection[[#This Row],[RejectionDate]],"dddd")</f>
        <v>Thursday</v>
      </c>
    </row>
    <row r="4021" spans="1:14">
      <c r="A4021" t="s">
        <v>1879</v>
      </c>
      <c r="B4021" t="s">
        <v>6144</v>
      </c>
      <c r="C4021" t="s">
        <v>1686</v>
      </c>
      <c r="D4021" t="s">
        <v>26</v>
      </c>
      <c r="E4021" s="7">
        <v>45652</v>
      </c>
      <c r="F4021" t="s">
        <v>118</v>
      </c>
      <c r="G4021">
        <v>0</v>
      </c>
      <c r="H4021" t="s">
        <v>27</v>
      </c>
      <c r="I4021" t="s">
        <v>16</v>
      </c>
      <c r="J4021" t="s">
        <v>16</v>
      </c>
      <c r="K4021" t="str">
        <f>VLOOKUP(C4021,CheckName!A:B,2,0)</f>
        <v>CRC</v>
      </c>
      <c r="L4021">
        <v>0</v>
      </c>
      <c r="M4021">
        <f t="shared" si="590"/>
        <v>26</v>
      </c>
      <c r="N4021" t="str">
        <f>TEXT(MTDRejection[[#This Row],[RejectionDate]],"dddd")</f>
        <v>Thursday</v>
      </c>
    </row>
    <row r="4022" spans="1:14">
      <c r="A4022" t="s">
        <v>1879</v>
      </c>
      <c r="B4022" t="s">
        <v>6145</v>
      </c>
      <c r="C4022" t="s">
        <v>1686</v>
      </c>
      <c r="D4022" t="s">
        <v>26</v>
      </c>
      <c r="E4022" s="7">
        <v>45652</v>
      </c>
      <c r="F4022" t="s">
        <v>118</v>
      </c>
      <c r="G4022">
        <v>0</v>
      </c>
      <c r="H4022" t="s">
        <v>27</v>
      </c>
      <c r="I4022" t="s">
        <v>16</v>
      </c>
      <c r="J4022" t="s">
        <v>16</v>
      </c>
      <c r="K4022" t="str">
        <f>VLOOKUP(C4022,CheckName!A:B,2,0)</f>
        <v>CRC</v>
      </c>
      <c r="L4022">
        <v>0</v>
      </c>
      <c r="M4022">
        <f t="shared" si="590"/>
        <v>26</v>
      </c>
      <c r="N4022" t="str">
        <f>TEXT(MTDRejection[[#This Row],[RejectionDate]],"dddd")</f>
        <v>Thursday</v>
      </c>
    </row>
    <row r="4023" spans="1:14">
      <c r="A4023" t="s">
        <v>1879</v>
      </c>
      <c r="B4023" t="s">
        <v>6146</v>
      </c>
      <c r="C4023" t="s">
        <v>1686</v>
      </c>
      <c r="D4023" t="s">
        <v>26</v>
      </c>
      <c r="E4023" s="7">
        <v>45652</v>
      </c>
      <c r="F4023" t="s">
        <v>118</v>
      </c>
      <c r="G4023">
        <v>0</v>
      </c>
      <c r="H4023" t="s">
        <v>27</v>
      </c>
      <c r="I4023" t="s">
        <v>16</v>
      </c>
      <c r="J4023" t="s">
        <v>16</v>
      </c>
      <c r="K4023" t="str">
        <f>VLOOKUP(C4023,CheckName!A:B,2,0)</f>
        <v>CRC</v>
      </c>
      <c r="L4023">
        <v>0</v>
      </c>
      <c r="M4023">
        <f t="shared" si="590"/>
        <v>26</v>
      </c>
      <c r="N4023" t="str">
        <f>TEXT(MTDRejection[[#This Row],[RejectionDate]],"dddd")</f>
        <v>Thursday</v>
      </c>
    </row>
    <row r="4024" spans="1:14">
      <c r="A4024" t="s">
        <v>1879</v>
      </c>
      <c r="B4024" t="s">
        <v>6147</v>
      </c>
      <c r="C4024" t="s">
        <v>1686</v>
      </c>
      <c r="D4024" t="s">
        <v>26</v>
      </c>
      <c r="E4024" s="7">
        <v>45652</v>
      </c>
      <c r="F4024" t="s">
        <v>118</v>
      </c>
      <c r="G4024">
        <v>0</v>
      </c>
      <c r="H4024" t="s">
        <v>27</v>
      </c>
      <c r="I4024" t="s">
        <v>16</v>
      </c>
      <c r="J4024" t="s">
        <v>16</v>
      </c>
      <c r="K4024" t="str">
        <f>VLOOKUP(C4024,CheckName!A:B,2,0)</f>
        <v>CRC</v>
      </c>
      <c r="L4024">
        <v>0</v>
      </c>
      <c r="M4024">
        <f t="shared" si="590"/>
        <v>26</v>
      </c>
      <c r="N4024" t="str">
        <f>TEXT(MTDRejection[[#This Row],[RejectionDate]],"dddd")</f>
        <v>Thursday</v>
      </c>
    </row>
    <row r="4025" spans="1:14">
      <c r="A4025" t="s">
        <v>1879</v>
      </c>
      <c r="B4025" t="s">
        <v>6148</v>
      </c>
      <c r="C4025" t="s">
        <v>1686</v>
      </c>
      <c r="D4025" t="s">
        <v>26</v>
      </c>
      <c r="E4025" s="7">
        <v>45652</v>
      </c>
      <c r="F4025" t="s">
        <v>118</v>
      </c>
      <c r="G4025">
        <v>0</v>
      </c>
      <c r="H4025" t="s">
        <v>27</v>
      </c>
      <c r="I4025" t="s">
        <v>16</v>
      </c>
      <c r="J4025" t="s">
        <v>16</v>
      </c>
      <c r="K4025" t="str">
        <f>VLOOKUP(C4025,CheckName!A:B,2,0)</f>
        <v>CRC</v>
      </c>
      <c r="L4025">
        <v>0</v>
      </c>
      <c r="M4025">
        <f t="shared" si="590"/>
        <v>26</v>
      </c>
      <c r="N4025" t="str">
        <f>TEXT(MTDRejection[[#This Row],[RejectionDate]],"dddd")</f>
        <v>Thursday</v>
      </c>
    </row>
    <row r="4026" spans="1:14">
      <c r="A4026" t="s">
        <v>1879</v>
      </c>
      <c r="B4026" t="s">
        <v>6149</v>
      </c>
      <c r="C4026" t="s">
        <v>1686</v>
      </c>
      <c r="D4026" t="s">
        <v>26</v>
      </c>
      <c r="E4026" s="7">
        <v>45652</v>
      </c>
      <c r="F4026" t="s">
        <v>118</v>
      </c>
      <c r="G4026">
        <v>0</v>
      </c>
      <c r="H4026" t="s">
        <v>27</v>
      </c>
      <c r="I4026" t="s">
        <v>16</v>
      </c>
      <c r="J4026" t="s">
        <v>16</v>
      </c>
      <c r="K4026" t="str">
        <f>VLOOKUP(C4026,CheckName!A:B,2,0)</f>
        <v>CRC</v>
      </c>
      <c r="L4026">
        <v>0</v>
      </c>
      <c r="M4026">
        <f t="shared" si="590"/>
        <v>26</v>
      </c>
      <c r="N4026" t="str">
        <f>TEXT(MTDRejection[[#This Row],[RejectionDate]],"dddd")</f>
        <v>Thursday</v>
      </c>
    </row>
    <row r="4027" spans="1:14">
      <c r="A4027" t="s">
        <v>1879</v>
      </c>
      <c r="B4027" t="s">
        <v>6150</v>
      </c>
      <c r="C4027" t="s">
        <v>1686</v>
      </c>
      <c r="D4027" t="s">
        <v>26</v>
      </c>
      <c r="E4027" s="7">
        <v>45652</v>
      </c>
      <c r="F4027" t="s">
        <v>118</v>
      </c>
      <c r="G4027">
        <v>0</v>
      </c>
      <c r="H4027" t="s">
        <v>27</v>
      </c>
      <c r="I4027" t="s">
        <v>16</v>
      </c>
      <c r="J4027" t="s">
        <v>16</v>
      </c>
      <c r="K4027" t="str">
        <f>VLOOKUP(C4027,CheckName!A:B,2,0)</f>
        <v>CRC</v>
      </c>
      <c r="L4027">
        <v>0</v>
      </c>
      <c r="M4027">
        <f t="shared" si="590"/>
        <v>26</v>
      </c>
      <c r="N4027" t="str">
        <f>TEXT(MTDRejection[[#This Row],[RejectionDate]],"dddd")</f>
        <v>Thursday</v>
      </c>
    </row>
    <row r="4028" spans="1:14">
      <c r="A4028" t="s">
        <v>1879</v>
      </c>
      <c r="B4028" t="s">
        <v>6151</v>
      </c>
      <c r="C4028" t="s">
        <v>1686</v>
      </c>
      <c r="D4028" t="s">
        <v>26</v>
      </c>
      <c r="E4028" s="7">
        <v>45652</v>
      </c>
      <c r="F4028" t="s">
        <v>118</v>
      </c>
      <c r="G4028">
        <v>0</v>
      </c>
      <c r="H4028" t="s">
        <v>27</v>
      </c>
      <c r="I4028" t="s">
        <v>16</v>
      </c>
      <c r="J4028" t="s">
        <v>16</v>
      </c>
      <c r="K4028" t="str">
        <f>VLOOKUP(C4028,CheckName!A:B,2,0)</f>
        <v>CRC</v>
      </c>
      <c r="L4028">
        <v>0</v>
      </c>
      <c r="M4028">
        <f t="shared" si="590"/>
        <v>26</v>
      </c>
      <c r="N4028" t="str">
        <f>TEXT(MTDRejection[[#This Row],[RejectionDate]],"dddd")</f>
        <v>Thursday</v>
      </c>
    </row>
    <row r="4029" spans="1:14">
      <c r="A4029" t="s">
        <v>1879</v>
      </c>
      <c r="B4029" t="s">
        <v>6152</v>
      </c>
      <c r="C4029" t="s">
        <v>1686</v>
      </c>
      <c r="D4029" t="s">
        <v>26</v>
      </c>
      <c r="E4029" s="7">
        <v>45652</v>
      </c>
      <c r="F4029" t="s">
        <v>118</v>
      </c>
      <c r="G4029">
        <v>0</v>
      </c>
      <c r="H4029" t="s">
        <v>27</v>
      </c>
      <c r="I4029" t="s">
        <v>16</v>
      </c>
      <c r="J4029" t="s">
        <v>16</v>
      </c>
      <c r="K4029" t="str">
        <f>VLOOKUP(C4029,CheckName!A:B,2,0)</f>
        <v>CRC</v>
      </c>
      <c r="L4029">
        <v>0</v>
      </c>
      <c r="M4029">
        <f t="shared" si="590"/>
        <v>26</v>
      </c>
      <c r="N4029" t="str">
        <f>TEXT(MTDRejection[[#This Row],[RejectionDate]],"dddd")</f>
        <v>Thursday</v>
      </c>
    </row>
    <row r="4030" spans="1:14">
      <c r="A4030" t="s">
        <v>1879</v>
      </c>
      <c r="B4030" t="s">
        <v>6153</v>
      </c>
      <c r="C4030" t="s">
        <v>1686</v>
      </c>
      <c r="D4030" t="s">
        <v>26</v>
      </c>
      <c r="E4030" s="7">
        <v>45652</v>
      </c>
      <c r="F4030" t="s">
        <v>118</v>
      </c>
      <c r="G4030">
        <v>0</v>
      </c>
      <c r="H4030" t="s">
        <v>27</v>
      </c>
      <c r="I4030" t="s">
        <v>16</v>
      </c>
      <c r="J4030" t="s">
        <v>16</v>
      </c>
      <c r="K4030" t="str">
        <f>VLOOKUP(C4030,CheckName!A:B,2,0)</f>
        <v>CRC</v>
      </c>
      <c r="L4030">
        <v>0</v>
      </c>
      <c r="M4030">
        <f t="shared" si="590"/>
        <v>26</v>
      </c>
      <c r="N4030" t="str">
        <f>TEXT(MTDRejection[[#This Row],[RejectionDate]],"dddd")</f>
        <v>Thursday</v>
      </c>
    </row>
    <row r="4031" spans="1:14">
      <c r="A4031" t="s">
        <v>1879</v>
      </c>
      <c r="B4031" t="s">
        <v>6154</v>
      </c>
      <c r="C4031" t="s">
        <v>1686</v>
      </c>
      <c r="D4031" t="s">
        <v>26</v>
      </c>
      <c r="E4031" s="7">
        <v>45652</v>
      </c>
      <c r="F4031" t="s">
        <v>118</v>
      </c>
      <c r="G4031">
        <v>0</v>
      </c>
      <c r="H4031" t="s">
        <v>27</v>
      </c>
      <c r="I4031" t="s">
        <v>16</v>
      </c>
      <c r="J4031" t="s">
        <v>16</v>
      </c>
      <c r="K4031" t="str">
        <f>VLOOKUP(C4031,CheckName!A:B,2,0)</f>
        <v>CRC</v>
      </c>
      <c r="L4031">
        <v>0</v>
      </c>
      <c r="M4031">
        <f t="shared" si="590"/>
        <v>26</v>
      </c>
      <c r="N4031" t="str">
        <f>TEXT(MTDRejection[[#This Row],[RejectionDate]],"dddd")</f>
        <v>Thursday</v>
      </c>
    </row>
    <row r="4032" spans="1:14">
      <c r="A4032" t="s">
        <v>1879</v>
      </c>
      <c r="B4032" t="s">
        <v>6155</v>
      </c>
      <c r="C4032" t="s">
        <v>1686</v>
      </c>
      <c r="D4032" t="s">
        <v>26</v>
      </c>
      <c r="E4032" s="7">
        <v>45652</v>
      </c>
      <c r="F4032" t="s">
        <v>118</v>
      </c>
      <c r="G4032">
        <v>0</v>
      </c>
      <c r="H4032" t="s">
        <v>27</v>
      </c>
      <c r="I4032" t="s">
        <v>16</v>
      </c>
      <c r="J4032" t="s">
        <v>16</v>
      </c>
      <c r="K4032" t="str">
        <f>VLOOKUP(C4032,CheckName!A:B,2,0)</f>
        <v>CRC</v>
      </c>
      <c r="L4032">
        <v>0</v>
      </c>
      <c r="M4032">
        <f t="shared" si="590"/>
        <v>26</v>
      </c>
      <c r="N4032" t="str">
        <f>TEXT(MTDRejection[[#This Row],[RejectionDate]],"dddd")</f>
        <v>Thursday</v>
      </c>
    </row>
    <row r="4033" spans="1:14">
      <c r="A4033" t="s">
        <v>1879</v>
      </c>
      <c r="B4033" t="s">
        <v>6156</v>
      </c>
      <c r="C4033" t="s">
        <v>1686</v>
      </c>
      <c r="D4033" t="s">
        <v>26</v>
      </c>
      <c r="E4033" s="7">
        <v>45652</v>
      </c>
      <c r="F4033" t="s">
        <v>118</v>
      </c>
      <c r="G4033">
        <v>0</v>
      </c>
      <c r="H4033" t="s">
        <v>27</v>
      </c>
      <c r="I4033" t="s">
        <v>16</v>
      </c>
      <c r="J4033" t="s">
        <v>16</v>
      </c>
      <c r="K4033" t="str">
        <f>VLOOKUP(C4033,CheckName!A:B,2,0)</f>
        <v>CRC</v>
      </c>
      <c r="L4033">
        <v>0</v>
      </c>
      <c r="M4033">
        <f t="shared" si="590"/>
        <v>26</v>
      </c>
      <c r="N4033" t="str">
        <f>TEXT(MTDRejection[[#This Row],[RejectionDate]],"dddd")</f>
        <v>Thursday</v>
      </c>
    </row>
    <row r="4034" spans="1:14">
      <c r="A4034" t="s">
        <v>1879</v>
      </c>
      <c r="B4034" t="s">
        <v>6157</v>
      </c>
      <c r="C4034" t="s">
        <v>1686</v>
      </c>
      <c r="D4034" t="s">
        <v>26</v>
      </c>
      <c r="E4034" s="7">
        <v>45652</v>
      </c>
      <c r="F4034" t="s">
        <v>118</v>
      </c>
      <c r="G4034">
        <v>0</v>
      </c>
      <c r="H4034" t="s">
        <v>27</v>
      </c>
      <c r="I4034" t="s">
        <v>16</v>
      </c>
      <c r="J4034" t="s">
        <v>16</v>
      </c>
      <c r="K4034" t="str">
        <f>VLOOKUP(C4034,CheckName!A:B,2,0)</f>
        <v>CRC</v>
      </c>
      <c r="L4034">
        <v>0</v>
      </c>
      <c r="M4034">
        <f t="shared" si="590"/>
        <v>26</v>
      </c>
      <c r="N4034" t="str">
        <f>TEXT(MTDRejection[[#This Row],[RejectionDate]],"dddd")</f>
        <v>Thursday</v>
      </c>
    </row>
    <row r="4035" spans="1:14">
      <c r="A4035" t="s">
        <v>1879</v>
      </c>
      <c r="B4035" t="s">
        <v>6158</v>
      </c>
      <c r="C4035" t="s">
        <v>1686</v>
      </c>
      <c r="D4035" t="s">
        <v>26</v>
      </c>
      <c r="E4035" s="7">
        <v>45652</v>
      </c>
      <c r="F4035" t="s">
        <v>118</v>
      </c>
      <c r="G4035">
        <v>0</v>
      </c>
      <c r="H4035" t="s">
        <v>27</v>
      </c>
      <c r="I4035" t="s">
        <v>16</v>
      </c>
      <c r="J4035" t="s">
        <v>16</v>
      </c>
      <c r="K4035" t="str">
        <f>VLOOKUP(C4035,CheckName!A:B,2,0)</f>
        <v>CRC</v>
      </c>
      <c r="L4035">
        <v>0</v>
      </c>
      <c r="M4035">
        <f t="shared" si="590"/>
        <v>26</v>
      </c>
      <c r="N4035" t="str">
        <f>TEXT(MTDRejection[[#This Row],[RejectionDate]],"dddd")</f>
        <v>Thursday</v>
      </c>
    </row>
    <row r="4036" spans="1:14">
      <c r="A4036" t="s">
        <v>1879</v>
      </c>
      <c r="B4036" t="s">
        <v>6159</v>
      </c>
      <c r="C4036" t="s">
        <v>1686</v>
      </c>
      <c r="D4036" t="s">
        <v>26</v>
      </c>
      <c r="E4036" s="7">
        <v>45652</v>
      </c>
      <c r="F4036" t="s">
        <v>118</v>
      </c>
      <c r="G4036">
        <v>0</v>
      </c>
      <c r="H4036" t="s">
        <v>27</v>
      </c>
      <c r="I4036" t="s">
        <v>16</v>
      </c>
      <c r="J4036" t="s">
        <v>16</v>
      </c>
      <c r="K4036" t="str">
        <f>VLOOKUP(C4036,CheckName!A:B,2,0)</f>
        <v>CRC</v>
      </c>
      <c r="L4036">
        <v>0</v>
      </c>
      <c r="M4036">
        <f t="shared" si="590"/>
        <v>26</v>
      </c>
      <c r="N4036" t="str">
        <f>TEXT(MTDRejection[[#This Row],[RejectionDate]],"dddd")</f>
        <v>Thursday</v>
      </c>
    </row>
    <row r="4037" spans="1:14">
      <c r="A4037" t="s">
        <v>1879</v>
      </c>
      <c r="B4037" t="s">
        <v>6160</v>
      </c>
      <c r="C4037" t="s">
        <v>1686</v>
      </c>
      <c r="D4037" t="s">
        <v>26</v>
      </c>
      <c r="E4037" s="7">
        <v>45652</v>
      </c>
      <c r="F4037" t="s">
        <v>118</v>
      </c>
      <c r="G4037">
        <v>0</v>
      </c>
      <c r="H4037" t="s">
        <v>27</v>
      </c>
      <c r="I4037" t="s">
        <v>16</v>
      </c>
      <c r="J4037" t="s">
        <v>16</v>
      </c>
      <c r="K4037" t="str">
        <f>VLOOKUP(C4037,CheckName!A:B,2,0)</f>
        <v>CRC</v>
      </c>
      <c r="L4037">
        <v>0</v>
      </c>
      <c r="M4037">
        <f t="shared" si="590"/>
        <v>26</v>
      </c>
      <c r="N4037" t="str">
        <f>TEXT(MTDRejection[[#This Row],[RejectionDate]],"dddd")</f>
        <v>Thursday</v>
      </c>
    </row>
    <row r="4038" spans="1:14">
      <c r="A4038" t="s">
        <v>1879</v>
      </c>
      <c r="B4038" t="s">
        <v>6161</v>
      </c>
      <c r="C4038" t="s">
        <v>1686</v>
      </c>
      <c r="D4038" t="s">
        <v>26</v>
      </c>
      <c r="E4038" s="7">
        <v>45652</v>
      </c>
      <c r="F4038" t="s">
        <v>118</v>
      </c>
      <c r="G4038">
        <v>0</v>
      </c>
      <c r="H4038" t="s">
        <v>27</v>
      </c>
      <c r="I4038" t="s">
        <v>16</v>
      </c>
      <c r="J4038" t="s">
        <v>16</v>
      </c>
      <c r="K4038" t="str">
        <f>VLOOKUP(C4038,CheckName!A:B,2,0)</f>
        <v>CRC</v>
      </c>
      <c r="L4038">
        <v>0</v>
      </c>
      <c r="M4038">
        <f t="shared" si="590"/>
        <v>26</v>
      </c>
      <c r="N4038" t="str">
        <f>TEXT(MTDRejection[[#This Row],[RejectionDate]],"dddd")</f>
        <v>Thursday</v>
      </c>
    </row>
    <row r="4039" spans="1:14">
      <c r="A4039" t="s">
        <v>1879</v>
      </c>
      <c r="B4039" t="s">
        <v>6162</v>
      </c>
      <c r="C4039" t="s">
        <v>1686</v>
      </c>
      <c r="D4039" t="s">
        <v>26</v>
      </c>
      <c r="E4039" s="7">
        <v>45652</v>
      </c>
      <c r="F4039" t="s">
        <v>118</v>
      </c>
      <c r="G4039">
        <v>0</v>
      </c>
      <c r="H4039" t="s">
        <v>27</v>
      </c>
      <c r="I4039" t="s">
        <v>16</v>
      </c>
      <c r="J4039" t="s">
        <v>16</v>
      </c>
      <c r="K4039" t="str">
        <f>VLOOKUP(C4039,CheckName!A:B,2,0)</f>
        <v>CRC</v>
      </c>
      <c r="L4039">
        <v>0</v>
      </c>
      <c r="M4039">
        <f t="shared" si="590"/>
        <v>26</v>
      </c>
      <c r="N4039" t="str">
        <f>TEXT(MTDRejection[[#This Row],[RejectionDate]],"dddd")</f>
        <v>Thursday</v>
      </c>
    </row>
    <row r="4040" spans="1:14">
      <c r="A4040" t="s">
        <v>1879</v>
      </c>
      <c r="B4040" t="s">
        <v>2770</v>
      </c>
      <c r="C4040" t="s">
        <v>1686</v>
      </c>
      <c r="D4040" t="s">
        <v>26</v>
      </c>
      <c r="E4040" s="7">
        <v>45652</v>
      </c>
      <c r="F4040" t="s">
        <v>118</v>
      </c>
      <c r="G4040">
        <v>0</v>
      </c>
      <c r="H4040" t="s">
        <v>27</v>
      </c>
      <c r="I4040" t="s">
        <v>16</v>
      </c>
      <c r="J4040" t="s">
        <v>16</v>
      </c>
      <c r="K4040" t="str">
        <f>VLOOKUP(C4040,CheckName!A:B,2,0)</f>
        <v>CRC</v>
      </c>
      <c r="L4040">
        <v>0</v>
      </c>
      <c r="M4040">
        <f t="shared" si="590"/>
        <v>26</v>
      </c>
      <c r="N4040" t="str">
        <f>TEXT(MTDRejection[[#This Row],[RejectionDate]],"dddd")</f>
        <v>Thursday</v>
      </c>
    </row>
    <row r="4041" spans="1:14">
      <c r="A4041" t="s">
        <v>1879</v>
      </c>
      <c r="B4041" t="s">
        <v>2007</v>
      </c>
      <c r="C4041" t="s">
        <v>1686</v>
      </c>
      <c r="D4041" t="s">
        <v>26</v>
      </c>
      <c r="E4041" s="7">
        <v>45652</v>
      </c>
      <c r="F4041" t="s">
        <v>118</v>
      </c>
      <c r="G4041">
        <v>0</v>
      </c>
      <c r="H4041" t="s">
        <v>27</v>
      </c>
      <c r="I4041" t="s">
        <v>16</v>
      </c>
      <c r="J4041" t="s">
        <v>16</v>
      </c>
      <c r="K4041" t="str">
        <f>VLOOKUP(C4041,CheckName!A:B,2,0)</f>
        <v>CRC</v>
      </c>
      <c r="L4041">
        <v>0</v>
      </c>
      <c r="M4041">
        <f t="shared" si="590"/>
        <v>26</v>
      </c>
      <c r="N4041" t="str">
        <f>TEXT(MTDRejection[[#This Row],[RejectionDate]],"dddd")</f>
        <v>Thursday</v>
      </c>
    </row>
    <row r="4042" spans="1:14">
      <c r="A4042" t="s">
        <v>1552</v>
      </c>
      <c r="B4042" t="s">
        <v>6163</v>
      </c>
      <c r="C4042" t="s">
        <v>1686</v>
      </c>
      <c r="D4042" t="s">
        <v>26</v>
      </c>
      <c r="E4042" s="7">
        <v>45652</v>
      </c>
      <c r="F4042" t="s">
        <v>118</v>
      </c>
      <c r="G4042">
        <v>0</v>
      </c>
      <c r="H4042" t="s">
        <v>27</v>
      </c>
      <c r="I4042" t="s">
        <v>16</v>
      </c>
      <c r="J4042" t="s">
        <v>16</v>
      </c>
      <c r="K4042" t="str">
        <f>VLOOKUP(C4042,CheckName!A:B,2,0)</f>
        <v>CRC</v>
      </c>
      <c r="L4042">
        <v>0</v>
      </c>
      <c r="M4042">
        <f t="shared" si="590"/>
        <v>26</v>
      </c>
      <c r="N4042" t="str">
        <f>TEXT(MTDRejection[[#This Row],[RejectionDate]],"dddd")</f>
        <v>Thursday</v>
      </c>
    </row>
    <row r="4043" spans="1:14">
      <c r="A4043" t="s">
        <v>1552</v>
      </c>
      <c r="B4043" t="s">
        <v>6164</v>
      </c>
      <c r="C4043" t="s">
        <v>1686</v>
      </c>
      <c r="D4043" t="s">
        <v>26</v>
      </c>
      <c r="E4043" s="7">
        <v>45652</v>
      </c>
      <c r="F4043" t="s">
        <v>118</v>
      </c>
      <c r="G4043">
        <v>0</v>
      </c>
      <c r="H4043" t="s">
        <v>27</v>
      </c>
      <c r="I4043" t="s">
        <v>16</v>
      </c>
      <c r="J4043" t="s">
        <v>16</v>
      </c>
      <c r="K4043" t="str">
        <f>VLOOKUP(C4043,CheckName!A:B,2,0)</f>
        <v>CRC</v>
      </c>
      <c r="L4043">
        <v>0</v>
      </c>
      <c r="M4043">
        <f t="shared" si="590"/>
        <v>26</v>
      </c>
      <c r="N4043" t="str">
        <f>TEXT(MTDRejection[[#This Row],[RejectionDate]],"dddd")</f>
        <v>Thursday</v>
      </c>
    </row>
    <row r="4044" spans="1:14">
      <c r="A4044" t="s">
        <v>1552</v>
      </c>
      <c r="B4044" t="s">
        <v>6165</v>
      </c>
      <c r="C4044" t="s">
        <v>1686</v>
      </c>
      <c r="D4044" t="s">
        <v>26</v>
      </c>
      <c r="E4044" s="7">
        <v>45652</v>
      </c>
      <c r="F4044" t="s">
        <v>118</v>
      </c>
      <c r="G4044">
        <v>0</v>
      </c>
      <c r="H4044" t="s">
        <v>27</v>
      </c>
      <c r="I4044" t="s">
        <v>16</v>
      </c>
      <c r="J4044" t="s">
        <v>16</v>
      </c>
      <c r="K4044" t="str">
        <f>VLOOKUP(C4044,CheckName!A:B,2,0)</f>
        <v>CRC</v>
      </c>
      <c r="L4044">
        <v>0</v>
      </c>
      <c r="M4044">
        <f t="shared" si="590"/>
        <v>26</v>
      </c>
      <c r="N4044" t="str">
        <f>TEXT(MTDRejection[[#This Row],[RejectionDate]],"dddd")</f>
        <v>Thursday</v>
      </c>
    </row>
    <row r="4045" spans="1:14">
      <c r="A4045" t="s">
        <v>1552</v>
      </c>
      <c r="B4045" t="s">
        <v>2313</v>
      </c>
      <c r="C4045" t="s">
        <v>1686</v>
      </c>
      <c r="D4045" t="s">
        <v>26</v>
      </c>
      <c r="E4045" s="7">
        <v>45652</v>
      </c>
      <c r="F4045" t="s">
        <v>118</v>
      </c>
      <c r="G4045">
        <v>0</v>
      </c>
      <c r="H4045" t="s">
        <v>27</v>
      </c>
      <c r="I4045" t="s">
        <v>16</v>
      </c>
      <c r="J4045" t="s">
        <v>16</v>
      </c>
      <c r="K4045" t="str">
        <f>VLOOKUP(C4045,CheckName!A:B,2,0)</f>
        <v>CRC</v>
      </c>
      <c r="L4045">
        <v>0</v>
      </c>
      <c r="M4045">
        <f t="shared" si="590"/>
        <v>26</v>
      </c>
      <c r="N4045" t="str">
        <f>TEXT(MTDRejection[[#This Row],[RejectionDate]],"dddd")</f>
        <v>Thursday</v>
      </c>
    </row>
    <row r="4046" spans="1:14">
      <c r="A4046" t="s">
        <v>73</v>
      </c>
      <c r="B4046" t="s">
        <v>6166</v>
      </c>
      <c r="C4046" t="s">
        <v>54</v>
      </c>
      <c r="D4046" t="s">
        <v>26</v>
      </c>
      <c r="E4046" s="7">
        <v>45652</v>
      </c>
      <c r="F4046" t="s">
        <v>538</v>
      </c>
      <c r="G4046">
        <v>0</v>
      </c>
      <c r="H4046" t="s">
        <v>27</v>
      </c>
      <c r="I4046" t="s">
        <v>16</v>
      </c>
      <c r="J4046" t="s">
        <v>16</v>
      </c>
      <c r="K4046" t="str">
        <f>VLOOKUP(C4046,CheckName!A:B,2,0)</f>
        <v>Edu</v>
      </c>
      <c r="L4046">
        <v>0</v>
      </c>
      <c r="M4046">
        <f t="shared" ref="M4046:M4047" si="591">DAY(E4046)</f>
        <v>26</v>
      </c>
      <c r="N4046" t="str">
        <f>TEXT(MTDRejection[[#This Row],[RejectionDate]],"dddd")</f>
        <v>Thursday</v>
      </c>
    </row>
    <row r="4047" spans="1:14">
      <c r="A4047" t="s">
        <v>893</v>
      </c>
      <c r="B4047" t="s">
        <v>6167</v>
      </c>
      <c r="C4047" t="s">
        <v>12</v>
      </c>
      <c r="D4047" t="s">
        <v>26</v>
      </c>
      <c r="E4047" s="7">
        <v>45652</v>
      </c>
      <c r="F4047" t="s">
        <v>115</v>
      </c>
      <c r="G4047">
        <v>0</v>
      </c>
      <c r="H4047" t="s">
        <v>95</v>
      </c>
      <c r="I4047" t="s">
        <v>16</v>
      </c>
      <c r="J4047" t="s">
        <v>16</v>
      </c>
      <c r="K4047" t="str">
        <f>VLOOKUP(C4047,CheckName!A:B,2,0)</f>
        <v>Emp</v>
      </c>
      <c r="L4047">
        <v>0</v>
      </c>
      <c r="M4047">
        <f t="shared" si="591"/>
        <v>26</v>
      </c>
      <c r="N4047" t="str">
        <f>TEXT(MTDRejection[[#This Row],[RejectionDate]],"dddd")</f>
        <v>Thursday</v>
      </c>
    </row>
    <row r="4048" spans="1:14">
      <c r="A4048" t="s">
        <v>228</v>
      </c>
      <c r="B4048" t="s">
        <v>6168</v>
      </c>
      <c r="C4048" t="s">
        <v>54</v>
      </c>
      <c r="D4048" t="s">
        <v>26</v>
      </c>
      <c r="E4048" s="7">
        <v>45652</v>
      </c>
      <c r="F4048" t="s">
        <v>63</v>
      </c>
      <c r="G4048">
        <v>0</v>
      </c>
      <c r="H4048" t="s">
        <v>425</v>
      </c>
      <c r="I4048" t="s">
        <v>16</v>
      </c>
      <c r="J4048" t="s">
        <v>16</v>
      </c>
      <c r="K4048" t="str">
        <f>VLOOKUP(C4048,CheckName!A:B,2,0)</f>
        <v>Edu</v>
      </c>
      <c r="L4048">
        <v>0</v>
      </c>
      <c r="M4048">
        <f t="shared" ref="M4048:M4050" si="592">DAY(E4048)</f>
        <v>26</v>
      </c>
      <c r="N4048" t="str">
        <f>TEXT(MTDRejection[[#This Row],[RejectionDate]],"dddd")</f>
        <v>Thursday</v>
      </c>
    </row>
    <row r="4049" spans="1:14">
      <c r="A4049" t="s">
        <v>211</v>
      </c>
      <c r="B4049" t="s">
        <v>6169</v>
      </c>
      <c r="C4049" t="s">
        <v>54</v>
      </c>
      <c r="D4049" t="s">
        <v>26</v>
      </c>
      <c r="E4049" s="7">
        <v>45652</v>
      </c>
      <c r="F4049" t="s">
        <v>63</v>
      </c>
      <c r="G4049">
        <v>0</v>
      </c>
      <c r="H4049" t="s">
        <v>425</v>
      </c>
      <c r="I4049" t="s">
        <v>16</v>
      </c>
      <c r="J4049" t="s">
        <v>16</v>
      </c>
      <c r="K4049" t="str">
        <f>VLOOKUP(C4049,CheckName!A:B,2,0)</f>
        <v>Edu</v>
      </c>
      <c r="L4049">
        <v>0</v>
      </c>
      <c r="M4049">
        <f t="shared" si="592"/>
        <v>26</v>
      </c>
      <c r="N4049" t="str">
        <f>TEXT(MTDRejection[[#This Row],[RejectionDate]],"dddd")</f>
        <v>Thursday</v>
      </c>
    </row>
    <row r="4050" spans="1:14">
      <c r="A4050" t="s">
        <v>1766</v>
      </c>
      <c r="B4050" t="s">
        <v>6170</v>
      </c>
      <c r="C4050" t="s">
        <v>93</v>
      </c>
      <c r="D4050" t="s">
        <v>26</v>
      </c>
      <c r="E4050" s="7">
        <v>45652</v>
      </c>
      <c r="F4050" t="s">
        <v>63</v>
      </c>
      <c r="G4050">
        <v>0</v>
      </c>
      <c r="H4050" t="s">
        <v>22</v>
      </c>
      <c r="I4050" t="s">
        <v>16</v>
      </c>
      <c r="J4050" t="s">
        <v>16</v>
      </c>
      <c r="K4050" t="str">
        <f>VLOOKUP(C4050,CheckName!A:B,2,0)</f>
        <v>Edu</v>
      </c>
      <c r="L4050">
        <v>0</v>
      </c>
      <c r="M4050">
        <f t="shared" si="592"/>
        <v>26</v>
      </c>
      <c r="N4050" t="str">
        <f>TEXT(MTDRejection[[#This Row],[RejectionDate]],"dddd")</f>
        <v>Thursday</v>
      </c>
    </row>
    <row r="4051" spans="1:14">
      <c r="A4051" t="s">
        <v>45</v>
      </c>
      <c r="B4051" t="s">
        <v>6171</v>
      </c>
      <c r="C4051" t="s">
        <v>54</v>
      </c>
      <c r="D4051" t="s">
        <v>26</v>
      </c>
      <c r="E4051" s="7">
        <v>45652</v>
      </c>
      <c r="F4051" t="s">
        <v>188</v>
      </c>
      <c r="G4051">
        <v>0</v>
      </c>
      <c r="H4051" t="s">
        <v>27</v>
      </c>
      <c r="I4051" t="s">
        <v>16</v>
      </c>
      <c r="J4051" t="s">
        <v>16</v>
      </c>
      <c r="K4051" t="str">
        <f>VLOOKUP(C4051,CheckName!A:B,2,0)</f>
        <v>Edu</v>
      </c>
      <c r="L4051">
        <v>0</v>
      </c>
      <c r="M4051">
        <f t="shared" ref="M4051:M4053" si="593">DAY(E4051)</f>
        <v>26</v>
      </c>
      <c r="N4051" t="str">
        <f>TEXT(MTDRejection[[#This Row],[RejectionDate]],"dddd")</f>
        <v>Thursday</v>
      </c>
    </row>
    <row r="4052" spans="1:14">
      <c r="A4052" t="s">
        <v>165</v>
      </c>
      <c r="B4052" t="s">
        <v>6172</v>
      </c>
      <c r="C4052" t="s">
        <v>54</v>
      </c>
      <c r="D4052" t="s">
        <v>26</v>
      </c>
      <c r="E4052" s="7">
        <v>45652</v>
      </c>
      <c r="F4052" t="s">
        <v>103</v>
      </c>
      <c r="G4052">
        <v>0</v>
      </c>
      <c r="H4052" t="s">
        <v>27</v>
      </c>
      <c r="I4052" t="s">
        <v>16</v>
      </c>
      <c r="J4052" t="s">
        <v>16</v>
      </c>
      <c r="K4052" t="str">
        <f>VLOOKUP(C4052,CheckName!A:B,2,0)</f>
        <v>Edu</v>
      </c>
      <c r="L4052">
        <v>0</v>
      </c>
      <c r="M4052">
        <f t="shared" si="593"/>
        <v>26</v>
      </c>
      <c r="N4052" t="str">
        <f>TEXT(MTDRejection[[#This Row],[RejectionDate]],"dddd")</f>
        <v>Thursday</v>
      </c>
    </row>
    <row r="4053" spans="1:14">
      <c r="A4053" t="s">
        <v>205</v>
      </c>
      <c r="B4053" t="s">
        <v>2771</v>
      </c>
      <c r="C4053" t="s">
        <v>54</v>
      </c>
      <c r="D4053" t="s">
        <v>26</v>
      </c>
      <c r="E4053" s="7">
        <v>45652</v>
      </c>
      <c r="F4053" t="s">
        <v>103</v>
      </c>
      <c r="G4053">
        <v>0</v>
      </c>
      <c r="H4053" t="s">
        <v>27</v>
      </c>
      <c r="I4053" t="s">
        <v>16</v>
      </c>
      <c r="J4053" t="s">
        <v>16</v>
      </c>
      <c r="K4053" t="str">
        <f>VLOOKUP(C4053,CheckName!A:B,2,0)</f>
        <v>Edu</v>
      </c>
      <c r="L4053">
        <v>0</v>
      </c>
      <c r="M4053">
        <f t="shared" si="593"/>
        <v>26</v>
      </c>
      <c r="N4053" t="str">
        <f>TEXT(MTDRejection[[#This Row],[RejectionDate]],"dddd")</f>
        <v>Thursday</v>
      </c>
    </row>
    <row r="4054" spans="1:14">
      <c r="A4054" t="s">
        <v>1584</v>
      </c>
      <c r="B4054" t="s">
        <v>6173</v>
      </c>
      <c r="C4054" t="s">
        <v>19</v>
      </c>
      <c r="D4054" t="s">
        <v>20</v>
      </c>
      <c r="E4054" s="7">
        <v>45652</v>
      </c>
      <c r="F4054" t="s">
        <v>273</v>
      </c>
      <c r="G4054">
        <v>0</v>
      </c>
      <c r="H4054" t="s">
        <v>130</v>
      </c>
      <c r="I4054" t="s">
        <v>16</v>
      </c>
      <c r="J4054" t="s">
        <v>16</v>
      </c>
      <c r="K4054" t="str">
        <f>VLOOKUP(C4054,CheckName!A:B,2,0)</f>
        <v>Add</v>
      </c>
      <c r="L4054">
        <v>0</v>
      </c>
      <c r="M4054">
        <f>DAY(E4054)</f>
        <v>26</v>
      </c>
      <c r="N4054" t="str">
        <f>TEXT(MTDRejection[[#This Row],[RejectionDate]],"dddd")</f>
        <v>Thursday</v>
      </c>
    </row>
    <row r="4055" spans="1:14">
      <c r="A4055" t="s">
        <v>1811</v>
      </c>
      <c r="B4055" t="s">
        <v>6174</v>
      </c>
      <c r="C4055" t="s">
        <v>19</v>
      </c>
      <c r="D4055" t="s">
        <v>26</v>
      </c>
      <c r="E4055" s="7">
        <v>45652</v>
      </c>
      <c r="F4055" t="s">
        <v>2327</v>
      </c>
      <c r="G4055">
        <v>0</v>
      </c>
      <c r="H4055" t="s">
        <v>22</v>
      </c>
      <c r="I4055" t="s">
        <v>16</v>
      </c>
      <c r="J4055" t="s">
        <v>16</v>
      </c>
      <c r="K4055" t="str">
        <f>VLOOKUP(C4055,CheckName!A:B,2,0)</f>
        <v>Add</v>
      </c>
      <c r="L4055">
        <v>0</v>
      </c>
      <c r="M4055">
        <f>DAY(E4055)</f>
        <v>26</v>
      </c>
      <c r="N4055" t="str">
        <f>TEXT(MTDRejection[[#This Row],[RejectionDate]],"dddd")</f>
        <v>Thursday</v>
      </c>
    </row>
    <row r="4056" spans="1:14">
      <c r="A4056" t="s">
        <v>100</v>
      </c>
      <c r="B4056" t="s">
        <v>6175</v>
      </c>
      <c r="C4056" t="s">
        <v>359</v>
      </c>
      <c r="D4056" t="s">
        <v>26</v>
      </c>
      <c r="E4056" s="7">
        <v>45652</v>
      </c>
      <c r="F4056" t="s">
        <v>380</v>
      </c>
      <c r="G4056">
        <v>0</v>
      </c>
      <c r="H4056" t="s">
        <v>27</v>
      </c>
      <c r="I4056" t="s">
        <v>16</v>
      </c>
      <c r="J4056" t="s">
        <v>16</v>
      </c>
      <c r="K4056" t="str">
        <f>VLOOKUP(C4056,CheckName!A:B,2,0)</f>
        <v>Emp</v>
      </c>
      <c r="L4056">
        <v>0</v>
      </c>
      <c r="M4056">
        <f t="shared" ref="M4056:M4059" si="594">DAY(E4056)</f>
        <v>26</v>
      </c>
      <c r="N4056" t="str">
        <f>TEXT(MTDRejection[[#This Row],[RejectionDate]],"dddd")</f>
        <v>Thursday</v>
      </c>
    </row>
    <row r="4057" spans="1:14">
      <c r="A4057" t="s">
        <v>100</v>
      </c>
      <c r="B4057" t="s">
        <v>6176</v>
      </c>
      <c r="C4057" t="s">
        <v>516</v>
      </c>
      <c r="D4057" t="s">
        <v>26</v>
      </c>
      <c r="E4057" s="7">
        <v>45652</v>
      </c>
      <c r="F4057" t="s">
        <v>380</v>
      </c>
      <c r="G4057">
        <v>0</v>
      </c>
      <c r="H4057" t="s">
        <v>27</v>
      </c>
      <c r="I4057" t="s">
        <v>16</v>
      </c>
      <c r="J4057" t="s">
        <v>16</v>
      </c>
      <c r="K4057" t="str">
        <f>VLOOKUP(C4057,CheckName!A:B,2,0)</f>
        <v>Emp</v>
      </c>
      <c r="L4057">
        <v>0</v>
      </c>
      <c r="M4057">
        <f t="shared" si="594"/>
        <v>26</v>
      </c>
      <c r="N4057" t="str">
        <f>TEXT(MTDRejection[[#This Row],[RejectionDate]],"dddd")</f>
        <v>Thursday</v>
      </c>
    </row>
    <row r="4058" spans="1:14">
      <c r="A4058" t="s">
        <v>142</v>
      </c>
      <c r="B4058" t="s">
        <v>6177</v>
      </c>
      <c r="C4058" t="s">
        <v>36</v>
      </c>
      <c r="D4058" t="s">
        <v>26</v>
      </c>
      <c r="E4058" s="7">
        <v>45652</v>
      </c>
      <c r="F4058" t="s">
        <v>151</v>
      </c>
      <c r="G4058">
        <v>0</v>
      </c>
      <c r="H4058" t="s">
        <v>27</v>
      </c>
      <c r="I4058" t="s">
        <v>16</v>
      </c>
      <c r="J4058" t="s">
        <v>16</v>
      </c>
      <c r="K4058" t="str">
        <f>VLOOKUP(C4058,CheckName!A:B,2,0)</f>
        <v>Emp</v>
      </c>
      <c r="L4058">
        <v>0</v>
      </c>
      <c r="M4058">
        <f t="shared" si="594"/>
        <v>26</v>
      </c>
      <c r="N4058" t="str">
        <f>TEXT(MTDRejection[[#This Row],[RejectionDate]],"dddd")</f>
        <v>Thursday</v>
      </c>
    </row>
    <row r="4059" spans="1:14">
      <c r="A4059" t="s">
        <v>1793</v>
      </c>
      <c r="B4059" t="s">
        <v>6178</v>
      </c>
      <c r="C4059" t="s">
        <v>125</v>
      </c>
      <c r="D4059" t="s">
        <v>26</v>
      </c>
      <c r="E4059" s="7">
        <v>45652</v>
      </c>
      <c r="F4059" t="s">
        <v>1055</v>
      </c>
      <c r="G4059">
        <v>0</v>
      </c>
      <c r="H4059" t="s">
        <v>27</v>
      </c>
      <c r="I4059" t="s">
        <v>16</v>
      </c>
      <c r="J4059" t="s">
        <v>16</v>
      </c>
      <c r="K4059" t="str">
        <f>VLOOKUP(C4059,CheckName!A:B,2,0)</f>
        <v>Emp</v>
      </c>
      <c r="L4059">
        <v>0</v>
      </c>
      <c r="M4059">
        <f t="shared" si="594"/>
        <v>26</v>
      </c>
      <c r="N4059" t="str">
        <f>TEXT(MTDRejection[[#This Row],[RejectionDate]],"dddd")</f>
        <v>Thursday</v>
      </c>
    </row>
    <row r="4060" spans="1:14">
      <c r="A4060" t="s">
        <v>306</v>
      </c>
      <c r="B4060" t="s">
        <v>2772</v>
      </c>
      <c r="C4060" t="s">
        <v>54</v>
      </c>
      <c r="D4060" t="s">
        <v>26</v>
      </c>
      <c r="E4060" s="7">
        <v>45652</v>
      </c>
      <c r="F4060" t="s">
        <v>309</v>
      </c>
      <c r="G4060">
        <v>0</v>
      </c>
      <c r="H4060" t="s">
        <v>27</v>
      </c>
      <c r="I4060" t="s">
        <v>16</v>
      </c>
      <c r="J4060" t="s">
        <v>16</v>
      </c>
      <c r="K4060" t="str">
        <f>VLOOKUP(C4060,CheckName!A:B,2,0)</f>
        <v>Edu</v>
      </c>
      <c r="L4060">
        <v>0</v>
      </c>
      <c r="M4060">
        <f t="shared" ref="M4060:M4065" si="595">DAY(E4060)</f>
        <v>26</v>
      </c>
      <c r="N4060" t="str">
        <f>TEXT(MTDRejection[[#This Row],[RejectionDate]],"dddd")</f>
        <v>Thursday</v>
      </c>
    </row>
    <row r="4061" spans="1:14">
      <c r="A4061" t="s">
        <v>1160</v>
      </c>
      <c r="B4061" t="s">
        <v>6179</v>
      </c>
      <c r="C4061" t="s">
        <v>25</v>
      </c>
      <c r="D4061" t="s">
        <v>20</v>
      </c>
      <c r="E4061" s="7">
        <v>45652</v>
      </c>
      <c r="F4061" t="s">
        <v>129</v>
      </c>
      <c r="G4061">
        <v>0</v>
      </c>
      <c r="H4061" t="s">
        <v>22</v>
      </c>
      <c r="I4061" t="s">
        <v>16</v>
      </c>
      <c r="J4061" t="s">
        <v>16</v>
      </c>
      <c r="K4061" t="str">
        <f>VLOOKUP(C4061,CheckName!A:B,2,0)</f>
        <v>Add</v>
      </c>
      <c r="L4061">
        <v>0</v>
      </c>
      <c r="M4061">
        <f t="shared" si="595"/>
        <v>26</v>
      </c>
      <c r="N4061" t="str">
        <f>TEXT(MTDRejection[[#This Row],[RejectionDate]],"dddd")</f>
        <v>Thursday</v>
      </c>
    </row>
    <row r="4062" spans="1:14">
      <c r="A4062" t="s">
        <v>419</v>
      </c>
      <c r="B4062" t="s">
        <v>6180</v>
      </c>
      <c r="C4062" t="s">
        <v>25</v>
      </c>
      <c r="D4062" t="s">
        <v>20</v>
      </c>
      <c r="E4062" s="7">
        <v>45652</v>
      </c>
      <c r="F4062" t="s">
        <v>129</v>
      </c>
      <c r="G4062">
        <v>0</v>
      </c>
      <c r="H4062" t="s">
        <v>22</v>
      </c>
      <c r="I4062" t="s">
        <v>16</v>
      </c>
      <c r="J4062" t="s">
        <v>16</v>
      </c>
      <c r="K4062" t="str">
        <f>VLOOKUP(C4062,CheckName!A:B,2,0)</f>
        <v>Add</v>
      </c>
      <c r="L4062">
        <v>0</v>
      </c>
      <c r="M4062">
        <f t="shared" si="595"/>
        <v>26</v>
      </c>
      <c r="N4062" t="str">
        <f>TEXT(MTDRejection[[#This Row],[RejectionDate]],"dddd")</f>
        <v>Thursday</v>
      </c>
    </row>
    <row r="4063" spans="1:14">
      <c r="A4063" t="s">
        <v>81</v>
      </c>
      <c r="B4063" t="s">
        <v>6181</v>
      </c>
      <c r="C4063" t="s">
        <v>36</v>
      </c>
      <c r="D4063" t="s">
        <v>26</v>
      </c>
      <c r="E4063" s="7">
        <v>45652</v>
      </c>
      <c r="F4063" t="s">
        <v>222</v>
      </c>
      <c r="G4063">
        <v>0</v>
      </c>
      <c r="H4063" t="s">
        <v>22</v>
      </c>
      <c r="I4063" t="s">
        <v>16</v>
      </c>
      <c r="J4063" t="s">
        <v>16</v>
      </c>
      <c r="K4063" t="str">
        <f>VLOOKUP(C4063,CheckName!A:B,2,0)</f>
        <v>Emp</v>
      </c>
      <c r="L4063">
        <v>0</v>
      </c>
      <c r="M4063">
        <f t="shared" si="595"/>
        <v>26</v>
      </c>
      <c r="N4063" t="str">
        <f>TEXT(MTDRejection[[#This Row],[RejectionDate]],"dddd")</f>
        <v>Thursday</v>
      </c>
    </row>
    <row r="4064" spans="1:14">
      <c r="A4064" t="s">
        <v>104</v>
      </c>
      <c r="B4064" t="s">
        <v>6182</v>
      </c>
      <c r="C4064" t="s">
        <v>36</v>
      </c>
      <c r="D4064" t="s">
        <v>38</v>
      </c>
      <c r="E4064" s="7">
        <v>45652</v>
      </c>
      <c r="F4064" t="s">
        <v>39</v>
      </c>
      <c r="G4064">
        <v>0</v>
      </c>
      <c r="H4064" t="s">
        <v>42</v>
      </c>
      <c r="I4064" t="s">
        <v>16</v>
      </c>
      <c r="J4064" t="s">
        <v>16</v>
      </c>
      <c r="K4064" t="str">
        <f>VLOOKUP(C4064,CheckName!A:B,2,0)</f>
        <v>Emp</v>
      </c>
      <c r="L4064">
        <v>0</v>
      </c>
      <c r="M4064">
        <f t="shared" si="595"/>
        <v>26</v>
      </c>
      <c r="N4064" t="str">
        <f>TEXT(MTDRejection[[#This Row],[RejectionDate]],"dddd")</f>
        <v>Thursday</v>
      </c>
    </row>
    <row r="4065" spans="1:14">
      <c r="A4065" t="s">
        <v>391</v>
      </c>
      <c r="B4065" t="s">
        <v>6183</v>
      </c>
      <c r="C4065" t="s">
        <v>12</v>
      </c>
      <c r="D4065" t="s">
        <v>38</v>
      </c>
      <c r="E4065" s="7">
        <v>45652</v>
      </c>
      <c r="F4065" t="s">
        <v>39</v>
      </c>
      <c r="G4065">
        <v>0</v>
      </c>
      <c r="H4065" t="s">
        <v>42</v>
      </c>
      <c r="I4065" t="s">
        <v>16</v>
      </c>
      <c r="J4065" t="s">
        <v>16</v>
      </c>
      <c r="K4065" t="str">
        <f>VLOOKUP(C4065,CheckName!A:B,2,0)</f>
        <v>Emp</v>
      </c>
      <c r="L4065">
        <v>0</v>
      </c>
      <c r="M4065">
        <f t="shared" si="595"/>
        <v>26</v>
      </c>
      <c r="N4065" t="str">
        <f>TEXT(MTDRejection[[#This Row],[RejectionDate]],"dddd")</f>
        <v>Thursday</v>
      </c>
    </row>
    <row r="4066" spans="1:14">
      <c r="A4066" t="s">
        <v>1221</v>
      </c>
      <c r="B4066" t="s">
        <v>6184</v>
      </c>
      <c r="C4066" t="s">
        <v>36</v>
      </c>
      <c r="D4066" t="s">
        <v>38</v>
      </c>
      <c r="E4066" s="7">
        <v>45652</v>
      </c>
      <c r="F4066" t="s">
        <v>39</v>
      </c>
      <c r="G4066">
        <v>0</v>
      </c>
      <c r="H4066" t="s">
        <v>42</v>
      </c>
      <c r="I4066" t="s">
        <v>16</v>
      </c>
      <c r="J4066" t="s">
        <v>16</v>
      </c>
      <c r="K4066" t="str">
        <f>VLOOKUP(C4066,CheckName!A:B,2,0)</f>
        <v>Emp</v>
      </c>
      <c r="L4066">
        <v>0</v>
      </c>
      <c r="M4066">
        <f t="shared" ref="M4066:M4070" si="596">DAY(E4066)</f>
        <v>26</v>
      </c>
      <c r="N4066" t="str">
        <f>TEXT(MTDRejection[[#This Row],[RejectionDate]],"dddd")</f>
        <v>Thursday</v>
      </c>
    </row>
    <row r="4067" spans="1:14">
      <c r="A4067" t="s">
        <v>119</v>
      </c>
      <c r="B4067" t="s">
        <v>2773</v>
      </c>
      <c r="C4067" t="s">
        <v>36</v>
      </c>
      <c r="D4067" t="s">
        <v>38</v>
      </c>
      <c r="E4067" s="7">
        <v>45652</v>
      </c>
      <c r="F4067" t="s">
        <v>39</v>
      </c>
      <c r="G4067">
        <v>0</v>
      </c>
      <c r="H4067" t="s">
        <v>42</v>
      </c>
      <c r="I4067" t="s">
        <v>16</v>
      </c>
      <c r="J4067" t="s">
        <v>16</v>
      </c>
      <c r="K4067" t="str">
        <f>VLOOKUP(C4067,CheckName!A:B,2,0)</f>
        <v>Emp</v>
      </c>
      <c r="L4067">
        <v>0</v>
      </c>
      <c r="M4067">
        <f t="shared" si="596"/>
        <v>26</v>
      </c>
      <c r="N4067" t="str">
        <f>TEXT(MTDRejection[[#This Row],[RejectionDate]],"dddd")</f>
        <v>Thursday</v>
      </c>
    </row>
    <row r="4068" spans="1:14">
      <c r="A4068" t="s">
        <v>306</v>
      </c>
      <c r="B4068" t="s">
        <v>6185</v>
      </c>
      <c r="C4068" t="s">
        <v>71</v>
      </c>
      <c r="D4068" t="s">
        <v>38</v>
      </c>
      <c r="E4068" s="7">
        <v>45652</v>
      </c>
      <c r="F4068" t="s">
        <v>108</v>
      </c>
      <c r="G4068">
        <v>0</v>
      </c>
      <c r="H4068" t="s">
        <v>42</v>
      </c>
      <c r="I4068" t="s">
        <v>16</v>
      </c>
      <c r="J4068" t="s">
        <v>16</v>
      </c>
      <c r="K4068" t="str">
        <f>VLOOKUP(C4068,CheckName!A:B,2,0)</f>
        <v>CRC</v>
      </c>
      <c r="L4068">
        <v>0</v>
      </c>
      <c r="M4068">
        <f t="shared" si="596"/>
        <v>26</v>
      </c>
      <c r="N4068" t="str">
        <f>TEXT(MTDRejection[[#This Row],[RejectionDate]],"dddd")</f>
        <v>Thursday</v>
      </c>
    </row>
    <row r="4069" spans="1:14">
      <c r="A4069" t="s">
        <v>360</v>
      </c>
      <c r="B4069" t="s">
        <v>6186</v>
      </c>
      <c r="C4069" t="s">
        <v>36</v>
      </c>
      <c r="D4069" t="s">
        <v>26</v>
      </c>
      <c r="E4069" s="7">
        <v>45652</v>
      </c>
      <c r="F4069" t="s">
        <v>325</v>
      </c>
      <c r="G4069">
        <v>0</v>
      </c>
      <c r="H4069" t="s">
        <v>22</v>
      </c>
      <c r="I4069" t="s">
        <v>16</v>
      </c>
      <c r="J4069" t="s">
        <v>16</v>
      </c>
      <c r="K4069" t="str">
        <f>VLOOKUP(C4069,CheckName!A:B,2,0)</f>
        <v>Emp</v>
      </c>
      <c r="L4069">
        <v>0</v>
      </c>
      <c r="M4069">
        <f t="shared" si="596"/>
        <v>26</v>
      </c>
      <c r="N4069" t="str">
        <f>TEXT(MTDRejection[[#This Row],[RejectionDate]],"dddd")</f>
        <v>Thursday</v>
      </c>
    </row>
    <row r="4070" spans="1:14">
      <c r="A4070" t="s">
        <v>1080</v>
      </c>
      <c r="B4070" t="s">
        <v>6187</v>
      </c>
      <c r="C4070" t="s">
        <v>12</v>
      </c>
      <c r="D4070" t="s">
        <v>26</v>
      </c>
      <c r="E4070" s="7">
        <v>45651</v>
      </c>
      <c r="F4070" t="s">
        <v>159</v>
      </c>
      <c r="G4070">
        <v>1</v>
      </c>
      <c r="H4070" t="s">
        <v>27</v>
      </c>
      <c r="I4070" t="s">
        <v>16</v>
      </c>
      <c r="J4070" t="s">
        <v>16</v>
      </c>
      <c r="K4070" t="str">
        <f>VLOOKUP(C4070,CheckName!A:B,2,0)</f>
        <v>Emp</v>
      </c>
      <c r="L4070">
        <v>0</v>
      </c>
      <c r="M4070">
        <f t="shared" si="596"/>
        <v>25</v>
      </c>
      <c r="N4070" t="str">
        <f>TEXT(MTDRejection[[#This Row],[RejectionDate]],"dddd")</f>
        <v>Wednesday</v>
      </c>
    </row>
    <row r="4071" spans="1:14">
      <c r="A4071" t="s">
        <v>685</v>
      </c>
      <c r="B4071" t="s">
        <v>6188</v>
      </c>
      <c r="C4071" t="s">
        <v>71</v>
      </c>
      <c r="D4071" t="s">
        <v>13</v>
      </c>
      <c r="E4071" s="7">
        <v>45650</v>
      </c>
      <c r="F4071" t="s">
        <v>540</v>
      </c>
      <c r="G4071">
        <v>2</v>
      </c>
      <c r="H4071" t="s">
        <v>15</v>
      </c>
      <c r="I4071" t="s">
        <v>16</v>
      </c>
      <c r="J4071" t="s">
        <v>16</v>
      </c>
      <c r="K4071" t="str">
        <f>VLOOKUP(C4071,CheckName!A:B,2,0)</f>
        <v>CRC</v>
      </c>
      <c r="L4071">
        <v>0</v>
      </c>
      <c r="M4071">
        <f t="shared" ref="M4071:M4080" si="597">DAY(E4071)</f>
        <v>24</v>
      </c>
      <c r="N4071" t="str">
        <f>TEXT(MTDRejection[[#This Row],[RejectionDate]],"dddd")</f>
        <v>Tuesday</v>
      </c>
    </row>
    <row r="4072" spans="1:14">
      <c r="A4072" t="s">
        <v>432</v>
      </c>
      <c r="B4072" t="s">
        <v>2774</v>
      </c>
      <c r="C4072" t="s">
        <v>125</v>
      </c>
      <c r="D4072" t="s">
        <v>26</v>
      </c>
      <c r="E4072" s="7">
        <v>45650</v>
      </c>
      <c r="F4072" t="s">
        <v>222</v>
      </c>
      <c r="G4072">
        <v>2</v>
      </c>
      <c r="H4072" t="s">
        <v>27</v>
      </c>
      <c r="I4072" t="s">
        <v>16</v>
      </c>
      <c r="J4072" t="s">
        <v>16</v>
      </c>
      <c r="K4072" t="str">
        <f>VLOOKUP(C4072,CheckName!A:B,2,0)</f>
        <v>Emp</v>
      </c>
      <c r="L4072">
        <v>0</v>
      </c>
      <c r="M4072">
        <f t="shared" si="597"/>
        <v>24</v>
      </c>
      <c r="N4072" t="str">
        <f>TEXT(MTDRejection[[#This Row],[RejectionDate]],"dddd")</f>
        <v>Tuesday</v>
      </c>
    </row>
    <row r="4073" spans="1:14">
      <c r="A4073" t="s">
        <v>91</v>
      </c>
      <c r="B4073" t="s">
        <v>6189</v>
      </c>
      <c r="C4073" t="s">
        <v>12</v>
      </c>
      <c r="D4073" t="s">
        <v>26</v>
      </c>
      <c r="E4073" s="7">
        <v>45649</v>
      </c>
      <c r="F4073" t="s">
        <v>675</v>
      </c>
      <c r="G4073">
        <v>3</v>
      </c>
      <c r="H4073" t="s">
        <v>27</v>
      </c>
      <c r="I4073" t="s">
        <v>16</v>
      </c>
      <c r="J4073" t="s">
        <v>16</v>
      </c>
      <c r="K4073" t="str">
        <f>VLOOKUP(C4073,CheckName!A:B,2,0)</f>
        <v>Emp</v>
      </c>
      <c r="L4073">
        <v>0</v>
      </c>
      <c r="M4073">
        <f t="shared" si="597"/>
        <v>23</v>
      </c>
      <c r="N4073" t="str">
        <f>TEXT(MTDRejection[[#This Row],[RejectionDate]],"dddd")</f>
        <v>Monday</v>
      </c>
    </row>
    <row r="4074" spans="1:14">
      <c r="A4074" t="s">
        <v>519</v>
      </c>
      <c r="B4074" t="s">
        <v>6190</v>
      </c>
      <c r="C4074" t="s">
        <v>1293</v>
      </c>
      <c r="D4074" t="s">
        <v>38</v>
      </c>
      <c r="E4074" s="7">
        <v>45646</v>
      </c>
      <c r="F4074" t="s">
        <v>1776</v>
      </c>
      <c r="G4074">
        <v>6</v>
      </c>
      <c r="H4074" t="s">
        <v>42</v>
      </c>
      <c r="I4074" t="s">
        <v>16</v>
      </c>
      <c r="J4074" t="s">
        <v>16</v>
      </c>
      <c r="K4074" t="str">
        <f>VLOOKUP(C4074,CheckName!A:B,2,0)</f>
        <v>Edu</v>
      </c>
      <c r="L4074">
        <v>0</v>
      </c>
      <c r="M4074">
        <f t="shared" si="597"/>
        <v>20</v>
      </c>
      <c r="N4074" t="str">
        <f>TEXT(MTDRejection[[#This Row],[RejectionDate]],"dddd")</f>
        <v>Friday</v>
      </c>
    </row>
    <row r="4075" spans="1:14">
      <c r="A4075" t="s">
        <v>263</v>
      </c>
      <c r="B4075" t="s">
        <v>2592</v>
      </c>
      <c r="C4075" t="s">
        <v>12</v>
      </c>
      <c r="D4075" t="s">
        <v>26</v>
      </c>
      <c r="E4075" s="7">
        <v>45646</v>
      </c>
      <c r="F4075" t="s">
        <v>2354</v>
      </c>
      <c r="G4075">
        <v>6</v>
      </c>
      <c r="H4075" t="s">
        <v>22</v>
      </c>
      <c r="I4075" t="s">
        <v>16</v>
      </c>
      <c r="J4075" t="s">
        <v>16</v>
      </c>
      <c r="K4075" t="str">
        <f>VLOOKUP(C4075,CheckName!A:B,2,0)</f>
        <v>Emp</v>
      </c>
      <c r="L4075">
        <v>0</v>
      </c>
      <c r="M4075">
        <f t="shared" si="597"/>
        <v>20</v>
      </c>
      <c r="N4075" t="str">
        <f>TEXT(MTDRejection[[#This Row],[RejectionDate]],"dddd")</f>
        <v>Friday</v>
      </c>
    </row>
    <row r="4076" spans="1:14">
      <c r="A4076" t="s">
        <v>263</v>
      </c>
      <c r="B4076" t="s">
        <v>6191</v>
      </c>
      <c r="C4076" t="s">
        <v>36</v>
      </c>
      <c r="D4076" t="s">
        <v>26</v>
      </c>
      <c r="E4076" s="7">
        <v>45645</v>
      </c>
      <c r="F4076" t="s">
        <v>115</v>
      </c>
      <c r="G4076">
        <v>7</v>
      </c>
      <c r="H4076" t="s">
        <v>22</v>
      </c>
      <c r="I4076" t="s">
        <v>16</v>
      </c>
      <c r="J4076" t="s">
        <v>16</v>
      </c>
      <c r="K4076" t="str">
        <f>VLOOKUP(C4076,CheckName!A:B,2,0)</f>
        <v>Emp</v>
      </c>
      <c r="L4076">
        <v>0</v>
      </c>
      <c r="M4076">
        <f t="shared" si="597"/>
        <v>19</v>
      </c>
      <c r="N4076" t="str">
        <f>TEXT(MTDRejection[[#This Row],[RejectionDate]],"dddd")</f>
        <v>Thursday</v>
      </c>
    </row>
    <row r="4077" spans="1:14">
      <c r="A4077" t="s">
        <v>996</v>
      </c>
      <c r="B4077" t="s">
        <v>6192</v>
      </c>
      <c r="C4077" t="s">
        <v>12</v>
      </c>
      <c r="D4077" t="s">
        <v>26</v>
      </c>
      <c r="E4077" s="7">
        <v>45643</v>
      </c>
      <c r="F4077" t="s">
        <v>162</v>
      </c>
      <c r="G4077">
        <v>9</v>
      </c>
      <c r="H4077" t="s">
        <v>27</v>
      </c>
      <c r="I4077" t="s">
        <v>16</v>
      </c>
      <c r="J4077" t="s">
        <v>16</v>
      </c>
      <c r="K4077" t="str">
        <f>VLOOKUP(C4077,CheckName!A:B,2,0)</f>
        <v>Emp</v>
      </c>
      <c r="L4077">
        <v>0</v>
      </c>
      <c r="M4077">
        <f t="shared" si="597"/>
        <v>17</v>
      </c>
      <c r="N4077" t="str">
        <f>TEXT(MTDRejection[[#This Row],[RejectionDate]],"dddd")</f>
        <v>Tuesday</v>
      </c>
    </row>
    <row r="4078" spans="1:14">
      <c r="A4078" t="s">
        <v>45</v>
      </c>
      <c r="B4078" t="s">
        <v>6193</v>
      </c>
      <c r="C4078" t="s">
        <v>36</v>
      </c>
      <c r="D4078" t="s">
        <v>26</v>
      </c>
      <c r="E4078" s="7">
        <v>45639</v>
      </c>
      <c r="F4078" t="s">
        <v>2346</v>
      </c>
      <c r="G4078">
        <v>13</v>
      </c>
      <c r="H4078" t="s">
        <v>27</v>
      </c>
      <c r="I4078" t="s">
        <v>16</v>
      </c>
      <c r="J4078" t="s">
        <v>16</v>
      </c>
      <c r="K4078" t="str">
        <f>VLOOKUP(C4078,CheckName!A:B,2,0)</f>
        <v>Emp</v>
      </c>
      <c r="L4078">
        <v>0</v>
      </c>
      <c r="M4078">
        <f t="shared" si="597"/>
        <v>13</v>
      </c>
      <c r="N4078" t="str">
        <f>TEXT(MTDRejection[[#This Row],[RejectionDate]],"dddd")</f>
        <v>Friday</v>
      </c>
    </row>
    <row r="4079" spans="1:14">
      <c r="A4079" t="s">
        <v>142</v>
      </c>
      <c r="B4079" t="s">
        <v>6194</v>
      </c>
      <c r="C4079" t="s">
        <v>19</v>
      </c>
      <c r="D4079" t="s">
        <v>20</v>
      </c>
      <c r="E4079" s="7">
        <v>45638</v>
      </c>
      <c r="F4079" t="s">
        <v>66</v>
      </c>
      <c r="G4079">
        <v>14</v>
      </c>
      <c r="H4079" t="s">
        <v>22</v>
      </c>
      <c r="I4079" t="s">
        <v>16</v>
      </c>
      <c r="J4079" t="s">
        <v>16</v>
      </c>
      <c r="K4079" t="str">
        <f>VLOOKUP(C4079,CheckName!A:B,2,0)</f>
        <v>Add</v>
      </c>
      <c r="L4079">
        <v>0</v>
      </c>
      <c r="M4079">
        <f t="shared" si="597"/>
        <v>12</v>
      </c>
      <c r="N4079" t="str">
        <f>TEXT(MTDRejection[[#This Row],[RejectionDate]],"dddd")</f>
        <v>Thursday</v>
      </c>
    </row>
    <row r="4080" spans="1:14">
      <c r="A4080" t="s">
        <v>96</v>
      </c>
      <c r="B4080" t="s">
        <v>6195</v>
      </c>
      <c r="C4080" t="s">
        <v>56</v>
      </c>
      <c r="D4080" t="s">
        <v>13</v>
      </c>
      <c r="E4080" s="7">
        <v>45652</v>
      </c>
      <c r="F4080" t="s">
        <v>492</v>
      </c>
      <c r="G4080">
        <v>0</v>
      </c>
      <c r="H4080" t="s">
        <v>15</v>
      </c>
      <c r="I4080" t="s">
        <v>16</v>
      </c>
      <c r="J4080" t="s">
        <v>16</v>
      </c>
      <c r="K4080" t="str">
        <f>VLOOKUP(C4080,CheckName!A:B,2,0)</f>
        <v>Special Check</v>
      </c>
      <c r="L4080">
        <v>0</v>
      </c>
      <c r="M4080">
        <f t="shared" si="597"/>
        <v>26</v>
      </c>
      <c r="N4080" t="str">
        <f>TEXT(MTDRejection[[#This Row],[RejectionDate]],"dddd")</f>
        <v>Thursday</v>
      </c>
    </row>
    <row r="4081" spans="1:14">
      <c r="A4081" t="s">
        <v>893</v>
      </c>
      <c r="B4081" t="s">
        <v>6196</v>
      </c>
      <c r="C4081" t="s">
        <v>25</v>
      </c>
      <c r="D4081" t="s">
        <v>26</v>
      </c>
      <c r="E4081" s="7">
        <v>45652</v>
      </c>
      <c r="F4081" t="s">
        <v>66</v>
      </c>
      <c r="G4081">
        <v>0</v>
      </c>
      <c r="H4081" t="s">
        <v>27</v>
      </c>
      <c r="I4081" t="s">
        <v>16</v>
      </c>
      <c r="J4081" t="s">
        <v>16</v>
      </c>
      <c r="K4081" t="str">
        <f>VLOOKUP(C4081,CheckName!A:B,2,0)</f>
        <v>Add</v>
      </c>
      <c r="L4081">
        <v>0</v>
      </c>
      <c r="M4081">
        <f t="shared" ref="M4081:M4082" si="598">DAY(E4081)</f>
        <v>26</v>
      </c>
      <c r="N4081" t="str">
        <f>TEXT(MTDRejection[[#This Row],[RejectionDate]],"dddd")</f>
        <v>Thursday</v>
      </c>
    </row>
    <row r="4082" spans="1:14">
      <c r="A4082" t="s">
        <v>281</v>
      </c>
      <c r="B4082" t="s">
        <v>6197</v>
      </c>
      <c r="C4082" t="s">
        <v>25</v>
      </c>
      <c r="D4082" t="s">
        <v>26</v>
      </c>
      <c r="E4082" s="7">
        <v>45652</v>
      </c>
      <c r="F4082" t="s">
        <v>66</v>
      </c>
      <c r="G4082">
        <v>0</v>
      </c>
      <c r="H4082" t="s">
        <v>27</v>
      </c>
      <c r="I4082" t="s">
        <v>16</v>
      </c>
      <c r="J4082" t="s">
        <v>16</v>
      </c>
      <c r="K4082" t="str">
        <f>VLOOKUP(C4082,CheckName!A:B,2,0)</f>
        <v>Add</v>
      </c>
      <c r="L4082">
        <v>0</v>
      </c>
      <c r="M4082">
        <f t="shared" si="598"/>
        <v>26</v>
      </c>
      <c r="N4082" t="str">
        <f>TEXT(MTDRejection[[#This Row],[RejectionDate]],"dddd")</f>
        <v>Thursday</v>
      </c>
    </row>
    <row r="4083" spans="1:14">
      <c r="A4083" t="s">
        <v>10</v>
      </c>
      <c r="B4083" t="s">
        <v>6198</v>
      </c>
      <c r="C4083" t="s">
        <v>2093</v>
      </c>
      <c r="D4083" t="s">
        <v>26</v>
      </c>
      <c r="E4083" s="7">
        <v>45652</v>
      </c>
      <c r="F4083" t="s">
        <v>236</v>
      </c>
      <c r="G4083">
        <v>0</v>
      </c>
      <c r="H4083" t="s">
        <v>27</v>
      </c>
      <c r="I4083" t="s">
        <v>16</v>
      </c>
      <c r="J4083" t="s">
        <v>16</v>
      </c>
      <c r="K4083" t="str">
        <f>VLOOKUP(C4083,CheckName!A:B,2,0)</f>
        <v>Special Check</v>
      </c>
      <c r="L4083">
        <v>0</v>
      </c>
      <c r="M4083">
        <f t="shared" ref="M4083:M4089" si="599">DAY(E4083)</f>
        <v>26</v>
      </c>
      <c r="N4083" t="str">
        <f>TEXT(MTDRejection[[#This Row],[RejectionDate]],"dddd")</f>
        <v>Thursday</v>
      </c>
    </row>
    <row r="4084" spans="1:14">
      <c r="A4084" t="s">
        <v>1092</v>
      </c>
      <c r="B4084" t="s">
        <v>6199</v>
      </c>
      <c r="C4084" t="s">
        <v>25</v>
      </c>
      <c r="D4084" t="s">
        <v>20</v>
      </c>
      <c r="E4084" s="7">
        <v>45652</v>
      </c>
      <c r="F4084" t="s">
        <v>2330</v>
      </c>
      <c r="G4084">
        <v>0</v>
      </c>
      <c r="H4084" t="s">
        <v>22</v>
      </c>
      <c r="I4084" t="s">
        <v>16</v>
      </c>
      <c r="J4084" t="s">
        <v>16</v>
      </c>
      <c r="K4084" t="str">
        <f>VLOOKUP(C4084,CheckName!A:B,2,0)</f>
        <v>Add</v>
      </c>
      <c r="L4084">
        <v>0</v>
      </c>
      <c r="M4084">
        <f t="shared" si="599"/>
        <v>26</v>
      </c>
      <c r="N4084" t="str">
        <f>TEXT(MTDRejection[[#This Row],[RejectionDate]],"dddd")</f>
        <v>Thursday</v>
      </c>
    </row>
    <row r="4085" spans="1:14">
      <c r="A4085" t="s">
        <v>402</v>
      </c>
      <c r="B4085" t="s">
        <v>6200</v>
      </c>
      <c r="C4085" t="s">
        <v>25</v>
      </c>
      <c r="D4085" t="s">
        <v>20</v>
      </c>
      <c r="E4085" s="7">
        <v>45652</v>
      </c>
      <c r="F4085" t="s">
        <v>2330</v>
      </c>
      <c r="G4085">
        <v>0</v>
      </c>
      <c r="H4085" t="s">
        <v>22</v>
      </c>
      <c r="I4085" t="s">
        <v>16</v>
      </c>
      <c r="J4085" t="s">
        <v>16</v>
      </c>
      <c r="K4085" t="str">
        <f>VLOOKUP(C4085,CheckName!A:B,2,0)</f>
        <v>Add</v>
      </c>
      <c r="L4085">
        <v>0</v>
      </c>
      <c r="M4085">
        <f t="shared" si="599"/>
        <v>26</v>
      </c>
      <c r="N4085" t="str">
        <f>TEXT(MTDRejection[[#This Row],[RejectionDate]],"dddd")</f>
        <v>Thursday</v>
      </c>
    </row>
    <row r="4086" spans="1:14">
      <c r="A4086" t="s">
        <v>73</v>
      </c>
      <c r="B4086" t="s">
        <v>6201</v>
      </c>
      <c r="C4086" t="s">
        <v>12</v>
      </c>
      <c r="D4086" t="s">
        <v>26</v>
      </c>
      <c r="E4086" s="7">
        <v>45652</v>
      </c>
      <c r="F4086" t="s">
        <v>169</v>
      </c>
      <c r="G4086">
        <v>0</v>
      </c>
      <c r="H4086" t="s">
        <v>27</v>
      </c>
      <c r="I4086" t="s">
        <v>16</v>
      </c>
      <c r="J4086" t="s">
        <v>16</v>
      </c>
      <c r="K4086" t="str">
        <f>VLOOKUP(C4086,CheckName!A:B,2,0)</f>
        <v>Emp</v>
      </c>
      <c r="L4086">
        <v>0</v>
      </c>
      <c r="M4086">
        <f t="shared" si="599"/>
        <v>26</v>
      </c>
      <c r="N4086" t="str">
        <f>TEXT(MTDRejection[[#This Row],[RejectionDate]],"dddd")</f>
        <v>Thursday</v>
      </c>
    </row>
    <row r="4087" spans="1:14">
      <c r="A4087" t="s">
        <v>96</v>
      </c>
      <c r="B4087" t="s">
        <v>2775</v>
      </c>
      <c r="C4087" t="s">
        <v>54</v>
      </c>
      <c r="D4087" t="s">
        <v>26</v>
      </c>
      <c r="E4087" s="7">
        <v>45652</v>
      </c>
      <c r="F4087" t="s">
        <v>188</v>
      </c>
      <c r="G4087">
        <v>0</v>
      </c>
      <c r="H4087" t="s">
        <v>130</v>
      </c>
      <c r="I4087" t="s">
        <v>16</v>
      </c>
      <c r="J4087" t="s">
        <v>16</v>
      </c>
      <c r="K4087" t="str">
        <f>VLOOKUP(C4087,CheckName!A:B,2,0)</f>
        <v>Edu</v>
      </c>
      <c r="L4087">
        <v>0</v>
      </c>
      <c r="M4087">
        <f t="shared" si="599"/>
        <v>26</v>
      </c>
      <c r="N4087" t="str">
        <f>TEXT(MTDRejection[[#This Row],[RejectionDate]],"dddd")</f>
        <v>Thursday</v>
      </c>
    </row>
    <row r="4088" spans="1:14">
      <c r="A4088" t="s">
        <v>391</v>
      </c>
      <c r="B4088" t="s">
        <v>6202</v>
      </c>
      <c r="C4088" t="s">
        <v>12</v>
      </c>
      <c r="D4088" t="s">
        <v>26</v>
      </c>
      <c r="E4088" s="7">
        <v>45652</v>
      </c>
      <c r="F4088" t="s">
        <v>2355</v>
      </c>
      <c r="G4088">
        <v>0</v>
      </c>
      <c r="H4088" t="s">
        <v>27</v>
      </c>
      <c r="I4088" t="s">
        <v>16</v>
      </c>
      <c r="J4088" t="s">
        <v>16</v>
      </c>
      <c r="K4088" t="str">
        <f>VLOOKUP(C4088,CheckName!A:B,2,0)</f>
        <v>Emp</v>
      </c>
      <c r="L4088">
        <v>0</v>
      </c>
      <c r="M4088">
        <f t="shared" si="599"/>
        <v>26</v>
      </c>
      <c r="N4088" t="str">
        <f>TEXT(MTDRejection[[#This Row],[RejectionDate]],"dddd")</f>
        <v>Thursday</v>
      </c>
    </row>
    <row r="4089" spans="1:14">
      <c r="A4089" t="s">
        <v>176</v>
      </c>
      <c r="B4089" t="s">
        <v>6203</v>
      </c>
      <c r="C4089" t="s">
        <v>106</v>
      </c>
      <c r="D4089" t="s">
        <v>26</v>
      </c>
      <c r="E4089" s="7">
        <v>45652</v>
      </c>
      <c r="F4089" t="s">
        <v>294</v>
      </c>
      <c r="G4089">
        <v>0</v>
      </c>
      <c r="H4089" t="s">
        <v>27</v>
      </c>
      <c r="I4089" t="s">
        <v>16</v>
      </c>
      <c r="J4089" t="s">
        <v>16</v>
      </c>
      <c r="K4089" t="str">
        <f>VLOOKUP(C4089,CheckName!A:B,2,0)</f>
        <v>Ref</v>
      </c>
      <c r="L4089">
        <v>0</v>
      </c>
      <c r="M4089">
        <f t="shared" si="599"/>
        <v>26</v>
      </c>
      <c r="N4089" t="str">
        <f>TEXT(MTDRejection[[#This Row],[RejectionDate]],"dddd")</f>
        <v>Thursday</v>
      </c>
    </row>
    <row r="4090" spans="1:14">
      <c r="A4090" t="s">
        <v>142</v>
      </c>
      <c r="B4090" t="s">
        <v>6204</v>
      </c>
      <c r="C4090" t="s">
        <v>36</v>
      </c>
      <c r="D4090" t="s">
        <v>26</v>
      </c>
      <c r="E4090" s="7">
        <v>45652</v>
      </c>
      <c r="F4090" t="s">
        <v>222</v>
      </c>
      <c r="G4090">
        <v>0</v>
      </c>
      <c r="H4090" t="s">
        <v>27</v>
      </c>
      <c r="I4090" t="s">
        <v>16</v>
      </c>
      <c r="J4090" t="s">
        <v>16</v>
      </c>
      <c r="K4090" t="str">
        <f>VLOOKUP(C4090,CheckName!A:B,2,0)</f>
        <v>Emp</v>
      </c>
      <c r="L4090">
        <v>0</v>
      </c>
      <c r="M4090">
        <f t="shared" ref="M4090:M4091" si="600">DAY(E4090)</f>
        <v>26</v>
      </c>
      <c r="N4090" t="str">
        <f>TEXT(MTDRejection[[#This Row],[RejectionDate]],"dddd")</f>
        <v>Thursday</v>
      </c>
    </row>
    <row r="4091" spans="1:14">
      <c r="A4091" t="s">
        <v>682</v>
      </c>
      <c r="B4091" t="s">
        <v>6205</v>
      </c>
      <c r="C4091" t="s">
        <v>12</v>
      </c>
      <c r="D4091" t="s">
        <v>26</v>
      </c>
      <c r="E4091" s="7">
        <v>45652</v>
      </c>
      <c r="F4091" t="s">
        <v>222</v>
      </c>
      <c r="G4091">
        <v>0</v>
      </c>
      <c r="H4091" t="s">
        <v>27</v>
      </c>
      <c r="I4091" t="s">
        <v>16</v>
      </c>
      <c r="J4091" t="s">
        <v>16</v>
      </c>
      <c r="K4091" t="str">
        <f>VLOOKUP(C4091,CheckName!A:B,2,0)</f>
        <v>Emp</v>
      </c>
      <c r="L4091">
        <v>0</v>
      </c>
      <c r="M4091">
        <f t="shared" si="600"/>
        <v>26</v>
      </c>
      <c r="N4091" t="str">
        <f>TEXT(MTDRejection[[#This Row],[RejectionDate]],"dddd")</f>
        <v>Thursday</v>
      </c>
    </row>
    <row r="4092" spans="1:14">
      <c r="A4092" t="s">
        <v>45</v>
      </c>
      <c r="B4092" t="s">
        <v>6206</v>
      </c>
      <c r="C4092" t="s">
        <v>125</v>
      </c>
      <c r="D4092" t="s">
        <v>26</v>
      </c>
      <c r="E4092" s="7">
        <v>45652</v>
      </c>
      <c r="F4092" t="s">
        <v>222</v>
      </c>
      <c r="G4092">
        <v>0</v>
      </c>
      <c r="H4092" t="s">
        <v>22</v>
      </c>
      <c r="I4092" t="s">
        <v>16</v>
      </c>
      <c r="J4092" t="s">
        <v>16</v>
      </c>
      <c r="K4092" t="str">
        <f>VLOOKUP(C4092,CheckName!A:B,2,0)</f>
        <v>Emp</v>
      </c>
      <c r="L4092">
        <v>0</v>
      </c>
      <c r="M4092">
        <f t="shared" ref="M4092:M4094" si="601">DAY(E4092)</f>
        <v>26</v>
      </c>
      <c r="N4092" t="str">
        <f>TEXT(MTDRejection[[#This Row],[RejectionDate]],"dddd")</f>
        <v>Thursday</v>
      </c>
    </row>
    <row r="4093" spans="1:14">
      <c r="A4093" t="s">
        <v>644</v>
      </c>
      <c r="B4093" t="s">
        <v>6207</v>
      </c>
      <c r="C4093" t="s">
        <v>36</v>
      </c>
      <c r="D4093" t="s">
        <v>26</v>
      </c>
      <c r="E4093" s="7">
        <v>45652</v>
      </c>
      <c r="F4093" t="s">
        <v>222</v>
      </c>
      <c r="G4093">
        <v>0</v>
      </c>
      <c r="H4093" t="s">
        <v>27</v>
      </c>
      <c r="I4093" t="s">
        <v>16</v>
      </c>
      <c r="J4093" t="s">
        <v>16</v>
      </c>
      <c r="K4093" t="str">
        <f>VLOOKUP(C4093,CheckName!A:B,2,0)</f>
        <v>Emp</v>
      </c>
      <c r="L4093">
        <v>0</v>
      </c>
      <c r="M4093">
        <f t="shared" si="601"/>
        <v>26</v>
      </c>
      <c r="N4093" t="str">
        <f>TEXT(MTDRejection[[#This Row],[RejectionDate]],"dddd")</f>
        <v>Thursday</v>
      </c>
    </row>
    <row r="4094" spans="1:14">
      <c r="A4094" t="s">
        <v>1959</v>
      </c>
      <c r="B4094" t="s">
        <v>6208</v>
      </c>
      <c r="C4094" t="s">
        <v>12</v>
      </c>
      <c r="D4094" t="s">
        <v>26</v>
      </c>
      <c r="E4094" s="7">
        <v>45652</v>
      </c>
      <c r="F4094" t="s">
        <v>222</v>
      </c>
      <c r="G4094">
        <v>0</v>
      </c>
      <c r="H4094" t="s">
        <v>22</v>
      </c>
      <c r="I4094" t="s">
        <v>16</v>
      </c>
      <c r="J4094" t="s">
        <v>16</v>
      </c>
      <c r="K4094" t="str">
        <f>VLOOKUP(C4094,CheckName!A:B,2,0)</f>
        <v>Emp</v>
      </c>
      <c r="L4094">
        <v>0</v>
      </c>
      <c r="M4094">
        <f t="shared" si="601"/>
        <v>26</v>
      </c>
      <c r="N4094" t="str">
        <f>TEXT(MTDRejection[[#This Row],[RejectionDate]],"dddd")</f>
        <v>Thursday</v>
      </c>
    </row>
    <row r="4095" spans="1:14">
      <c r="A4095" t="s">
        <v>1204</v>
      </c>
      <c r="B4095" t="s">
        <v>6209</v>
      </c>
      <c r="C4095" t="s">
        <v>12</v>
      </c>
      <c r="D4095" t="s">
        <v>38</v>
      </c>
      <c r="E4095" s="7">
        <v>45652</v>
      </c>
      <c r="F4095" t="s">
        <v>39</v>
      </c>
      <c r="G4095">
        <v>0</v>
      </c>
      <c r="H4095" t="s">
        <v>42</v>
      </c>
      <c r="I4095" t="s">
        <v>16</v>
      </c>
      <c r="J4095" t="s">
        <v>16</v>
      </c>
      <c r="K4095" t="str">
        <f>VLOOKUP(C4095,CheckName!A:B,2,0)</f>
        <v>Emp</v>
      </c>
      <c r="L4095">
        <v>0</v>
      </c>
      <c r="M4095">
        <f>DAY(E4095)</f>
        <v>26</v>
      </c>
      <c r="N4095" t="str">
        <f>TEXT(MTDRejection[[#This Row],[RejectionDate]],"dddd")</f>
        <v>Thursday</v>
      </c>
    </row>
    <row r="4096" spans="1:14">
      <c r="A4096" t="s">
        <v>45</v>
      </c>
      <c r="B4096" t="s">
        <v>6210</v>
      </c>
      <c r="C4096" t="s">
        <v>12</v>
      </c>
      <c r="D4096" t="s">
        <v>38</v>
      </c>
      <c r="E4096" s="7">
        <v>45652</v>
      </c>
      <c r="F4096" t="s">
        <v>39</v>
      </c>
      <c r="G4096">
        <v>0</v>
      </c>
      <c r="H4096" t="s">
        <v>42</v>
      </c>
      <c r="I4096" t="s">
        <v>16</v>
      </c>
      <c r="J4096" t="s">
        <v>16</v>
      </c>
      <c r="K4096" t="str">
        <f>VLOOKUP(C4096,CheckName!A:B,2,0)</f>
        <v>Emp</v>
      </c>
      <c r="L4096">
        <v>0</v>
      </c>
      <c r="M4096">
        <f>DAY(E4096)</f>
        <v>26</v>
      </c>
      <c r="N4096" t="str">
        <f>TEXT(MTDRejection[[#This Row],[RejectionDate]],"dddd")</f>
        <v>Thursday</v>
      </c>
    </row>
    <row r="4097" spans="1:14">
      <c r="A4097" t="s">
        <v>288</v>
      </c>
      <c r="B4097" t="s">
        <v>6211</v>
      </c>
      <c r="C4097" t="s">
        <v>125</v>
      </c>
      <c r="D4097" t="s">
        <v>26</v>
      </c>
      <c r="E4097" s="7">
        <v>45650</v>
      </c>
      <c r="F4097" t="s">
        <v>162</v>
      </c>
      <c r="G4097">
        <v>2</v>
      </c>
      <c r="H4097" t="s">
        <v>27</v>
      </c>
      <c r="I4097" t="s">
        <v>16</v>
      </c>
      <c r="J4097" t="s">
        <v>16</v>
      </c>
      <c r="K4097" t="str">
        <f>VLOOKUP(C4097,CheckName!A:B,2,0)</f>
        <v>Emp</v>
      </c>
      <c r="L4097">
        <v>0</v>
      </c>
      <c r="M4097">
        <f>DAY(E4097)</f>
        <v>24</v>
      </c>
      <c r="N4097" t="str">
        <f>TEXT(MTDRejection[[#This Row],[RejectionDate]],"dddd")</f>
        <v>Tuesday</v>
      </c>
    </row>
    <row r="4098" spans="1:14">
      <c r="A4098" t="s">
        <v>2037</v>
      </c>
      <c r="B4098" t="s">
        <v>6212</v>
      </c>
      <c r="C4098" t="s">
        <v>54</v>
      </c>
      <c r="D4098" t="s">
        <v>51</v>
      </c>
      <c r="E4098" s="7">
        <v>45653</v>
      </c>
      <c r="F4098" t="s">
        <v>52</v>
      </c>
      <c r="G4098">
        <v>0</v>
      </c>
      <c r="H4098" t="s">
        <v>53</v>
      </c>
      <c r="I4098" t="s">
        <v>16</v>
      </c>
      <c r="J4098" t="s">
        <v>16</v>
      </c>
      <c r="K4098" t="str">
        <f>VLOOKUP(C4098,CheckName!A:B,2,0)</f>
        <v>Edu</v>
      </c>
      <c r="L4098">
        <v>0</v>
      </c>
      <c r="M4098">
        <f t="shared" ref="M4098:M4107" si="602">DAY(E4098)</f>
        <v>27</v>
      </c>
      <c r="N4098" t="str">
        <f>TEXT(MTDRejection[[#This Row],[RejectionDate]],"dddd")</f>
        <v>Friday</v>
      </c>
    </row>
    <row r="4099" spans="1:14">
      <c r="A4099" t="s">
        <v>1306</v>
      </c>
      <c r="B4099" t="s">
        <v>6213</v>
      </c>
      <c r="C4099" t="s">
        <v>12</v>
      </c>
      <c r="D4099" t="s">
        <v>13</v>
      </c>
      <c r="E4099" s="7">
        <v>45653</v>
      </c>
      <c r="F4099" t="s">
        <v>2326</v>
      </c>
      <c r="G4099">
        <v>0</v>
      </c>
      <c r="H4099" t="s">
        <v>15</v>
      </c>
      <c r="I4099" t="s">
        <v>16</v>
      </c>
      <c r="J4099" t="s">
        <v>16</v>
      </c>
      <c r="K4099" t="str">
        <f>VLOOKUP(C4099,CheckName!A:B,2,0)</f>
        <v>Emp</v>
      </c>
      <c r="L4099">
        <v>0</v>
      </c>
      <c r="M4099">
        <f t="shared" si="602"/>
        <v>27</v>
      </c>
      <c r="N4099" t="str">
        <f>TEXT(MTDRejection[[#This Row],[RejectionDate]],"dddd")</f>
        <v>Friday</v>
      </c>
    </row>
    <row r="4100" spans="1:14">
      <c r="A4100" t="s">
        <v>1306</v>
      </c>
      <c r="B4100" t="s">
        <v>6214</v>
      </c>
      <c r="C4100" t="s">
        <v>36</v>
      </c>
      <c r="D4100" t="s">
        <v>13</v>
      </c>
      <c r="E4100" s="7">
        <v>45653</v>
      </c>
      <c r="F4100" t="s">
        <v>2326</v>
      </c>
      <c r="G4100">
        <v>0</v>
      </c>
      <c r="H4100" t="s">
        <v>15</v>
      </c>
      <c r="I4100" t="s">
        <v>16</v>
      </c>
      <c r="J4100" t="s">
        <v>16</v>
      </c>
      <c r="K4100" t="str">
        <f>VLOOKUP(C4100,CheckName!A:B,2,0)</f>
        <v>Emp</v>
      </c>
      <c r="L4100">
        <v>0</v>
      </c>
      <c r="M4100">
        <f t="shared" si="602"/>
        <v>27</v>
      </c>
      <c r="N4100" t="str">
        <f>TEXT(MTDRejection[[#This Row],[RejectionDate]],"dddd")</f>
        <v>Friday</v>
      </c>
    </row>
    <row r="4101" spans="1:14">
      <c r="A4101" t="s">
        <v>1306</v>
      </c>
      <c r="B4101" t="s">
        <v>6215</v>
      </c>
      <c r="C4101" t="s">
        <v>125</v>
      </c>
      <c r="D4101" t="s">
        <v>13</v>
      </c>
      <c r="E4101" s="7">
        <v>45653</v>
      </c>
      <c r="F4101" t="s">
        <v>2326</v>
      </c>
      <c r="G4101">
        <v>0</v>
      </c>
      <c r="H4101" t="s">
        <v>15</v>
      </c>
      <c r="I4101" t="s">
        <v>16</v>
      </c>
      <c r="J4101" t="s">
        <v>16</v>
      </c>
      <c r="K4101" t="str">
        <f>VLOOKUP(C4101,CheckName!A:B,2,0)</f>
        <v>Emp</v>
      </c>
      <c r="L4101">
        <v>0</v>
      </c>
      <c r="M4101">
        <f t="shared" si="602"/>
        <v>27</v>
      </c>
      <c r="N4101" t="str">
        <f>TEXT(MTDRejection[[#This Row],[RejectionDate]],"dddd")</f>
        <v>Friday</v>
      </c>
    </row>
    <row r="4102" spans="1:14">
      <c r="A4102" t="s">
        <v>1080</v>
      </c>
      <c r="B4102" t="s">
        <v>6216</v>
      </c>
      <c r="C4102" t="s">
        <v>106</v>
      </c>
      <c r="D4102" t="s">
        <v>13</v>
      </c>
      <c r="E4102" s="7">
        <v>45653</v>
      </c>
      <c r="F4102" t="s">
        <v>72</v>
      </c>
      <c r="G4102">
        <v>0</v>
      </c>
      <c r="H4102" t="s">
        <v>505</v>
      </c>
      <c r="I4102" t="s">
        <v>16</v>
      </c>
      <c r="J4102" t="s">
        <v>16</v>
      </c>
      <c r="K4102" t="str">
        <f>VLOOKUP(C4102,CheckName!A:B,2,0)</f>
        <v>Ref</v>
      </c>
      <c r="L4102">
        <v>0</v>
      </c>
      <c r="M4102">
        <f t="shared" si="602"/>
        <v>27</v>
      </c>
      <c r="N4102" t="str">
        <f>TEXT(MTDRejection[[#This Row],[RejectionDate]],"dddd")</f>
        <v>Friday</v>
      </c>
    </row>
    <row r="4103" spans="1:14">
      <c r="A4103" t="s">
        <v>133</v>
      </c>
      <c r="B4103" t="s">
        <v>6217</v>
      </c>
      <c r="C4103" t="s">
        <v>36</v>
      </c>
      <c r="D4103" t="s">
        <v>13</v>
      </c>
      <c r="E4103" s="7">
        <v>45653</v>
      </c>
      <c r="F4103" t="s">
        <v>1421</v>
      </c>
      <c r="G4103">
        <v>0</v>
      </c>
      <c r="H4103" t="s">
        <v>15</v>
      </c>
      <c r="I4103" t="s">
        <v>16</v>
      </c>
      <c r="J4103" t="s">
        <v>16</v>
      </c>
      <c r="K4103" t="str">
        <f>VLOOKUP(C4103,CheckName!A:B,2,0)</f>
        <v>Emp</v>
      </c>
      <c r="L4103">
        <v>0</v>
      </c>
      <c r="M4103">
        <f t="shared" si="602"/>
        <v>27</v>
      </c>
      <c r="N4103" t="str">
        <f>TEXT(MTDRejection[[#This Row],[RejectionDate]],"dddd")</f>
        <v>Friday</v>
      </c>
    </row>
    <row r="4104" spans="1:14">
      <c r="A4104" t="s">
        <v>133</v>
      </c>
      <c r="B4104" t="s">
        <v>6218</v>
      </c>
      <c r="C4104" t="s">
        <v>49</v>
      </c>
      <c r="D4104" t="s">
        <v>13</v>
      </c>
      <c r="E4104" s="7">
        <v>45653</v>
      </c>
      <c r="F4104" t="s">
        <v>33</v>
      </c>
      <c r="G4104">
        <v>0</v>
      </c>
      <c r="H4104" t="s">
        <v>15</v>
      </c>
      <c r="I4104" t="s">
        <v>16</v>
      </c>
      <c r="J4104" t="s">
        <v>16</v>
      </c>
      <c r="K4104" t="str">
        <f>VLOOKUP(C4104,CheckName!A:B,2,0)</f>
        <v>CRC</v>
      </c>
      <c r="L4104">
        <v>0</v>
      </c>
      <c r="M4104">
        <f t="shared" si="602"/>
        <v>27</v>
      </c>
      <c r="N4104" t="str">
        <f>TEXT(MTDRejection[[#This Row],[RejectionDate]],"dddd")</f>
        <v>Friday</v>
      </c>
    </row>
    <row r="4105" spans="1:14">
      <c r="A4105" t="s">
        <v>133</v>
      </c>
      <c r="B4105" t="s">
        <v>6219</v>
      </c>
      <c r="C4105" t="s">
        <v>19</v>
      </c>
      <c r="D4105" t="s">
        <v>13</v>
      </c>
      <c r="E4105" s="7">
        <v>45653</v>
      </c>
      <c r="F4105" t="s">
        <v>33</v>
      </c>
      <c r="G4105">
        <v>0</v>
      </c>
      <c r="H4105" t="s">
        <v>15</v>
      </c>
      <c r="I4105" t="s">
        <v>16</v>
      </c>
      <c r="J4105" t="s">
        <v>16</v>
      </c>
      <c r="K4105" t="str">
        <f>VLOOKUP(C4105,CheckName!A:B,2,0)</f>
        <v>Add</v>
      </c>
      <c r="L4105">
        <v>0</v>
      </c>
      <c r="M4105">
        <f t="shared" si="602"/>
        <v>27</v>
      </c>
      <c r="N4105" t="str">
        <f>TEXT(MTDRejection[[#This Row],[RejectionDate]],"dddd")</f>
        <v>Friday</v>
      </c>
    </row>
    <row r="4106" spans="1:14">
      <c r="A4106" t="s">
        <v>432</v>
      </c>
      <c r="B4106" t="s">
        <v>6220</v>
      </c>
      <c r="C4106" t="s">
        <v>71</v>
      </c>
      <c r="D4106" t="s">
        <v>13</v>
      </c>
      <c r="E4106" s="7">
        <v>45653</v>
      </c>
      <c r="F4106" t="s">
        <v>574</v>
      </c>
      <c r="G4106">
        <v>0</v>
      </c>
      <c r="H4106" t="s">
        <v>15</v>
      </c>
      <c r="I4106" t="s">
        <v>16</v>
      </c>
      <c r="J4106" t="s">
        <v>16</v>
      </c>
      <c r="K4106" t="str">
        <f>VLOOKUP(C4106,CheckName!A:B,2,0)</f>
        <v>CRC</v>
      </c>
      <c r="L4106">
        <v>0</v>
      </c>
      <c r="M4106">
        <f t="shared" si="602"/>
        <v>27</v>
      </c>
      <c r="N4106" t="str">
        <f>TEXT(MTDRejection[[#This Row],[RejectionDate]],"dddd")</f>
        <v>Friday</v>
      </c>
    </row>
    <row r="4107" spans="1:14">
      <c r="A4107" t="s">
        <v>142</v>
      </c>
      <c r="B4107" t="s">
        <v>6221</v>
      </c>
      <c r="C4107" t="s">
        <v>1347</v>
      </c>
      <c r="D4107" t="s">
        <v>13</v>
      </c>
      <c r="E4107" s="7">
        <v>45652</v>
      </c>
      <c r="F4107" t="s">
        <v>1861</v>
      </c>
      <c r="G4107">
        <v>1</v>
      </c>
      <c r="H4107" t="s">
        <v>15</v>
      </c>
      <c r="I4107" t="s">
        <v>16</v>
      </c>
      <c r="J4107" t="s">
        <v>16</v>
      </c>
      <c r="K4107" t="str">
        <f>VLOOKUP(C4107,CheckName!A:B,2,0)</f>
        <v>CRC</v>
      </c>
      <c r="L4107">
        <v>0</v>
      </c>
      <c r="M4107">
        <f t="shared" si="602"/>
        <v>26</v>
      </c>
      <c r="N4107" t="str">
        <f>TEXT(MTDRejection[[#This Row],[RejectionDate]],"dddd")</f>
        <v>Thursday</v>
      </c>
    </row>
    <row r="4108" spans="1:14">
      <c r="A4108" t="s">
        <v>100</v>
      </c>
      <c r="B4108" t="s">
        <v>6222</v>
      </c>
      <c r="C4108" t="s">
        <v>775</v>
      </c>
      <c r="D4108" t="s">
        <v>13</v>
      </c>
      <c r="E4108" s="7">
        <v>45652</v>
      </c>
      <c r="F4108" t="s">
        <v>1013</v>
      </c>
      <c r="G4108">
        <v>1</v>
      </c>
      <c r="H4108" t="s">
        <v>15</v>
      </c>
      <c r="I4108" t="s">
        <v>16</v>
      </c>
      <c r="J4108" t="s">
        <v>16</v>
      </c>
      <c r="K4108" t="str">
        <f>VLOOKUP(C4108,CheckName!A:B,2,0)</f>
        <v>Emp</v>
      </c>
      <c r="L4108">
        <v>0</v>
      </c>
      <c r="M4108">
        <f t="shared" ref="M4108:M4115" si="603">DAY(E4108)</f>
        <v>26</v>
      </c>
      <c r="N4108" t="str">
        <f>TEXT(MTDRejection[[#This Row],[RejectionDate]],"dddd")</f>
        <v>Thursday</v>
      </c>
    </row>
    <row r="4109" spans="1:14">
      <c r="A4109" t="s">
        <v>2315</v>
      </c>
      <c r="B4109" t="s">
        <v>6223</v>
      </c>
      <c r="C4109" t="s">
        <v>25</v>
      </c>
      <c r="D4109" t="s">
        <v>20</v>
      </c>
      <c r="E4109" s="7">
        <v>45652</v>
      </c>
      <c r="F4109" t="s">
        <v>2330</v>
      </c>
      <c r="G4109">
        <v>1</v>
      </c>
      <c r="H4109" t="s">
        <v>22</v>
      </c>
      <c r="I4109" t="s">
        <v>16</v>
      </c>
      <c r="J4109" t="s">
        <v>16</v>
      </c>
      <c r="K4109" t="str">
        <f>VLOOKUP(C4109,CheckName!A:B,2,0)</f>
        <v>Add</v>
      </c>
      <c r="L4109">
        <v>0</v>
      </c>
      <c r="M4109">
        <f t="shared" si="603"/>
        <v>26</v>
      </c>
      <c r="N4109" t="str">
        <f>TEXT(MTDRejection[[#This Row],[RejectionDate]],"dddd")</f>
        <v>Thursday</v>
      </c>
    </row>
    <row r="4110" spans="1:14">
      <c r="A4110" t="s">
        <v>349</v>
      </c>
      <c r="B4110" t="s">
        <v>6224</v>
      </c>
      <c r="C4110" t="s">
        <v>36</v>
      </c>
      <c r="D4110" t="s">
        <v>26</v>
      </c>
      <c r="E4110" s="7">
        <v>45652</v>
      </c>
      <c r="F4110" t="s">
        <v>182</v>
      </c>
      <c r="G4110">
        <v>1</v>
      </c>
      <c r="H4110" t="s">
        <v>425</v>
      </c>
      <c r="I4110" t="s">
        <v>16</v>
      </c>
      <c r="J4110" t="s">
        <v>16</v>
      </c>
      <c r="K4110" t="str">
        <f>VLOOKUP(C4110,CheckName!A:B,2,0)</f>
        <v>Emp</v>
      </c>
      <c r="L4110">
        <v>0</v>
      </c>
      <c r="M4110">
        <f t="shared" si="603"/>
        <v>26</v>
      </c>
      <c r="N4110" t="str">
        <f>TEXT(MTDRejection[[#This Row],[RejectionDate]],"dddd")</f>
        <v>Thursday</v>
      </c>
    </row>
    <row r="4111" spans="1:14">
      <c r="A4111" t="s">
        <v>682</v>
      </c>
      <c r="B4111" t="s">
        <v>6225</v>
      </c>
      <c r="C4111" t="s">
        <v>12</v>
      </c>
      <c r="D4111" t="s">
        <v>26</v>
      </c>
      <c r="E4111" s="7">
        <v>45652</v>
      </c>
      <c r="F4111" t="s">
        <v>83</v>
      </c>
      <c r="G4111">
        <v>1</v>
      </c>
      <c r="H4111" t="s">
        <v>27</v>
      </c>
      <c r="I4111" t="s">
        <v>16</v>
      </c>
      <c r="J4111" t="s">
        <v>16</v>
      </c>
      <c r="K4111" t="str">
        <f>VLOOKUP(C4111,CheckName!A:B,2,0)</f>
        <v>Emp</v>
      </c>
      <c r="L4111">
        <v>0</v>
      </c>
      <c r="M4111">
        <f t="shared" si="603"/>
        <v>26</v>
      </c>
      <c r="N4111" t="str">
        <f>TEXT(MTDRejection[[#This Row],[RejectionDate]],"dddd")</f>
        <v>Thursday</v>
      </c>
    </row>
    <row r="4112" spans="1:14">
      <c r="A4112" t="s">
        <v>1780</v>
      </c>
      <c r="B4112" t="s">
        <v>6226</v>
      </c>
      <c r="C4112" t="s">
        <v>12</v>
      </c>
      <c r="D4112" t="s">
        <v>26</v>
      </c>
      <c r="E4112" s="7">
        <v>45652</v>
      </c>
      <c r="F4112" t="s">
        <v>169</v>
      </c>
      <c r="G4112">
        <v>1</v>
      </c>
      <c r="H4112" t="s">
        <v>27</v>
      </c>
      <c r="I4112" t="s">
        <v>16</v>
      </c>
      <c r="J4112" t="s">
        <v>16</v>
      </c>
      <c r="K4112" t="str">
        <f>VLOOKUP(C4112,CheckName!A:B,2,0)</f>
        <v>Emp</v>
      </c>
      <c r="L4112">
        <v>0</v>
      </c>
      <c r="M4112">
        <f t="shared" si="603"/>
        <v>26</v>
      </c>
      <c r="N4112" t="str">
        <f>TEXT(MTDRejection[[#This Row],[RejectionDate]],"dddd")</f>
        <v>Thursday</v>
      </c>
    </row>
    <row r="4113" spans="1:14">
      <c r="A4113" t="s">
        <v>142</v>
      </c>
      <c r="B4113" t="s">
        <v>6227</v>
      </c>
      <c r="C4113" t="s">
        <v>12</v>
      </c>
      <c r="D4113" t="s">
        <v>26</v>
      </c>
      <c r="E4113" s="7">
        <v>45652</v>
      </c>
      <c r="F4113" t="s">
        <v>151</v>
      </c>
      <c r="G4113">
        <v>1</v>
      </c>
      <c r="H4113" t="s">
        <v>27</v>
      </c>
      <c r="I4113" t="s">
        <v>16</v>
      </c>
      <c r="J4113" t="s">
        <v>16</v>
      </c>
      <c r="K4113" t="str">
        <f>VLOOKUP(C4113,CheckName!A:B,2,0)</f>
        <v>Emp</v>
      </c>
      <c r="L4113">
        <v>0</v>
      </c>
      <c r="M4113">
        <f t="shared" si="603"/>
        <v>26</v>
      </c>
      <c r="N4113" t="str">
        <f>TEXT(MTDRejection[[#This Row],[RejectionDate]],"dddd")</f>
        <v>Thursday</v>
      </c>
    </row>
    <row r="4114" spans="1:14">
      <c r="A4114" t="s">
        <v>180</v>
      </c>
      <c r="B4114" t="s">
        <v>6228</v>
      </c>
      <c r="C4114" t="s">
        <v>36</v>
      </c>
      <c r="D4114" t="s">
        <v>26</v>
      </c>
      <c r="E4114" s="7">
        <v>45652</v>
      </c>
      <c r="F4114" t="s">
        <v>2355</v>
      </c>
      <c r="G4114">
        <v>1</v>
      </c>
      <c r="H4114" t="s">
        <v>27</v>
      </c>
      <c r="I4114" t="s">
        <v>16</v>
      </c>
      <c r="J4114" t="s">
        <v>16</v>
      </c>
      <c r="K4114" t="str">
        <f>VLOOKUP(C4114,CheckName!A:B,2,0)</f>
        <v>Emp</v>
      </c>
      <c r="L4114">
        <v>0</v>
      </c>
      <c r="M4114">
        <f t="shared" si="603"/>
        <v>26</v>
      </c>
      <c r="N4114" t="str">
        <f>TEXT(MTDRejection[[#This Row],[RejectionDate]],"dddd")</f>
        <v>Thursday</v>
      </c>
    </row>
    <row r="4115" spans="1:14">
      <c r="A4115" t="s">
        <v>45</v>
      </c>
      <c r="B4115" t="s">
        <v>6229</v>
      </c>
      <c r="C4115" t="s">
        <v>36</v>
      </c>
      <c r="D4115" t="s">
        <v>26</v>
      </c>
      <c r="E4115" s="7">
        <v>45652</v>
      </c>
      <c r="F4115" t="s">
        <v>2355</v>
      </c>
      <c r="G4115">
        <v>1</v>
      </c>
      <c r="H4115" t="s">
        <v>30</v>
      </c>
      <c r="I4115" t="s">
        <v>16</v>
      </c>
      <c r="J4115" t="s">
        <v>16</v>
      </c>
      <c r="K4115" t="str">
        <f>VLOOKUP(C4115,CheckName!A:B,2,0)</f>
        <v>Emp</v>
      </c>
      <c r="L4115">
        <v>0</v>
      </c>
      <c r="M4115">
        <f t="shared" si="603"/>
        <v>26</v>
      </c>
      <c r="N4115" t="str">
        <f>TEXT(MTDRejection[[#This Row],[RejectionDate]],"dddd")</f>
        <v>Thursday</v>
      </c>
    </row>
    <row r="4116" spans="1:14">
      <c r="A4116" t="s">
        <v>391</v>
      </c>
      <c r="B4116" t="s">
        <v>6230</v>
      </c>
      <c r="C4116" t="s">
        <v>125</v>
      </c>
      <c r="D4116" t="s">
        <v>26</v>
      </c>
      <c r="E4116" s="7">
        <v>45652</v>
      </c>
      <c r="F4116" t="s">
        <v>222</v>
      </c>
      <c r="G4116">
        <v>1</v>
      </c>
      <c r="H4116" t="s">
        <v>22</v>
      </c>
      <c r="I4116" t="s">
        <v>16</v>
      </c>
      <c r="J4116" t="s">
        <v>16</v>
      </c>
      <c r="K4116" t="str">
        <f>VLOOKUP(C4116,CheckName!A:B,2,0)</f>
        <v>Emp</v>
      </c>
      <c r="L4116">
        <v>0</v>
      </c>
      <c r="M4116">
        <f t="shared" ref="M4116:M4117" si="604">DAY(E4116)</f>
        <v>26</v>
      </c>
      <c r="N4116" t="str">
        <f>TEXT(MTDRejection[[#This Row],[RejectionDate]],"dddd")</f>
        <v>Thursday</v>
      </c>
    </row>
    <row r="4117" spans="1:14">
      <c r="A4117" t="s">
        <v>100</v>
      </c>
      <c r="B4117" t="s">
        <v>6231</v>
      </c>
      <c r="C4117" t="s">
        <v>359</v>
      </c>
      <c r="D4117" t="s">
        <v>26</v>
      </c>
      <c r="E4117" s="7">
        <v>45652</v>
      </c>
      <c r="F4117" t="s">
        <v>222</v>
      </c>
      <c r="G4117">
        <v>1</v>
      </c>
      <c r="H4117" t="s">
        <v>27</v>
      </c>
      <c r="I4117" t="s">
        <v>16</v>
      </c>
      <c r="J4117" t="s">
        <v>16</v>
      </c>
      <c r="K4117" t="str">
        <f>VLOOKUP(C4117,CheckName!A:B,2,0)</f>
        <v>Emp</v>
      </c>
      <c r="L4117">
        <v>0</v>
      </c>
      <c r="M4117">
        <f t="shared" si="604"/>
        <v>26</v>
      </c>
      <c r="N4117" t="str">
        <f>TEXT(MTDRejection[[#This Row],[RejectionDate]],"dddd")</f>
        <v>Thursday</v>
      </c>
    </row>
    <row r="4118" spans="1:14">
      <c r="A4118" t="s">
        <v>84</v>
      </c>
      <c r="B4118" t="s">
        <v>6232</v>
      </c>
      <c r="C4118" t="s">
        <v>36</v>
      </c>
      <c r="D4118" t="s">
        <v>26</v>
      </c>
      <c r="E4118" s="7">
        <v>45652</v>
      </c>
      <c r="F4118" t="s">
        <v>222</v>
      </c>
      <c r="G4118">
        <v>1</v>
      </c>
      <c r="H4118" t="s">
        <v>27</v>
      </c>
      <c r="I4118" t="s">
        <v>16</v>
      </c>
      <c r="J4118" t="s">
        <v>16</v>
      </c>
      <c r="K4118" t="str">
        <f>VLOOKUP(C4118,CheckName!A:B,2,0)</f>
        <v>Emp</v>
      </c>
      <c r="L4118">
        <v>0</v>
      </c>
      <c r="M4118">
        <f t="shared" ref="M4118:M4120" si="605">DAY(E4118)</f>
        <v>26</v>
      </c>
      <c r="N4118" t="str">
        <f>TEXT(MTDRejection[[#This Row],[RejectionDate]],"dddd")</f>
        <v>Thursday</v>
      </c>
    </row>
    <row r="4119" spans="1:14">
      <c r="A4119" t="s">
        <v>84</v>
      </c>
      <c r="B4119" t="s">
        <v>6233</v>
      </c>
      <c r="C4119" t="s">
        <v>36</v>
      </c>
      <c r="D4119" t="s">
        <v>26</v>
      </c>
      <c r="E4119" s="7">
        <v>45652</v>
      </c>
      <c r="F4119" t="s">
        <v>222</v>
      </c>
      <c r="G4119">
        <v>1</v>
      </c>
      <c r="H4119" t="s">
        <v>27</v>
      </c>
      <c r="I4119" t="s">
        <v>16</v>
      </c>
      <c r="J4119" t="s">
        <v>16</v>
      </c>
      <c r="K4119" t="str">
        <f>VLOOKUP(C4119,CheckName!A:B,2,0)</f>
        <v>Emp</v>
      </c>
      <c r="L4119">
        <v>0</v>
      </c>
      <c r="M4119">
        <f t="shared" si="605"/>
        <v>26</v>
      </c>
      <c r="N4119" t="str">
        <f>TEXT(MTDRejection[[#This Row],[RejectionDate]],"dddd")</f>
        <v>Thursday</v>
      </c>
    </row>
    <row r="4120" spans="1:14">
      <c r="A4120" t="s">
        <v>2317</v>
      </c>
      <c r="B4120" t="s">
        <v>2776</v>
      </c>
      <c r="C4120" t="s">
        <v>125</v>
      </c>
      <c r="D4120" t="s">
        <v>26</v>
      </c>
      <c r="E4120" s="7">
        <v>45652</v>
      </c>
      <c r="F4120" t="s">
        <v>222</v>
      </c>
      <c r="G4120">
        <v>1</v>
      </c>
      <c r="H4120" t="s">
        <v>22</v>
      </c>
      <c r="I4120" t="s">
        <v>16</v>
      </c>
      <c r="J4120" t="s">
        <v>16</v>
      </c>
      <c r="K4120" t="str">
        <f>VLOOKUP(C4120,CheckName!A:B,2,0)</f>
        <v>Emp</v>
      </c>
      <c r="L4120">
        <v>0</v>
      </c>
      <c r="M4120">
        <f t="shared" si="605"/>
        <v>26</v>
      </c>
      <c r="N4120" t="str">
        <f>TEXT(MTDRejection[[#This Row],[RejectionDate]],"dddd")</f>
        <v>Thursday</v>
      </c>
    </row>
    <row r="4121" spans="1:14">
      <c r="A4121" t="s">
        <v>84</v>
      </c>
      <c r="B4121" t="s">
        <v>6234</v>
      </c>
      <c r="C4121" t="s">
        <v>12</v>
      </c>
      <c r="D4121" t="s">
        <v>26</v>
      </c>
      <c r="E4121" s="7">
        <v>45652</v>
      </c>
      <c r="F4121" t="s">
        <v>222</v>
      </c>
      <c r="G4121">
        <v>1</v>
      </c>
      <c r="H4121" t="s">
        <v>27</v>
      </c>
      <c r="I4121" t="s">
        <v>16</v>
      </c>
      <c r="J4121" t="s">
        <v>16</v>
      </c>
      <c r="K4121" t="str">
        <f>VLOOKUP(C4121,CheckName!A:B,2,0)</f>
        <v>Emp</v>
      </c>
      <c r="L4121">
        <v>0</v>
      </c>
      <c r="M4121">
        <f>DAY(E4121)</f>
        <v>26</v>
      </c>
      <c r="N4121" t="str">
        <f>TEXT(MTDRejection[[#This Row],[RejectionDate]],"dddd")</f>
        <v>Thursday</v>
      </c>
    </row>
    <row r="4122" spans="1:14">
      <c r="A4122" t="s">
        <v>360</v>
      </c>
      <c r="B4122" t="s">
        <v>6235</v>
      </c>
      <c r="C4122" t="s">
        <v>36</v>
      </c>
      <c r="D4122" t="s">
        <v>26</v>
      </c>
      <c r="E4122" s="7">
        <v>45652</v>
      </c>
      <c r="F4122" t="s">
        <v>222</v>
      </c>
      <c r="G4122">
        <v>1</v>
      </c>
      <c r="H4122" t="s">
        <v>27</v>
      </c>
      <c r="I4122" t="s">
        <v>16</v>
      </c>
      <c r="J4122" t="s">
        <v>16</v>
      </c>
      <c r="K4122" t="str">
        <f>VLOOKUP(C4122,CheckName!A:B,2,0)</f>
        <v>Emp</v>
      </c>
      <c r="L4122">
        <v>0</v>
      </c>
      <c r="M4122">
        <f>DAY(E4122)</f>
        <v>26</v>
      </c>
      <c r="N4122" t="str">
        <f>TEXT(MTDRejection[[#This Row],[RejectionDate]],"dddd")</f>
        <v>Thursday</v>
      </c>
    </row>
    <row r="4123" spans="1:14">
      <c r="A4123" t="s">
        <v>10</v>
      </c>
      <c r="B4123" t="s">
        <v>6236</v>
      </c>
      <c r="C4123" t="s">
        <v>1869</v>
      </c>
      <c r="D4123" t="s">
        <v>38</v>
      </c>
      <c r="E4123" s="7">
        <v>45652</v>
      </c>
      <c r="F4123" t="s">
        <v>118</v>
      </c>
      <c r="G4123">
        <v>1</v>
      </c>
      <c r="H4123" t="s">
        <v>42</v>
      </c>
      <c r="I4123" t="s">
        <v>16</v>
      </c>
      <c r="J4123" t="s">
        <v>16</v>
      </c>
      <c r="K4123" t="str">
        <f>VLOOKUP(C4123,CheckName!A:B,2,0)</f>
        <v>Special Check</v>
      </c>
      <c r="L4123">
        <v>0</v>
      </c>
      <c r="M4123">
        <f t="shared" ref="M4123:M4124" si="606">DAY(E4123)</f>
        <v>26</v>
      </c>
      <c r="N4123" t="str">
        <f>TEXT(MTDRejection[[#This Row],[RejectionDate]],"dddd")</f>
        <v>Thursday</v>
      </c>
    </row>
    <row r="4124" spans="1:14">
      <c r="A4124" t="s">
        <v>10</v>
      </c>
      <c r="B4124" t="s">
        <v>6237</v>
      </c>
      <c r="C4124" t="s">
        <v>1869</v>
      </c>
      <c r="D4124" t="s">
        <v>38</v>
      </c>
      <c r="E4124" s="7">
        <v>45652</v>
      </c>
      <c r="F4124" t="s">
        <v>118</v>
      </c>
      <c r="G4124">
        <v>1</v>
      </c>
      <c r="H4124" t="s">
        <v>42</v>
      </c>
      <c r="I4124" t="s">
        <v>16</v>
      </c>
      <c r="J4124" t="s">
        <v>16</v>
      </c>
      <c r="K4124" t="str">
        <f>VLOOKUP(C4124,CheckName!A:B,2,0)</f>
        <v>Special Check</v>
      </c>
      <c r="L4124">
        <v>0</v>
      </c>
      <c r="M4124">
        <f t="shared" si="606"/>
        <v>26</v>
      </c>
      <c r="N4124" t="str">
        <f>TEXT(MTDRejection[[#This Row],[RejectionDate]],"dddd")</f>
        <v>Thursday</v>
      </c>
    </row>
    <row r="4125" spans="1:14">
      <c r="A4125" t="s">
        <v>2318</v>
      </c>
      <c r="B4125" t="s">
        <v>6238</v>
      </c>
      <c r="C4125" t="s">
        <v>36</v>
      </c>
      <c r="D4125" t="s">
        <v>26</v>
      </c>
      <c r="E4125" s="7">
        <v>45644</v>
      </c>
      <c r="F4125" t="s">
        <v>182</v>
      </c>
      <c r="G4125">
        <v>9</v>
      </c>
      <c r="H4125" t="s">
        <v>130</v>
      </c>
      <c r="I4125" t="s">
        <v>16</v>
      </c>
      <c r="J4125" t="s">
        <v>16</v>
      </c>
      <c r="K4125" t="str">
        <f>VLOOKUP(C4125,CheckName!A:B,2,0)</f>
        <v>Emp</v>
      </c>
      <c r="L4125">
        <v>0</v>
      </c>
      <c r="M4125">
        <f>DAY(E4125)</f>
        <v>18</v>
      </c>
      <c r="N4125" t="str">
        <f>TEXT(MTDRejection[[#This Row],[RejectionDate]],"dddd")</f>
        <v>Wednesday</v>
      </c>
    </row>
    <row r="4126" spans="1:14">
      <c r="A4126" t="s">
        <v>45</v>
      </c>
      <c r="B4126" t="s">
        <v>2777</v>
      </c>
      <c r="C4126" t="s">
        <v>54</v>
      </c>
      <c r="D4126" t="s">
        <v>26</v>
      </c>
      <c r="E4126" s="7">
        <v>45637</v>
      </c>
      <c r="F4126" t="s">
        <v>604</v>
      </c>
      <c r="G4126">
        <v>16</v>
      </c>
      <c r="H4126" t="s">
        <v>27</v>
      </c>
      <c r="I4126" t="s">
        <v>16</v>
      </c>
      <c r="J4126" t="s">
        <v>16</v>
      </c>
      <c r="K4126" t="str">
        <f>VLOOKUP(C4126,CheckName!A:B,2,0)</f>
        <v>Edu</v>
      </c>
      <c r="L4126">
        <v>0</v>
      </c>
      <c r="M4126">
        <f>DAY(E4126)</f>
        <v>11</v>
      </c>
      <c r="N4126" t="str">
        <f>TEXT(MTDRejection[[#This Row],[RejectionDate]],"dddd")</f>
        <v>Wednesday</v>
      </c>
    </row>
    <row r="4127" spans="1:14">
      <c r="A4127" t="s">
        <v>100</v>
      </c>
      <c r="B4127" t="s">
        <v>6239</v>
      </c>
      <c r="C4127" t="s">
        <v>1334</v>
      </c>
      <c r="D4127" t="s">
        <v>51</v>
      </c>
      <c r="E4127" s="7">
        <v>45653</v>
      </c>
      <c r="F4127" t="s">
        <v>555</v>
      </c>
      <c r="G4127">
        <v>0</v>
      </c>
      <c r="H4127" t="s">
        <v>53</v>
      </c>
      <c r="I4127" t="s">
        <v>16</v>
      </c>
      <c r="J4127" t="s">
        <v>16</v>
      </c>
      <c r="K4127" t="str">
        <f>VLOOKUP(C4127,CheckName!A:B,2,0)</f>
        <v>CRC</v>
      </c>
      <c r="L4127">
        <v>0</v>
      </c>
      <c r="M4127">
        <f>DAY(E4127)</f>
        <v>27</v>
      </c>
      <c r="N4127" t="str">
        <f>TEXT(MTDRejection[[#This Row],[RejectionDate]],"dddd")</f>
        <v>Friday</v>
      </c>
    </row>
    <row r="4128" spans="1:14">
      <c r="A4128" t="s">
        <v>432</v>
      </c>
      <c r="B4128" t="s">
        <v>6240</v>
      </c>
      <c r="C4128" t="s">
        <v>71</v>
      </c>
      <c r="D4128" t="s">
        <v>13</v>
      </c>
      <c r="E4128" s="7">
        <v>45653</v>
      </c>
      <c r="F4128" t="s">
        <v>230</v>
      </c>
      <c r="G4128">
        <v>0</v>
      </c>
      <c r="H4128" t="s">
        <v>15</v>
      </c>
      <c r="I4128" t="s">
        <v>16</v>
      </c>
      <c r="J4128" t="s">
        <v>16</v>
      </c>
      <c r="K4128" t="str">
        <f>VLOOKUP(C4128,CheckName!A:B,2,0)</f>
        <v>CRC</v>
      </c>
      <c r="L4128">
        <v>0</v>
      </c>
      <c r="M4128">
        <f t="shared" ref="M4128:M4129" si="607">DAY(E4128)</f>
        <v>27</v>
      </c>
      <c r="N4128" t="str">
        <f>TEXT(MTDRejection[[#This Row],[RejectionDate]],"dddd")</f>
        <v>Friday</v>
      </c>
    </row>
    <row r="4129" spans="1:14">
      <c r="A4129" t="s">
        <v>73</v>
      </c>
      <c r="B4129" t="s">
        <v>6241</v>
      </c>
      <c r="C4129" t="s">
        <v>12</v>
      </c>
      <c r="D4129" t="s">
        <v>13</v>
      </c>
      <c r="E4129" s="7">
        <v>45653</v>
      </c>
      <c r="F4129" t="s">
        <v>72</v>
      </c>
      <c r="G4129">
        <v>0</v>
      </c>
      <c r="H4129" t="s">
        <v>505</v>
      </c>
      <c r="I4129" t="s">
        <v>16</v>
      </c>
      <c r="J4129" t="s">
        <v>16</v>
      </c>
      <c r="K4129" t="str">
        <f>VLOOKUP(C4129,CheckName!A:B,2,0)</f>
        <v>Emp</v>
      </c>
      <c r="L4129">
        <v>0</v>
      </c>
      <c r="M4129">
        <f t="shared" si="607"/>
        <v>27</v>
      </c>
      <c r="N4129" t="str">
        <f>TEXT(MTDRejection[[#This Row],[RejectionDate]],"dddd")</f>
        <v>Friday</v>
      </c>
    </row>
    <row r="4130" spans="1:14">
      <c r="A4130" t="s">
        <v>45</v>
      </c>
      <c r="B4130" t="s">
        <v>6242</v>
      </c>
      <c r="C4130" t="s">
        <v>19</v>
      </c>
      <c r="D4130" t="s">
        <v>26</v>
      </c>
      <c r="E4130" s="7">
        <v>45653</v>
      </c>
      <c r="F4130" t="s">
        <v>2348</v>
      </c>
      <c r="G4130">
        <v>0</v>
      </c>
      <c r="H4130" t="s">
        <v>27</v>
      </c>
      <c r="I4130" t="s">
        <v>16</v>
      </c>
      <c r="J4130" t="s">
        <v>16</v>
      </c>
      <c r="K4130" t="str">
        <f>VLOOKUP(C4130,CheckName!A:B,2,0)</f>
        <v>Add</v>
      </c>
      <c r="L4130">
        <v>0</v>
      </c>
      <c r="M4130">
        <f t="shared" ref="M4130:M4147" si="608">DAY(E4130)</f>
        <v>27</v>
      </c>
      <c r="N4130" t="str">
        <f>TEXT(MTDRejection[[#This Row],[RejectionDate]],"dddd")</f>
        <v>Friday</v>
      </c>
    </row>
    <row r="4131" spans="1:14">
      <c r="A4131" t="s">
        <v>69</v>
      </c>
      <c r="B4131" t="s">
        <v>6243</v>
      </c>
      <c r="C4131" t="s">
        <v>36</v>
      </c>
      <c r="D4131" t="s">
        <v>26</v>
      </c>
      <c r="E4131" s="7">
        <v>45653</v>
      </c>
      <c r="F4131" t="s">
        <v>608</v>
      </c>
      <c r="G4131">
        <v>0</v>
      </c>
      <c r="H4131" t="s">
        <v>22</v>
      </c>
      <c r="I4131" t="s">
        <v>16</v>
      </c>
      <c r="J4131" t="s">
        <v>16</v>
      </c>
      <c r="K4131" t="str">
        <f>VLOOKUP(C4131,CheckName!A:B,2,0)</f>
        <v>Emp</v>
      </c>
      <c r="L4131">
        <v>0</v>
      </c>
      <c r="M4131">
        <f t="shared" si="608"/>
        <v>27</v>
      </c>
      <c r="N4131" t="str">
        <f>TEXT(MTDRejection[[#This Row],[RejectionDate]],"dddd")</f>
        <v>Friday</v>
      </c>
    </row>
    <row r="4132" spans="1:14">
      <c r="A4132" t="s">
        <v>1882</v>
      </c>
      <c r="B4132" t="s">
        <v>6244</v>
      </c>
      <c r="C4132" t="s">
        <v>12</v>
      </c>
      <c r="D4132" t="s">
        <v>26</v>
      </c>
      <c r="E4132" s="7">
        <v>45653</v>
      </c>
      <c r="F4132" t="s">
        <v>355</v>
      </c>
      <c r="G4132">
        <v>0</v>
      </c>
      <c r="H4132" t="s">
        <v>27</v>
      </c>
      <c r="I4132" t="s">
        <v>16</v>
      </c>
      <c r="J4132" t="s">
        <v>16</v>
      </c>
      <c r="K4132" t="str">
        <f>VLOOKUP(C4132,CheckName!A:B,2,0)</f>
        <v>Emp</v>
      </c>
      <c r="L4132">
        <v>0</v>
      </c>
      <c r="M4132">
        <f t="shared" si="608"/>
        <v>27</v>
      </c>
      <c r="N4132" t="str">
        <f>TEXT(MTDRejection[[#This Row],[RejectionDate]],"dddd")</f>
        <v>Friday</v>
      </c>
    </row>
    <row r="4133" spans="1:14">
      <c r="A4133" t="s">
        <v>1784</v>
      </c>
      <c r="B4133" t="s">
        <v>6245</v>
      </c>
      <c r="C4133" t="s">
        <v>12</v>
      </c>
      <c r="D4133" t="s">
        <v>26</v>
      </c>
      <c r="E4133" s="7">
        <v>45653</v>
      </c>
      <c r="F4133" t="s">
        <v>83</v>
      </c>
      <c r="G4133">
        <v>0</v>
      </c>
      <c r="H4133" t="s">
        <v>27</v>
      </c>
      <c r="I4133" t="s">
        <v>16</v>
      </c>
      <c r="J4133" t="s">
        <v>16</v>
      </c>
      <c r="K4133" t="str">
        <f>VLOOKUP(C4133,CheckName!A:B,2,0)</f>
        <v>Emp</v>
      </c>
      <c r="L4133">
        <v>0</v>
      </c>
      <c r="M4133">
        <f t="shared" si="608"/>
        <v>27</v>
      </c>
      <c r="N4133" t="str">
        <f>TEXT(MTDRejection[[#This Row],[RejectionDate]],"dddd")</f>
        <v>Friday</v>
      </c>
    </row>
    <row r="4134" spans="1:14">
      <c r="A4134" t="s">
        <v>81</v>
      </c>
      <c r="B4134" t="s">
        <v>6246</v>
      </c>
      <c r="C4134" t="s">
        <v>12</v>
      </c>
      <c r="D4134" t="s">
        <v>26</v>
      </c>
      <c r="E4134" s="7">
        <v>45653</v>
      </c>
      <c r="F4134" t="s">
        <v>83</v>
      </c>
      <c r="G4134">
        <v>0</v>
      </c>
      <c r="H4134" t="s">
        <v>27</v>
      </c>
      <c r="I4134" t="s">
        <v>16</v>
      </c>
      <c r="J4134" t="s">
        <v>16</v>
      </c>
      <c r="K4134" t="str">
        <f>VLOOKUP(C4134,CheckName!A:B,2,0)</f>
        <v>Emp</v>
      </c>
      <c r="L4134">
        <v>0</v>
      </c>
      <c r="M4134">
        <f t="shared" si="608"/>
        <v>27</v>
      </c>
      <c r="N4134" t="str">
        <f>TEXT(MTDRejection[[#This Row],[RejectionDate]],"dddd")</f>
        <v>Friday</v>
      </c>
    </row>
    <row r="4135" spans="1:14">
      <c r="A4135" t="s">
        <v>465</v>
      </c>
      <c r="B4135" t="s">
        <v>6247</v>
      </c>
      <c r="C4135" t="s">
        <v>36</v>
      </c>
      <c r="D4135" t="s">
        <v>26</v>
      </c>
      <c r="E4135" s="7">
        <v>45653</v>
      </c>
      <c r="F4135" t="s">
        <v>169</v>
      </c>
      <c r="G4135">
        <v>0</v>
      </c>
      <c r="H4135" t="s">
        <v>27</v>
      </c>
      <c r="I4135" t="s">
        <v>16</v>
      </c>
      <c r="J4135" t="s">
        <v>16</v>
      </c>
      <c r="K4135" t="str">
        <f>VLOOKUP(C4135,CheckName!A:B,2,0)</f>
        <v>Emp</v>
      </c>
      <c r="L4135">
        <v>0</v>
      </c>
      <c r="M4135">
        <f t="shared" si="608"/>
        <v>27</v>
      </c>
      <c r="N4135" t="str">
        <f>TEXT(MTDRejection[[#This Row],[RejectionDate]],"dddd")</f>
        <v>Friday</v>
      </c>
    </row>
    <row r="4136" spans="1:14">
      <c r="A4136" t="s">
        <v>139</v>
      </c>
      <c r="B4136" t="s">
        <v>6248</v>
      </c>
      <c r="C4136" t="s">
        <v>12</v>
      </c>
      <c r="D4136" t="s">
        <v>26</v>
      </c>
      <c r="E4136" s="7">
        <v>45653</v>
      </c>
      <c r="F4136" t="s">
        <v>159</v>
      </c>
      <c r="G4136">
        <v>0</v>
      </c>
      <c r="H4136" t="s">
        <v>27</v>
      </c>
      <c r="I4136" t="s">
        <v>16</v>
      </c>
      <c r="J4136" t="s">
        <v>16</v>
      </c>
      <c r="K4136" t="str">
        <f>VLOOKUP(C4136,CheckName!A:B,2,0)</f>
        <v>Emp</v>
      </c>
      <c r="L4136">
        <v>0</v>
      </c>
      <c r="M4136">
        <f t="shared" si="608"/>
        <v>27</v>
      </c>
      <c r="N4136" t="str">
        <f>TEXT(MTDRejection[[#This Row],[RejectionDate]],"dddd")</f>
        <v>Friday</v>
      </c>
    </row>
    <row r="4137" spans="1:14">
      <c r="A4137" t="s">
        <v>137</v>
      </c>
      <c r="B4137" t="s">
        <v>2778</v>
      </c>
      <c r="C4137" t="s">
        <v>25</v>
      </c>
      <c r="D4137" t="s">
        <v>20</v>
      </c>
      <c r="E4137" s="7">
        <v>45653</v>
      </c>
      <c r="F4137" t="s">
        <v>273</v>
      </c>
      <c r="G4137">
        <v>0</v>
      </c>
      <c r="H4137" t="s">
        <v>130</v>
      </c>
      <c r="I4137" t="s">
        <v>16</v>
      </c>
      <c r="J4137" t="s">
        <v>16</v>
      </c>
      <c r="K4137" t="str">
        <f>VLOOKUP(C4137,CheckName!A:B,2,0)</f>
        <v>Add</v>
      </c>
      <c r="L4137">
        <v>0</v>
      </c>
      <c r="M4137">
        <f t="shared" si="608"/>
        <v>27</v>
      </c>
      <c r="N4137" t="str">
        <f>TEXT(MTDRejection[[#This Row],[RejectionDate]],"dddd")</f>
        <v>Friday</v>
      </c>
    </row>
    <row r="4138" spans="1:14">
      <c r="A4138" t="s">
        <v>2320</v>
      </c>
      <c r="B4138" t="s">
        <v>6249</v>
      </c>
      <c r="C4138" t="s">
        <v>25</v>
      </c>
      <c r="D4138" t="s">
        <v>20</v>
      </c>
      <c r="E4138" s="7">
        <v>45653</v>
      </c>
      <c r="F4138" t="s">
        <v>273</v>
      </c>
      <c r="G4138">
        <v>0</v>
      </c>
      <c r="H4138" t="s">
        <v>22</v>
      </c>
      <c r="I4138" t="s">
        <v>16</v>
      </c>
      <c r="J4138" t="s">
        <v>16</v>
      </c>
      <c r="K4138" t="str">
        <f>VLOOKUP(C4138,CheckName!A:B,2,0)</f>
        <v>Add</v>
      </c>
      <c r="L4138">
        <v>0</v>
      </c>
      <c r="M4138">
        <f t="shared" si="608"/>
        <v>27</v>
      </c>
      <c r="N4138" t="str">
        <f>TEXT(MTDRejection[[#This Row],[RejectionDate]],"dddd")</f>
        <v>Friday</v>
      </c>
    </row>
    <row r="4139" spans="1:14">
      <c r="A4139" t="s">
        <v>45</v>
      </c>
      <c r="B4139" t="s">
        <v>2779</v>
      </c>
      <c r="C4139" t="s">
        <v>25</v>
      </c>
      <c r="D4139" t="s">
        <v>20</v>
      </c>
      <c r="E4139" s="7">
        <v>45653</v>
      </c>
      <c r="F4139" t="s">
        <v>2327</v>
      </c>
      <c r="G4139">
        <v>0</v>
      </c>
      <c r="H4139" t="s">
        <v>22</v>
      </c>
      <c r="I4139" t="s">
        <v>16</v>
      </c>
      <c r="J4139" t="s">
        <v>16</v>
      </c>
      <c r="K4139" t="str">
        <f>VLOOKUP(C4139,CheckName!A:B,2,0)</f>
        <v>Add</v>
      </c>
      <c r="L4139">
        <v>0</v>
      </c>
      <c r="M4139">
        <f t="shared" si="608"/>
        <v>27</v>
      </c>
      <c r="N4139" t="str">
        <f>TEXT(MTDRejection[[#This Row],[RejectionDate]],"dddd")</f>
        <v>Friday</v>
      </c>
    </row>
    <row r="4140" spans="1:14">
      <c r="A4140" t="s">
        <v>45</v>
      </c>
      <c r="B4140" t="s">
        <v>6250</v>
      </c>
      <c r="C4140" t="s">
        <v>19</v>
      </c>
      <c r="D4140" t="s">
        <v>20</v>
      </c>
      <c r="E4140" s="7">
        <v>45653</v>
      </c>
      <c r="F4140" t="s">
        <v>2327</v>
      </c>
      <c r="G4140">
        <v>0</v>
      </c>
      <c r="H4140" t="s">
        <v>22</v>
      </c>
      <c r="I4140" t="s">
        <v>16</v>
      </c>
      <c r="J4140" t="s">
        <v>16</v>
      </c>
      <c r="K4140" t="str">
        <f>VLOOKUP(C4140,CheckName!A:B,2,0)</f>
        <v>Add</v>
      </c>
      <c r="L4140">
        <v>0</v>
      </c>
      <c r="M4140">
        <f t="shared" si="608"/>
        <v>27</v>
      </c>
      <c r="N4140" t="str">
        <f>TEXT(MTDRejection[[#This Row],[RejectionDate]],"dddd")</f>
        <v>Friday</v>
      </c>
    </row>
    <row r="4141" spans="1:14">
      <c r="A4141" t="s">
        <v>45</v>
      </c>
      <c r="B4141" t="s">
        <v>6251</v>
      </c>
      <c r="C4141" t="s">
        <v>19</v>
      </c>
      <c r="D4141" t="s">
        <v>20</v>
      </c>
      <c r="E4141" s="7">
        <v>45653</v>
      </c>
      <c r="F4141" t="s">
        <v>2327</v>
      </c>
      <c r="G4141">
        <v>0</v>
      </c>
      <c r="H4141" t="s">
        <v>22</v>
      </c>
      <c r="I4141" t="s">
        <v>16</v>
      </c>
      <c r="J4141" t="s">
        <v>16</v>
      </c>
      <c r="K4141" t="str">
        <f>VLOOKUP(C4141,CheckName!A:B,2,0)</f>
        <v>Add</v>
      </c>
      <c r="L4141">
        <v>0</v>
      </c>
      <c r="M4141">
        <f t="shared" si="608"/>
        <v>27</v>
      </c>
      <c r="N4141" t="str">
        <f>TEXT(MTDRejection[[#This Row],[RejectionDate]],"dddd")</f>
        <v>Friday</v>
      </c>
    </row>
    <row r="4142" spans="1:14">
      <c r="A4142" t="s">
        <v>186</v>
      </c>
      <c r="B4142" t="s">
        <v>6252</v>
      </c>
      <c r="C4142" t="s">
        <v>54</v>
      </c>
      <c r="D4142" t="s">
        <v>26</v>
      </c>
      <c r="E4142" s="7">
        <v>45653</v>
      </c>
      <c r="F4142" t="s">
        <v>604</v>
      </c>
      <c r="G4142">
        <v>0</v>
      </c>
      <c r="H4142" t="s">
        <v>27</v>
      </c>
      <c r="I4142" t="s">
        <v>16</v>
      </c>
      <c r="J4142" t="s">
        <v>16</v>
      </c>
      <c r="K4142" t="str">
        <f>VLOOKUP(C4142,CheckName!A:B,2,0)</f>
        <v>Edu</v>
      </c>
      <c r="L4142">
        <v>0</v>
      </c>
      <c r="M4142">
        <f t="shared" si="608"/>
        <v>27</v>
      </c>
      <c r="N4142" t="str">
        <f>TEXT(MTDRejection[[#This Row],[RejectionDate]],"dddd")</f>
        <v>Friday</v>
      </c>
    </row>
    <row r="4143" spans="1:14">
      <c r="A4143" t="s">
        <v>186</v>
      </c>
      <c r="B4143" t="s">
        <v>6253</v>
      </c>
      <c r="C4143" t="s">
        <v>54</v>
      </c>
      <c r="D4143" t="s">
        <v>26</v>
      </c>
      <c r="E4143" s="7">
        <v>45653</v>
      </c>
      <c r="F4143" t="s">
        <v>604</v>
      </c>
      <c r="G4143">
        <v>0</v>
      </c>
      <c r="H4143" t="s">
        <v>27</v>
      </c>
      <c r="I4143" t="s">
        <v>16</v>
      </c>
      <c r="J4143" t="s">
        <v>16</v>
      </c>
      <c r="K4143" t="str">
        <f>VLOOKUP(C4143,CheckName!A:B,2,0)</f>
        <v>Edu</v>
      </c>
      <c r="L4143">
        <v>0</v>
      </c>
      <c r="M4143">
        <f t="shared" si="608"/>
        <v>27</v>
      </c>
      <c r="N4143" t="str">
        <f>TEXT(MTDRejection[[#This Row],[RejectionDate]],"dddd")</f>
        <v>Friday</v>
      </c>
    </row>
    <row r="4144" spans="1:14">
      <c r="A4144" t="s">
        <v>142</v>
      </c>
      <c r="B4144" t="s">
        <v>6254</v>
      </c>
      <c r="C4144" t="s">
        <v>36</v>
      </c>
      <c r="D4144" t="s">
        <v>26</v>
      </c>
      <c r="E4144" s="7">
        <v>45653</v>
      </c>
      <c r="F4144" t="s">
        <v>2355</v>
      </c>
      <c r="G4144">
        <v>0</v>
      </c>
      <c r="H4144" t="s">
        <v>22</v>
      </c>
      <c r="I4144" t="s">
        <v>16</v>
      </c>
      <c r="J4144" t="s">
        <v>16</v>
      </c>
      <c r="K4144" t="str">
        <f>VLOOKUP(C4144,CheckName!A:B,2,0)</f>
        <v>Emp</v>
      </c>
      <c r="L4144">
        <v>0</v>
      </c>
      <c r="M4144">
        <f t="shared" si="608"/>
        <v>27</v>
      </c>
      <c r="N4144" t="str">
        <f>TEXT(MTDRejection[[#This Row],[RejectionDate]],"dddd")</f>
        <v>Friday</v>
      </c>
    </row>
    <row r="4145" spans="1:14">
      <c r="A4145" t="s">
        <v>45</v>
      </c>
      <c r="B4145" t="s">
        <v>2978</v>
      </c>
      <c r="C4145" t="s">
        <v>12</v>
      </c>
      <c r="D4145" t="s">
        <v>26</v>
      </c>
      <c r="E4145" s="7">
        <v>45653</v>
      </c>
      <c r="F4145" t="s">
        <v>2341</v>
      </c>
      <c r="G4145">
        <v>0</v>
      </c>
      <c r="H4145" t="s">
        <v>27</v>
      </c>
      <c r="I4145" t="s">
        <v>16</v>
      </c>
      <c r="J4145" t="s">
        <v>16</v>
      </c>
      <c r="K4145" t="str">
        <f>VLOOKUP(C4145,CheckName!A:B,2,0)</f>
        <v>Emp</v>
      </c>
      <c r="L4145">
        <v>0</v>
      </c>
      <c r="M4145">
        <f t="shared" si="608"/>
        <v>27</v>
      </c>
      <c r="N4145" t="str">
        <f>TEXT(MTDRejection[[#This Row],[RejectionDate]],"dddd")</f>
        <v>Friday</v>
      </c>
    </row>
    <row r="4146" spans="1:14">
      <c r="A4146" t="s">
        <v>1204</v>
      </c>
      <c r="B4146" t="s">
        <v>6255</v>
      </c>
      <c r="C4146" t="s">
        <v>36</v>
      </c>
      <c r="D4146" t="s">
        <v>26</v>
      </c>
      <c r="E4146" s="7">
        <v>45653</v>
      </c>
      <c r="F4146" t="s">
        <v>311</v>
      </c>
      <c r="G4146">
        <v>0</v>
      </c>
      <c r="H4146" t="s">
        <v>27</v>
      </c>
      <c r="I4146" t="s">
        <v>16</v>
      </c>
      <c r="J4146" t="s">
        <v>16</v>
      </c>
      <c r="K4146" t="str">
        <f>VLOOKUP(C4146,CheckName!A:B,2,0)</f>
        <v>Emp</v>
      </c>
      <c r="L4146">
        <v>0</v>
      </c>
      <c r="M4146">
        <f t="shared" si="608"/>
        <v>27</v>
      </c>
      <c r="N4146" t="str">
        <f>TEXT(MTDRejection[[#This Row],[RejectionDate]],"dddd")</f>
        <v>Friday</v>
      </c>
    </row>
    <row r="4147" spans="1:14">
      <c r="A4147" t="s">
        <v>119</v>
      </c>
      <c r="B4147" t="s">
        <v>6256</v>
      </c>
      <c r="C4147" t="s">
        <v>93</v>
      </c>
      <c r="D4147" t="s">
        <v>26</v>
      </c>
      <c r="E4147" s="7">
        <v>45653</v>
      </c>
      <c r="F4147" t="s">
        <v>94</v>
      </c>
      <c r="G4147">
        <v>0</v>
      </c>
      <c r="H4147" t="s">
        <v>22</v>
      </c>
      <c r="I4147" t="s">
        <v>16</v>
      </c>
      <c r="J4147" t="s">
        <v>16</v>
      </c>
      <c r="K4147" t="str">
        <f>VLOOKUP(C4147,CheckName!A:B,2,0)</f>
        <v>Edu</v>
      </c>
      <c r="L4147">
        <v>0</v>
      </c>
      <c r="M4147">
        <f t="shared" si="608"/>
        <v>27</v>
      </c>
      <c r="N4147" t="str">
        <f>TEXT(MTDRejection[[#This Row],[RejectionDate]],"dddd")</f>
        <v>Friday</v>
      </c>
    </row>
    <row r="4148" spans="1:14">
      <c r="A4148" t="s">
        <v>100</v>
      </c>
      <c r="B4148" t="s">
        <v>6257</v>
      </c>
      <c r="C4148" t="s">
        <v>775</v>
      </c>
      <c r="D4148" t="s">
        <v>26</v>
      </c>
      <c r="E4148" s="7">
        <v>45652</v>
      </c>
      <c r="F4148" t="s">
        <v>380</v>
      </c>
      <c r="G4148">
        <v>1</v>
      </c>
      <c r="H4148" t="s">
        <v>130</v>
      </c>
      <c r="I4148" t="s">
        <v>16</v>
      </c>
      <c r="J4148" t="s">
        <v>16</v>
      </c>
      <c r="K4148" t="str">
        <f>VLOOKUP(C4148,CheckName!A:B,2,0)</f>
        <v>Emp</v>
      </c>
      <c r="L4148">
        <v>0</v>
      </c>
      <c r="M4148">
        <f>DAY(E4148)</f>
        <v>26</v>
      </c>
      <c r="N4148" t="str">
        <f>TEXT(MTDRejection[[#This Row],[RejectionDate]],"dddd")</f>
        <v>Thursday</v>
      </c>
    </row>
    <row r="4149" spans="1:14">
      <c r="A4149" t="s">
        <v>1801</v>
      </c>
      <c r="B4149" t="s">
        <v>6258</v>
      </c>
      <c r="C4149" t="s">
        <v>54</v>
      </c>
      <c r="D4149" t="s">
        <v>26</v>
      </c>
      <c r="E4149" s="7">
        <v>45652</v>
      </c>
      <c r="F4149" t="s">
        <v>852</v>
      </c>
      <c r="G4149">
        <v>1</v>
      </c>
      <c r="H4149" t="s">
        <v>130</v>
      </c>
      <c r="I4149" t="s">
        <v>16</v>
      </c>
      <c r="J4149" t="s">
        <v>16</v>
      </c>
      <c r="K4149" t="str">
        <f>VLOOKUP(C4149,CheckName!A:B,2,0)</f>
        <v>Edu</v>
      </c>
      <c r="L4149">
        <v>0</v>
      </c>
      <c r="M4149">
        <f>DAY(E4149)</f>
        <v>26</v>
      </c>
      <c r="N4149" t="str">
        <f>TEXT(MTDRejection[[#This Row],[RejectionDate]],"dddd")</f>
        <v>Thursday</v>
      </c>
    </row>
    <row r="4150" spans="1:14">
      <c r="A4150" t="s">
        <v>84</v>
      </c>
      <c r="B4150" t="s">
        <v>6259</v>
      </c>
      <c r="C4150" t="s">
        <v>36</v>
      </c>
      <c r="D4150" t="s">
        <v>38</v>
      </c>
      <c r="E4150" s="7">
        <v>45649</v>
      </c>
      <c r="F4150" t="s">
        <v>39</v>
      </c>
      <c r="G4150">
        <v>4</v>
      </c>
      <c r="H4150" t="s">
        <v>42</v>
      </c>
      <c r="I4150" t="s">
        <v>16</v>
      </c>
      <c r="J4150" t="s">
        <v>16</v>
      </c>
      <c r="K4150" t="str">
        <f>VLOOKUP(C4150,CheckName!A:B,2,0)</f>
        <v>Emp</v>
      </c>
      <c r="L4150">
        <v>0</v>
      </c>
      <c r="M4150">
        <f>DAY(E4150)</f>
        <v>23</v>
      </c>
      <c r="N4150" t="str">
        <f>TEXT(MTDRejection[[#This Row],[RejectionDate]],"dddd")</f>
        <v>Monday</v>
      </c>
    </row>
    <row r="4151" spans="1:14">
      <c r="A4151" t="s">
        <v>1306</v>
      </c>
      <c r="B4151" t="s">
        <v>6260</v>
      </c>
      <c r="C4151" t="s">
        <v>36</v>
      </c>
      <c r="D4151" t="s">
        <v>26</v>
      </c>
      <c r="E4151" s="7">
        <v>45649</v>
      </c>
      <c r="F4151" t="s">
        <v>2355</v>
      </c>
      <c r="G4151">
        <v>4</v>
      </c>
      <c r="H4151" t="s">
        <v>27</v>
      </c>
      <c r="I4151" t="s">
        <v>16</v>
      </c>
      <c r="J4151" t="s">
        <v>16</v>
      </c>
      <c r="K4151" t="str">
        <f>VLOOKUP(C4151,CheckName!A:B,2,0)</f>
        <v>Emp</v>
      </c>
      <c r="L4151">
        <v>0</v>
      </c>
      <c r="M4151">
        <f>DAY(E4151)</f>
        <v>23</v>
      </c>
      <c r="N4151" t="str">
        <f>TEXT(MTDRejection[[#This Row],[RejectionDate]],"dddd")</f>
        <v>Monday</v>
      </c>
    </row>
    <row r="4152" spans="1:14">
      <c r="A4152" t="s">
        <v>100</v>
      </c>
      <c r="B4152" t="s">
        <v>6261</v>
      </c>
      <c r="C4152" t="s">
        <v>357</v>
      </c>
      <c r="D4152" t="s">
        <v>26</v>
      </c>
      <c r="E4152" s="7">
        <v>45649</v>
      </c>
      <c r="F4152" t="s">
        <v>380</v>
      </c>
      <c r="G4152">
        <v>4</v>
      </c>
      <c r="H4152" t="s">
        <v>27</v>
      </c>
      <c r="I4152" t="s">
        <v>16</v>
      </c>
      <c r="J4152" t="s">
        <v>16</v>
      </c>
      <c r="K4152" t="str">
        <f>VLOOKUP(C4152,CheckName!A:B,2,0)</f>
        <v>Emp</v>
      </c>
      <c r="L4152">
        <v>0</v>
      </c>
      <c r="M4152">
        <f>DAY(E4152)</f>
        <v>23</v>
      </c>
      <c r="N4152" t="str">
        <f>TEXT(MTDRejection[[#This Row],[RejectionDate]],"dddd")</f>
        <v>Monday</v>
      </c>
    </row>
    <row r="4153" spans="1:14">
      <c r="A4153" t="s">
        <v>176</v>
      </c>
      <c r="B4153" t="s">
        <v>6262</v>
      </c>
      <c r="C4153" t="s">
        <v>54</v>
      </c>
      <c r="D4153" t="s">
        <v>26</v>
      </c>
      <c r="E4153" s="7">
        <v>45644</v>
      </c>
      <c r="F4153" t="s">
        <v>121</v>
      </c>
      <c r="G4153">
        <v>9</v>
      </c>
      <c r="H4153" t="s">
        <v>27</v>
      </c>
      <c r="I4153" t="s">
        <v>16</v>
      </c>
      <c r="J4153" t="s">
        <v>16</v>
      </c>
      <c r="K4153" t="str">
        <f>VLOOKUP(C4153,CheckName!A:B,2,0)</f>
        <v>Edu</v>
      </c>
      <c r="L4153">
        <v>0</v>
      </c>
      <c r="M4153">
        <f t="shared" ref="M4153:M4154" si="609">DAY(E4153)</f>
        <v>18</v>
      </c>
      <c r="N4153" t="str">
        <f>TEXT(MTDRejection[[#This Row],[RejectionDate]],"dddd")</f>
        <v>Wednesday</v>
      </c>
    </row>
    <row r="4154" spans="1:14">
      <c r="A4154" t="s">
        <v>2041</v>
      </c>
      <c r="B4154" t="s">
        <v>2780</v>
      </c>
      <c r="C4154" t="s">
        <v>54</v>
      </c>
      <c r="D4154" t="s">
        <v>26</v>
      </c>
      <c r="E4154" s="7">
        <v>45644</v>
      </c>
      <c r="F4154" t="s">
        <v>94</v>
      </c>
      <c r="G4154">
        <v>9</v>
      </c>
      <c r="H4154" t="s">
        <v>27</v>
      </c>
      <c r="I4154" t="s">
        <v>16</v>
      </c>
      <c r="J4154" t="s">
        <v>16</v>
      </c>
      <c r="K4154" t="str">
        <f>VLOOKUP(C4154,CheckName!A:B,2,0)</f>
        <v>Edu</v>
      </c>
      <c r="L4154">
        <v>0</v>
      </c>
      <c r="M4154">
        <f t="shared" si="609"/>
        <v>18</v>
      </c>
      <c r="N4154" t="str">
        <f>TEXT(MTDRejection[[#This Row],[RejectionDate]],"dddd")</f>
        <v>Wednesday</v>
      </c>
    </row>
    <row r="4155" spans="1:14">
      <c r="A4155" t="s">
        <v>2321</v>
      </c>
      <c r="B4155" t="s">
        <v>6263</v>
      </c>
      <c r="C4155" t="s">
        <v>54</v>
      </c>
      <c r="D4155" t="s">
        <v>13</v>
      </c>
      <c r="E4155" s="7">
        <v>45653</v>
      </c>
      <c r="F4155" t="s">
        <v>530</v>
      </c>
      <c r="G4155">
        <v>0</v>
      </c>
      <c r="H4155" t="s">
        <v>15</v>
      </c>
      <c r="I4155" t="s">
        <v>16</v>
      </c>
      <c r="J4155" t="s">
        <v>16</v>
      </c>
      <c r="K4155" t="str">
        <f>VLOOKUP(C4155,CheckName!A:B,2,0)</f>
        <v>Edu</v>
      </c>
      <c r="L4155">
        <v>0</v>
      </c>
      <c r="M4155">
        <f>DAY(E4155)</f>
        <v>27</v>
      </c>
      <c r="N4155" t="str">
        <f>TEXT(MTDRejection[[#This Row],[RejectionDate]],"dddd")</f>
        <v>Friday</v>
      </c>
    </row>
    <row r="4156" spans="1:14">
      <c r="A4156" t="s">
        <v>1879</v>
      </c>
      <c r="B4156" t="s">
        <v>6264</v>
      </c>
      <c r="C4156" t="s">
        <v>1686</v>
      </c>
      <c r="D4156" t="s">
        <v>26</v>
      </c>
      <c r="E4156" s="7">
        <v>45653</v>
      </c>
      <c r="F4156" t="s">
        <v>118</v>
      </c>
      <c r="G4156">
        <v>0</v>
      </c>
      <c r="H4156" t="s">
        <v>27</v>
      </c>
      <c r="I4156" t="s">
        <v>16</v>
      </c>
      <c r="J4156" t="s">
        <v>16</v>
      </c>
      <c r="K4156" t="str">
        <f>VLOOKUP(C4156,CheckName!A:B,2,0)</f>
        <v>CRC</v>
      </c>
      <c r="L4156">
        <v>0</v>
      </c>
      <c r="M4156">
        <f t="shared" ref="M4156:M4181" si="610">DAY(E4156)</f>
        <v>27</v>
      </c>
      <c r="N4156" t="str">
        <f>TEXT(MTDRejection[[#This Row],[RejectionDate]],"dddd")</f>
        <v>Friday</v>
      </c>
    </row>
    <row r="4157" spans="1:14">
      <c r="A4157" t="s">
        <v>1879</v>
      </c>
      <c r="B4157" t="s">
        <v>6265</v>
      </c>
      <c r="C4157" t="s">
        <v>1686</v>
      </c>
      <c r="D4157" t="s">
        <v>26</v>
      </c>
      <c r="E4157" s="7">
        <v>45653</v>
      </c>
      <c r="F4157" t="s">
        <v>118</v>
      </c>
      <c r="G4157">
        <v>0</v>
      </c>
      <c r="H4157" t="s">
        <v>27</v>
      </c>
      <c r="I4157" t="s">
        <v>16</v>
      </c>
      <c r="J4157" t="s">
        <v>16</v>
      </c>
      <c r="K4157" t="str">
        <f>VLOOKUP(C4157,CheckName!A:B,2,0)</f>
        <v>CRC</v>
      </c>
      <c r="L4157">
        <v>0</v>
      </c>
      <c r="M4157">
        <f t="shared" si="610"/>
        <v>27</v>
      </c>
      <c r="N4157" t="str">
        <f>TEXT(MTDRejection[[#This Row],[RejectionDate]],"dddd")</f>
        <v>Friday</v>
      </c>
    </row>
    <row r="4158" spans="1:14">
      <c r="A4158" t="s">
        <v>1879</v>
      </c>
      <c r="B4158" t="s">
        <v>6266</v>
      </c>
      <c r="C4158" t="s">
        <v>1686</v>
      </c>
      <c r="D4158" t="s">
        <v>26</v>
      </c>
      <c r="E4158" s="7">
        <v>45653</v>
      </c>
      <c r="F4158" t="s">
        <v>118</v>
      </c>
      <c r="G4158">
        <v>0</v>
      </c>
      <c r="H4158" t="s">
        <v>27</v>
      </c>
      <c r="I4158" t="s">
        <v>16</v>
      </c>
      <c r="J4158" t="s">
        <v>16</v>
      </c>
      <c r="K4158" t="str">
        <f>VLOOKUP(C4158,CheckName!A:B,2,0)</f>
        <v>CRC</v>
      </c>
      <c r="L4158">
        <v>0</v>
      </c>
      <c r="M4158">
        <f t="shared" si="610"/>
        <v>27</v>
      </c>
      <c r="N4158" t="str">
        <f>TEXT(MTDRejection[[#This Row],[RejectionDate]],"dddd")</f>
        <v>Friday</v>
      </c>
    </row>
    <row r="4159" spans="1:14">
      <c r="A4159" t="s">
        <v>1879</v>
      </c>
      <c r="B4159" t="s">
        <v>6267</v>
      </c>
      <c r="C4159" t="s">
        <v>1686</v>
      </c>
      <c r="D4159" t="s">
        <v>26</v>
      </c>
      <c r="E4159" s="7">
        <v>45653</v>
      </c>
      <c r="F4159" t="s">
        <v>118</v>
      </c>
      <c r="G4159">
        <v>0</v>
      </c>
      <c r="H4159" t="s">
        <v>27</v>
      </c>
      <c r="I4159" t="s">
        <v>16</v>
      </c>
      <c r="J4159" t="s">
        <v>16</v>
      </c>
      <c r="K4159" t="str">
        <f>VLOOKUP(C4159,CheckName!A:B,2,0)</f>
        <v>CRC</v>
      </c>
      <c r="L4159">
        <v>0</v>
      </c>
      <c r="M4159">
        <f t="shared" si="610"/>
        <v>27</v>
      </c>
      <c r="N4159" t="str">
        <f>TEXT(MTDRejection[[#This Row],[RejectionDate]],"dddd")</f>
        <v>Friday</v>
      </c>
    </row>
    <row r="4160" spans="1:14">
      <c r="A4160" t="s">
        <v>1879</v>
      </c>
      <c r="B4160" t="s">
        <v>6268</v>
      </c>
      <c r="C4160" t="s">
        <v>1686</v>
      </c>
      <c r="D4160" t="s">
        <v>26</v>
      </c>
      <c r="E4160" s="7">
        <v>45653</v>
      </c>
      <c r="F4160" t="s">
        <v>118</v>
      </c>
      <c r="G4160">
        <v>0</v>
      </c>
      <c r="H4160" t="s">
        <v>27</v>
      </c>
      <c r="I4160" t="s">
        <v>16</v>
      </c>
      <c r="J4160" t="s">
        <v>16</v>
      </c>
      <c r="K4160" t="str">
        <f>VLOOKUP(C4160,CheckName!A:B,2,0)</f>
        <v>CRC</v>
      </c>
      <c r="L4160">
        <v>0</v>
      </c>
      <c r="M4160">
        <f t="shared" si="610"/>
        <v>27</v>
      </c>
      <c r="N4160" t="str">
        <f>TEXT(MTDRejection[[#This Row],[RejectionDate]],"dddd")</f>
        <v>Friday</v>
      </c>
    </row>
    <row r="4161" spans="1:14">
      <c r="A4161" t="s">
        <v>1879</v>
      </c>
      <c r="B4161" t="s">
        <v>6269</v>
      </c>
      <c r="C4161" t="s">
        <v>1686</v>
      </c>
      <c r="D4161" t="s">
        <v>26</v>
      </c>
      <c r="E4161" s="7">
        <v>45653</v>
      </c>
      <c r="F4161" t="s">
        <v>118</v>
      </c>
      <c r="G4161">
        <v>0</v>
      </c>
      <c r="H4161" t="s">
        <v>27</v>
      </c>
      <c r="I4161" t="s">
        <v>16</v>
      </c>
      <c r="J4161" t="s">
        <v>16</v>
      </c>
      <c r="K4161" t="str">
        <f>VLOOKUP(C4161,CheckName!A:B,2,0)</f>
        <v>CRC</v>
      </c>
      <c r="L4161">
        <v>0</v>
      </c>
      <c r="M4161">
        <f t="shared" si="610"/>
        <v>27</v>
      </c>
      <c r="N4161" t="str">
        <f>TEXT(MTDRejection[[#This Row],[RejectionDate]],"dddd")</f>
        <v>Friday</v>
      </c>
    </row>
    <row r="4162" spans="1:14">
      <c r="A4162" t="s">
        <v>1879</v>
      </c>
      <c r="B4162" t="s">
        <v>6270</v>
      </c>
      <c r="C4162" t="s">
        <v>1686</v>
      </c>
      <c r="D4162" t="s">
        <v>26</v>
      </c>
      <c r="E4162" s="7">
        <v>45653</v>
      </c>
      <c r="F4162" t="s">
        <v>118</v>
      </c>
      <c r="G4162">
        <v>0</v>
      </c>
      <c r="H4162" t="s">
        <v>27</v>
      </c>
      <c r="I4162" t="s">
        <v>16</v>
      </c>
      <c r="J4162" t="s">
        <v>16</v>
      </c>
      <c r="K4162" t="str">
        <f>VLOOKUP(C4162,CheckName!A:B,2,0)</f>
        <v>CRC</v>
      </c>
      <c r="L4162">
        <v>0</v>
      </c>
      <c r="M4162">
        <f t="shared" si="610"/>
        <v>27</v>
      </c>
      <c r="N4162" t="str">
        <f>TEXT(MTDRejection[[#This Row],[RejectionDate]],"dddd")</f>
        <v>Friday</v>
      </c>
    </row>
    <row r="4163" spans="1:14">
      <c r="A4163" t="s">
        <v>1879</v>
      </c>
      <c r="B4163" t="s">
        <v>6271</v>
      </c>
      <c r="C4163" t="s">
        <v>1686</v>
      </c>
      <c r="D4163" t="s">
        <v>26</v>
      </c>
      <c r="E4163" s="7">
        <v>45653</v>
      </c>
      <c r="F4163" t="s">
        <v>118</v>
      </c>
      <c r="G4163">
        <v>0</v>
      </c>
      <c r="H4163" t="s">
        <v>27</v>
      </c>
      <c r="I4163" t="s">
        <v>16</v>
      </c>
      <c r="J4163" t="s">
        <v>16</v>
      </c>
      <c r="K4163" t="str">
        <f>VLOOKUP(C4163,CheckName!A:B,2,0)</f>
        <v>CRC</v>
      </c>
      <c r="L4163">
        <v>0</v>
      </c>
      <c r="M4163">
        <f t="shared" si="610"/>
        <v>27</v>
      </c>
      <c r="N4163" t="str">
        <f>TEXT(MTDRejection[[#This Row],[RejectionDate]],"dddd")</f>
        <v>Friday</v>
      </c>
    </row>
    <row r="4164" spans="1:14">
      <c r="A4164" t="s">
        <v>1879</v>
      </c>
      <c r="B4164" t="s">
        <v>6272</v>
      </c>
      <c r="C4164" t="s">
        <v>1686</v>
      </c>
      <c r="D4164" t="s">
        <v>26</v>
      </c>
      <c r="E4164" s="7">
        <v>45653</v>
      </c>
      <c r="F4164" t="s">
        <v>118</v>
      </c>
      <c r="G4164">
        <v>0</v>
      </c>
      <c r="H4164" t="s">
        <v>27</v>
      </c>
      <c r="I4164" t="s">
        <v>16</v>
      </c>
      <c r="J4164" t="s">
        <v>16</v>
      </c>
      <c r="K4164" t="str">
        <f>VLOOKUP(C4164,CheckName!A:B,2,0)</f>
        <v>CRC</v>
      </c>
      <c r="L4164">
        <v>0</v>
      </c>
      <c r="M4164">
        <f t="shared" si="610"/>
        <v>27</v>
      </c>
      <c r="N4164" t="str">
        <f>TEXT(MTDRejection[[#This Row],[RejectionDate]],"dddd")</f>
        <v>Friday</v>
      </c>
    </row>
    <row r="4165" spans="1:14">
      <c r="A4165" t="s">
        <v>1879</v>
      </c>
      <c r="B4165" t="s">
        <v>6273</v>
      </c>
      <c r="C4165" t="s">
        <v>1686</v>
      </c>
      <c r="D4165" t="s">
        <v>26</v>
      </c>
      <c r="E4165" s="7">
        <v>45653</v>
      </c>
      <c r="F4165" t="s">
        <v>118</v>
      </c>
      <c r="G4165">
        <v>0</v>
      </c>
      <c r="H4165" t="s">
        <v>27</v>
      </c>
      <c r="I4165" t="s">
        <v>16</v>
      </c>
      <c r="J4165" t="s">
        <v>16</v>
      </c>
      <c r="K4165" t="str">
        <f>VLOOKUP(C4165,CheckName!A:B,2,0)</f>
        <v>CRC</v>
      </c>
      <c r="L4165">
        <v>0</v>
      </c>
      <c r="M4165">
        <f t="shared" si="610"/>
        <v>27</v>
      </c>
      <c r="N4165" t="str">
        <f>TEXT(MTDRejection[[#This Row],[RejectionDate]],"dddd")</f>
        <v>Friday</v>
      </c>
    </row>
    <row r="4166" spans="1:14">
      <c r="A4166" t="s">
        <v>1879</v>
      </c>
      <c r="B4166" t="s">
        <v>6274</v>
      </c>
      <c r="C4166" t="s">
        <v>1686</v>
      </c>
      <c r="D4166" t="s">
        <v>26</v>
      </c>
      <c r="E4166" s="7">
        <v>45653</v>
      </c>
      <c r="F4166" t="s">
        <v>118</v>
      </c>
      <c r="G4166">
        <v>0</v>
      </c>
      <c r="H4166" t="s">
        <v>27</v>
      </c>
      <c r="I4166" t="s">
        <v>16</v>
      </c>
      <c r="J4166" t="s">
        <v>16</v>
      </c>
      <c r="K4166" t="str">
        <f>VLOOKUP(C4166,CheckName!A:B,2,0)</f>
        <v>CRC</v>
      </c>
      <c r="L4166">
        <v>0</v>
      </c>
      <c r="M4166">
        <f t="shared" si="610"/>
        <v>27</v>
      </c>
      <c r="N4166" t="str">
        <f>TEXT(MTDRejection[[#This Row],[RejectionDate]],"dddd")</f>
        <v>Friday</v>
      </c>
    </row>
    <row r="4167" spans="1:14">
      <c r="A4167" t="s">
        <v>1879</v>
      </c>
      <c r="B4167" t="s">
        <v>6271</v>
      </c>
      <c r="C4167" t="s">
        <v>1686</v>
      </c>
      <c r="D4167" t="s">
        <v>26</v>
      </c>
      <c r="E4167" s="7">
        <v>45653</v>
      </c>
      <c r="F4167" t="s">
        <v>118</v>
      </c>
      <c r="G4167">
        <v>0</v>
      </c>
      <c r="H4167" t="s">
        <v>27</v>
      </c>
      <c r="I4167" t="s">
        <v>16</v>
      </c>
      <c r="J4167" t="s">
        <v>16</v>
      </c>
      <c r="K4167" t="str">
        <f>VLOOKUP(C4167,CheckName!A:B,2,0)</f>
        <v>CRC</v>
      </c>
      <c r="L4167">
        <v>0</v>
      </c>
      <c r="M4167">
        <f t="shared" si="610"/>
        <v>27</v>
      </c>
      <c r="N4167" t="str">
        <f>TEXT(MTDRejection[[#This Row],[RejectionDate]],"dddd")</f>
        <v>Friday</v>
      </c>
    </row>
    <row r="4168" spans="1:14">
      <c r="A4168" t="s">
        <v>1879</v>
      </c>
      <c r="B4168" t="s">
        <v>6275</v>
      </c>
      <c r="C4168" t="s">
        <v>1686</v>
      </c>
      <c r="D4168" t="s">
        <v>26</v>
      </c>
      <c r="E4168" s="7">
        <v>45653</v>
      </c>
      <c r="F4168" t="s">
        <v>118</v>
      </c>
      <c r="G4168">
        <v>0</v>
      </c>
      <c r="H4168" t="s">
        <v>27</v>
      </c>
      <c r="I4168" t="s">
        <v>16</v>
      </c>
      <c r="J4168" t="s">
        <v>16</v>
      </c>
      <c r="K4168" t="str">
        <f>VLOOKUP(C4168,CheckName!A:B,2,0)</f>
        <v>CRC</v>
      </c>
      <c r="L4168">
        <v>0</v>
      </c>
      <c r="M4168">
        <f t="shared" si="610"/>
        <v>27</v>
      </c>
      <c r="N4168" t="str">
        <f>TEXT(MTDRejection[[#This Row],[RejectionDate]],"dddd")</f>
        <v>Friday</v>
      </c>
    </row>
    <row r="4169" spans="1:14">
      <c r="A4169" t="s">
        <v>1879</v>
      </c>
      <c r="B4169" t="s">
        <v>2781</v>
      </c>
      <c r="C4169" t="s">
        <v>1686</v>
      </c>
      <c r="D4169" t="s">
        <v>26</v>
      </c>
      <c r="E4169" s="7">
        <v>45653</v>
      </c>
      <c r="F4169" t="s">
        <v>118</v>
      </c>
      <c r="G4169">
        <v>0</v>
      </c>
      <c r="H4169" t="s">
        <v>27</v>
      </c>
      <c r="I4169" t="s">
        <v>16</v>
      </c>
      <c r="J4169" t="s">
        <v>16</v>
      </c>
      <c r="K4169" t="str">
        <f>VLOOKUP(C4169,CheckName!A:B,2,0)</f>
        <v>CRC</v>
      </c>
      <c r="L4169">
        <v>0</v>
      </c>
      <c r="M4169">
        <f t="shared" si="610"/>
        <v>27</v>
      </c>
      <c r="N4169" t="str">
        <f>TEXT(MTDRejection[[#This Row],[RejectionDate]],"dddd")</f>
        <v>Friday</v>
      </c>
    </row>
    <row r="4170" spans="1:14">
      <c r="A4170" t="s">
        <v>1879</v>
      </c>
      <c r="B4170" t="s">
        <v>6276</v>
      </c>
      <c r="C4170" t="s">
        <v>1686</v>
      </c>
      <c r="D4170" t="s">
        <v>26</v>
      </c>
      <c r="E4170" s="7">
        <v>45653</v>
      </c>
      <c r="F4170" t="s">
        <v>118</v>
      </c>
      <c r="G4170">
        <v>0</v>
      </c>
      <c r="H4170" t="s">
        <v>27</v>
      </c>
      <c r="I4170" t="s">
        <v>16</v>
      </c>
      <c r="J4170" t="s">
        <v>16</v>
      </c>
      <c r="K4170" t="str">
        <f>VLOOKUP(C4170,CheckName!A:B,2,0)</f>
        <v>CRC</v>
      </c>
      <c r="L4170">
        <v>0</v>
      </c>
      <c r="M4170">
        <f t="shared" si="610"/>
        <v>27</v>
      </c>
      <c r="N4170" t="str">
        <f>TEXT(MTDRejection[[#This Row],[RejectionDate]],"dddd")</f>
        <v>Friday</v>
      </c>
    </row>
    <row r="4171" spans="1:14">
      <c r="A4171" t="s">
        <v>1879</v>
      </c>
      <c r="B4171" t="s">
        <v>6277</v>
      </c>
      <c r="C4171" t="s">
        <v>1686</v>
      </c>
      <c r="D4171" t="s">
        <v>26</v>
      </c>
      <c r="E4171" s="7">
        <v>45653</v>
      </c>
      <c r="F4171" t="s">
        <v>118</v>
      </c>
      <c r="G4171">
        <v>0</v>
      </c>
      <c r="H4171" t="s">
        <v>27</v>
      </c>
      <c r="I4171" t="s">
        <v>16</v>
      </c>
      <c r="J4171" t="s">
        <v>16</v>
      </c>
      <c r="K4171" t="str">
        <f>VLOOKUP(C4171,CheckName!A:B,2,0)</f>
        <v>CRC</v>
      </c>
      <c r="L4171">
        <v>0</v>
      </c>
      <c r="M4171">
        <f t="shared" si="610"/>
        <v>27</v>
      </c>
      <c r="N4171" t="str">
        <f>TEXT(MTDRejection[[#This Row],[RejectionDate]],"dddd")</f>
        <v>Friday</v>
      </c>
    </row>
    <row r="4172" spans="1:14">
      <c r="A4172" t="s">
        <v>1879</v>
      </c>
      <c r="B4172" t="s">
        <v>6276</v>
      </c>
      <c r="C4172" t="s">
        <v>1686</v>
      </c>
      <c r="D4172" t="s">
        <v>26</v>
      </c>
      <c r="E4172" s="7">
        <v>45653</v>
      </c>
      <c r="F4172" t="s">
        <v>118</v>
      </c>
      <c r="G4172">
        <v>0</v>
      </c>
      <c r="H4172" t="s">
        <v>27</v>
      </c>
      <c r="I4172" t="s">
        <v>16</v>
      </c>
      <c r="J4172" t="s">
        <v>16</v>
      </c>
      <c r="K4172" t="str">
        <f>VLOOKUP(C4172,CheckName!A:B,2,0)</f>
        <v>CRC</v>
      </c>
      <c r="L4172">
        <v>0</v>
      </c>
      <c r="M4172">
        <f t="shared" si="610"/>
        <v>27</v>
      </c>
      <c r="N4172" t="str">
        <f>TEXT(MTDRejection[[#This Row],[RejectionDate]],"dddd")</f>
        <v>Friday</v>
      </c>
    </row>
    <row r="4173" spans="1:14">
      <c r="A4173" t="s">
        <v>1879</v>
      </c>
      <c r="B4173" t="s">
        <v>6278</v>
      </c>
      <c r="C4173" t="s">
        <v>1686</v>
      </c>
      <c r="D4173" t="s">
        <v>26</v>
      </c>
      <c r="E4173" s="7">
        <v>45653</v>
      </c>
      <c r="F4173" t="s">
        <v>118</v>
      </c>
      <c r="G4173">
        <v>0</v>
      </c>
      <c r="H4173" t="s">
        <v>27</v>
      </c>
      <c r="I4173" t="s">
        <v>16</v>
      </c>
      <c r="J4173" t="s">
        <v>16</v>
      </c>
      <c r="K4173" t="str">
        <f>VLOOKUP(C4173,CheckName!A:B,2,0)</f>
        <v>CRC</v>
      </c>
      <c r="L4173">
        <v>0</v>
      </c>
      <c r="M4173">
        <f t="shared" si="610"/>
        <v>27</v>
      </c>
      <c r="N4173" t="str">
        <f>TEXT(MTDRejection[[#This Row],[RejectionDate]],"dddd")</f>
        <v>Friday</v>
      </c>
    </row>
    <row r="4174" spans="1:14">
      <c r="A4174" t="s">
        <v>1879</v>
      </c>
      <c r="B4174" t="s">
        <v>6279</v>
      </c>
      <c r="C4174" t="s">
        <v>1686</v>
      </c>
      <c r="D4174" t="s">
        <v>26</v>
      </c>
      <c r="E4174" s="7">
        <v>45653</v>
      </c>
      <c r="F4174" t="s">
        <v>118</v>
      </c>
      <c r="G4174">
        <v>0</v>
      </c>
      <c r="H4174" t="s">
        <v>27</v>
      </c>
      <c r="I4174" t="s">
        <v>16</v>
      </c>
      <c r="J4174" t="s">
        <v>16</v>
      </c>
      <c r="K4174" t="str">
        <f>VLOOKUP(C4174,CheckName!A:B,2,0)</f>
        <v>CRC</v>
      </c>
      <c r="L4174">
        <v>0</v>
      </c>
      <c r="M4174">
        <f t="shared" si="610"/>
        <v>27</v>
      </c>
      <c r="N4174" t="str">
        <f>TEXT(MTDRejection[[#This Row],[RejectionDate]],"dddd")</f>
        <v>Friday</v>
      </c>
    </row>
    <row r="4175" spans="1:14">
      <c r="A4175" t="s">
        <v>1879</v>
      </c>
      <c r="B4175" t="s">
        <v>6280</v>
      </c>
      <c r="C4175" t="s">
        <v>1686</v>
      </c>
      <c r="D4175" t="s">
        <v>26</v>
      </c>
      <c r="E4175" s="7">
        <v>45653</v>
      </c>
      <c r="F4175" t="s">
        <v>118</v>
      </c>
      <c r="G4175">
        <v>0</v>
      </c>
      <c r="H4175" t="s">
        <v>27</v>
      </c>
      <c r="I4175" t="s">
        <v>16</v>
      </c>
      <c r="J4175" t="s">
        <v>16</v>
      </c>
      <c r="K4175" t="str">
        <f>VLOOKUP(C4175,CheckName!A:B,2,0)</f>
        <v>CRC</v>
      </c>
      <c r="L4175">
        <v>0</v>
      </c>
      <c r="M4175">
        <f t="shared" si="610"/>
        <v>27</v>
      </c>
      <c r="N4175" t="str">
        <f>TEXT(MTDRejection[[#This Row],[RejectionDate]],"dddd")</f>
        <v>Friday</v>
      </c>
    </row>
    <row r="4176" spans="1:14">
      <c r="A4176" t="s">
        <v>1879</v>
      </c>
      <c r="B4176" t="s">
        <v>6281</v>
      </c>
      <c r="C4176" t="s">
        <v>1686</v>
      </c>
      <c r="D4176" t="s">
        <v>26</v>
      </c>
      <c r="E4176" s="7">
        <v>45653</v>
      </c>
      <c r="F4176" t="s">
        <v>118</v>
      </c>
      <c r="G4176">
        <v>0</v>
      </c>
      <c r="H4176" t="s">
        <v>27</v>
      </c>
      <c r="I4176" t="s">
        <v>16</v>
      </c>
      <c r="J4176" t="s">
        <v>16</v>
      </c>
      <c r="K4176" t="str">
        <f>VLOOKUP(C4176,CheckName!A:B,2,0)</f>
        <v>CRC</v>
      </c>
      <c r="L4176">
        <v>0</v>
      </c>
      <c r="M4176">
        <f t="shared" si="610"/>
        <v>27</v>
      </c>
      <c r="N4176" t="str">
        <f>TEXT(MTDRejection[[#This Row],[RejectionDate]],"dddd")</f>
        <v>Friday</v>
      </c>
    </row>
    <row r="4177" spans="1:14">
      <c r="A4177" t="s">
        <v>1879</v>
      </c>
      <c r="B4177" t="s">
        <v>6282</v>
      </c>
      <c r="C4177" t="s">
        <v>1686</v>
      </c>
      <c r="D4177" t="s">
        <v>26</v>
      </c>
      <c r="E4177" s="7">
        <v>45653</v>
      </c>
      <c r="F4177" t="s">
        <v>118</v>
      </c>
      <c r="G4177">
        <v>0</v>
      </c>
      <c r="H4177" t="s">
        <v>27</v>
      </c>
      <c r="I4177" t="s">
        <v>16</v>
      </c>
      <c r="J4177" t="s">
        <v>16</v>
      </c>
      <c r="K4177" t="str">
        <f>VLOOKUP(C4177,CheckName!A:B,2,0)</f>
        <v>CRC</v>
      </c>
      <c r="L4177">
        <v>0</v>
      </c>
      <c r="M4177">
        <f t="shared" si="610"/>
        <v>27</v>
      </c>
      <c r="N4177" t="str">
        <f>TEXT(MTDRejection[[#This Row],[RejectionDate]],"dddd")</f>
        <v>Friday</v>
      </c>
    </row>
    <row r="4178" spans="1:14">
      <c r="A4178" t="s">
        <v>1879</v>
      </c>
      <c r="B4178" t="s">
        <v>2782</v>
      </c>
      <c r="C4178" t="s">
        <v>1686</v>
      </c>
      <c r="D4178" t="s">
        <v>26</v>
      </c>
      <c r="E4178" s="7">
        <v>45653</v>
      </c>
      <c r="F4178" t="s">
        <v>118</v>
      </c>
      <c r="G4178">
        <v>0</v>
      </c>
      <c r="H4178" t="s">
        <v>27</v>
      </c>
      <c r="I4178" t="s">
        <v>16</v>
      </c>
      <c r="J4178" t="s">
        <v>16</v>
      </c>
      <c r="K4178" t="str">
        <f>VLOOKUP(C4178,CheckName!A:B,2,0)</f>
        <v>CRC</v>
      </c>
      <c r="L4178">
        <v>0</v>
      </c>
      <c r="M4178">
        <f t="shared" si="610"/>
        <v>27</v>
      </c>
      <c r="N4178" t="str">
        <f>TEXT(MTDRejection[[#This Row],[RejectionDate]],"dddd")</f>
        <v>Friday</v>
      </c>
    </row>
    <row r="4179" spans="1:14">
      <c r="A4179" t="s">
        <v>1879</v>
      </c>
      <c r="B4179" t="s">
        <v>6283</v>
      </c>
      <c r="C4179" t="s">
        <v>1686</v>
      </c>
      <c r="D4179" t="s">
        <v>26</v>
      </c>
      <c r="E4179" s="7">
        <v>45653</v>
      </c>
      <c r="F4179" t="s">
        <v>118</v>
      </c>
      <c r="G4179">
        <v>0</v>
      </c>
      <c r="H4179" t="s">
        <v>27</v>
      </c>
      <c r="I4179" t="s">
        <v>16</v>
      </c>
      <c r="J4179" t="s">
        <v>16</v>
      </c>
      <c r="K4179" t="str">
        <f>VLOOKUP(C4179,CheckName!A:B,2,0)</f>
        <v>CRC</v>
      </c>
      <c r="L4179">
        <v>0</v>
      </c>
      <c r="M4179">
        <f t="shared" si="610"/>
        <v>27</v>
      </c>
      <c r="N4179" t="str">
        <f>TEXT(MTDRejection[[#This Row],[RejectionDate]],"dddd")</f>
        <v>Friday</v>
      </c>
    </row>
    <row r="4180" spans="1:14">
      <c r="A4180" t="s">
        <v>1879</v>
      </c>
      <c r="B4180" t="s">
        <v>6284</v>
      </c>
      <c r="C4180" t="s">
        <v>1686</v>
      </c>
      <c r="D4180" t="s">
        <v>26</v>
      </c>
      <c r="E4180" s="7">
        <v>45653</v>
      </c>
      <c r="F4180" t="s">
        <v>118</v>
      </c>
      <c r="G4180">
        <v>0</v>
      </c>
      <c r="H4180" t="s">
        <v>27</v>
      </c>
      <c r="I4180" t="s">
        <v>16</v>
      </c>
      <c r="J4180" t="s">
        <v>16</v>
      </c>
      <c r="K4180" t="str">
        <f>VLOOKUP(C4180,CheckName!A:B,2,0)</f>
        <v>CRC</v>
      </c>
      <c r="L4180">
        <v>0</v>
      </c>
      <c r="M4180">
        <f t="shared" si="610"/>
        <v>27</v>
      </c>
      <c r="N4180" t="str">
        <f>TEXT(MTDRejection[[#This Row],[RejectionDate]],"dddd")</f>
        <v>Friday</v>
      </c>
    </row>
    <row r="4181" spans="1:14">
      <c r="A4181" t="s">
        <v>1879</v>
      </c>
      <c r="B4181" t="s">
        <v>6285</v>
      </c>
      <c r="C4181" t="s">
        <v>1686</v>
      </c>
      <c r="D4181" t="s">
        <v>26</v>
      </c>
      <c r="E4181" s="7">
        <v>45653</v>
      </c>
      <c r="F4181" t="s">
        <v>118</v>
      </c>
      <c r="G4181">
        <v>0</v>
      </c>
      <c r="H4181" t="s">
        <v>27</v>
      </c>
      <c r="I4181" t="s">
        <v>16</v>
      </c>
      <c r="J4181" t="s">
        <v>16</v>
      </c>
      <c r="K4181" t="str">
        <f>VLOOKUP(C4181,CheckName!A:B,2,0)</f>
        <v>CRC</v>
      </c>
      <c r="L4181">
        <v>0</v>
      </c>
      <c r="M4181">
        <f t="shared" si="610"/>
        <v>27</v>
      </c>
      <c r="N4181" t="str">
        <f>TEXT(MTDRejection[[#This Row],[RejectionDate]],"dddd")</f>
        <v>Friday</v>
      </c>
    </row>
    <row r="4182" spans="1:14">
      <c r="A4182" t="s">
        <v>160</v>
      </c>
      <c r="B4182" t="s">
        <v>6286</v>
      </c>
      <c r="C4182" t="s">
        <v>805</v>
      </c>
      <c r="D4182" t="s">
        <v>26</v>
      </c>
      <c r="E4182" s="7">
        <v>45653</v>
      </c>
      <c r="F4182" t="s">
        <v>63</v>
      </c>
      <c r="G4182">
        <v>0</v>
      </c>
      <c r="H4182" t="s">
        <v>27</v>
      </c>
      <c r="I4182" t="s">
        <v>16</v>
      </c>
      <c r="J4182" t="s">
        <v>16</v>
      </c>
      <c r="K4182" t="str">
        <f>VLOOKUP(C4182,CheckName!A:B,2,0)</f>
        <v>Edu</v>
      </c>
      <c r="L4182">
        <v>0</v>
      </c>
      <c r="M4182">
        <f t="shared" ref="M4182:M4183" si="611">DAY(E4182)</f>
        <v>27</v>
      </c>
      <c r="N4182" t="str">
        <f>TEXT(MTDRejection[[#This Row],[RejectionDate]],"dddd")</f>
        <v>Friday</v>
      </c>
    </row>
    <row r="4183" spans="1:14">
      <c r="A4183" t="s">
        <v>84</v>
      </c>
      <c r="B4183" t="s">
        <v>6287</v>
      </c>
      <c r="C4183" t="s">
        <v>54</v>
      </c>
      <c r="D4183" t="s">
        <v>26</v>
      </c>
      <c r="E4183" s="7">
        <v>45653</v>
      </c>
      <c r="F4183" t="s">
        <v>188</v>
      </c>
      <c r="G4183">
        <v>0</v>
      </c>
      <c r="H4183" t="s">
        <v>27</v>
      </c>
      <c r="I4183" t="s">
        <v>16</v>
      </c>
      <c r="J4183" t="s">
        <v>16</v>
      </c>
      <c r="K4183" t="str">
        <f>VLOOKUP(C4183,CheckName!A:B,2,0)</f>
        <v>Edu</v>
      </c>
      <c r="L4183">
        <v>0</v>
      </c>
      <c r="M4183">
        <f t="shared" si="611"/>
        <v>27</v>
      </c>
      <c r="N4183" t="str">
        <f>TEXT(MTDRejection[[#This Row],[RejectionDate]],"dddd")</f>
        <v>Friday</v>
      </c>
    </row>
    <row r="4184" spans="1:14">
      <c r="A4184" t="s">
        <v>200</v>
      </c>
      <c r="B4184" t="s">
        <v>6288</v>
      </c>
      <c r="C4184" t="s">
        <v>25</v>
      </c>
      <c r="D4184" t="s">
        <v>20</v>
      </c>
      <c r="E4184" s="7">
        <v>45653</v>
      </c>
      <c r="F4184" t="s">
        <v>273</v>
      </c>
      <c r="G4184">
        <v>0</v>
      </c>
      <c r="H4184" t="s">
        <v>22</v>
      </c>
      <c r="I4184" t="s">
        <v>16</v>
      </c>
      <c r="J4184" t="s">
        <v>16</v>
      </c>
      <c r="K4184" t="str">
        <f>VLOOKUP(C4184,CheckName!A:B,2,0)</f>
        <v>Add</v>
      </c>
      <c r="L4184">
        <v>0</v>
      </c>
      <c r="M4184">
        <f>DAY(E4184)</f>
        <v>27</v>
      </c>
      <c r="N4184" t="str">
        <f>TEXT(MTDRejection[[#This Row],[RejectionDate]],"dddd")</f>
        <v>Friday</v>
      </c>
    </row>
    <row r="4185" spans="1:14">
      <c r="A4185" t="s">
        <v>1092</v>
      </c>
      <c r="B4185" t="s">
        <v>6289</v>
      </c>
      <c r="C4185" t="s">
        <v>25</v>
      </c>
      <c r="D4185" t="s">
        <v>20</v>
      </c>
      <c r="E4185" s="7">
        <v>45653</v>
      </c>
      <c r="F4185" t="s">
        <v>273</v>
      </c>
      <c r="G4185">
        <v>0</v>
      </c>
      <c r="H4185" t="s">
        <v>22</v>
      </c>
      <c r="I4185" t="s">
        <v>16</v>
      </c>
      <c r="J4185" t="s">
        <v>16</v>
      </c>
      <c r="K4185" t="str">
        <f>VLOOKUP(C4185,CheckName!A:B,2,0)</f>
        <v>Add</v>
      </c>
      <c r="L4185">
        <v>0</v>
      </c>
      <c r="M4185">
        <f t="shared" ref="M4185:M4186" si="612">DAY(E4185)</f>
        <v>27</v>
      </c>
      <c r="N4185" t="str">
        <f>TEXT(MTDRejection[[#This Row],[RejectionDate]],"dddd")</f>
        <v>Friday</v>
      </c>
    </row>
    <row r="4186" spans="1:14">
      <c r="A4186" t="s">
        <v>1110</v>
      </c>
      <c r="B4186" t="s">
        <v>6290</v>
      </c>
      <c r="C4186" t="s">
        <v>965</v>
      </c>
      <c r="D4186" t="s">
        <v>20</v>
      </c>
      <c r="E4186" s="7">
        <v>45653</v>
      </c>
      <c r="F4186" t="s">
        <v>2327</v>
      </c>
      <c r="G4186">
        <v>0</v>
      </c>
      <c r="H4186" t="s">
        <v>22</v>
      </c>
      <c r="I4186" t="s">
        <v>16</v>
      </c>
      <c r="J4186" t="s">
        <v>16</v>
      </c>
      <c r="K4186" t="str">
        <f>VLOOKUP(C4186,CheckName!A:B,2,0)</f>
        <v>Add</v>
      </c>
      <c r="L4186">
        <v>0</v>
      </c>
      <c r="M4186">
        <f t="shared" si="612"/>
        <v>27</v>
      </c>
      <c r="N4186" t="str">
        <f>TEXT(MTDRejection[[#This Row],[RejectionDate]],"dddd")</f>
        <v>Friday</v>
      </c>
    </row>
    <row r="4187" spans="1:14">
      <c r="A4187" t="s">
        <v>2057</v>
      </c>
      <c r="B4187" t="s">
        <v>6291</v>
      </c>
      <c r="C4187" t="s">
        <v>54</v>
      </c>
      <c r="D4187" t="s">
        <v>26</v>
      </c>
      <c r="E4187" s="7">
        <v>45653</v>
      </c>
      <c r="F4187" t="s">
        <v>604</v>
      </c>
      <c r="G4187">
        <v>0</v>
      </c>
      <c r="H4187" t="s">
        <v>27</v>
      </c>
      <c r="I4187" t="s">
        <v>16</v>
      </c>
      <c r="J4187" t="s">
        <v>16</v>
      </c>
      <c r="K4187" t="str">
        <f>VLOOKUP(C4187,CheckName!A:B,2,0)</f>
        <v>Edu</v>
      </c>
      <c r="L4187">
        <v>0</v>
      </c>
      <c r="M4187">
        <f t="shared" ref="M4187:M4188" si="613">DAY(E4187)</f>
        <v>27</v>
      </c>
      <c r="N4187" t="str">
        <f>TEXT(MTDRejection[[#This Row],[RejectionDate]],"dddd")</f>
        <v>Friday</v>
      </c>
    </row>
    <row r="4188" spans="1:14">
      <c r="A4188" t="s">
        <v>139</v>
      </c>
      <c r="B4188" t="s">
        <v>6292</v>
      </c>
      <c r="C4188" t="s">
        <v>12</v>
      </c>
      <c r="D4188" t="s">
        <v>26</v>
      </c>
      <c r="E4188" s="7">
        <v>45653</v>
      </c>
      <c r="F4188" t="s">
        <v>2355</v>
      </c>
      <c r="G4188">
        <v>0</v>
      </c>
      <c r="H4188" t="s">
        <v>27</v>
      </c>
      <c r="I4188" t="s">
        <v>16</v>
      </c>
      <c r="J4188" t="s">
        <v>16</v>
      </c>
      <c r="K4188" t="str">
        <f>VLOOKUP(C4188,CheckName!A:B,2,0)</f>
        <v>Emp</v>
      </c>
      <c r="L4188">
        <v>0</v>
      </c>
      <c r="M4188">
        <f t="shared" si="613"/>
        <v>27</v>
      </c>
      <c r="N4188" t="str">
        <f>TEXT(MTDRejection[[#This Row],[RejectionDate]],"dddd")</f>
        <v>Friday</v>
      </c>
    </row>
    <row r="4189" spans="1:14">
      <c r="A4189" t="s">
        <v>69</v>
      </c>
      <c r="B4189" t="s">
        <v>6293</v>
      </c>
      <c r="C4189" t="s">
        <v>36</v>
      </c>
      <c r="D4189" t="s">
        <v>26</v>
      </c>
      <c r="E4189" s="7">
        <v>45653</v>
      </c>
      <c r="F4189" t="s">
        <v>2354</v>
      </c>
      <c r="G4189">
        <v>0</v>
      </c>
      <c r="H4189" t="s">
        <v>22</v>
      </c>
      <c r="I4189" t="s">
        <v>16</v>
      </c>
      <c r="J4189" t="s">
        <v>16</v>
      </c>
      <c r="K4189" t="str">
        <f>VLOOKUP(C4189,CheckName!A:B,2,0)</f>
        <v>Emp</v>
      </c>
      <c r="L4189">
        <v>0</v>
      </c>
      <c r="M4189">
        <f>DAY(E4189)</f>
        <v>27</v>
      </c>
      <c r="N4189" t="str">
        <f>TEXT(MTDRejection[[#This Row],[RejectionDate]],"dddd")</f>
        <v>Friday</v>
      </c>
    </row>
    <row r="4190" spans="1:14">
      <c r="A4190" t="s">
        <v>671</v>
      </c>
      <c r="B4190" t="s">
        <v>6294</v>
      </c>
      <c r="C4190" t="s">
        <v>36</v>
      </c>
      <c r="D4190" t="s">
        <v>26</v>
      </c>
      <c r="E4190" s="7">
        <v>45653</v>
      </c>
      <c r="F4190" t="s">
        <v>2335</v>
      </c>
      <c r="G4190">
        <v>0</v>
      </c>
      <c r="H4190" t="s">
        <v>27</v>
      </c>
      <c r="I4190" t="s">
        <v>16</v>
      </c>
      <c r="J4190" t="s">
        <v>16</v>
      </c>
      <c r="K4190" t="str">
        <f>VLOOKUP(C4190,CheckName!A:B,2,0)</f>
        <v>Emp</v>
      </c>
      <c r="L4190">
        <v>0</v>
      </c>
      <c r="M4190">
        <f t="shared" ref="M4190:M4191" si="614">DAY(E4190)</f>
        <v>27</v>
      </c>
      <c r="N4190" t="str">
        <f>TEXT(MTDRejection[[#This Row],[RejectionDate]],"dddd")</f>
        <v>Friday</v>
      </c>
    </row>
    <row r="4191" spans="1:14">
      <c r="A4191" t="s">
        <v>45</v>
      </c>
      <c r="B4191" t="s">
        <v>6295</v>
      </c>
      <c r="C4191" t="s">
        <v>59</v>
      </c>
      <c r="D4191" t="s">
        <v>38</v>
      </c>
      <c r="E4191" s="7">
        <v>45653</v>
      </c>
      <c r="F4191" t="s">
        <v>118</v>
      </c>
      <c r="G4191">
        <v>0</v>
      </c>
      <c r="H4191" t="s">
        <v>22</v>
      </c>
      <c r="I4191" t="s">
        <v>16</v>
      </c>
      <c r="J4191" t="s">
        <v>16</v>
      </c>
      <c r="K4191" t="str">
        <f>VLOOKUP(C4191,CheckName!A:B,2,0)</f>
        <v>Special Check</v>
      </c>
      <c r="L4191">
        <v>0</v>
      </c>
      <c r="M4191">
        <f t="shared" si="614"/>
        <v>27</v>
      </c>
      <c r="N4191" t="str">
        <f>TEXT(MTDRejection[[#This Row],[RejectionDate]],"dddd")</f>
        <v>Friday</v>
      </c>
    </row>
    <row r="4192" spans="1:14">
      <c r="A4192" t="s">
        <v>432</v>
      </c>
      <c r="B4192" t="s">
        <v>6296</v>
      </c>
      <c r="C4192" t="s">
        <v>36</v>
      </c>
      <c r="D4192" t="s">
        <v>26</v>
      </c>
      <c r="E4192" s="7">
        <v>45646</v>
      </c>
      <c r="F4192" t="s">
        <v>37</v>
      </c>
      <c r="G4192">
        <v>7</v>
      </c>
      <c r="H4192" t="s">
        <v>27</v>
      </c>
      <c r="I4192" t="s">
        <v>16</v>
      </c>
      <c r="J4192" t="s">
        <v>16</v>
      </c>
      <c r="K4192" t="str">
        <f>VLOOKUP(C4192,CheckName!A:B,2,0)</f>
        <v>Emp</v>
      </c>
      <c r="L4192">
        <v>0</v>
      </c>
      <c r="M4192">
        <f>DAY(E4192)</f>
        <v>20</v>
      </c>
      <c r="N4192" t="str">
        <f>TEXT(MTDRejection[[#This Row],[RejectionDate]],"dddd")</f>
        <v>Friday</v>
      </c>
    </row>
    <row r="4193" spans="1:14">
      <c r="A4193" t="s">
        <v>119</v>
      </c>
      <c r="B4193" t="s">
        <v>6297</v>
      </c>
      <c r="C4193" t="s">
        <v>36</v>
      </c>
      <c r="D4193" t="s">
        <v>26</v>
      </c>
      <c r="E4193" s="7">
        <v>45644</v>
      </c>
      <c r="F4193" t="s">
        <v>355</v>
      </c>
      <c r="G4193">
        <v>9</v>
      </c>
      <c r="H4193" t="s">
        <v>27</v>
      </c>
      <c r="I4193" t="s">
        <v>16</v>
      </c>
      <c r="J4193" t="s">
        <v>16</v>
      </c>
      <c r="K4193" t="str">
        <f>VLOOKUP(C4193,CheckName!A:B,2,0)</f>
        <v>Emp</v>
      </c>
      <c r="L4193">
        <v>0</v>
      </c>
      <c r="M4193">
        <f>DAY(E4193)</f>
        <v>18</v>
      </c>
      <c r="N4193" t="str">
        <f>TEXT(MTDRejection[[#This Row],[RejectionDate]],"dddd")</f>
        <v>Wednesday</v>
      </c>
    </row>
    <row r="4194" spans="1:14">
      <c r="A4194" t="s">
        <v>81</v>
      </c>
      <c r="B4194" t="s">
        <v>6298</v>
      </c>
      <c r="C4194" t="s">
        <v>54</v>
      </c>
      <c r="D4194" t="s">
        <v>26</v>
      </c>
      <c r="E4194" s="7">
        <v>45639</v>
      </c>
      <c r="F4194" t="s">
        <v>663</v>
      </c>
      <c r="G4194">
        <v>14</v>
      </c>
      <c r="H4194" t="s">
        <v>27</v>
      </c>
      <c r="I4194" t="s">
        <v>16</v>
      </c>
      <c r="J4194" t="s">
        <v>16</v>
      </c>
      <c r="K4194" t="str">
        <f>VLOOKUP(C4194,CheckName!A:B,2,0)</f>
        <v>Edu</v>
      </c>
      <c r="L4194">
        <v>0</v>
      </c>
      <c r="M4194">
        <f>DAY(E4194)</f>
        <v>13</v>
      </c>
      <c r="N4194" t="str">
        <f>TEXT(MTDRejection[[#This Row],[RejectionDate]],"dddd")</f>
        <v>Friday</v>
      </c>
    </row>
    <row r="4195" spans="1:14">
      <c r="A4195" t="s">
        <v>200</v>
      </c>
      <c r="B4195" t="s">
        <v>6299</v>
      </c>
      <c r="C4195" t="s">
        <v>25</v>
      </c>
      <c r="D4195" t="s">
        <v>20</v>
      </c>
      <c r="E4195" s="7">
        <v>45637</v>
      </c>
      <c r="F4195" t="s">
        <v>273</v>
      </c>
      <c r="G4195">
        <v>16</v>
      </c>
      <c r="H4195" t="s">
        <v>22</v>
      </c>
      <c r="I4195" t="s">
        <v>16</v>
      </c>
      <c r="J4195" t="s">
        <v>16</v>
      </c>
      <c r="K4195" t="str">
        <f>VLOOKUP(C4195,CheckName!A:B,2,0)</f>
        <v>Add</v>
      </c>
      <c r="L4195">
        <v>0</v>
      </c>
      <c r="M4195">
        <f t="shared" ref="M4195:M4196" si="615">DAY(E4195)</f>
        <v>11</v>
      </c>
      <c r="N4195" t="str">
        <f>TEXT(MTDRejection[[#This Row],[RejectionDate]],"dddd")</f>
        <v>Wednesday</v>
      </c>
    </row>
    <row r="4196" spans="1:14">
      <c r="A4196" t="s">
        <v>599</v>
      </c>
      <c r="B4196" t="s">
        <v>6300</v>
      </c>
      <c r="C4196" t="s">
        <v>54</v>
      </c>
      <c r="D4196" t="s">
        <v>26</v>
      </c>
      <c r="E4196" s="7">
        <v>45635</v>
      </c>
      <c r="F4196" t="s">
        <v>1825</v>
      </c>
      <c r="G4196">
        <v>18</v>
      </c>
      <c r="H4196" t="s">
        <v>27</v>
      </c>
      <c r="I4196" t="s">
        <v>16</v>
      </c>
      <c r="J4196" t="s">
        <v>16</v>
      </c>
      <c r="K4196" t="str">
        <f>VLOOKUP(C4196,CheckName!A:B,2,0)</f>
        <v>Edu</v>
      </c>
      <c r="L4196">
        <v>0</v>
      </c>
      <c r="M4196">
        <f t="shared" si="615"/>
        <v>9</v>
      </c>
      <c r="N4196" t="str">
        <f>TEXT(MTDRejection[[#This Row],[RejectionDate]],"dddd")</f>
        <v>Monday</v>
      </c>
    </row>
    <row r="4197" spans="1:14">
      <c r="A4197" t="s">
        <v>2322</v>
      </c>
      <c r="B4197" t="s">
        <v>6301</v>
      </c>
      <c r="C4197" t="s">
        <v>106</v>
      </c>
      <c r="D4197" t="s">
        <v>13</v>
      </c>
      <c r="E4197" s="7">
        <v>45653</v>
      </c>
      <c r="F4197" t="s">
        <v>2326</v>
      </c>
      <c r="G4197">
        <v>0</v>
      </c>
      <c r="H4197" t="s">
        <v>15</v>
      </c>
      <c r="I4197" t="s">
        <v>16</v>
      </c>
      <c r="J4197" t="s">
        <v>16</v>
      </c>
      <c r="K4197" t="str">
        <f>VLOOKUP(C4197,CheckName!A:B,2,0)</f>
        <v>Ref</v>
      </c>
      <c r="L4197">
        <v>0</v>
      </c>
      <c r="M4197">
        <f t="shared" ref="M4197:M4200" si="616">DAY(E4197)</f>
        <v>27</v>
      </c>
      <c r="N4197" t="str">
        <f>TEXT(MTDRejection[[#This Row],[RejectionDate]],"dddd")</f>
        <v>Friday</v>
      </c>
    </row>
    <row r="4198" spans="1:14">
      <c r="A4198" t="s">
        <v>671</v>
      </c>
      <c r="B4198" t="s">
        <v>6302</v>
      </c>
      <c r="C4198" t="s">
        <v>54</v>
      </c>
      <c r="D4198" t="s">
        <v>13</v>
      </c>
      <c r="E4198" s="7">
        <v>45653</v>
      </c>
      <c r="F4198" t="s">
        <v>2326</v>
      </c>
      <c r="G4198">
        <v>0</v>
      </c>
      <c r="H4198" t="s">
        <v>30</v>
      </c>
      <c r="I4198" t="s">
        <v>16</v>
      </c>
      <c r="J4198" t="s">
        <v>16</v>
      </c>
      <c r="K4198" t="str">
        <f>VLOOKUP(C4198,CheckName!A:B,2,0)</f>
        <v>Edu</v>
      </c>
      <c r="L4198">
        <v>0</v>
      </c>
      <c r="M4198">
        <f t="shared" si="616"/>
        <v>27</v>
      </c>
      <c r="N4198" t="str">
        <f>TEXT(MTDRejection[[#This Row],[RejectionDate]],"dddd")</f>
        <v>Friday</v>
      </c>
    </row>
    <row r="4199" spans="1:14">
      <c r="A4199" t="s">
        <v>671</v>
      </c>
      <c r="B4199" t="s">
        <v>6303</v>
      </c>
      <c r="C4199" t="s">
        <v>36</v>
      </c>
      <c r="D4199" t="s">
        <v>13</v>
      </c>
      <c r="E4199" s="7">
        <v>45653</v>
      </c>
      <c r="F4199" t="s">
        <v>2326</v>
      </c>
      <c r="G4199">
        <v>0</v>
      </c>
      <c r="H4199" t="s">
        <v>130</v>
      </c>
      <c r="I4199" t="s">
        <v>16</v>
      </c>
      <c r="J4199" t="s">
        <v>16</v>
      </c>
      <c r="K4199" t="str">
        <f>VLOOKUP(C4199,CheckName!A:B,2,0)</f>
        <v>Emp</v>
      </c>
      <c r="L4199">
        <v>0</v>
      </c>
      <c r="M4199">
        <f t="shared" si="616"/>
        <v>27</v>
      </c>
      <c r="N4199" t="str">
        <f>TEXT(MTDRejection[[#This Row],[RejectionDate]],"dddd")</f>
        <v>Friday</v>
      </c>
    </row>
    <row r="4200" spans="1:14">
      <c r="A4200" t="s">
        <v>139</v>
      </c>
      <c r="B4200" t="s">
        <v>6304</v>
      </c>
      <c r="C4200" t="s">
        <v>54</v>
      </c>
      <c r="D4200" t="s">
        <v>13</v>
      </c>
      <c r="E4200" s="7">
        <v>45653</v>
      </c>
      <c r="F4200" t="s">
        <v>2343</v>
      </c>
      <c r="G4200">
        <v>0</v>
      </c>
      <c r="H4200" t="s">
        <v>15</v>
      </c>
      <c r="I4200" t="s">
        <v>16</v>
      </c>
      <c r="J4200" t="s">
        <v>16</v>
      </c>
      <c r="K4200" t="str">
        <f>VLOOKUP(C4200,CheckName!A:B,2,0)</f>
        <v>Edu</v>
      </c>
      <c r="L4200">
        <v>0</v>
      </c>
      <c r="M4200">
        <f t="shared" si="616"/>
        <v>27</v>
      </c>
      <c r="N4200" t="str">
        <f>TEXT(MTDRejection[[#This Row],[RejectionDate]],"dddd")</f>
        <v>Friday</v>
      </c>
    </row>
    <row r="4201" spans="1:14">
      <c r="A4201" t="s">
        <v>180</v>
      </c>
      <c r="B4201" t="s">
        <v>6305</v>
      </c>
      <c r="C4201" t="s">
        <v>54</v>
      </c>
      <c r="D4201" t="s">
        <v>13</v>
      </c>
      <c r="E4201" s="7">
        <v>45653</v>
      </c>
      <c r="F4201" t="s">
        <v>540</v>
      </c>
      <c r="G4201">
        <v>0</v>
      </c>
      <c r="H4201" t="s">
        <v>15</v>
      </c>
      <c r="I4201" t="s">
        <v>16</v>
      </c>
      <c r="J4201" t="s">
        <v>16</v>
      </c>
      <c r="K4201" t="str">
        <f>VLOOKUP(C4201,CheckName!A:B,2,0)</f>
        <v>Edu</v>
      </c>
      <c r="L4201">
        <v>0</v>
      </c>
      <c r="M4201">
        <f t="shared" ref="M4201:M4207" si="617">DAY(E4201)</f>
        <v>27</v>
      </c>
      <c r="N4201" t="str">
        <f>TEXT(MTDRejection[[#This Row],[RejectionDate]],"dddd")</f>
        <v>Friday</v>
      </c>
    </row>
    <row r="4202" spans="1:14">
      <c r="A4202" t="s">
        <v>2323</v>
      </c>
      <c r="B4202" t="s">
        <v>6306</v>
      </c>
      <c r="C4202" t="s">
        <v>54</v>
      </c>
      <c r="D4202" t="s">
        <v>13</v>
      </c>
      <c r="E4202" s="7">
        <v>45653</v>
      </c>
      <c r="F4202" t="s">
        <v>540</v>
      </c>
      <c r="G4202">
        <v>0</v>
      </c>
      <c r="H4202" t="s">
        <v>15</v>
      </c>
      <c r="I4202" t="s">
        <v>16</v>
      </c>
      <c r="J4202" t="s">
        <v>16</v>
      </c>
      <c r="K4202" t="str">
        <f>VLOOKUP(C4202,CheckName!A:B,2,0)</f>
        <v>Edu</v>
      </c>
      <c r="L4202">
        <v>0</v>
      </c>
      <c r="M4202">
        <f t="shared" si="617"/>
        <v>27</v>
      </c>
      <c r="N4202" t="str">
        <f>TEXT(MTDRejection[[#This Row],[RejectionDate]],"dddd")</f>
        <v>Friday</v>
      </c>
    </row>
    <row r="4203" spans="1:14">
      <c r="A4203" t="s">
        <v>2323</v>
      </c>
      <c r="B4203" t="s">
        <v>6307</v>
      </c>
      <c r="C4203" t="s">
        <v>54</v>
      </c>
      <c r="D4203" t="s">
        <v>13</v>
      </c>
      <c r="E4203" s="7">
        <v>45653</v>
      </c>
      <c r="F4203" t="s">
        <v>540</v>
      </c>
      <c r="G4203">
        <v>0</v>
      </c>
      <c r="H4203" t="s">
        <v>15</v>
      </c>
      <c r="I4203" t="s">
        <v>16</v>
      </c>
      <c r="J4203" t="s">
        <v>16</v>
      </c>
      <c r="K4203" t="str">
        <f>VLOOKUP(C4203,CheckName!A:B,2,0)</f>
        <v>Edu</v>
      </c>
      <c r="L4203">
        <v>0</v>
      </c>
      <c r="M4203">
        <f t="shared" si="617"/>
        <v>27</v>
      </c>
      <c r="N4203" t="str">
        <f>TEXT(MTDRejection[[#This Row],[RejectionDate]],"dddd")</f>
        <v>Friday</v>
      </c>
    </row>
    <row r="4204" spans="1:14">
      <c r="A4204" t="s">
        <v>47</v>
      </c>
      <c r="B4204" t="s">
        <v>6308</v>
      </c>
      <c r="C4204" t="s">
        <v>12</v>
      </c>
      <c r="D4204" t="s">
        <v>13</v>
      </c>
      <c r="E4204" s="7">
        <v>45653</v>
      </c>
      <c r="F4204" t="s">
        <v>2342</v>
      </c>
      <c r="G4204">
        <v>0</v>
      </c>
      <c r="H4204" t="s">
        <v>15</v>
      </c>
      <c r="I4204" t="s">
        <v>16</v>
      </c>
      <c r="J4204" t="s">
        <v>16</v>
      </c>
      <c r="K4204" t="str">
        <f>VLOOKUP(C4204,CheckName!A:B,2,0)</f>
        <v>Emp</v>
      </c>
      <c r="L4204">
        <v>0</v>
      </c>
      <c r="M4204">
        <f t="shared" si="617"/>
        <v>27</v>
      </c>
      <c r="N4204" t="str">
        <f>TEXT(MTDRejection[[#This Row],[RejectionDate]],"dddd")</f>
        <v>Friday</v>
      </c>
    </row>
    <row r="4205" spans="1:14">
      <c r="A4205" t="s">
        <v>996</v>
      </c>
      <c r="B4205" t="s">
        <v>6309</v>
      </c>
      <c r="C4205" t="s">
        <v>1098</v>
      </c>
      <c r="D4205" t="s">
        <v>13</v>
      </c>
      <c r="E4205" s="7">
        <v>45653</v>
      </c>
      <c r="F4205" t="s">
        <v>107</v>
      </c>
      <c r="G4205">
        <v>0</v>
      </c>
      <c r="H4205" t="s">
        <v>15</v>
      </c>
      <c r="I4205" t="s">
        <v>16</v>
      </c>
      <c r="J4205" t="s">
        <v>16</v>
      </c>
      <c r="K4205" t="str">
        <f>VLOOKUP(C4205,CheckName!A:B,2,0)</f>
        <v>Edu</v>
      </c>
      <c r="L4205">
        <v>0</v>
      </c>
      <c r="M4205">
        <f t="shared" si="617"/>
        <v>27</v>
      </c>
      <c r="N4205" t="str">
        <f>TEXT(MTDRejection[[#This Row],[RejectionDate]],"dddd")</f>
        <v>Friday</v>
      </c>
    </row>
    <row r="4206" spans="1:14">
      <c r="A4206" t="s">
        <v>47</v>
      </c>
      <c r="B4206" t="s">
        <v>6310</v>
      </c>
      <c r="C4206" t="s">
        <v>12</v>
      </c>
      <c r="D4206" t="s">
        <v>13</v>
      </c>
      <c r="E4206" s="7">
        <v>45653</v>
      </c>
      <c r="F4206" t="s">
        <v>831</v>
      </c>
      <c r="G4206">
        <v>0</v>
      </c>
      <c r="H4206" t="s">
        <v>15</v>
      </c>
      <c r="I4206" t="s">
        <v>16</v>
      </c>
      <c r="J4206" t="s">
        <v>16</v>
      </c>
      <c r="K4206" t="str">
        <f>VLOOKUP(C4206,CheckName!A:B,2,0)</f>
        <v>Emp</v>
      </c>
      <c r="L4206">
        <v>0</v>
      </c>
      <c r="M4206">
        <f t="shared" si="617"/>
        <v>27</v>
      </c>
      <c r="N4206" t="str">
        <f>TEXT(MTDRejection[[#This Row],[RejectionDate]],"dddd")</f>
        <v>Friday</v>
      </c>
    </row>
    <row r="4207" spans="1:14">
      <c r="A4207" t="s">
        <v>96</v>
      </c>
      <c r="B4207" t="s">
        <v>6311</v>
      </c>
      <c r="C4207" t="s">
        <v>49</v>
      </c>
      <c r="D4207" t="s">
        <v>13</v>
      </c>
      <c r="E4207" s="7">
        <v>45653</v>
      </c>
      <c r="F4207" t="s">
        <v>1013</v>
      </c>
      <c r="G4207">
        <v>0</v>
      </c>
      <c r="H4207" t="s">
        <v>15</v>
      </c>
      <c r="I4207" t="s">
        <v>16</v>
      </c>
      <c r="J4207" t="s">
        <v>16</v>
      </c>
      <c r="K4207" t="str">
        <f>VLOOKUP(C4207,CheckName!A:B,2,0)</f>
        <v>CRC</v>
      </c>
      <c r="L4207">
        <v>0</v>
      </c>
      <c r="M4207">
        <f t="shared" si="617"/>
        <v>27</v>
      </c>
      <c r="N4207" t="str">
        <f>TEXT(MTDRejection[[#This Row],[RejectionDate]],"dddd")</f>
        <v>Friday</v>
      </c>
    </row>
    <row r="4208" spans="1:14">
      <c r="A4208" t="s">
        <v>584</v>
      </c>
      <c r="B4208" t="s">
        <v>6312</v>
      </c>
      <c r="C4208" t="s">
        <v>49</v>
      </c>
      <c r="D4208" t="s">
        <v>13</v>
      </c>
      <c r="E4208" s="7">
        <v>45653</v>
      </c>
      <c r="F4208" t="s">
        <v>574</v>
      </c>
      <c r="G4208">
        <v>0</v>
      </c>
      <c r="H4208" t="s">
        <v>15</v>
      </c>
      <c r="I4208" t="s">
        <v>16</v>
      </c>
      <c r="J4208" t="s">
        <v>16</v>
      </c>
      <c r="K4208" t="str">
        <f>VLOOKUP(C4208,CheckName!A:B,2,0)</f>
        <v>CRC</v>
      </c>
      <c r="L4208">
        <v>0</v>
      </c>
      <c r="M4208">
        <f>DAY(E4208)</f>
        <v>27</v>
      </c>
      <c r="N4208" t="str">
        <f>TEXT(MTDRejection[[#This Row],[RejectionDate]],"dddd")</f>
        <v>Friday</v>
      </c>
    </row>
    <row r="4209" spans="1:14">
      <c r="A4209" t="s">
        <v>1092</v>
      </c>
      <c r="B4209" t="s">
        <v>6313</v>
      </c>
      <c r="C4209" t="s">
        <v>54</v>
      </c>
      <c r="D4209" t="s">
        <v>26</v>
      </c>
      <c r="E4209" s="7">
        <v>45653</v>
      </c>
      <c r="F4209" t="s">
        <v>504</v>
      </c>
      <c r="G4209">
        <v>0</v>
      </c>
      <c r="H4209" t="s">
        <v>27</v>
      </c>
      <c r="I4209" t="s">
        <v>16</v>
      </c>
      <c r="J4209" t="s">
        <v>16</v>
      </c>
      <c r="K4209" t="str">
        <f>VLOOKUP(C4209,CheckName!A:B,2,0)</f>
        <v>Edu</v>
      </c>
      <c r="L4209">
        <v>0</v>
      </c>
      <c r="M4209">
        <f>DAY(E4209)</f>
        <v>27</v>
      </c>
      <c r="N4209" t="str">
        <f>TEXT(MTDRejection[[#This Row],[RejectionDate]],"dddd")</f>
        <v>Friday</v>
      </c>
    </row>
    <row r="4210" spans="1:14">
      <c r="A4210" t="s">
        <v>757</v>
      </c>
      <c r="B4210" t="s">
        <v>6314</v>
      </c>
      <c r="C4210" t="s">
        <v>25</v>
      </c>
      <c r="D4210" t="s">
        <v>20</v>
      </c>
      <c r="E4210" s="7">
        <v>45653</v>
      </c>
      <c r="F4210" t="s">
        <v>2330</v>
      </c>
      <c r="G4210">
        <v>0</v>
      </c>
      <c r="H4210" t="s">
        <v>22</v>
      </c>
      <c r="I4210" t="s">
        <v>16</v>
      </c>
      <c r="J4210" t="s">
        <v>16</v>
      </c>
      <c r="K4210" t="str">
        <f>VLOOKUP(C4210,CheckName!A:B,2,0)</f>
        <v>Add</v>
      </c>
      <c r="L4210">
        <v>0</v>
      </c>
      <c r="M4210">
        <f t="shared" ref="M4210:M4212" si="618">DAY(E4210)</f>
        <v>27</v>
      </c>
      <c r="N4210" t="str">
        <f>TEXT(MTDRejection[[#This Row],[RejectionDate]],"dddd")</f>
        <v>Friday</v>
      </c>
    </row>
    <row r="4211" spans="1:14">
      <c r="A4211" t="s">
        <v>133</v>
      </c>
      <c r="B4211" t="s">
        <v>6315</v>
      </c>
      <c r="C4211" t="s">
        <v>25</v>
      </c>
      <c r="D4211" t="s">
        <v>20</v>
      </c>
      <c r="E4211" s="7">
        <v>45653</v>
      </c>
      <c r="F4211" t="s">
        <v>2330</v>
      </c>
      <c r="G4211">
        <v>0</v>
      </c>
      <c r="H4211" t="s">
        <v>22</v>
      </c>
      <c r="I4211" t="s">
        <v>16</v>
      </c>
      <c r="J4211" t="s">
        <v>16</v>
      </c>
      <c r="K4211" t="str">
        <f>VLOOKUP(C4211,CheckName!A:B,2,0)</f>
        <v>Add</v>
      </c>
      <c r="L4211">
        <v>0</v>
      </c>
      <c r="M4211">
        <f t="shared" si="618"/>
        <v>27</v>
      </c>
      <c r="N4211" t="str">
        <f>TEXT(MTDRejection[[#This Row],[RejectionDate]],"dddd")</f>
        <v>Friday</v>
      </c>
    </row>
    <row r="4212" spans="1:14">
      <c r="A4212" t="s">
        <v>228</v>
      </c>
      <c r="B4212" t="s">
        <v>6316</v>
      </c>
      <c r="C4212" t="s">
        <v>12</v>
      </c>
      <c r="D4212" t="s">
        <v>26</v>
      </c>
      <c r="E4212" s="7">
        <v>45653</v>
      </c>
      <c r="F4212" t="s">
        <v>83</v>
      </c>
      <c r="G4212">
        <v>0</v>
      </c>
      <c r="H4212" t="s">
        <v>27</v>
      </c>
      <c r="I4212" t="s">
        <v>16</v>
      </c>
      <c r="J4212" t="s">
        <v>16</v>
      </c>
      <c r="K4212" t="str">
        <f>VLOOKUP(C4212,CheckName!A:B,2,0)</f>
        <v>Emp</v>
      </c>
      <c r="L4212">
        <v>0</v>
      </c>
      <c r="M4212">
        <f t="shared" si="618"/>
        <v>27</v>
      </c>
      <c r="N4212" t="str">
        <f>TEXT(MTDRejection[[#This Row],[RejectionDate]],"dddd")</f>
        <v>Friday</v>
      </c>
    </row>
    <row r="4213" spans="1:14">
      <c r="A4213" t="s">
        <v>119</v>
      </c>
      <c r="B4213" t="s">
        <v>6317</v>
      </c>
      <c r="C4213" t="s">
        <v>805</v>
      </c>
      <c r="D4213" t="s">
        <v>26</v>
      </c>
      <c r="E4213" s="7">
        <v>45653</v>
      </c>
      <c r="F4213" t="s">
        <v>63</v>
      </c>
      <c r="G4213">
        <v>0</v>
      </c>
      <c r="H4213" t="s">
        <v>27</v>
      </c>
      <c r="I4213" t="s">
        <v>16</v>
      </c>
      <c r="J4213" t="s">
        <v>16</v>
      </c>
      <c r="K4213" t="str">
        <f>VLOOKUP(C4213,CheckName!A:B,2,0)</f>
        <v>Edu</v>
      </c>
      <c r="L4213">
        <v>0</v>
      </c>
      <c r="M4213">
        <f>DAY(E4213)</f>
        <v>27</v>
      </c>
      <c r="N4213" t="str">
        <f>TEXT(MTDRejection[[#This Row],[RejectionDate]],"dddd")</f>
        <v>Friday</v>
      </c>
    </row>
    <row r="4214" spans="1:14">
      <c r="A4214" t="s">
        <v>64</v>
      </c>
      <c r="B4214" t="s">
        <v>6318</v>
      </c>
      <c r="C4214" t="s">
        <v>12</v>
      </c>
      <c r="D4214" t="s">
        <v>26</v>
      </c>
      <c r="E4214" s="7">
        <v>45653</v>
      </c>
      <c r="F4214" t="s">
        <v>169</v>
      </c>
      <c r="G4214">
        <v>0</v>
      </c>
      <c r="H4214" t="s">
        <v>27</v>
      </c>
      <c r="I4214" t="s">
        <v>16</v>
      </c>
      <c r="J4214" t="s">
        <v>16</v>
      </c>
      <c r="K4214" t="str">
        <f>VLOOKUP(C4214,CheckName!A:B,2,0)</f>
        <v>Emp</v>
      </c>
      <c r="L4214">
        <v>0</v>
      </c>
      <c r="M4214">
        <f>DAY(E4214)</f>
        <v>27</v>
      </c>
      <c r="N4214" t="str">
        <f>TEXT(MTDRejection[[#This Row],[RejectionDate]],"dddd")</f>
        <v>Friday</v>
      </c>
    </row>
    <row r="4215" spans="1:14">
      <c r="A4215" t="s">
        <v>469</v>
      </c>
      <c r="B4215" t="s">
        <v>6319</v>
      </c>
      <c r="C4215" t="s">
        <v>12</v>
      </c>
      <c r="D4215" t="s">
        <v>26</v>
      </c>
      <c r="E4215" s="7">
        <v>45653</v>
      </c>
      <c r="F4215" t="s">
        <v>277</v>
      </c>
      <c r="G4215">
        <v>0</v>
      </c>
      <c r="H4215" t="s">
        <v>27</v>
      </c>
      <c r="I4215" t="s">
        <v>16</v>
      </c>
      <c r="J4215" t="s">
        <v>16</v>
      </c>
      <c r="K4215" t="str">
        <f>VLOOKUP(C4215,CheckName!A:B,2,0)</f>
        <v>Emp</v>
      </c>
      <c r="L4215">
        <v>0</v>
      </c>
      <c r="M4215">
        <f>DAY(E4215)</f>
        <v>27</v>
      </c>
      <c r="N4215" t="str">
        <f>TEXT(MTDRejection[[#This Row],[RejectionDate]],"dddd")</f>
        <v>Friday</v>
      </c>
    </row>
    <row r="4216" spans="1:14">
      <c r="A4216" t="s">
        <v>205</v>
      </c>
      <c r="B4216" t="s">
        <v>6320</v>
      </c>
      <c r="C4216" t="s">
        <v>25</v>
      </c>
      <c r="D4216" t="s">
        <v>20</v>
      </c>
      <c r="E4216" s="7">
        <v>45653</v>
      </c>
      <c r="F4216" t="s">
        <v>2327</v>
      </c>
      <c r="G4216">
        <v>0</v>
      </c>
      <c r="H4216" t="s">
        <v>130</v>
      </c>
      <c r="I4216" t="s">
        <v>16</v>
      </c>
      <c r="J4216" t="s">
        <v>16</v>
      </c>
      <c r="K4216" t="str">
        <f>VLOOKUP(C4216,CheckName!A:B,2,0)</f>
        <v>Add</v>
      </c>
      <c r="L4216">
        <v>0</v>
      </c>
      <c r="M4216">
        <f>DAY(E4216)</f>
        <v>27</v>
      </c>
      <c r="N4216" t="str">
        <f>TEXT(MTDRejection[[#This Row],[RejectionDate]],"dddd")</f>
        <v>Friday</v>
      </c>
    </row>
    <row r="4217" spans="1:14">
      <c r="A4217" t="s">
        <v>81</v>
      </c>
      <c r="B4217" t="s">
        <v>6321</v>
      </c>
      <c r="C4217" t="s">
        <v>54</v>
      </c>
      <c r="D4217" t="s">
        <v>26</v>
      </c>
      <c r="E4217" s="7">
        <v>45653</v>
      </c>
      <c r="F4217" t="s">
        <v>121</v>
      </c>
      <c r="G4217">
        <v>0</v>
      </c>
      <c r="H4217" t="s">
        <v>27</v>
      </c>
      <c r="I4217" t="s">
        <v>16</v>
      </c>
      <c r="J4217" t="s">
        <v>16</v>
      </c>
      <c r="K4217" t="str">
        <f>VLOOKUP(C4217,CheckName!A:B,2,0)</f>
        <v>Edu</v>
      </c>
      <c r="L4217">
        <v>0</v>
      </c>
      <c r="M4217">
        <f>DAY(E4217)</f>
        <v>27</v>
      </c>
      <c r="N4217" t="str">
        <f>TEXT(MTDRejection[[#This Row],[RejectionDate]],"dddd")</f>
        <v>Friday</v>
      </c>
    </row>
    <row r="4218" spans="1:14">
      <c r="A4218" t="s">
        <v>1080</v>
      </c>
      <c r="B4218" t="s">
        <v>6322</v>
      </c>
      <c r="C4218" t="s">
        <v>12</v>
      </c>
      <c r="D4218" t="s">
        <v>26</v>
      </c>
      <c r="E4218" s="7">
        <v>45653</v>
      </c>
      <c r="F4218" t="s">
        <v>2350</v>
      </c>
      <c r="G4218">
        <v>0</v>
      </c>
      <c r="H4218" t="s">
        <v>27</v>
      </c>
      <c r="I4218" t="s">
        <v>16</v>
      </c>
      <c r="J4218" t="s">
        <v>16</v>
      </c>
      <c r="K4218" t="str">
        <f>VLOOKUP(C4218,CheckName!A:B,2,0)</f>
        <v>Emp</v>
      </c>
      <c r="L4218">
        <v>0</v>
      </c>
      <c r="M4218">
        <f t="shared" ref="M4218:M4219" si="619">DAY(E4218)</f>
        <v>27</v>
      </c>
      <c r="N4218" t="str">
        <f>TEXT(MTDRejection[[#This Row],[RejectionDate]],"dddd")</f>
        <v>Friday</v>
      </c>
    </row>
    <row r="4219" spans="1:14">
      <c r="A4219" t="s">
        <v>288</v>
      </c>
      <c r="B4219" t="s">
        <v>6323</v>
      </c>
      <c r="C4219" t="s">
        <v>36</v>
      </c>
      <c r="D4219" t="s">
        <v>26</v>
      </c>
      <c r="E4219" s="7">
        <v>45653</v>
      </c>
      <c r="F4219" t="s">
        <v>2350</v>
      </c>
      <c r="G4219">
        <v>0</v>
      </c>
      <c r="H4219" t="s">
        <v>22</v>
      </c>
      <c r="I4219" t="s">
        <v>16</v>
      </c>
      <c r="J4219" t="s">
        <v>16</v>
      </c>
      <c r="K4219" t="str">
        <f>VLOOKUP(C4219,CheckName!A:B,2,0)</f>
        <v>Emp</v>
      </c>
      <c r="L4219">
        <v>0</v>
      </c>
      <c r="M4219">
        <f t="shared" si="619"/>
        <v>27</v>
      </c>
      <c r="N4219" t="str">
        <f>TEXT(MTDRejection[[#This Row],[RejectionDate]],"dddd")</f>
        <v>Friday</v>
      </c>
    </row>
    <row r="4220" spans="1:14">
      <c r="A4220" t="s">
        <v>2063</v>
      </c>
      <c r="B4220" t="s">
        <v>2783</v>
      </c>
      <c r="C4220" t="s">
        <v>36</v>
      </c>
      <c r="D4220" t="s">
        <v>26</v>
      </c>
      <c r="E4220" s="7">
        <v>45653</v>
      </c>
      <c r="F4220" t="s">
        <v>2335</v>
      </c>
      <c r="G4220">
        <v>0</v>
      </c>
      <c r="H4220" t="s">
        <v>27</v>
      </c>
      <c r="I4220" t="s">
        <v>16</v>
      </c>
      <c r="J4220" t="s">
        <v>16</v>
      </c>
      <c r="K4220" t="str">
        <f>VLOOKUP(C4220,CheckName!A:B,2,0)</f>
        <v>Emp</v>
      </c>
      <c r="L4220">
        <v>0</v>
      </c>
      <c r="M4220">
        <f t="shared" ref="M4220:M4223" si="620">DAY(E4220)</f>
        <v>27</v>
      </c>
      <c r="N4220" t="str">
        <f>TEXT(MTDRejection[[#This Row],[RejectionDate]],"dddd")</f>
        <v>Friday</v>
      </c>
    </row>
    <row r="4221" spans="1:14">
      <c r="A4221" t="s">
        <v>2325</v>
      </c>
      <c r="B4221" t="s">
        <v>6324</v>
      </c>
      <c r="C4221" t="s">
        <v>36</v>
      </c>
      <c r="D4221" t="s">
        <v>38</v>
      </c>
      <c r="E4221" s="7">
        <v>45653</v>
      </c>
      <c r="F4221" t="s">
        <v>39</v>
      </c>
      <c r="G4221">
        <v>0</v>
      </c>
      <c r="H4221" t="s">
        <v>27</v>
      </c>
      <c r="I4221" t="s">
        <v>16</v>
      </c>
      <c r="J4221" t="s">
        <v>16</v>
      </c>
      <c r="K4221" t="str">
        <f>VLOOKUP(C4221,CheckName!A:B,2,0)</f>
        <v>Emp</v>
      </c>
      <c r="L4221">
        <v>0</v>
      </c>
      <c r="M4221">
        <f t="shared" si="620"/>
        <v>27</v>
      </c>
      <c r="N4221" t="str">
        <f>TEXT(MTDRejection[[#This Row],[RejectionDate]],"dddd")</f>
        <v>Friday</v>
      </c>
    </row>
    <row r="4222" spans="1:14">
      <c r="A4222" t="s">
        <v>664</v>
      </c>
      <c r="B4222" t="s">
        <v>2784</v>
      </c>
      <c r="C4222" t="s">
        <v>125</v>
      </c>
      <c r="D4222" t="s">
        <v>38</v>
      </c>
      <c r="E4222" s="7">
        <v>45653</v>
      </c>
      <c r="F4222" t="s">
        <v>39</v>
      </c>
      <c r="G4222">
        <v>0</v>
      </c>
      <c r="H4222" t="s">
        <v>30</v>
      </c>
      <c r="I4222" t="s">
        <v>16</v>
      </c>
      <c r="J4222" t="s">
        <v>16</v>
      </c>
      <c r="K4222" t="str">
        <f>VLOOKUP(C4222,CheckName!A:B,2,0)</f>
        <v>Emp</v>
      </c>
      <c r="L4222">
        <v>0</v>
      </c>
      <c r="M4222">
        <f t="shared" si="620"/>
        <v>27</v>
      </c>
      <c r="N4222" t="str">
        <f>TEXT(MTDRejection[[#This Row],[RejectionDate]],"dddd")</f>
        <v>Friday</v>
      </c>
    </row>
    <row r="4223" spans="1:14">
      <c r="A4223" t="s">
        <v>292</v>
      </c>
      <c r="B4223" t="s">
        <v>6325</v>
      </c>
      <c r="C4223" t="s">
        <v>12</v>
      </c>
      <c r="D4223" t="s">
        <v>38</v>
      </c>
      <c r="E4223" s="7">
        <v>45653</v>
      </c>
      <c r="F4223" t="s">
        <v>39</v>
      </c>
      <c r="G4223">
        <v>0</v>
      </c>
      <c r="H4223" t="s">
        <v>42</v>
      </c>
      <c r="I4223" t="s">
        <v>16</v>
      </c>
      <c r="J4223" t="s">
        <v>16</v>
      </c>
      <c r="K4223" t="str">
        <f>VLOOKUP(C4223,CheckName!A:B,2,0)</f>
        <v>Emp</v>
      </c>
      <c r="L4223">
        <v>0</v>
      </c>
      <c r="M4223">
        <f t="shared" si="620"/>
        <v>27</v>
      </c>
      <c r="N4223" t="str">
        <f>TEXT(MTDRejection[[#This Row],[RejectionDate]],"dddd")</f>
        <v>Friday</v>
      </c>
    </row>
    <row r="4224" spans="1:14">
      <c r="A4224" t="s">
        <v>45</v>
      </c>
      <c r="B4224" t="s">
        <v>2064</v>
      </c>
      <c r="C4224" t="s">
        <v>12</v>
      </c>
      <c r="D4224" t="s">
        <v>26</v>
      </c>
      <c r="E4224" s="7">
        <v>45652</v>
      </c>
      <c r="F4224" t="s">
        <v>224</v>
      </c>
      <c r="G4224">
        <v>1</v>
      </c>
      <c r="H4224" t="s">
        <v>22</v>
      </c>
      <c r="I4224" t="s">
        <v>16</v>
      </c>
      <c r="J4224" t="s">
        <v>16</v>
      </c>
      <c r="K4224" t="str">
        <f>VLOOKUP(C4224,CheckName!A:B,2,0)</f>
        <v>Emp</v>
      </c>
      <c r="L4224">
        <v>0</v>
      </c>
      <c r="M4224">
        <f>DAY(E4224)</f>
        <v>26</v>
      </c>
      <c r="N4224" t="str">
        <f>TEXT(MTDRejection[[#This Row],[RejectionDate]],"dddd")</f>
        <v>Thursday</v>
      </c>
    </row>
    <row r="4225" spans="1:14">
      <c r="A4225" t="s">
        <v>100</v>
      </c>
      <c r="B4225" t="s">
        <v>6326</v>
      </c>
      <c r="C4225" t="s">
        <v>357</v>
      </c>
      <c r="D4225" t="s">
        <v>26</v>
      </c>
      <c r="E4225" s="7">
        <v>45650</v>
      </c>
      <c r="F4225" t="s">
        <v>380</v>
      </c>
      <c r="G4225">
        <v>3</v>
      </c>
      <c r="H4225" t="s">
        <v>22</v>
      </c>
      <c r="I4225" t="s">
        <v>16</v>
      </c>
      <c r="J4225" t="s">
        <v>16</v>
      </c>
      <c r="K4225" t="str">
        <f>VLOOKUP(C4225,CheckName!A:B,2,0)</f>
        <v>Emp</v>
      </c>
      <c r="L4225">
        <v>0</v>
      </c>
      <c r="M4225">
        <f>DAY(E4225)</f>
        <v>24</v>
      </c>
      <c r="N4225" t="str">
        <f>TEXT(MTDRejection[[#This Row],[RejectionDate]],"dddd")</f>
        <v>Tuesday</v>
      </c>
    </row>
    <row r="4226" spans="1:14">
      <c r="A4226" t="s">
        <v>119</v>
      </c>
      <c r="B4226" t="s">
        <v>6327</v>
      </c>
      <c r="C4226" t="s">
        <v>36</v>
      </c>
      <c r="D4226" t="s">
        <v>26</v>
      </c>
      <c r="E4226" s="7">
        <v>45637</v>
      </c>
      <c r="F4226" t="s">
        <v>2354</v>
      </c>
      <c r="G4226">
        <v>16</v>
      </c>
      <c r="H4226" t="s">
        <v>22</v>
      </c>
      <c r="I4226" t="s">
        <v>16</v>
      </c>
      <c r="J4226" t="s">
        <v>16</v>
      </c>
      <c r="K4226" t="str">
        <f>VLOOKUP(C4226,CheckName!A:B,2,0)</f>
        <v>Emp</v>
      </c>
      <c r="L4226">
        <v>0</v>
      </c>
      <c r="M4226">
        <f>DAY(E4226)</f>
        <v>11</v>
      </c>
      <c r="N4226" t="str">
        <f>TEXT(MTDRejection[[#This Row],[RejectionDate]],"dddd")</f>
        <v>Wednesday</v>
      </c>
    </row>
    <row r="4227" spans="1:14">
      <c r="A4227" t="s">
        <v>139</v>
      </c>
      <c r="B4227" t="s">
        <v>2785</v>
      </c>
      <c r="C4227" t="s">
        <v>25</v>
      </c>
      <c r="D4227" t="s">
        <v>26</v>
      </c>
      <c r="E4227" s="7">
        <v>45656</v>
      </c>
      <c r="F4227" t="s">
        <v>2330</v>
      </c>
      <c r="G4227">
        <v>0</v>
      </c>
      <c r="H4227" t="s">
        <v>27</v>
      </c>
      <c r="I4227" t="s">
        <v>16</v>
      </c>
      <c r="J4227" t="s">
        <v>16</v>
      </c>
      <c r="K4227" t="s">
        <v>2045</v>
      </c>
      <c r="L4227">
        <v>0</v>
      </c>
      <c r="M4227">
        <f t="shared" ref="M4227:M4237" si="621">DAY(E4227)</f>
        <v>30</v>
      </c>
      <c r="N4227" t="str">
        <f>TEXT(MTDRejection[[#This Row],[RejectionDate]],"dddd")</f>
        <v>Monday</v>
      </c>
    </row>
    <row r="4228" spans="1:14">
      <c r="A4228" t="s">
        <v>100</v>
      </c>
      <c r="B4228" t="s">
        <v>6328</v>
      </c>
      <c r="C4228" t="s">
        <v>102</v>
      </c>
      <c r="D4228" t="s">
        <v>13</v>
      </c>
      <c r="E4228" s="7">
        <v>45656</v>
      </c>
      <c r="F4228" t="s">
        <v>98</v>
      </c>
      <c r="G4228">
        <v>0</v>
      </c>
      <c r="H4228" t="s">
        <v>15</v>
      </c>
      <c r="I4228" t="s">
        <v>16</v>
      </c>
      <c r="J4228" t="s">
        <v>16</v>
      </c>
      <c r="K4228" t="s">
        <v>2047</v>
      </c>
      <c r="L4228">
        <v>0</v>
      </c>
      <c r="M4228">
        <f t="shared" si="621"/>
        <v>30</v>
      </c>
      <c r="N4228" t="str">
        <f>TEXT(MTDRejection[[#This Row],[RejectionDate]],"dddd")</f>
        <v>Monday</v>
      </c>
    </row>
    <row r="4229" spans="1:14">
      <c r="A4229" t="s">
        <v>100</v>
      </c>
      <c r="B4229" t="s">
        <v>5370</v>
      </c>
      <c r="C4229" t="s">
        <v>357</v>
      </c>
      <c r="D4229" t="s">
        <v>13</v>
      </c>
      <c r="E4229" s="7">
        <v>45656</v>
      </c>
      <c r="F4229" t="s">
        <v>98</v>
      </c>
      <c r="G4229">
        <v>0</v>
      </c>
      <c r="H4229" t="s">
        <v>30</v>
      </c>
      <c r="I4229" t="s">
        <v>16</v>
      </c>
      <c r="J4229" t="s">
        <v>16</v>
      </c>
      <c r="K4229" t="s">
        <v>2046</v>
      </c>
      <c r="L4229">
        <v>0</v>
      </c>
      <c r="M4229">
        <f t="shared" si="621"/>
        <v>30</v>
      </c>
      <c r="N4229" t="str">
        <f>TEXT(MTDRejection[[#This Row],[RejectionDate]],"dddd")</f>
        <v>Monday</v>
      </c>
    </row>
    <row r="4230" spans="1:14">
      <c r="A4230" t="s">
        <v>100</v>
      </c>
      <c r="B4230" t="s">
        <v>4391</v>
      </c>
      <c r="C4230" t="s">
        <v>359</v>
      </c>
      <c r="D4230" t="s">
        <v>13</v>
      </c>
      <c r="E4230" s="7">
        <v>45656</v>
      </c>
      <c r="F4230" t="s">
        <v>98</v>
      </c>
      <c r="G4230">
        <v>0</v>
      </c>
      <c r="H4230" t="s">
        <v>15</v>
      </c>
      <c r="I4230" t="s">
        <v>16</v>
      </c>
      <c r="J4230" t="s">
        <v>16</v>
      </c>
      <c r="K4230" t="s">
        <v>2046</v>
      </c>
      <c r="L4230">
        <v>0</v>
      </c>
      <c r="M4230">
        <f t="shared" si="621"/>
        <v>30</v>
      </c>
      <c r="N4230" t="str">
        <f>TEXT(MTDRejection[[#This Row],[RejectionDate]],"dddd")</f>
        <v>Monday</v>
      </c>
    </row>
    <row r="4231" spans="1:14">
      <c r="A4231" t="s">
        <v>45</v>
      </c>
      <c r="B4231" t="s">
        <v>6329</v>
      </c>
      <c r="C4231" t="s">
        <v>54</v>
      </c>
      <c r="D4231" t="s">
        <v>13</v>
      </c>
      <c r="E4231" s="7">
        <v>45656</v>
      </c>
      <c r="F4231" t="s">
        <v>98</v>
      </c>
      <c r="G4231">
        <v>0</v>
      </c>
      <c r="H4231" t="s">
        <v>15</v>
      </c>
      <c r="I4231" t="s">
        <v>16</v>
      </c>
      <c r="J4231" t="s">
        <v>16</v>
      </c>
      <c r="K4231" t="s">
        <v>2047</v>
      </c>
      <c r="L4231">
        <v>0</v>
      </c>
      <c r="M4231">
        <f t="shared" si="621"/>
        <v>30</v>
      </c>
      <c r="N4231" t="str">
        <f>TEXT(MTDRejection[[#This Row],[RejectionDate]],"dddd")</f>
        <v>Monday</v>
      </c>
    </row>
    <row r="4232" spans="1:14">
      <c r="A4232" t="s">
        <v>391</v>
      </c>
      <c r="B4232" t="s">
        <v>6330</v>
      </c>
      <c r="C4232" t="s">
        <v>56</v>
      </c>
      <c r="D4232" t="s">
        <v>13</v>
      </c>
      <c r="E4232" s="7">
        <v>45656</v>
      </c>
      <c r="F4232" t="s">
        <v>107</v>
      </c>
      <c r="G4232">
        <v>0</v>
      </c>
      <c r="H4232" t="s">
        <v>15</v>
      </c>
      <c r="I4232" t="s">
        <v>16</v>
      </c>
      <c r="J4232" t="s">
        <v>16</v>
      </c>
      <c r="K4232" t="s">
        <v>57</v>
      </c>
      <c r="L4232">
        <v>0</v>
      </c>
      <c r="M4232">
        <f t="shared" si="621"/>
        <v>30</v>
      </c>
      <c r="N4232" t="str">
        <f>TEXT(MTDRejection[[#This Row],[RejectionDate]],"dddd")</f>
        <v>Monday</v>
      </c>
    </row>
    <row r="4233" spans="1:14">
      <c r="A4233" t="s">
        <v>203</v>
      </c>
      <c r="B4233" t="s">
        <v>6331</v>
      </c>
      <c r="C4233" t="s">
        <v>36</v>
      </c>
      <c r="D4233" t="s">
        <v>26</v>
      </c>
      <c r="E4233" s="7">
        <v>45656</v>
      </c>
      <c r="F4233" t="s">
        <v>2333</v>
      </c>
      <c r="G4233">
        <v>0</v>
      </c>
      <c r="H4233" t="s">
        <v>130</v>
      </c>
      <c r="I4233" t="s">
        <v>16</v>
      </c>
      <c r="J4233" t="s">
        <v>16</v>
      </c>
      <c r="K4233" t="s">
        <v>2046</v>
      </c>
      <c r="L4233">
        <v>0</v>
      </c>
      <c r="M4233">
        <f t="shared" si="621"/>
        <v>30</v>
      </c>
      <c r="N4233" t="str">
        <f>TEXT(MTDRejection[[#This Row],[RejectionDate]],"dddd")</f>
        <v>Monday</v>
      </c>
    </row>
    <row r="4234" spans="1:14">
      <c r="A4234" t="s">
        <v>708</v>
      </c>
      <c r="B4234" t="s">
        <v>6332</v>
      </c>
      <c r="C4234" t="s">
        <v>36</v>
      </c>
      <c r="D4234" t="s">
        <v>26</v>
      </c>
      <c r="E4234" s="7">
        <v>45656</v>
      </c>
      <c r="F4234" t="s">
        <v>2333</v>
      </c>
      <c r="G4234">
        <v>0</v>
      </c>
      <c r="H4234" t="s">
        <v>130</v>
      </c>
      <c r="I4234" t="s">
        <v>16</v>
      </c>
      <c r="J4234" t="s">
        <v>16</v>
      </c>
      <c r="K4234" t="s">
        <v>2046</v>
      </c>
      <c r="L4234">
        <v>0</v>
      </c>
      <c r="M4234">
        <f t="shared" si="621"/>
        <v>30</v>
      </c>
      <c r="N4234" t="str">
        <f>TEXT(MTDRejection[[#This Row],[RejectionDate]],"dddd")</f>
        <v>Monday</v>
      </c>
    </row>
    <row r="4235" spans="1:14">
      <c r="A4235" t="s">
        <v>84</v>
      </c>
      <c r="B4235" t="s">
        <v>6333</v>
      </c>
      <c r="C4235" t="s">
        <v>36</v>
      </c>
      <c r="D4235" t="s">
        <v>26</v>
      </c>
      <c r="E4235" s="7">
        <v>45656</v>
      </c>
      <c r="F4235" t="s">
        <v>2333</v>
      </c>
      <c r="G4235">
        <v>0</v>
      </c>
      <c r="H4235" t="s">
        <v>22</v>
      </c>
      <c r="I4235" t="s">
        <v>16</v>
      </c>
      <c r="J4235" t="s">
        <v>16</v>
      </c>
      <c r="K4235" t="s">
        <v>2046</v>
      </c>
      <c r="L4235">
        <v>0</v>
      </c>
      <c r="M4235">
        <f t="shared" si="621"/>
        <v>30</v>
      </c>
      <c r="N4235" t="str">
        <f>TEXT(MTDRejection[[#This Row],[RejectionDate]],"dddd")</f>
        <v>Monday</v>
      </c>
    </row>
    <row r="4236" spans="1:14">
      <c r="A4236" t="s">
        <v>84</v>
      </c>
      <c r="B4236" t="s">
        <v>6334</v>
      </c>
      <c r="C4236" t="s">
        <v>125</v>
      </c>
      <c r="D4236" t="s">
        <v>26</v>
      </c>
      <c r="E4236" s="7">
        <v>45656</v>
      </c>
      <c r="F4236" t="s">
        <v>2333</v>
      </c>
      <c r="G4236">
        <v>0</v>
      </c>
      <c r="H4236" t="s">
        <v>22</v>
      </c>
      <c r="I4236" t="s">
        <v>16</v>
      </c>
      <c r="J4236" t="s">
        <v>16</v>
      </c>
      <c r="K4236" t="s">
        <v>2046</v>
      </c>
      <c r="L4236">
        <v>0</v>
      </c>
      <c r="M4236">
        <f t="shared" si="621"/>
        <v>30</v>
      </c>
      <c r="N4236" t="str">
        <f>TEXT(MTDRejection[[#This Row],[RejectionDate]],"dddd")</f>
        <v>Monday</v>
      </c>
    </row>
    <row r="4237" spans="1:14">
      <c r="A4237" t="s">
        <v>81</v>
      </c>
      <c r="B4237" t="s">
        <v>2786</v>
      </c>
      <c r="C4237" t="s">
        <v>12</v>
      </c>
      <c r="D4237" t="s">
        <v>26</v>
      </c>
      <c r="E4237" s="7">
        <v>45656</v>
      </c>
      <c r="F4237" t="s">
        <v>151</v>
      </c>
      <c r="G4237">
        <v>0</v>
      </c>
      <c r="H4237" t="s">
        <v>27</v>
      </c>
      <c r="I4237" t="s">
        <v>16</v>
      </c>
      <c r="J4237" t="s">
        <v>16</v>
      </c>
      <c r="K4237" t="s">
        <v>2046</v>
      </c>
      <c r="L4237">
        <v>0</v>
      </c>
      <c r="M4237">
        <f t="shared" si="621"/>
        <v>30</v>
      </c>
      <c r="N4237" t="str">
        <f>TEXT(MTDRejection[[#This Row],[RejectionDate]],"dddd")</f>
        <v>Monday</v>
      </c>
    </row>
    <row r="4238" spans="1:14">
      <c r="A4238" t="s">
        <v>84</v>
      </c>
      <c r="B4238" t="s">
        <v>2491</v>
      </c>
      <c r="C4238" t="s">
        <v>467</v>
      </c>
      <c r="D4238" t="s">
        <v>26</v>
      </c>
      <c r="E4238" s="7">
        <v>45656</v>
      </c>
      <c r="F4238" t="s">
        <v>236</v>
      </c>
      <c r="G4238">
        <v>0</v>
      </c>
      <c r="H4238" t="s">
        <v>27</v>
      </c>
      <c r="I4238" t="s">
        <v>16</v>
      </c>
      <c r="J4238" t="s">
        <v>16</v>
      </c>
      <c r="K4238" t="s">
        <v>57</v>
      </c>
      <c r="L4238">
        <v>0</v>
      </c>
      <c r="M4238">
        <f t="shared" ref="M4238:M4269" si="622">DAY(E4238)</f>
        <v>30</v>
      </c>
      <c r="N4238" t="str">
        <f>TEXT(MTDRejection[[#This Row],[RejectionDate]],"dddd")</f>
        <v>Monday</v>
      </c>
    </row>
    <row r="4239" spans="1:14">
      <c r="A4239" t="s">
        <v>43</v>
      </c>
      <c r="B4239" t="s">
        <v>6335</v>
      </c>
      <c r="C4239" t="s">
        <v>12</v>
      </c>
      <c r="D4239" t="s">
        <v>38</v>
      </c>
      <c r="E4239" s="7">
        <v>45656</v>
      </c>
      <c r="F4239" t="s">
        <v>39</v>
      </c>
      <c r="G4239">
        <v>0</v>
      </c>
      <c r="H4239" t="s">
        <v>42</v>
      </c>
      <c r="I4239" t="s">
        <v>16</v>
      </c>
      <c r="J4239" t="s">
        <v>16</v>
      </c>
      <c r="K4239" t="s">
        <v>2046</v>
      </c>
      <c r="L4239">
        <v>0</v>
      </c>
      <c r="M4239">
        <f t="shared" si="622"/>
        <v>30</v>
      </c>
      <c r="N4239" t="str">
        <f>TEXT(MTDRejection[[#This Row],[RejectionDate]],"dddd")</f>
        <v>Monday</v>
      </c>
    </row>
    <row r="4240" spans="1:14">
      <c r="A4240" t="s">
        <v>100</v>
      </c>
      <c r="B4240" t="s">
        <v>6336</v>
      </c>
      <c r="C4240" t="s">
        <v>359</v>
      </c>
      <c r="D4240" t="s">
        <v>38</v>
      </c>
      <c r="E4240" s="7">
        <v>45656</v>
      </c>
      <c r="F4240" t="s">
        <v>39</v>
      </c>
      <c r="G4240">
        <v>0</v>
      </c>
      <c r="H4240" t="s">
        <v>42</v>
      </c>
      <c r="I4240" t="s">
        <v>16</v>
      </c>
      <c r="J4240" t="s">
        <v>16</v>
      </c>
      <c r="K4240" t="s">
        <v>2046</v>
      </c>
      <c r="L4240">
        <v>0</v>
      </c>
      <c r="M4240">
        <f t="shared" si="622"/>
        <v>30</v>
      </c>
      <c r="N4240" t="str">
        <f>TEXT(MTDRejection[[#This Row],[RejectionDate]],"dddd")</f>
        <v>Monday</v>
      </c>
    </row>
    <row r="4241" spans="1:14">
      <c r="A4241" t="s">
        <v>977</v>
      </c>
      <c r="B4241" t="s">
        <v>4412</v>
      </c>
      <c r="C4241" t="s">
        <v>12</v>
      </c>
      <c r="D4241" t="s">
        <v>38</v>
      </c>
      <c r="E4241" s="7">
        <v>45656</v>
      </c>
      <c r="F4241" t="s">
        <v>39</v>
      </c>
      <c r="G4241">
        <v>0</v>
      </c>
      <c r="H4241" t="s">
        <v>42</v>
      </c>
      <c r="I4241" t="s">
        <v>16</v>
      </c>
      <c r="J4241" t="s">
        <v>16</v>
      </c>
      <c r="K4241" t="s">
        <v>2046</v>
      </c>
      <c r="L4241">
        <v>0</v>
      </c>
      <c r="M4241">
        <f t="shared" si="622"/>
        <v>30</v>
      </c>
      <c r="N4241" t="str">
        <f>TEXT(MTDRejection[[#This Row],[RejectionDate]],"dddd")</f>
        <v>Monday</v>
      </c>
    </row>
    <row r="4242" spans="1:14">
      <c r="A4242" t="s">
        <v>432</v>
      </c>
      <c r="B4242" t="s">
        <v>6337</v>
      </c>
      <c r="C4242" t="s">
        <v>71</v>
      </c>
      <c r="D4242" t="s">
        <v>51</v>
      </c>
      <c r="E4242" s="7">
        <v>45656</v>
      </c>
      <c r="F4242" t="s">
        <v>52</v>
      </c>
      <c r="G4242">
        <v>0</v>
      </c>
      <c r="H4242" t="s">
        <v>53</v>
      </c>
      <c r="I4242" t="s">
        <v>16</v>
      </c>
      <c r="J4242" t="s">
        <v>16</v>
      </c>
      <c r="K4242" t="s">
        <v>50</v>
      </c>
      <c r="L4242">
        <v>0</v>
      </c>
      <c r="M4242">
        <f t="shared" si="622"/>
        <v>30</v>
      </c>
      <c r="N4242" t="str">
        <f>TEXT(MTDRejection[[#This Row],[RejectionDate]],"dddd")</f>
        <v>Monday</v>
      </c>
    </row>
    <row r="4243" spans="1:14">
      <c r="A4243" t="s">
        <v>116</v>
      </c>
      <c r="B4243" t="s">
        <v>2787</v>
      </c>
      <c r="C4243" t="s">
        <v>12</v>
      </c>
      <c r="D4243" t="s">
        <v>26</v>
      </c>
      <c r="E4243" s="7">
        <v>45656</v>
      </c>
      <c r="F4243" t="s">
        <v>222</v>
      </c>
      <c r="G4243">
        <v>0</v>
      </c>
      <c r="H4243" t="s">
        <v>27</v>
      </c>
      <c r="I4243" t="s">
        <v>16</v>
      </c>
      <c r="J4243" t="s">
        <v>16</v>
      </c>
      <c r="K4243" t="s">
        <v>2046</v>
      </c>
      <c r="L4243">
        <v>0</v>
      </c>
      <c r="M4243">
        <f t="shared" si="622"/>
        <v>30</v>
      </c>
      <c r="N4243" t="str">
        <f>TEXT(MTDRejection[[#This Row],[RejectionDate]],"dddd")</f>
        <v>Monday</v>
      </c>
    </row>
    <row r="4244" spans="1:14">
      <c r="A4244" t="s">
        <v>228</v>
      </c>
      <c r="B4244" t="s">
        <v>6338</v>
      </c>
      <c r="C4244" t="s">
        <v>59</v>
      </c>
      <c r="D4244" t="s">
        <v>13</v>
      </c>
      <c r="E4244" s="7">
        <v>45656</v>
      </c>
      <c r="F4244" t="s">
        <v>72</v>
      </c>
      <c r="G4244">
        <v>0</v>
      </c>
      <c r="H4244" t="s">
        <v>15</v>
      </c>
      <c r="I4244" t="s">
        <v>16</v>
      </c>
      <c r="J4244" t="s">
        <v>16</v>
      </c>
      <c r="K4244" t="s">
        <v>57</v>
      </c>
      <c r="L4244">
        <v>0</v>
      </c>
      <c r="M4244">
        <f t="shared" si="622"/>
        <v>30</v>
      </c>
      <c r="N4244" t="str">
        <f>TEXT(MTDRejection[[#This Row],[RejectionDate]],"dddd")</f>
        <v>Monday</v>
      </c>
    </row>
    <row r="4245" spans="1:14">
      <c r="A4245" t="s">
        <v>228</v>
      </c>
      <c r="B4245" t="s">
        <v>6339</v>
      </c>
      <c r="C4245" t="s">
        <v>59</v>
      </c>
      <c r="D4245" t="s">
        <v>13</v>
      </c>
      <c r="E4245" s="7">
        <v>45656</v>
      </c>
      <c r="F4245" t="s">
        <v>72</v>
      </c>
      <c r="G4245">
        <v>0</v>
      </c>
      <c r="H4245" t="s">
        <v>15</v>
      </c>
      <c r="I4245" t="s">
        <v>16</v>
      </c>
      <c r="J4245" t="s">
        <v>16</v>
      </c>
      <c r="K4245" t="s">
        <v>57</v>
      </c>
      <c r="L4245">
        <v>0</v>
      </c>
      <c r="M4245">
        <f t="shared" si="622"/>
        <v>30</v>
      </c>
      <c r="N4245" t="str">
        <f>TEXT(MTDRejection[[#This Row],[RejectionDate]],"dddd")</f>
        <v>Monday</v>
      </c>
    </row>
    <row r="4246" spans="1:14">
      <c r="A4246" t="s">
        <v>84</v>
      </c>
      <c r="B4246" t="s">
        <v>6340</v>
      </c>
      <c r="C4246" t="s">
        <v>36</v>
      </c>
      <c r="D4246" t="s">
        <v>26</v>
      </c>
      <c r="E4246" s="7">
        <v>45656</v>
      </c>
      <c r="F4246" t="s">
        <v>83</v>
      </c>
      <c r="G4246">
        <v>0</v>
      </c>
      <c r="H4246" t="s">
        <v>27</v>
      </c>
      <c r="I4246" t="s">
        <v>16</v>
      </c>
      <c r="J4246" t="s">
        <v>16</v>
      </c>
      <c r="K4246" t="s">
        <v>2046</v>
      </c>
      <c r="L4246">
        <v>0</v>
      </c>
      <c r="M4246">
        <f t="shared" si="622"/>
        <v>30</v>
      </c>
      <c r="N4246" t="str">
        <f>TEXT(MTDRejection[[#This Row],[RejectionDate]],"dddd")</f>
        <v>Monday</v>
      </c>
    </row>
    <row r="4247" spans="1:14">
      <c r="A4247" t="s">
        <v>211</v>
      </c>
      <c r="B4247" t="s">
        <v>6341</v>
      </c>
      <c r="C4247" t="s">
        <v>12</v>
      </c>
      <c r="D4247" t="s">
        <v>26</v>
      </c>
      <c r="E4247" s="7">
        <v>45656</v>
      </c>
      <c r="F4247" t="s">
        <v>83</v>
      </c>
      <c r="G4247">
        <v>0</v>
      </c>
      <c r="H4247" t="s">
        <v>27</v>
      </c>
      <c r="I4247" t="s">
        <v>16</v>
      </c>
      <c r="J4247" t="s">
        <v>16</v>
      </c>
      <c r="K4247" t="s">
        <v>2046</v>
      </c>
      <c r="L4247">
        <v>0</v>
      </c>
      <c r="M4247">
        <f t="shared" si="622"/>
        <v>30</v>
      </c>
      <c r="N4247" t="str">
        <f>TEXT(MTDRejection[[#This Row],[RejectionDate]],"dddd")</f>
        <v>Monday</v>
      </c>
    </row>
    <row r="4248" spans="1:14">
      <c r="A4248" t="s">
        <v>43</v>
      </c>
      <c r="B4248" t="s">
        <v>6342</v>
      </c>
      <c r="C4248" t="s">
        <v>12</v>
      </c>
      <c r="D4248" t="s">
        <v>26</v>
      </c>
      <c r="E4248" s="7">
        <v>45656</v>
      </c>
      <c r="F4248" t="s">
        <v>721</v>
      </c>
      <c r="G4248">
        <v>0</v>
      </c>
      <c r="H4248" t="s">
        <v>27</v>
      </c>
      <c r="I4248" t="s">
        <v>16</v>
      </c>
      <c r="J4248" t="s">
        <v>16</v>
      </c>
      <c r="K4248" t="s">
        <v>2046</v>
      </c>
      <c r="L4248">
        <v>0</v>
      </c>
      <c r="M4248">
        <f t="shared" si="622"/>
        <v>30</v>
      </c>
      <c r="N4248" t="str">
        <f>TEXT(MTDRejection[[#This Row],[RejectionDate]],"dddd")</f>
        <v>Monday</v>
      </c>
    </row>
    <row r="4249" spans="1:14">
      <c r="A4249" t="s">
        <v>142</v>
      </c>
      <c r="B4249" t="s">
        <v>6343</v>
      </c>
      <c r="C4249" t="s">
        <v>54</v>
      </c>
      <c r="D4249" t="s">
        <v>13</v>
      </c>
      <c r="E4249" s="7">
        <v>45656</v>
      </c>
      <c r="F4249" t="s">
        <v>98</v>
      </c>
      <c r="G4249">
        <v>0</v>
      </c>
      <c r="H4249" t="s">
        <v>15</v>
      </c>
      <c r="I4249" t="s">
        <v>16</v>
      </c>
      <c r="J4249" t="s">
        <v>16</v>
      </c>
      <c r="K4249" t="s">
        <v>2047</v>
      </c>
      <c r="L4249">
        <v>0</v>
      </c>
      <c r="M4249">
        <f t="shared" si="622"/>
        <v>30</v>
      </c>
      <c r="N4249" t="str">
        <f>TEXT(MTDRejection[[#This Row],[RejectionDate]],"dddd")</f>
        <v>Monday</v>
      </c>
    </row>
    <row r="4250" spans="1:14">
      <c r="A4250" t="s">
        <v>996</v>
      </c>
      <c r="B4250" t="s">
        <v>6344</v>
      </c>
      <c r="C4250" t="s">
        <v>49</v>
      </c>
      <c r="D4250" t="s">
        <v>13</v>
      </c>
      <c r="E4250" s="7">
        <v>45656</v>
      </c>
      <c r="F4250" t="s">
        <v>107</v>
      </c>
      <c r="G4250">
        <v>0</v>
      </c>
      <c r="H4250" t="s">
        <v>15</v>
      </c>
      <c r="I4250" t="s">
        <v>16</v>
      </c>
      <c r="J4250" t="s">
        <v>16</v>
      </c>
      <c r="K4250" t="s">
        <v>50</v>
      </c>
      <c r="L4250">
        <v>0</v>
      </c>
      <c r="M4250">
        <f t="shared" si="622"/>
        <v>30</v>
      </c>
      <c r="N4250" t="str">
        <f>TEXT(MTDRejection[[#This Row],[RejectionDate]],"dddd")</f>
        <v>Monday</v>
      </c>
    </row>
    <row r="4251" spans="1:14">
      <c r="A4251" t="s">
        <v>1246</v>
      </c>
      <c r="B4251" t="s">
        <v>6345</v>
      </c>
      <c r="C4251" t="s">
        <v>12</v>
      </c>
      <c r="D4251" t="s">
        <v>26</v>
      </c>
      <c r="E4251" s="7">
        <v>45656</v>
      </c>
      <c r="F4251" t="s">
        <v>2335</v>
      </c>
      <c r="G4251">
        <v>0</v>
      </c>
      <c r="H4251" t="s">
        <v>27</v>
      </c>
      <c r="I4251" t="s">
        <v>16</v>
      </c>
      <c r="J4251" t="s">
        <v>16</v>
      </c>
      <c r="K4251" t="s">
        <v>2046</v>
      </c>
      <c r="L4251">
        <v>0</v>
      </c>
      <c r="M4251">
        <f t="shared" si="622"/>
        <v>30</v>
      </c>
      <c r="N4251" t="str">
        <f>TEXT(MTDRejection[[#This Row],[RejectionDate]],"dddd")</f>
        <v>Monday</v>
      </c>
    </row>
    <row r="4252" spans="1:14">
      <c r="A4252" t="s">
        <v>100</v>
      </c>
      <c r="B4252" t="s">
        <v>6346</v>
      </c>
      <c r="C4252" t="s">
        <v>775</v>
      </c>
      <c r="D4252" t="s">
        <v>13</v>
      </c>
      <c r="E4252" s="7">
        <v>45656</v>
      </c>
      <c r="F4252" t="s">
        <v>1013</v>
      </c>
      <c r="G4252">
        <v>0</v>
      </c>
      <c r="H4252" t="s">
        <v>15</v>
      </c>
      <c r="I4252" t="s">
        <v>16</v>
      </c>
      <c r="J4252" t="s">
        <v>16</v>
      </c>
      <c r="K4252" t="s">
        <v>2046</v>
      </c>
      <c r="L4252">
        <v>0</v>
      </c>
      <c r="M4252">
        <f t="shared" si="622"/>
        <v>30</v>
      </c>
      <c r="N4252" t="str">
        <f>TEXT(MTDRejection[[#This Row],[RejectionDate]],"dddd")</f>
        <v>Monday</v>
      </c>
    </row>
    <row r="4253" spans="1:14">
      <c r="A4253" t="s">
        <v>996</v>
      </c>
      <c r="B4253" t="s">
        <v>6347</v>
      </c>
      <c r="C4253" t="s">
        <v>12</v>
      </c>
      <c r="D4253" t="s">
        <v>26</v>
      </c>
      <c r="E4253" s="7">
        <v>45656</v>
      </c>
      <c r="F4253" t="s">
        <v>2355</v>
      </c>
      <c r="G4253">
        <v>0</v>
      </c>
      <c r="H4253" t="s">
        <v>27</v>
      </c>
      <c r="I4253" t="s">
        <v>16</v>
      </c>
      <c r="J4253" t="s">
        <v>16</v>
      </c>
      <c r="K4253" t="s">
        <v>2046</v>
      </c>
      <c r="L4253">
        <v>0</v>
      </c>
      <c r="M4253">
        <f t="shared" si="622"/>
        <v>30</v>
      </c>
      <c r="N4253" t="str">
        <f>TEXT(MTDRejection[[#This Row],[RejectionDate]],"dddd")</f>
        <v>Monday</v>
      </c>
    </row>
    <row r="4254" spans="1:14">
      <c r="A4254" t="s">
        <v>133</v>
      </c>
      <c r="B4254" t="s">
        <v>6348</v>
      </c>
      <c r="C4254" t="s">
        <v>71</v>
      </c>
      <c r="D4254" t="s">
        <v>13</v>
      </c>
      <c r="E4254" s="7">
        <v>45656</v>
      </c>
      <c r="F4254" t="s">
        <v>1310</v>
      </c>
      <c r="G4254">
        <v>0</v>
      </c>
      <c r="H4254" t="s">
        <v>15</v>
      </c>
      <c r="I4254" t="s">
        <v>16</v>
      </c>
      <c r="J4254" t="s">
        <v>16</v>
      </c>
      <c r="K4254" t="s">
        <v>50</v>
      </c>
      <c r="L4254">
        <v>0</v>
      </c>
      <c r="M4254">
        <f t="shared" si="622"/>
        <v>30</v>
      </c>
      <c r="N4254" t="str">
        <f>TEXT(MTDRejection[[#This Row],[RejectionDate]],"dddd")</f>
        <v>Monday</v>
      </c>
    </row>
    <row r="4255" spans="1:14">
      <c r="A4255" t="s">
        <v>281</v>
      </c>
      <c r="B4255" t="s">
        <v>6349</v>
      </c>
      <c r="C4255" t="s">
        <v>93</v>
      </c>
      <c r="D4255" t="s">
        <v>51</v>
      </c>
      <c r="E4255" s="7">
        <v>45656</v>
      </c>
      <c r="F4255" t="s">
        <v>555</v>
      </c>
      <c r="G4255">
        <v>0</v>
      </c>
      <c r="H4255" t="s">
        <v>53</v>
      </c>
      <c r="I4255" t="s">
        <v>16</v>
      </c>
      <c r="J4255" t="s">
        <v>16</v>
      </c>
      <c r="K4255" t="s">
        <v>2047</v>
      </c>
      <c r="L4255">
        <v>0</v>
      </c>
      <c r="M4255">
        <f t="shared" si="622"/>
        <v>30</v>
      </c>
      <c r="N4255" t="str">
        <f>TEXT(MTDRejection[[#This Row],[RejectionDate]],"dddd")</f>
        <v>Monday</v>
      </c>
    </row>
    <row r="4256" spans="1:14">
      <c r="A4256" t="s">
        <v>45</v>
      </c>
      <c r="B4256" t="s">
        <v>6350</v>
      </c>
      <c r="C4256" t="s">
        <v>54</v>
      </c>
      <c r="D4256" t="s">
        <v>51</v>
      </c>
      <c r="E4256" s="7">
        <v>45656</v>
      </c>
      <c r="F4256" t="s">
        <v>555</v>
      </c>
      <c r="G4256">
        <v>0</v>
      </c>
      <c r="H4256" t="s">
        <v>53</v>
      </c>
      <c r="I4256" t="s">
        <v>16</v>
      </c>
      <c r="J4256" t="s">
        <v>16</v>
      </c>
      <c r="K4256" t="s">
        <v>2047</v>
      </c>
      <c r="L4256">
        <v>0</v>
      </c>
      <c r="M4256">
        <f t="shared" si="622"/>
        <v>30</v>
      </c>
      <c r="N4256" t="str">
        <f>TEXT(MTDRejection[[#This Row],[RejectionDate]],"dddd")</f>
        <v>Monday</v>
      </c>
    </row>
    <row r="4257" spans="1:14">
      <c r="A4257" t="s">
        <v>1895</v>
      </c>
      <c r="B4257" t="s">
        <v>6351</v>
      </c>
      <c r="C4257" t="s">
        <v>36</v>
      </c>
      <c r="D4257" t="s">
        <v>38</v>
      </c>
      <c r="E4257" s="7">
        <v>45656</v>
      </c>
      <c r="F4257" t="s">
        <v>39</v>
      </c>
      <c r="G4257">
        <v>0</v>
      </c>
      <c r="H4257" t="s">
        <v>130</v>
      </c>
      <c r="I4257" t="s">
        <v>16</v>
      </c>
      <c r="J4257" t="s">
        <v>16</v>
      </c>
      <c r="K4257" t="s">
        <v>2046</v>
      </c>
      <c r="L4257">
        <v>0</v>
      </c>
      <c r="M4257">
        <f t="shared" si="622"/>
        <v>30</v>
      </c>
      <c r="N4257" t="str">
        <f>TEXT(MTDRejection[[#This Row],[RejectionDate]],"dddd")</f>
        <v>Monday</v>
      </c>
    </row>
    <row r="4258" spans="1:14">
      <c r="A4258" t="s">
        <v>43</v>
      </c>
      <c r="B4258" t="s">
        <v>5296</v>
      </c>
      <c r="C4258" t="s">
        <v>12</v>
      </c>
      <c r="D4258" t="s">
        <v>26</v>
      </c>
      <c r="E4258" s="7">
        <v>45656</v>
      </c>
      <c r="F4258" t="s">
        <v>222</v>
      </c>
      <c r="G4258">
        <v>0</v>
      </c>
      <c r="H4258" t="s">
        <v>22</v>
      </c>
      <c r="I4258" t="s">
        <v>16</v>
      </c>
      <c r="J4258" t="s">
        <v>16</v>
      </c>
      <c r="K4258" t="s">
        <v>2046</v>
      </c>
      <c r="L4258">
        <v>0</v>
      </c>
      <c r="M4258">
        <f t="shared" si="622"/>
        <v>30</v>
      </c>
      <c r="N4258" t="str">
        <f>TEXT(MTDRejection[[#This Row],[RejectionDate]],"dddd")</f>
        <v>Monday</v>
      </c>
    </row>
    <row r="4259" spans="1:14">
      <c r="A4259" t="s">
        <v>876</v>
      </c>
      <c r="B4259" t="s">
        <v>6352</v>
      </c>
      <c r="C4259" t="s">
        <v>19</v>
      </c>
      <c r="D4259" t="s">
        <v>26</v>
      </c>
      <c r="E4259" s="7">
        <v>45656</v>
      </c>
      <c r="F4259" t="s">
        <v>2330</v>
      </c>
      <c r="G4259">
        <v>0</v>
      </c>
      <c r="H4259" t="s">
        <v>27</v>
      </c>
      <c r="I4259" t="s">
        <v>16</v>
      </c>
      <c r="J4259" t="s">
        <v>16</v>
      </c>
      <c r="K4259" t="s">
        <v>2045</v>
      </c>
      <c r="L4259">
        <v>0</v>
      </c>
      <c r="M4259">
        <f t="shared" si="622"/>
        <v>30</v>
      </c>
      <c r="N4259" t="str">
        <f>TEXT(MTDRejection[[#This Row],[RejectionDate]],"dddd")</f>
        <v>Monday</v>
      </c>
    </row>
    <row r="4260" spans="1:14">
      <c r="A4260" t="s">
        <v>119</v>
      </c>
      <c r="B4260" t="s">
        <v>6353</v>
      </c>
      <c r="C4260" t="s">
        <v>36</v>
      </c>
      <c r="D4260" t="s">
        <v>13</v>
      </c>
      <c r="E4260" s="7">
        <v>45656</v>
      </c>
      <c r="F4260" t="s">
        <v>579</v>
      </c>
      <c r="G4260">
        <v>0</v>
      </c>
      <c r="H4260" t="s">
        <v>15</v>
      </c>
      <c r="I4260" t="s">
        <v>16</v>
      </c>
      <c r="J4260" t="s">
        <v>16</v>
      </c>
      <c r="K4260" t="s">
        <v>2046</v>
      </c>
      <c r="L4260">
        <v>0</v>
      </c>
      <c r="M4260">
        <f t="shared" si="622"/>
        <v>30</v>
      </c>
      <c r="N4260" t="str">
        <f>TEXT(MTDRejection[[#This Row],[RejectionDate]],"dddd")</f>
        <v>Monday</v>
      </c>
    </row>
    <row r="4261" spans="1:14">
      <c r="A4261" t="s">
        <v>1895</v>
      </c>
      <c r="B4261" t="s">
        <v>2788</v>
      </c>
      <c r="C4261" t="s">
        <v>71</v>
      </c>
      <c r="D4261" t="s">
        <v>38</v>
      </c>
      <c r="E4261" s="7">
        <v>45656</v>
      </c>
      <c r="F4261" t="s">
        <v>108</v>
      </c>
      <c r="G4261">
        <v>0</v>
      </c>
      <c r="H4261" t="s">
        <v>130</v>
      </c>
      <c r="I4261" t="s">
        <v>16</v>
      </c>
      <c r="J4261" t="s">
        <v>16</v>
      </c>
      <c r="K4261" t="s">
        <v>50</v>
      </c>
      <c r="L4261">
        <v>0</v>
      </c>
      <c r="M4261">
        <f t="shared" si="622"/>
        <v>30</v>
      </c>
      <c r="N4261" t="str">
        <f>TEXT(MTDRejection[[#This Row],[RejectionDate]],"dddd")</f>
        <v>Monday</v>
      </c>
    </row>
    <row r="4262" spans="1:14">
      <c r="A4262" t="s">
        <v>1110</v>
      </c>
      <c r="B4262" t="s">
        <v>6354</v>
      </c>
      <c r="C4262" t="s">
        <v>965</v>
      </c>
      <c r="D4262" t="s">
        <v>20</v>
      </c>
      <c r="E4262" s="7">
        <v>45656</v>
      </c>
      <c r="F4262" t="s">
        <v>129</v>
      </c>
      <c r="G4262">
        <v>0</v>
      </c>
      <c r="H4262" t="s">
        <v>22</v>
      </c>
      <c r="I4262" t="s">
        <v>16</v>
      </c>
      <c r="J4262" t="s">
        <v>16</v>
      </c>
      <c r="K4262" t="s">
        <v>2045</v>
      </c>
      <c r="L4262">
        <v>1</v>
      </c>
      <c r="M4262">
        <f t="shared" si="622"/>
        <v>30</v>
      </c>
      <c r="N4262" t="str">
        <f>TEXT(MTDRejection[[#This Row],[RejectionDate]],"dddd")</f>
        <v>Monday</v>
      </c>
    </row>
    <row r="4263" spans="1:14">
      <c r="A4263" t="s">
        <v>556</v>
      </c>
      <c r="B4263" t="s">
        <v>6355</v>
      </c>
      <c r="C4263" t="s">
        <v>49</v>
      </c>
      <c r="D4263" t="s">
        <v>13</v>
      </c>
      <c r="E4263" s="7">
        <v>45656</v>
      </c>
      <c r="F4263" t="s">
        <v>2343</v>
      </c>
      <c r="G4263">
        <v>0</v>
      </c>
      <c r="H4263" t="s">
        <v>15</v>
      </c>
      <c r="I4263" t="s">
        <v>16</v>
      </c>
      <c r="J4263" t="s">
        <v>16</v>
      </c>
      <c r="K4263" t="s">
        <v>50</v>
      </c>
      <c r="L4263">
        <v>0</v>
      </c>
      <c r="M4263">
        <f t="shared" si="622"/>
        <v>30</v>
      </c>
      <c r="N4263" t="str">
        <f>TEXT(MTDRejection[[#This Row],[RejectionDate]],"dddd")</f>
        <v>Monday</v>
      </c>
    </row>
    <row r="4264" spans="1:14">
      <c r="A4264" t="s">
        <v>211</v>
      </c>
      <c r="B4264" t="s">
        <v>6356</v>
      </c>
      <c r="C4264" t="s">
        <v>71</v>
      </c>
      <c r="D4264" t="s">
        <v>13</v>
      </c>
      <c r="E4264" s="7">
        <v>45656</v>
      </c>
      <c r="F4264" t="s">
        <v>2343</v>
      </c>
      <c r="G4264">
        <v>0</v>
      </c>
      <c r="H4264" t="s">
        <v>15</v>
      </c>
      <c r="I4264" t="s">
        <v>16</v>
      </c>
      <c r="J4264" t="s">
        <v>16</v>
      </c>
      <c r="K4264" t="s">
        <v>50</v>
      </c>
      <c r="L4264">
        <v>0</v>
      </c>
      <c r="M4264">
        <f t="shared" si="622"/>
        <v>30</v>
      </c>
      <c r="N4264" t="str">
        <f>TEXT(MTDRejection[[#This Row],[RejectionDate]],"dddd")</f>
        <v>Monday</v>
      </c>
    </row>
    <row r="4265" spans="1:14">
      <c r="A4265" t="s">
        <v>664</v>
      </c>
      <c r="B4265" t="s">
        <v>6357</v>
      </c>
      <c r="C4265" t="s">
        <v>467</v>
      </c>
      <c r="D4265" t="s">
        <v>26</v>
      </c>
      <c r="E4265" s="7">
        <v>45656</v>
      </c>
      <c r="F4265" t="s">
        <v>236</v>
      </c>
      <c r="G4265">
        <v>0</v>
      </c>
      <c r="H4265" t="s">
        <v>30</v>
      </c>
      <c r="I4265" t="s">
        <v>16</v>
      </c>
      <c r="J4265" t="s">
        <v>16</v>
      </c>
      <c r="K4265" t="s">
        <v>57</v>
      </c>
      <c r="L4265">
        <v>0</v>
      </c>
      <c r="M4265">
        <f t="shared" si="622"/>
        <v>30</v>
      </c>
      <c r="N4265" t="str">
        <f>TEXT(MTDRejection[[#This Row],[RejectionDate]],"dddd")</f>
        <v>Monday</v>
      </c>
    </row>
    <row r="4266" spans="1:14">
      <c r="A4266" t="s">
        <v>664</v>
      </c>
      <c r="B4266" t="s">
        <v>2789</v>
      </c>
      <c r="C4266" t="s">
        <v>467</v>
      </c>
      <c r="D4266" t="s">
        <v>26</v>
      </c>
      <c r="E4266" s="7">
        <v>45656</v>
      </c>
      <c r="F4266" t="s">
        <v>236</v>
      </c>
      <c r="G4266">
        <v>0</v>
      </c>
      <c r="H4266" t="s">
        <v>27</v>
      </c>
      <c r="I4266" t="s">
        <v>16</v>
      </c>
      <c r="J4266" t="s">
        <v>16</v>
      </c>
      <c r="K4266" t="s">
        <v>57</v>
      </c>
      <c r="L4266">
        <v>0</v>
      </c>
      <c r="M4266">
        <f t="shared" si="622"/>
        <v>30</v>
      </c>
      <c r="N4266" t="str">
        <f>TEXT(MTDRejection[[#This Row],[RejectionDate]],"dddd")</f>
        <v>Monday</v>
      </c>
    </row>
    <row r="4267" spans="1:14">
      <c r="A4267" t="s">
        <v>664</v>
      </c>
      <c r="B4267" t="s">
        <v>6358</v>
      </c>
      <c r="C4267" t="s">
        <v>467</v>
      </c>
      <c r="D4267" t="s">
        <v>26</v>
      </c>
      <c r="E4267" s="7">
        <v>45656</v>
      </c>
      <c r="F4267" t="s">
        <v>236</v>
      </c>
      <c r="G4267">
        <v>0</v>
      </c>
      <c r="H4267" t="s">
        <v>22</v>
      </c>
      <c r="I4267" t="s">
        <v>16</v>
      </c>
      <c r="J4267" t="s">
        <v>16</v>
      </c>
      <c r="K4267" t="s">
        <v>57</v>
      </c>
      <c r="L4267">
        <v>0</v>
      </c>
      <c r="M4267">
        <f t="shared" si="622"/>
        <v>30</v>
      </c>
      <c r="N4267" t="str">
        <f>TEXT(MTDRejection[[#This Row],[RejectionDate]],"dddd")</f>
        <v>Monday</v>
      </c>
    </row>
    <row r="4268" spans="1:14">
      <c r="A4268" t="s">
        <v>1851</v>
      </c>
      <c r="B4268" t="s">
        <v>6359</v>
      </c>
      <c r="C4268" t="s">
        <v>1898</v>
      </c>
      <c r="D4268" t="s">
        <v>26</v>
      </c>
      <c r="E4268" s="7">
        <v>45656</v>
      </c>
      <c r="F4268" t="s">
        <v>236</v>
      </c>
      <c r="G4268">
        <v>0</v>
      </c>
      <c r="H4268" t="s">
        <v>27</v>
      </c>
      <c r="I4268" t="s">
        <v>16</v>
      </c>
      <c r="J4268" t="s">
        <v>16</v>
      </c>
      <c r="K4268" t="s">
        <v>57</v>
      </c>
      <c r="L4268">
        <v>0</v>
      </c>
      <c r="M4268">
        <f t="shared" si="622"/>
        <v>30</v>
      </c>
      <c r="N4268" t="str">
        <f>TEXT(MTDRejection[[#This Row],[RejectionDate]],"dddd")</f>
        <v>Monday</v>
      </c>
    </row>
    <row r="4269" spans="1:14">
      <c r="A4269" t="s">
        <v>142</v>
      </c>
      <c r="B4269" t="s">
        <v>6360</v>
      </c>
      <c r="C4269" t="s">
        <v>467</v>
      </c>
      <c r="D4269" t="s">
        <v>26</v>
      </c>
      <c r="E4269" s="7">
        <v>45656</v>
      </c>
      <c r="F4269" t="s">
        <v>236</v>
      </c>
      <c r="G4269">
        <v>0</v>
      </c>
      <c r="H4269" t="s">
        <v>27</v>
      </c>
      <c r="I4269" t="s">
        <v>16</v>
      </c>
      <c r="J4269" t="s">
        <v>16</v>
      </c>
      <c r="K4269" t="s">
        <v>57</v>
      </c>
      <c r="L4269">
        <v>0</v>
      </c>
      <c r="M4269">
        <f t="shared" si="622"/>
        <v>30</v>
      </c>
      <c r="N4269" t="str">
        <f>TEXT(MTDRejection[[#This Row],[RejectionDate]],"dddd")</f>
        <v>Monday</v>
      </c>
    </row>
    <row r="4270" spans="1:14">
      <c r="A4270" t="s">
        <v>281</v>
      </c>
      <c r="B4270" t="s">
        <v>6361</v>
      </c>
      <c r="C4270" t="s">
        <v>467</v>
      </c>
      <c r="D4270" t="s">
        <v>26</v>
      </c>
      <c r="E4270" s="7">
        <v>45656</v>
      </c>
      <c r="F4270" t="s">
        <v>236</v>
      </c>
      <c r="G4270">
        <v>0</v>
      </c>
      <c r="H4270" t="s">
        <v>27</v>
      </c>
      <c r="I4270" t="s">
        <v>16</v>
      </c>
      <c r="J4270" t="s">
        <v>16</v>
      </c>
      <c r="K4270" t="s">
        <v>57</v>
      </c>
      <c r="L4270">
        <v>0</v>
      </c>
      <c r="M4270">
        <f t="shared" ref="M4270:M4301" si="623">DAY(E4270)</f>
        <v>30</v>
      </c>
      <c r="N4270" t="str">
        <f>TEXT(MTDRejection[[#This Row],[RejectionDate]],"dddd")</f>
        <v>Monday</v>
      </c>
    </row>
    <row r="4271" spans="1:14">
      <c r="A4271" t="s">
        <v>281</v>
      </c>
      <c r="B4271" t="s">
        <v>6362</v>
      </c>
      <c r="C4271" t="s">
        <v>467</v>
      </c>
      <c r="D4271" t="s">
        <v>26</v>
      </c>
      <c r="E4271" s="7">
        <v>45656</v>
      </c>
      <c r="F4271" t="s">
        <v>236</v>
      </c>
      <c r="G4271">
        <v>0</v>
      </c>
      <c r="H4271" t="s">
        <v>27</v>
      </c>
      <c r="I4271" t="s">
        <v>16</v>
      </c>
      <c r="J4271" t="s">
        <v>16</v>
      </c>
      <c r="K4271" t="s">
        <v>57</v>
      </c>
      <c r="L4271">
        <v>0</v>
      </c>
      <c r="M4271">
        <f t="shared" si="623"/>
        <v>30</v>
      </c>
      <c r="N4271" t="str">
        <f>TEXT(MTDRejection[[#This Row],[RejectionDate]],"dddd")</f>
        <v>Monday</v>
      </c>
    </row>
    <row r="4272" spans="1:14">
      <c r="A4272" t="s">
        <v>142</v>
      </c>
      <c r="B4272" t="s">
        <v>6363</v>
      </c>
      <c r="C4272" t="s">
        <v>467</v>
      </c>
      <c r="D4272" t="s">
        <v>26</v>
      </c>
      <c r="E4272" s="7">
        <v>45656</v>
      </c>
      <c r="F4272" t="s">
        <v>236</v>
      </c>
      <c r="G4272">
        <v>0</v>
      </c>
      <c r="H4272" t="s">
        <v>22</v>
      </c>
      <c r="I4272" t="s">
        <v>16</v>
      </c>
      <c r="J4272" t="s">
        <v>16</v>
      </c>
      <c r="K4272" t="s">
        <v>57</v>
      </c>
      <c r="L4272">
        <v>0</v>
      </c>
      <c r="M4272">
        <f t="shared" si="623"/>
        <v>30</v>
      </c>
      <c r="N4272" t="str">
        <f>TEXT(MTDRejection[[#This Row],[RejectionDate]],"dddd")</f>
        <v>Monday</v>
      </c>
    </row>
    <row r="4273" spans="1:14">
      <c r="A4273" t="s">
        <v>131</v>
      </c>
      <c r="B4273" t="s">
        <v>6364</v>
      </c>
      <c r="C4273" t="s">
        <v>269</v>
      </c>
      <c r="D4273" t="s">
        <v>26</v>
      </c>
      <c r="E4273" s="7">
        <v>45656</v>
      </c>
      <c r="F4273" t="s">
        <v>236</v>
      </c>
      <c r="G4273">
        <v>0</v>
      </c>
      <c r="H4273" t="s">
        <v>95</v>
      </c>
      <c r="I4273" t="s">
        <v>16</v>
      </c>
      <c r="J4273" t="s">
        <v>16</v>
      </c>
      <c r="K4273" t="s">
        <v>2046</v>
      </c>
      <c r="L4273">
        <v>0</v>
      </c>
      <c r="M4273">
        <f t="shared" si="623"/>
        <v>30</v>
      </c>
      <c r="N4273" t="str">
        <f>TEXT(MTDRejection[[#This Row],[RejectionDate]],"dddd")</f>
        <v>Monday</v>
      </c>
    </row>
    <row r="4274" spans="1:14">
      <c r="A4274" t="s">
        <v>461</v>
      </c>
      <c r="B4274" t="s">
        <v>6365</v>
      </c>
      <c r="C4274" t="s">
        <v>19</v>
      </c>
      <c r="D4274" t="s">
        <v>20</v>
      </c>
      <c r="E4274" s="7">
        <v>45656</v>
      </c>
      <c r="F4274" t="s">
        <v>273</v>
      </c>
      <c r="G4274">
        <v>0</v>
      </c>
      <c r="H4274" t="s">
        <v>27</v>
      </c>
      <c r="I4274" t="s">
        <v>16</v>
      </c>
      <c r="J4274" t="s">
        <v>16</v>
      </c>
      <c r="K4274" t="s">
        <v>2045</v>
      </c>
      <c r="L4274">
        <v>0</v>
      </c>
      <c r="M4274">
        <f t="shared" si="623"/>
        <v>30</v>
      </c>
      <c r="N4274" t="str">
        <f>TEXT(MTDRejection[[#This Row],[RejectionDate]],"dddd")</f>
        <v>Monday</v>
      </c>
    </row>
    <row r="4275" spans="1:14">
      <c r="A4275" t="s">
        <v>186</v>
      </c>
      <c r="B4275" t="s">
        <v>6366</v>
      </c>
      <c r="C4275" t="s">
        <v>12</v>
      </c>
      <c r="D4275" t="s">
        <v>26</v>
      </c>
      <c r="E4275" s="7">
        <v>45656</v>
      </c>
      <c r="F4275" t="s">
        <v>222</v>
      </c>
      <c r="G4275">
        <v>0</v>
      </c>
      <c r="H4275" t="s">
        <v>27</v>
      </c>
      <c r="I4275" t="s">
        <v>16</v>
      </c>
      <c r="J4275" t="s">
        <v>16</v>
      </c>
      <c r="K4275" t="s">
        <v>2046</v>
      </c>
      <c r="L4275">
        <v>0</v>
      </c>
      <c r="M4275">
        <f t="shared" si="623"/>
        <v>30</v>
      </c>
      <c r="N4275" t="str">
        <f>TEXT(MTDRejection[[#This Row],[RejectionDate]],"dddd")</f>
        <v>Monday</v>
      </c>
    </row>
    <row r="4276" spans="1:14">
      <c r="A4276" t="s">
        <v>45</v>
      </c>
      <c r="B4276" t="s">
        <v>6367</v>
      </c>
      <c r="C4276" t="s">
        <v>12</v>
      </c>
      <c r="D4276" t="s">
        <v>26</v>
      </c>
      <c r="E4276" s="7">
        <v>45656</v>
      </c>
      <c r="F4276" t="s">
        <v>222</v>
      </c>
      <c r="G4276">
        <v>0</v>
      </c>
      <c r="H4276" t="s">
        <v>27</v>
      </c>
      <c r="I4276" t="s">
        <v>16</v>
      </c>
      <c r="J4276" t="s">
        <v>16</v>
      </c>
      <c r="K4276" t="s">
        <v>2046</v>
      </c>
      <c r="L4276">
        <v>0</v>
      </c>
      <c r="M4276">
        <f t="shared" si="623"/>
        <v>30</v>
      </c>
      <c r="N4276" t="str">
        <f>TEXT(MTDRejection[[#This Row],[RejectionDate]],"dddd")</f>
        <v>Monday</v>
      </c>
    </row>
    <row r="4277" spans="1:14">
      <c r="A4277" t="s">
        <v>1016</v>
      </c>
      <c r="B4277" t="s">
        <v>6368</v>
      </c>
      <c r="C4277" t="s">
        <v>56</v>
      </c>
      <c r="D4277" t="s">
        <v>13</v>
      </c>
      <c r="E4277" s="7">
        <v>45656</v>
      </c>
      <c r="F4277" t="s">
        <v>2334</v>
      </c>
      <c r="G4277">
        <v>0</v>
      </c>
      <c r="H4277" t="s">
        <v>15</v>
      </c>
      <c r="I4277" t="s">
        <v>16</v>
      </c>
      <c r="J4277" t="s">
        <v>16</v>
      </c>
      <c r="K4277" t="s">
        <v>57</v>
      </c>
      <c r="L4277">
        <v>0</v>
      </c>
      <c r="M4277">
        <f t="shared" si="623"/>
        <v>30</v>
      </c>
      <c r="N4277" t="str">
        <f>TEXT(MTDRejection[[#This Row],[RejectionDate]],"dddd")</f>
        <v>Monday</v>
      </c>
    </row>
    <row r="4278" spans="1:14">
      <c r="A4278" t="s">
        <v>84</v>
      </c>
      <c r="B4278" t="s">
        <v>6369</v>
      </c>
      <c r="C4278" t="s">
        <v>54</v>
      </c>
      <c r="D4278" t="s">
        <v>26</v>
      </c>
      <c r="E4278" s="7">
        <v>45656</v>
      </c>
      <c r="F4278" t="s">
        <v>2329</v>
      </c>
      <c r="G4278">
        <v>0</v>
      </c>
      <c r="H4278" t="s">
        <v>27</v>
      </c>
      <c r="I4278" t="s">
        <v>16</v>
      </c>
      <c r="J4278" t="s">
        <v>16</v>
      </c>
      <c r="K4278" t="s">
        <v>2047</v>
      </c>
      <c r="L4278">
        <v>0</v>
      </c>
      <c r="M4278">
        <f t="shared" si="623"/>
        <v>30</v>
      </c>
      <c r="N4278" t="str">
        <f>TEXT(MTDRejection[[#This Row],[RejectionDate]],"dddd")</f>
        <v>Monday</v>
      </c>
    </row>
    <row r="4279" spans="1:14">
      <c r="A4279" t="s">
        <v>45</v>
      </c>
      <c r="B4279" t="s">
        <v>6370</v>
      </c>
      <c r="C4279" t="s">
        <v>19</v>
      </c>
      <c r="D4279" t="s">
        <v>20</v>
      </c>
      <c r="E4279" s="7">
        <v>45656</v>
      </c>
      <c r="F4279" t="s">
        <v>2330</v>
      </c>
      <c r="G4279">
        <v>0</v>
      </c>
      <c r="H4279" t="s">
        <v>22</v>
      </c>
      <c r="I4279" t="s">
        <v>16</v>
      </c>
      <c r="J4279" t="s">
        <v>16</v>
      </c>
      <c r="K4279" t="s">
        <v>2045</v>
      </c>
      <c r="L4279">
        <v>0</v>
      </c>
      <c r="M4279">
        <f t="shared" si="623"/>
        <v>30</v>
      </c>
      <c r="N4279" t="str">
        <f>TEXT(MTDRejection[[#This Row],[RejectionDate]],"dddd")</f>
        <v>Monday</v>
      </c>
    </row>
    <row r="4280" spans="1:14">
      <c r="A4280" t="s">
        <v>343</v>
      </c>
      <c r="B4280" t="s">
        <v>6371</v>
      </c>
      <c r="C4280" t="s">
        <v>71</v>
      </c>
      <c r="D4280" t="s">
        <v>13</v>
      </c>
      <c r="E4280" s="7">
        <v>45656</v>
      </c>
      <c r="F4280" t="s">
        <v>72</v>
      </c>
      <c r="G4280">
        <v>0</v>
      </c>
      <c r="H4280" t="s">
        <v>15</v>
      </c>
      <c r="I4280" t="s">
        <v>16</v>
      </c>
      <c r="J4280" t="s">
        <v>16</v>
      </c>
      <c r="K4280" t="s">
        <v>50</v>
      </c>
      <c r="L4280">
        <v>0</v>
      </c>
      <c r="M4280">
        <f t="shared" si="623"/>
        <v>30</v>
      </c>
      <c r="N4280" t="str">
        <f>TEXT(MTDRejection[[#This Row],[RejectionDate]],"dddd")</f>
        <v>Monday</v>
      </c>
    </row>
    <row r="4281" spans="1:14">
      <c r="A4281" t="s">
        <v>320</v>
      </c>
      <c r="B4281" t="s">
        <v>6372</v>
      </c>
      <c r="C4281" t="s">
        <v>55</v>
      </c>
      <c r="D4281" t="s">
        <v>26</v>
      </c>
      <c r="E4281" s="7">
        <v>45656</v>
      </c>
      <c r="F4281" t="s">
        <v>188</v>
      </c>
      <c r="G4281">
        <v>0</v>
      </c>
      <c r="H4281" t="s">
        <v>27</v>
      </c>
      <c r="I4281" t="s">
        <v>16</v>
      </c>
      <c r="J4281" t="s">
        <v>16</v>
      </c>
      <c r="K4281" t="s">
        <v>2047</v>
      </c>
      <c r="L4281">
        <v>0</v>
      </c>
      <c r="M4281">
        <f t="shared" si="623"/>
        <v>30</v>
      </c>
      <c r="N4281" t="str">
        <f>TEXT(MTDRejection[[#This Row],[RejectionDate]],"dddd")</f>
        <v>Monday</v>
      </c>
    </row>
    <row r="4282" spans="1:14">
      <c r="A4282" t="s">
        <v>517</v>
      </c>
      <c r="B4282" t="s">
        <v>6373</v>
      </c>
      <c r="C4282" t="s">
        <v>25</v>
      </c>
      <c r="D4282" t="s">
        <v>51</v>
      </c>
      <c r="E4282" s="7">
        <v>45656</v>
      </c>
      <c r="F4282" t="s">
        <v>2349</v>
      </c>
      <c r="G4282">
        <v>0</v>
      </c>
      <c r="H4282" t="s">
        <v>53</v>
      </c>
      <c r="I4282" t="s">
        <v>16</v>
      </c>
      <c r="J4282" t="s">
        <v>16</v>
      </c>
      <c r="K4282" t="s">
        <v>2045</v>
      </c>
      <c r="L4282">
        <v>0</v>
      </c>
      <c r="M4282">
        <f t="shared" si="623"/>
        <v>30</v>
      </c>
      <c r="N4282" t="str">
        <f>TEXT(MTDRejection[[#This Row],[RejectionDate]],"dddd")</f>
        <v>Monday</v>
      </c>
    </row>
    <row r="4283" spans="1:14">
      <c r="A4283" t="s">
        <v>517</v>
      </c>
      <c r="B4283" t="s">
        <v>6374</v>
      </c>
      <c r="C4283" t="s">
        <v>12</v>
      </c>
      <c r="D4283" t="s">
        <v>51</v>
      </c>
      <c r="E4283" s="7">
        <v>45656</v>
      </c>
      <c r="F4283" t="s">
        <v>2349</v>
      </c>
      <c r="G4283">
        <v>0</v>
      </c>
      <c r="H4283" t="s">
        <v>53</v>
      </c>
      <c r="I4283" t="s">
        <v>16</v>
      </c>
      <c r="J4283" t="s">
        <v>16</v>
      </c>
      <c r="K4283" t="s">
        <v>2046</v>
      </c>
      <c r="L4283">
        <v>0</v>
      </c>
      <c r="M4283">
        <f t="shared" si="623"/>
        <v>30</v>
      </c>
      <c r="N4283" t="str">
        <f>TEXT(MTDRejection[[#This Row],[RejectionDate]],"dddd")</f>
        <v>Monday</v>
      </c>
    </row>
    <row r="4284" spans="1:14">
      <c r="A4284" t="s">
        <v>517</v>
      </c>
      <c r="B4284" t="s">
        <v>2790</v>
      </c>
      <c r="C4284" t="s">
        <v>12</v>
      </c>
      <c r="D4284" t="s">
        <v>51</v>
      </c>
      <c r="E4284" s="7">
        <v>45656</v>
      </c>
      <c r="F4284" t="s">
        <v>2349</v>
      </c>
      <c r="G4284">
        <v>0</v>
      </c>
      <c r="H4284" t="s">
        <v>53</v>
      </c>
      <c r="I4284" t="s">
        <v>16</v>
      </c>
      <c r="J4284" t="s">
        <v>16</v>
      </c>
      <c r="K4284" t="s">
        <v>2046</v>
      </c>
      <c r="L4284">
        <v>0</v>
      </c>
      <c r="M4284">
        <f t="shared" si="623"/>
        <v>30</v>
      </c>
      <c r="N4284" t="str">
        <f>TEXT(MTDRejection[[#This Row],[RejectionDate]],"dddd")</f>
        <v>Monday</v>
      </c>
    </row>
    <row r="4285" spans="1:14">
      <c r="A4285" t="s">
        <v>517</v>
      </c>
      <c r="B4285" t="s">
        <v>6375</v>
      </c>
      <c r="C4285" t="s">
        <v>25</v>
      </c>
      <c r="D4285" t="s">
        <v>51</v>
      </c>
      <c r="E4285" s="7">
        <v>45656</v>
      </c>
      <c r="F4285" t="s">
        <v>2349</v>
      </c>
      <c r="G4285">
        <v>0</v>
      </c>
      <c r="H4285" t="s">
        <v>53</v>
      </c>
      <c r="I4285" t="s">
        <v>16</v>
      </c>
      <c r="J4285" t="s">
        <v>16</v>
      </c>
      <c r="K4285" t="s">
        <v>2045</v>
      </c>
      <c r="L4285">
        <v>0</v>
      </c>
      <c r="M4285">
        <f t="shared" si="623"/>
        <v>30</v>
      </c>
      <c r="N4285" t="str">
        <f>TEXT(MTDRejection[[#This Row],[RejectionDate]],"dddd")</f>
        <v>Monday</v>
      </c>
    </row>
    <row r="4286" spans="1:14">
      <c r="A4286" t="s">
        <v>100</v>
      </c>
      <c r="B4286" t="s">
        <v>6376</v>
      </c>
      <c r="C4286" t="s">
        <v>1333</v>
      </c>
      <c r="D4286" t="s">
        <v>51</v>
      </c>
      <c r="E4286" s="7">
        <v>45656</v>
      </c>
      <c r="F4286" t="s">
        <v>2349</v>
      </c>
      <c r="G4286">
        <v>0</v>
      </c>
      <c r="H4286" t="s">
        <v>53</v>
      </c>
      <c r="I4286" t="s">
        <v>16</v>
      </c>
      <c r="J4286" t="s">
        <v>16</v>
      </c>
      <c r="K4286" t="s">
        <v>50</v>
      </c>
      <c r="L4286">
        <v>0</v>
      </c>
      <c r="M4286">
        <f t="shared" si="623"/>
        <v>30</v>
      </c>
      <c r="N4286" t="str">
        <f>TEXT(MTDRejection[[#This Row],[RejectionDate]],"dddd")</f>
        <v>Monday</v>
      </c>
    </row>
    <row r="4287" spans="1:14">
      <c r="A4287" t="s">
        <v>100</v>
      </c>
      <c r="B4287" t="s">
        <v>6377</v>
      </c>
      <c r="C4287" t="s">
        <v>1335</v>
      </c>
      <c r="D4287" t="s">
        <v>51</v>
      </c>
      <c r="E4287" s="7">
        <v>45656</v>
      </c>
      <c r="F4287" t="s">
        <v>2349</v>
      </c>
      <c r="G4287">
        <v>0</v>
      </c>
      <c r="H4287" t="s">
        <v>53</v>
      </c>
      <c r="I4287" t="s">
        <v>16</v>
      </c>
      <c r="J4287" t="s">
        <v>16</v>
      </c>
      <c r="K4287" t="s">
        <v>50</v>
      </c>
      <c r="L4287">
        <v>0</v>
      </c>
      <c r="M4287">
        <f t="shared" si="623"/>
        <v>30</v>
      </c>
      <c r="N4287" t="str">
        <f>TEXT(MTDRejection[[#This Row],[RejectionDate]],"dddd")</f>
        <v>Monday</v>
      </c>
    </row>
    <row r="4288" spans="1:14">
      <c r="A4288" t="s">
        <v>100</v>
      </c>
      <c r="B4288" t="s">
        <v>6378</v>
      </c>
      <c r="C4288" t="s">
        <v>1334</v>
      </c>
      <c r="D4288" t="s">
        <v>51</v>
      </c>
      <c r="E4288" s="7">
        <v>45656</v>
      </c>
      <c r="F4288" t="s">
        <v>2349</v>
      </c>
      <c r="G4288">
        <v>0</v>
      </c>
      <c r="H4288" t="s">
        <v>53</v>
      </c>
      <c r="I4288" t="s">
        <v>16</v>
      </c>
      <c r="J4288" t="s">
        <v>16</v>
      </c>
      <c r="K4288" t="s">
        <v>50</v>
      </c>
      <c r="L4288">
        <v>0</v>
      </c>
      <c r="M4288">
        <f t="shared" si="623"/>
        <v>30</v>
      </c>
      <c r="N4288" t="str">
        <f>TEXT(MTDRejection[[#This Row],[RejectionDate]],"dddd")</f>
        <v>Monday</v>
      </c>
    </row>
    <row r="4289" spans="1:14">
      <c r="A4289" t="s">
        <v>100</v>
      </c>
      <c r="B4289" t="s">
        <v>2080</v>
      </c>
      <c r="C4289" t="s">
        <v>1335</v>
      </c>
      <c r="D4289" t="s">
        <v>51</v>
      </c>
      <c r="E4289" s="7">
        <v>45656</v>
      </c>
      <c r="F4289" t="s">
        <v>2349</v>
      </c>
      <c r="G4289">
        <v>0</v>
      </c>
      <c r="H4289" t="s">
        <v>53</v>
      </c>
      <c r="I4289" t="s">
        <v>16</v>
      </c>
      <c r="J4289" t="s">
        <v>16</v>
      </c>
      <c r="K4289" t="s">
        <v>50</v>
      </c>
      <c r="L4289">
        <v>0</v>
      </c>
      <c r="M4289">
        <f t="shared" si="623"/>
        <v>30</v>
      </c>
      <c r="N4289" t="str">
        <f>TEXT(MTDRejection[[#This Row],[RejectionDate]],"dddd")</f>
        <v>Monday</v>
      </c>
    </row>
    <row r="4290" spans="1:14">
      <c r="A4290" t="s">
        <v>100</v>
      </c>
      <c r="B4290" t="s">
        <v>6379</v>
      </c>
      <c r="C4290" t="s">
        <v>1184</v>
      </c>
      <c r="D4290" t="s">
        <v>13</v>
      </c>
      <c r="E4290" s="7">
        <v>45656</v>
      </c>
      <c r="F4290" t="s">
        <v>1861</v>
      </c>
      <c r="G4290">
        <v>0</v>
      </c>
      <c r="H4290" t="s">
        <v>505</v>
      </c>
      <c r="I4290" t="s">
        <v>16</v>
      </c>
      <c r="J4290" t="s">
        <v>16</v>
      </c>
      <c r="K4290" t="s">
        <v>930</v>
      </c>
      <c r="L4290">
        <v>0</v>
      </c>
      <c r="M4290">
        <f t="shared" si="623"/>
        <v>30</v>
      </c>
      <c r="N4290" t="str">
        <f>TEXT(MTDRejection[[#This Row],[RejectionDate]],"dddd")</f>
        <v>Monday</v>
      </c>
    </row>
    <row r="4291" spans="1:14">
      <c r="A4291" t="s">
        <v>100</v>
      </c>
      <c r="B4291" t="s">
        <v>6380</v>
      </c>
      <c r="C4291" t="s">
        <v>775</v>
      </c>
      <c r="D4291" t="s">
        <v>13</v>
      </c>
      <c r="E4291" s="7">
        <v>45656</v>
      </c>
      <c r="F4291" t="s">
        <v>1861</v>
      </c>
      <c r="G4291">
        <v>0</v>
      </c>
      <c r="H4291" t="s">
        <v>30</v>
      </c>
      <c r="I4291" t="s">
        <v>16</v>
      </c>
      <c r="J4291" t="s">
        <v>16</v>
      </c>
      <c r="K4291" t="s">
        <v>2046</v>
      </c>
      <c r="L4291">
        <v>0</v>
      </c>
      <c r="M4291">
        <f t="shared" si="623"/>
        <v>30</v>
      </c>
      <c r="N4291" t="str">
        <f>TEXT(MTDRejection[[#This Row],[RejectionDate]],"dddd")</f>
        <v>Monday</v>
      </c>
    </row>
    <row r="4292" spans="1:14">
      <c r="A4292" t="s">
        <v>306</v>
      </c>
      <c r="B4292" t="s">
        <v>6381</v>
      </c>
      <c r="C4292" t="s">
        <v>25</v>
      </c>
      <c r="D4292" t="s">
        <v>13</v>
      </c>
      <c r="E4292" s="7">
        <v>45656</v>
      </c>
      <c r="F4292" t="s">
        <v>844</v>
      </c>
      <c r="G4292">
        <v>0</v>
      </c>
      <c r="H4292" t="s">
        <v>30</v>
      </c>
      <c r="I4292" t="s">
        <v>16</v>
      </c>
      <c r="J4292" t="s">
        <v>16</v>
      </c>
      <c r="K4292" t="s">
        <v>2045</v>
      </c>
      <c r="L4292">
        <v>0</v>
      </c>
      <c r="M4292">
        <f t="shared" si="623"/>
        <v>30</v>
      </c>
      <c r="N4292" t="str">
        <f>TEXT(MTDRejection[[#This Row],[RejectionDate]],"dddd")</f>
        <v>Monday</v>
      </c>
    </row>
    <row r="4293" spans="1:14">
      <c r="A4293" t="s">
        <v>306</v>
      </c>
      <c r="B4293" t="s">
        <v>6382</v>
      </c>
      <c r="C4293" t="s">
        <v>71</v>
      </c>
      <c r="D4293" t="s">
        <v>13</v>
      </c>
      <c r="E4293" s="7">
        <v>45656</v>
      </c>
      <c r="F4293" t="s">
        <v>844</v>
      </c>
      <c r="G4293">
        <v>0</v>
      </c>
      <c r="H4293" t="s">
        <v>30</v>
      </c>
      <c r="I4293" t="s">
        <v>16</v>
      </c>
      <c r="J4293" t="s">
        <v>16</v>
      </c>
      <c r="K4293" t="s">
        <v>50</v>
      </c>
      <c r="L4293">
        <v>0</v>
      </c>
      <c r="M4293">
        <f t="shared" si="623"/>
        <v>30</v>
      </c>
      <c r="N4293" t="str">
        <f>TEXT(MTDRejection[[#This Row],[RejectionDate]],"dddd")</f>
        <v>Monday</v>
      </c>
    </row>
    <row r="4294" spans="1:14">
      <c r="A4294" t="s">
        <v>452</v>
      </c>
      <c r="B4294" t="s">
        <v>6383</v>
      </c>
      <c r="C4294" t="s">
        <v>71</v>
      </c>
      <c r="D4294" t="s">
        <v>13</v>
      </c>
      <c r="E4294" s="7">
        <v>45656</v>
      </c>
      <c r="F4294" t="s">
        <v>2345</v>
      </c>
      <c r="G4294">
        <v>0</v>
      </c>
      <c r="H4294" t="s">
        <v>15</v>
      </c>
      <c r="I4294" t="s">
        <v>16</v>
      </c>
      <c r="J4294" t="s">
        <v>16</v>
      </c>
      <c r="K4294" t="s">
        <v>50</v>
      </c>
      <c r="L4294">
        <v>0</v>
      </c>
      <c r="M4294">
        <f t="shared" si="623"/>
        <v>30</v>
      </c>
      <c r="N4294" t="str">
        <f>TEXT(MTDRejection[[#This Row],[RejectionDate]],"dddd")</f>
        <v>Monday</v>
      </c>
    </row>
    <row r="4295" spans="1:14">
      <c r="A4295" t="s">
        <v>452</v>
      </c>
      <c r="B4295" t="s">
        <v>6384</v>
      </c>
      <c r="C4295" t="s">
        <v>25</v>
      </c>
      <c r="D4295" t="s">
        <v>13</v>
      </c>
      <c r="E4295" s="7">
        <v>45656</v>
      </c>
      <c r="F4295" t="s">
        <v>844</v>
      </c>
      <c r="G4295">
        <v>0</v>
      </c>
      <c r="H4295" t="s">
        <v>15</v>
      </c>
      <c r="I4295" t="s">
        <v>16</v>
      </c>
      <c r="J4295" t="s">
        <v>16</v>
      </c>
      <c r="K4295" t="s">
        <v>2045</v>
      </c>
      <c r="L4295">
        <v>0</v>
      </c>
      <c r="M4295">
        <f t="shared" si="623"/>
        <v>30</v>
      </c>
      <c r="N4295" t="str">
        <f>TEXT(MTDRejection[[#This Row],[RejectionDate]],"dddd")</f>
        <v>Monday</v>
      </c>
    </row>
    <row r="4296" spans="1:14">
      <c r="A4296" t="s">
        <v>996</v>
      </c>
      <c r="B4296" t="s">
        <v>6385</v>
      </c>
      <c r="C4296" t="s">
        <v>12</v>
      </c>
      <c r="D4296" t="s">
        <v>26</v>
      </c>
      <c r="E4296" s="7">
        <v>45656</v>
      </c>
      <c r="F4296" t="s">
        <v>721</v>
      </c>
      <c r="G4296">
        <v>0</v>
      </c>
      <c r="H4296" t="s">
        <v>27</v>
      </c>
      <c r="I4296" t="s">
        <v>16</v>
      </c>
      <c r="J4296" t="s">
        <v>16</v>
      </c>
      <c r="K4296" t="s">
        <v>2046</v>
      </c>
      <c r="L4296">
        <v>0</v>
      </c>
      <c r="M4296">
        <f t="shared" si="623"/>
        <v>30</v>
      </c>
      <c r="N4296" t="str">
        <f>TEXT(MTDRejection[[#This Row],[RejectionDate]],"dddd")</f>
        <v>Monday</v>
      </c>
    </row>
    <row r="4297" spans="1:14">
      <c r="A4297" t="s">
        <v>996</v>
      </c>
      <c r="B4297" t="s">
        <v>6386</v>
      </c>
      <c r="C4297" t="s">
        <v>12</v>
      </c>
      <c r="D4297" t="s">
        <v>26</v>
      </c>
      <c r="E4297" s="7">
        <v>45656</v>
      </c>
      <c r="F4297" t="s">
        <v>721</v>
      </c>
      <c r="G4297">
        <v>0</v>
      </c>
      <c r="H4297" t="s">
        <v>27</v>
      </c>
      <c r="I4297" t="s">
        <v>16</v>
      </c>
      <c r="J4297" t="s">
        <v>16</v>
      </c>
      <c r="K4297" t="s">
        <v>2046</v>
      </c>
      <c r="L4297">
        <v>0</v>
      </c>
      <c r="M4297">
        <f t="shared" si="623"/>
        <v>30</v>
      </c>
      <c r="N4297" t="str">
        <f>TEXT(MTDRejection[[#This Row],[RejectionDate]],"dddd")</f>
        <v>Monday</v>
      </c>
    </row>
    <row r="4298" spans="1:14">
      <c r="A4298" t="s">
        <v>119</v>
      </c>
      <c r="B4298" t="s">
        <v>6387</v>
      </c>
      <c r="C4298" t="s">
        <v>93</v>
      </c>
      <c r="D4298" t="s">
        <v>26</v>
      </c>
      <c r="E4298" s="7">
        <v>45656</v>
      </c>
      <c r="F4298" t="s">
        <v>103</v>
      </c>
      <c r="G4298">
        <v>0</v>
      </c>
      <c r="H4298" t="s">
        <v>27</v>
      </c>
      <c r="I4298" t="s">
        <v>16</v>
      </c>
      <c r="J4298" t="s">
        <v>16</v>
      </c>
      <c r="K4298" t="s">
        <v>2047</v>
      </c>
      <c r="L4298">
        <v>0</v>
      </c>
      <c r="M4298">
        <f t="shared" si="623"/>
        <v>30</v>
      </c>
      <c r="N4298" t="str">
        <f>TEXT(MTDRejection[[#This Row],[RejectionDate]],"dddd")</f>
        <v>Monday</v>
      </c>
    </row>
    <row r="4299" spans="1:14">
      <c r="A4299" t="s">
        <v>320</v>
      </c>
      <c r="B4299" t="s">
        <v>6388</v>
      </c>
      <c r="C4299" t="s">
        <v>55</v>
      </c>
      <c r="D4299" t="s">
        <v>26</v>
      </c>
      <c r="E4299" s="7">
        <v>45656</v>
      </c>
      <c r="F4299" t="s">
        <v>297</v>
      </c>
      <c r="G4299">
        <v>0</v>
      </c>
      <c r="H4299" t="s">
        <v>27</v>
      </c>
      <c r="I4299" t="s">
        <v>16</v>
      </c>
      <c r="J4299" t="s">
        <v>16</v>
      </c>
      <c r="K4299" t="s">
        <v>2047</v>
      </c>
      <c r="L4299">
        <v>0</v>
      </c>
      <c r="M4299">
        <f t="shared" si="623"/>
        <v>30</v>
      </c>
      <c r="N4299" t="str">
        <f>TEXT(MTDRejection[[#This Row],[RejectionDate]],"dddd")</f>
        <v>Monday</v>
      </c>
    </row>
    <row r="4300" spans="1:14">
      <c r="A4300" t="s">
        <v>320</v>
      </c>
      <c r="B4300" t="s">
        <v>6389</v>
      </c>
      <c r="C4300" t="s">
        <v>55</v>
      </c>
      <c r="D4300" t="s">
        <v>26</v>
      </c>
      <c r="E4300" s="7">
        <v>45656</v>
      </c>
      <c r="F4300" t="s">
        <v>297</v>
      </c>
      <c r="G4300">
        <v>0</v>
      </c>
      <c r="H4300" t="s">
        <v>27</v>
      </c>
      <c r="I4300" t="s">
        <v>16</v>
      </c>
      <c r="J4300" t="s">
        <v>16</v>
      </c>
      <c r="K4300" t="s">
        <v>2047</v>
      </c>
      <c r="L4300">
        <v>0</v>
      </c>
      <c r="M4300">
        <f t="shared" si="623"/>
        <v>30</v>
      </c>
      <c r="N4300" t="str">
        <f>TEXT(MTDRejection[[#This Row],[RejectionDate]],"dddd")</f>
        <v>Monday</v>
      </c>
    </row>
    <row r="4301" spans="1:14">
      <c r="A4301" t="s">
        <v>320</v>
      </c>
      <c r="B4301" t="s">
        <v>2791</v>
      </c>
      <c r="C4301" t="s">
        <v>55</v>
      </c>
      <c r="D4301" t="s">
        <v>26</v>
      </c>
      <c r="E4301" s="7">
        <v>45656</v>
      </c>
      <c r="F4301" t="s">
        <v>297</v>
      </c>
      <c r="G4301">
        <v>0</v>
      </c>
      <c r="H4301" t="s">
        <v>27</v>
      </c>
      <c r="I4301" t="s">
        <v>16</v>
      </c>
      <c r="J4301" t="s">
        <v>16</v>
      </c>
      <c r="K4301" t="s">
        <v>2047</v>
      </c>
      <c r="L4301">
        <v>0</v>
      </c>
      <c r="M4301">
        <f t="shared" si="623"/>
        <v>30</v>
      </c>
      <c r="N4301" t="str">
        <f>TEXT(MTDRejection[[#This Row],[RejectionDate]],"dddd")</f>
        <v>Monday</v>
      </c>
    </row>
    <row r="4302" spans="1:14">
      <c r="A4302" t="s">
        <v>320</v>
      </c>
      <c r="B4302" t="s">
        <v>6390</v>
      </c>
      <c r="C4302" t="s">
        <v>55</v>
      </c>
      <c r="D4302" t="s">
        <v>26</v>
      </c>
      <c r="E4302" s="7">
        <v>45656</v>
      </c>
      <c r="F4302" t="s">
        <v>297</v>
      </c>
      <c r="G4302">
        <v>0</v>
      </c>
      <c r="H4302" t="s">
        <v>27</v>
      </c>
      <c r="I4302" t="s">
        <v>16</v>
      </c>
      <c r="J4302" t="s">
        <v>16</v>
      </c>
      <c r="K4302" t="s">
        <v>2047</v>
      </c>
      <c r="L4302">
        <v>0</v>
      </c>
      <c r="M4302">
        <f t="shared" ref="M4302:M4336" si="624">DAY(E4302)</f>
        <v>30</v>
      </c>
      <c r="N4302" t="str">
        <f>TEXT(MTDRejection[[#This Row],[RejectionDate]],"dddd")</f>
        <v>Monday</v>
      </c>
    </row>
    <row r="4303" spans="1:14">
      <c r="A4303" t="s">
        <v>320</v>
      </c>
      <c r="B4303" t="s">
        <v>1905</v>
      </c>
      <c r="C4303" t="s">
        <v>55</v>
      </c>
      <c r="D4303" t="s">
        <v>26</v>
      </c>
      <c r="E4303" s="7">
        <v>45656</v>
      </c>
      <c r="F4303" t="s">
        <v>297</v>
      </c>
      <c r="G4303">
        <v>0</v>
      </c>
      <c r="H4303" t="s">
        <v>27</v>
      </c>
      <c r="I4303" t="s">
        <v>16</v>
      </c>
      <c r="J4303" t="s">
        <v>16</v>
      </c>
      <c r="K4303" t="s">
        <v>2047</v>
      </c>
      <c r="L4303">
        <v>0</v>
      </c>
      <c r="M4303">
        <f t="shared" si="624"/>
        <v>30</v>
      </c>
      <c r="N4303" t="str">
        <f>TEXT(MTDRejection[[#This Row],[RejectionDate]],"dddd")</f>
        <v>Monday</v>
      </c>
    </row>
    <row r="4304" spans="1:14">
      <c r="A4304" t="s">
        <v>320</v>
      </c>
      <c r="B4304" t="s">
        <v>6391</v>
      </c>
      <c r="C4304" t="s">
        <v>55</v>
      </c>
      <c r="D4304" t="s">
        <v>26</v>
      </c>
      <c r="E4304" s="7">
        <v>45656</v>
      </c>
      <c r="F4304" t="s">
        <v>297</v>
      </c>
      <c r="G4304">
        <v>0</v>
      </c>
      <c r="H4304" t="s">
        <v>27</v>
      </c>
      <c r="I4304" t="s">
        <v>16</v>
      </c>
      <c r="J4304" t="s">
        <v>16</v>
      </c>
      <c r="K4304" t="s">
        <v>2047</v>
      </c>
      <c r="L4304">
        <v>0</v>
      </c>
      <c r="M4304">
        <f t="shared" si="624"/>
        <v>30</v>
      </c>
      <c r="N4304" t="str">
        <f>TEXT(MTDRejection[[#This Row],[RejectionDate]],"dddd")</f>
        <v>Monday</v>
      </c>
    </row>
    <row r="4305" spans="1:14">
      <c r="A4305" t="s">
        <v>320</v>
      </c>
      <c r="B4305" t="s">
        <v>4474</v>
      </c>
      <c r="C4305" t="s">
        <v>55</v>
      </c>
      <c r="D4305" t="s">
        <v>26</v>
      </c>
      <c r="E4305" s="7">
        <v>45656</v>
      </c>
      <c r="F4305" t="s">
        <v>297</v>
      </c>
      <c r="G4305">
        <v>0</v>
      </c>
      <c r="H4305" t="s">
        <v>27</v>
      </c>
      <c r="I4305" t="s">
        <v>16</v>
      </c>
      <c r="J4305" t="s">
        <v>16</v>
      </c>
      <c r="K4305" t="s">
        <v>2047</v>
      </c>
      <c r="L4305">
        <v>0</v>
      </c>
      <c r="M4305">
        <f t="shared" si="624"/>
        <v>30</v>
      </c>
      <c r="N4305" t="str">
        <f>TEXT(MTDRejection[[#This Row],[RejectionDate]],"dddd")</f>
        <v>Monday</v>
      </c>
    </row>
    <row r="4306" spans="1:14">
      <c r="A4306" t="s">
        <v>320</v>
      </c>
      <c r="B4306" t="s">
        <v>4474</v>
      </c>
      <c r="C4306" t="s">
        <v>55</v>
      </c>
      <c r="D4306" t="s">
        <v>26</v>
      </c>
      <c r="E4306" s="7">
        <v>45656</v>
      </c>
      <c r="F4306" t="s">
        <v>297</v>
      </c>
      <c r="G4306">
        <v>0</v>
      </c>
      <c r="H4306" t="s">
        <v>27</v>
      </c>
      <c r="I4306" t="s">
        <v>16</v>
      </c>
      <c r="J4306" t="s">
        <v>16</v>
      </c>
      <c r="K4306" t="s">
        <v>2047</v>
      </c>
      <c r="L4306">
        <v>0</v>
      </c>
      <c r="M4306">
        <f t="shared" si="624"/>
        <v>30</v>
      </c>
      <c r="N4306" t="str">
        <f>TEXT(MTDRejection[[#This Row],[RejectionDate]],"dddd")</f>
        <v>Monday</v>
      </c>
    </row>
    <row r="4307" spans="1:14">
      <c r="A4307" t="s">
        <v>320</v>
      </c>
      <c r="B4307" t="s">
        <v>6392</v>
      </c>
      <c r="C4307" t="s">
        <v>55</v>
      </c>
      <c r="D4307" t="s">
        <v>26</v>
      </c>
      <c r="E4307" s="7">
        <v>45656</v>
      </c>
      <c r="F4307" t="s">
        <v>297</v>
      </c>
      <c r="G4307">
        <v>0</v>
      </c>
      <c r="H4307" t="s">
        <v>27</v>
      </c>
      <c r="I4307" t="s">
        <v>16</v>
      </c>
      <c r="J4307" t="s">
        <v>16</v>
      </c>
      <c r="K4307" t="s">
        <v>2047</v>
      </c>
      <c r="L4307">
        <v>0</v>
      </c>
      <c r="M4307">
        <f t="shared" si="624"/>
        <v>30</v>
      </c>
      <c r="N4307" t="str">
        <f>TEXT(MTDRejection[[#This Row],[RejectionDate]],"dddd")</f>
        <v>Monday</v>
      </c>
    </row>
    <row r="4308" spans="1:14">
      <c r="A4308" t="s">
        <v>320</v>
      </c>
      <c r="B4308" t="s">
        <v>6393</v>
      </c>
      <c r="C4308" t="s">
        <v>55</v>
      </c>
      <c r="D4308" t="s">
        <v>26</v>
      </c>
      <c r="E4308" s="7">
        <v>45656</v>
      </c>
      <c r="F4308" t="s">
        <v>297</v>
      </c>
      <c r="G4308">
        <v>0</v>
      </c>
      <c r="H4308" t="s">
        <v>27</v>
      </c>
      <c r="I4308" t="s">
        <v>16</v>
      </c>
      <c r="J4308" t="s">
        <v>16</v>
      </c>
      <c r="K4308" t="s">
        <v>2047</v>
      </c>
      <c r="L4308">
        <v>0</v>
      </c>
      <c r="M4308">
        <f t="shared" si="624"/>
        <v>30</v>
      </c>
      <c r="N4308" t="str">
        <f>TEXT(MTDRejection[[#This Row],[RejectionDate]],"dddd")</f>
        <v>Monday</v>
      </c>
    </row>
    <row r="4309" spans="1:14">
      <c r="A4309" t="s">
        <v>320</v>
      </c>
      <c r="B4309" t="s">
        <v>6394</v>
      </c>
      <c r="C4309" t="s">
        <v>55</v>
      </c>
      <c r="D4309" t="s">
        <v>26</v>
      </c>
      <c r="E4309" s="7">
        <v>45656</v>
      </c>
      <c r="F4309" t="s">
        <v>297</v>
      </c>
      <c r="G4309">
        <v>0</v>
      </c>
      <c r="H4309" t="s">
        <v>27</v>
      </c>
      <c r="I4309" t="s">
        <v>16</v>
      </c>
      <c r="J4309" t="s">
        <v>16</v>
      </c>
      <c r="K4309" t="s">
        <v>2047</v>
      </c>
      <c r="L4309">
        <v>0</v>
      </c>
      <c r="M4309">
        <f t="shared" si="624"/>
        <v>30</v>
      </c>
      <c r="N4309" t="str">
        <f>TEXT(MTDRejection[[#This Row],[RejectionDate]],"dddd")</f>
        <v>Monday</v>
      </c>
    </row>
    <row r="4310" spans="1:14">
      <c r="A4310" t="s">
        <v>320</v>
      </c>
      <c r="B4310" t="s">
        <v>6395</v>
      </c>
      <c r="C4310" t="s">
        <v>55</v>
      </c>
      <c r="D4310" t="s">
        <v>26</v>
      </c>
      <c r="E4310" s="7">
        <v>45656</v>
      </c>
      <c r="F4310" t="s">
        <v>297</v>
      </c>
      <c r="G4310">
        <v>0</v>
      </c>
      <c r="H4310" t="s">
        <v>27</v>
      </c>
      <c r="I4310" t="s">
        <v>16</v>
      </c>
      <c r="J4310" t="s">
        <v>16</v>
      </c>
      <c r="K4310" t="s">
        <v>2047</v>
      </c>
      <c r="L4310">
        <v>0</v>
      </c>
      <c r="M4310">
        <f t="shared" si="624"/>
        <v>30</v>
      </c>
      <c r="N4310" t="str">
        <f>TEXT(MTDRejection[[#This Row],[RejectionDate]],"dddd")</f>
        <v>Monday</v>
      </c>
    </row>
    <row r="4311" spans="1:14">
      <c r="A4311" t="s">
        <v>320</v>
      </c>
      <c r="B4311" t="s">
        <v>6396</v>
      </c>
      <c r="C4311" t="s">
        <v>55</v>
      </c>
      <c r="D4311" t="s">
        <v>26</v>
      </c>
      <c r="E4311" s="7">
        <v>45656</v>
      </c>
      <c r="F4311" t="s">
        <v>297</v>
      </c>
      <c r="G4311">
        <v>0</v>
      </c>
      <c r="H4311" t="s">
        <v>27</v>
      </c>
      <c r="I4311" t="s">
        <v>16</v>
      </c>
      <c r="J4311" t="s">
        <v>16</v>
      </c>
      <c r="K4311" t="s">
        <v>2047</v>
      </c>
      <c r="L4311">
        <v>0</v>
      </c>
      <c r="M4311">
        <f t="shared" si="624"/>
        <v>30</v>
      </c>
      <c r="N4311" t="str">
        <f>TEXT(MTDRejection[[#This Row],[RejectionDate]],"dddd")</f>
        <v>Monday</v>
      </c>
    </row>
    <row r="4312" spans="1:14">
      <c r="A4312" t="s">
        <v>320</v>
      </c>
      <c r="B4312" t="s">
        <v>6397</v>
      </c>
      <c r="C4312" t="s">
        <v>55</v>
      </c>
      <c r="D4312" t="s">
        <v>26</v>
      </c>
      <c r="E4312" s="7">
        <v>45656</v>
      </c>
      <c r="F4312" t="s">
        <v>297</v>
      </c>
      <c r="G4312">
        <v>0</v>
      </c>
      <c r="H4312" t="s">
        <v>27</v>
      </c>
      <c r="I4312" t="s">
        <v>16</v>
      </c>
      <c r="J4312" t="s">
        <v>16</v>
      </c>
      <c r="K4312" t="s">
        <v>2047</v>
      </c>
      <c r="L4312">
        <v>0</v>
      </c>
      <c r="M4312">
        <f t="shared" si="624"/>
        <v>30</v>
      </c>
      <c r="N4312" t="str">
        <f>TEXT(MTDRejection[[#This Row],[RejectionDate]],"dddd")</f>
        <v>Monday</v>
      </c>
    </row>
    <row r="4313" spans="1:14">
      <c r="A4313" t="s">
        <v>320</v>
      </c>
      <c r="B4313" t="s">
        <v>1903</v>
      </c>
      <c r="C4313" t="s">
        <v>55</v>
      </c>
      <c r="D4313" t="s">
        <v>26</v>
      </c>
      <c r="E4313" s="7">
        <v>45656</v>
      </c>
      <c r="F4313" t="s">
        <v>297</v>
      </c>
      <c r="G4313">
        <v>0</v>
      </c>
      <c r="H4313" t="s">
        <v>27</v>
      </c>
      <c r="I4313" t="s">
        <v>16</v>
      </c>
      <c r="J4313" t="s">
        <v>16</v>
      </c>
      <c r="K4313" t="s">
        <v>2047</v>
      </c>
      <c r="L4313">
        <v>0</v>
      </c>
      <c r="M4313">
        <f t="shared" si="624"/>
        <v>30</v>
      </c>
      <c r="N4313" t="str">
        <f>TEXT(MTDRejection[[#This Row],[RejectionDate]],"dddd")</f>
        <v>Monday</v>
      </c>
    </row>
    <row r="4314" spans="1:14">
      <c r="A4314" t="s">
        <v>320</v>
      </c>
      <c r="B4314" t="s">
        <v>6398</v>
      </c>
      <c r="C4314" t="s">
        <v>55</v>
      </c>
      <c r="D4314" t="s">
        <v>26</v>
      </c>
      <c r="E4314" s="7">
        <v>45656</v>
      </c>
      <c r="F4314" t="s">
        <v>297</v>
      </c>
      <c r="G4314">
        <v>0</v>
      </c>
      <c r="H4314" t="s">
        <v>27</v>
      </c>
      <c r="I4314" t="s">
        <v>16</v>
      </c>
      <c r="J4314" t="s">
        <v>16</v>
      </c>
      <c r="K4314" t="s">
        <v>2047</v>
      </c>
      <c r="L4314">
        <v>0</v>
      </c>
      <c r="M4314">
        <f t="shared" si="624"/>
        <v>30</v>
      </c>
      <c r="N4314" t="str">
        <f>TEXT(MTDRejection[[#This Row],[RejectionDate]],"dddd")</f>
        <v>Monday</v>
      </c>
    </row>
    <row r="4315" spans="1:14">
      <c r="A4315" t="s">
        <v>320</v>
      </c>
      <c r="B4315" t="s">
        <v>6399</v>
      </c>
      <c r="C4315" t="s">
        <v>55</v>
      </c>
      <c r="D4315" t="s">
        <v>26</v>
      </c>
      <c r="E4315" s="7">
        <v>45656</v>
      </c>
      <c r="F4315" t="s">
        <v>297</v>
      </c>
      <c r="G4315">
        <v>0</v>
      </c>
      <c r="H4315" t="s">
        <v>27</v>
      </c>
      <c r="I4315" t="s">
        <v>16</v>
      </c>
      <c r="J4315" t="s">
        <v>16</v>
      </c>
      <c r="K4315" t="s">
        <v>2047</v>
      </c>
      <c r="L4315">
        <v>0</v>
      </c>
      <c r="M4315">
        <f t="shared" si="624"/>
        <v>30</v>
      </c>
      <c r="N4315" t="str">
        <f>TEXT(MTDRejection[[#This Row],[RejectionDate]],"dddd")</f>
        <v>Monday</v>
      </c>
    </row>
    <row r="4316" spans="1:14">
      <c r="A4316" t="s">
        <v>320</v>
      </c>
      <c r="B4316" t="s">
        <v>6400</v>
      </c>
      <c r="C4316" t="s">
        <v>55</v>
      </c>
      <c r="D4316" t="s">
        <v>26</v>
      </c>
      <c r="E4316" s="7">
        <v>45656</v>
      </c>
      <c r="F4316" t="s">
        <v>297</v>
      </c>
      <c r="G4316">
        <v>0</v>
      </c>
      <c r="H4316" t="s">
        <v>27</v>
      </c>
      <c r="I4316" t="s">
        <v>16</v>
      </c>
      <c r="J4316" t="s">
        <v>16</v>
      </c>
      <c r="K4316" t="s">
        <v>2047</v>
      </c>
      <c r="L4316">
        <v>0</v>
      </c>
      <c r="M4316">
        <f t="shared" si="624"/>
        <v>30</v>
      </c>
      <c r="N4316" t="str">
        <f>TEXT(MTDRejection[[#This Row],[RejectionDate]],"dddd")</f>
        <v>Monday</v>
      </c>
    </row>
    <row r="4317" spans="1:14">
      <c r="A4317" t="s">
        <v>320</v>
      </c>
      <c r="B4317" t="s">
        <v>6401</v>
      </c>
      <c r="C4317" t="s">
        <v>55</v>
      </c>
      <c r="D4317" t="s">
        <v>26</v>
      </c>
      <c r="E4317" s="7">
        <v>45656</v>
      </c>
      <c r="F4317" t="s">
        <v>297</v>
      </c>
      <c r="G4317">
        <v>0</v>
      </c>
      <c r="H4317" t="s">
        <v>27</v>
      </c>
      <c r="I4317" t="s">
        <v>16</v>
      </c>
      <c r="J4317" t="s">
        <v>16</v>
      </c>
      <c r="K4317" t="s">
        <v>2047</v>
      </c>
      <c r="L4317">
        <v>0</v>
      </c>
      <c r="M4317">
        <f t="shared" si="624"/>
        <v>30</v>
      </c>
      <c r="N4317" t="str">
        <f>TEXT(MTDRejection[[#This Row],[RejectionDate]],"dddd")</f>
        <v>Monday</v>
      </c>
    </row>
    <row r="4318" spans="1:14">
      <c r="A4318" t="s">
        <v>320</v>
      </c>
      <c r="B4318" t="s">
        <v>4484</v>
      </c>
      <c r="C4318" t="s">
        <v>55</v>
      </c>
      <c r="D4318" t="s">
        <v>26</v>
      </c>
      <c r="E4318" s="7">
        <v>45656</v>
      </c>
      <c r="F4318" t="s">
        <v>297</v>
      </c>
      <c r="G4318">
        <v>0</v>
      </c>
      <c r="H4318" t="s">
        <v>27</v>
      </c>
      <c r="I4318" t="s">
        <v>16</v>
      </c>
      <c r="J4318" t="s">
        <v>16</v>
      </c>
      <c r="K4318" t="s">
        <v>2047</v>
      </c>
      <c r="L4318">
        <v>0</v>
      </c>
      <c r="M4318">
        <f t="shared" si="624"/>
        <v>30</v>
      </c>
      <c r="N4318" t="str">
        <f>TEXT(MTDRejection[[#This Row],[RejectionDate]],"dddd")</f>
        <v>Monday</v>
      </c>
    </row>
    <row r="4319" spans="1:14">
      <c r="A4319" t="s">
        <v>320</v>
      </c>
      <c r="B4319" t="s">
        <v>1900</v>
      </c>
      <c r="C4319" t="s">
        <v>55</v>
      </c>
      <c r="D4319" t="s">
        <v>26</v>
      </c>
      <c r="E4319" s="7">
        <v>45656</v>
      </c>
      <c r="F4319" t="s">
        <v>297</v>
      </c>
      <c r="G4319">
        <v>0</v>
      </c>
      <c r="H4319" t="s">
        <v>27</v>
      </c>
      <c r="I4319" t="s">
        <v>16</v>
      </c>
      <c r="J4319" t="s">
        <v>16</v>
      </c>
      <c r="K4319" t="s">
        <v>2047</v>
      </c>
      <c r="L4319">
        <v>0</v>
      </c>
      <c r="M4319">
        <f t="shared" si="624"/>
        <v>30</v>
      </c>
      <c r="N4319" t="str">
        <f>TEXT(MTDRejection[[#This Row],[RejectionDate]],"dddd")</f>
        <v>Monday</v>
      </c>
    </row>
    <row r="4320" spans="1:14">
      <c r="A4320" t="s">
        <v>320</v>
      </c>
      <c r="B4320" t="s">
        <v>6402</v>
      </c>
      <c r="C4320" t="s">
        <v>55</v>
      </c>
      <c r="D4320" t="s">
        <v>26</v>
      </c>
      <c r="E4320" s="7">
        <v>45656</v>
      </c>
      <c r="F4320" t="s">
        <v>297</v>
      </c>
      <c r="G4320">
        <v>0</v>
      </c>
      <c r="H4320" t="s">
        <v>27</v>
      </c>
      <c r="I4320" t="s">
        <v>16</v>
      </c>
      <c r="J4320" t="s">
        <v>16</v>
      </c>
      <c r="K4320" t="s">
        <v>2047</v>
      </c>
      <c r="L4320">
        <v>0</v>
      </c>
      <c r="M4320">
        <f t="shared" si="624"/>
        <v>30</v>
      </c>
      <c r="N4320" t="str">
        <f>TEXT(MTDRejection[[#This Row],[RejectionDate]],"dddd")</f>
        <v>Monday</v>
      </c>
    </row>
    <row r="4321" spans="1:14">
      <c r="A4321" t="s">
        <v>320</v>
      </c>
      <c r="B4321" t="s">
        <v>6390</v>
      </c>
      <c r="C4321" t="s">
        <v>55</v>
      </c>
      <c r="D4321" t="s">
        <v>26</v>
      </c>
      <c r="E4321" s="7">
        <v>45656</v>
      </c>
      <c r="F4321" t="s">
        <v>297</v>
      </c>
      <c r="G4321">
        <v>0</v>
      </c>
      <c r="H4321" t="s">
        <v>27</v>
      </c>
      <c r="I4321" t="s">
        <v>16</v>
      </c>
      <c r="J4321" t="s">
        <v>16</v>
      </c>
      <c r="K4321" t="s">
        <v>2047</v>
      </c>
      <c r="L4321">
        <v>0</v>
      </c>
      <c r="M4321">
        <f t="shared" si="624"/>
        <v>30</v>
      </c>
      <c r="N4321" t="str">
        <f>TEXT(MTDRejection[[#This Row],[RejectionDate]],"dddd")</f>
        <v>Monday</v>
      </c>
    </row>
    <row r="4322" spans="1:14">
      <c r="A4322" t="s">
        <v>320</v>
      </c>
      <c r="B4322" t="s">
        <v>6403</v>
      </c>
      <c r="C4322" t="s">
        <v>55</v>
      </c>
      <c r="D4322" t="s">
        <v>26</v>
      </c>
      <c r="E4322" s="7">
        <v>45656</v>
      </c>
      <c r="F4322" t="s">
        <v>297</v>
      </c>
      <c r="G4322">
        <v>0</v>
      </c>
      <c r="H4322" t="s">
        <v>27</v>
      </c>
      <c r="I4322" t="s">
        <v>16</v>
      </c>
      <c r="J4322" t="s">
        <v>16</v>
      </c>
      <c r="K4322" t="s">
        <v>2047</v>
      </c>
      <c r="L4322">
        <v>0</v>
      </c>
      <c r="M4322">
        <f t="shared" si="624"/>
        <v>30</v>
      </c>
      <c r="N4322" t="str">
        <f>TEXT(MTDRejection[[#This Row],[RejectionDate]],"dddd")</f>
        <v>Monday</v>
      </c>
    </row>
    <row r="4323" spans="1:14">
      <c r="A4323" t="s">
        <v>320</v>
      </c>
      <c r="B4323" t="s">
        <v>2560</v>
      </c>
      <c r="C4323" t="s">
        <v>55</v>
      </c>
      <c r="D4323" t="s">
        <v>26</v>
      </c>
      <c r="E4323" s="7">
        <v>45656</v>
      </c>
      <c r="F4323" t="s">
        <v>297</v>
      </c>
      <c r="G4323">
        <v>0</v>
      </c>
      <c r="H4323" t="s">
        <v>27</v>
      </c>
      <c r="I4323" t="s">
        <v>16</v>
      </c>
      <c r="J4323" t="s">
        <v>16</v>
      </c>
      <c r="K4323" t="s">
        <v>2047</v>
      </c>
      <c r="L4323">
        <v>0</v>
      </c>
      <c r="M4323">
        <f t="shared" si="624"/>
        <v>30</v>
      </c>
      <c r="N4323" t="str">
        <f>TEXT(MTDRejection[[#This Row],[RejectionDate]],"dddd")</f>
        <v>Monday</v>
      </c>
    </row>
    <row r="4324" spans="1:14">
      <c r="A4324" t="s">
        <v>320</v>
      </c>
      <c r="B4324" t="s">
        <v>6393</v>
      </c>
      <c r="C4324" t="s">
        <v>55</v>
      </c>
      <c r="D4324" t="s">
        <v>26</v>
      </c>
      <c r="E4324" s="7">
        <v>45656</v>
      </c>
      <c r="F4324" t="s">
        <v>297</v>
      </c>
      <c r="G4324">
        <v>0</v>
      </c>
      <c r="H4324" t="s">
        <v>27</v>
      </c>
      <c r="I4324" t="s">
        <v>16</v>
      </c>
      <c r="J4324" t="s">
        <v>16</v>
      </c>
      <c r="K4324" t="s">
        <v>2047</v>
      </c>
      <c r="L4324">
        <v>0</v>
      </c>
      <c r="M4324">
        <f t="shared" si="624"/>
        <v>30</v>
      </c>
      <c r="N4324" t="str">
        <f>TEXT(MTDRejection[[#This Row],[RejectionDate]],"dddd")</f>
        <v>Monday</v>
      </c>
    </row>
    <row r="4325" spans="1:14">
      <c r="A4325" t="s">
        <v>320</v>
      </c>
      <c r="B4325" t="s">
        <v>6404</v>
      </c>
      <c r="C4325" t="s">
        <v>55</v>
      </c>
      <c r="D4325" t="s">
        <v>26</v>
      </c>
      <c r="E4325" s="7">
        <v>45656</v>
      </c>
      <c r="F4325" t="s">
        <v>297</v>
      </c>
      <c r="G4325">
        <v>0</v>
      </c>
      <c r="H4325" t="s">
        <v>27</v>
      </c>
      <c r="I4325" t="s">
        <v>16</v>
      </c>
      <c r="J4325" t="s">
        <v>16</v>
      </c>
      <c r="K4325" t="s">
        <v>2047</v>
      </c>
      <c r="L4325">
        <v>0</v>
      </c>
      <c r="M4325">
        <f t="shared" si="624"/>
        <v>30</v>
      </c>
      <c r="N4325" t="str">
        <f>TEXT(MTDRejection[[#This Row],[RejectionDate]],"dddd")</f>
        <v>Monday</v>
      </c>
    </row>
    <row r="4326" spans="1:14">
      <c r="A4326" t="s">
        <v>320</v>
      </c>
      <c r="B4326" t="s">
        <v>6405</v>
      </c>
      <c r="C4326" t="s">
        <v>55</v>
      </c>
      <c r="D4326" t="s">
        <v>26</v>
      </c>
      <c r="E4326" s="7">
        <v>45656</v>
      </c>
      <c r="F4326" t="s">
        <v>297</v>
      </c>
      <c r="G4326">
        <v>0</v>
      </c>
      <c r="H4326" t="s">
        <v>27</v>
      </c>
      <c r="I4326" t="s">
        <v>16</v>
      </c>
      <c r="J4326" t="s">
        <v>16</v>
      </c>
      <c r="K4326" t="s">
        <v>2047</v>
      </c>
      <c r="L4326">
        <v>0</v>
      </c>
      <c r="M4326">
        <f t="shared" si="624"/>
        <v>30</v>
      </c>
      <c r="N4326" t="str">
        <f>TEXT(MTDRejection[[#This Row],[RejectionDate]],"dddd")</f>
        <v>Monday</v>
      </c>
    </row>
    <row r="4327" spans="1:14">
      <c r="A4327" t="s">
        <v>510</v>
      </c>
      <c r="B4327" t="s">
        <v>6406</v>
      </c>
      <c r="C4327" t="s">
        <v>71</v>
      </c>
      <c r="D4327" t="s">
        <v>13</v>
      </c>
      <c r="E4327" s="7">
        <v>45656</v>
      </c>
      <c r="F4327" t="s">
        <v>107</v>
      </c>
      <c r="G4327">
        <v>0</v>
      </c>
      <c r="H4327" t="s">
        <v>15</v>
      </c>
      <c r="I4327" t="s">
        <v>16</v>
      </c>
      <c r="J4327" t="s">
        <v>16</v>
      </c>
      <c r="K4327" t="s">
        <v>50</v>
      </c>
      <c r="L4327">
        <v>0</v>
      </c>
      <c r="M4327">
        <f t="shared" si="624"/>
        <v>30</v>
      </c>
      <c r="N4327" t="str">
        <f>TEXT(MTDRejection[[#This Row],[RejectionDate]],"dddd")</f>
        <v>Monday</v>
      </c>
    </row>
    <row r="4328" spans="1:14">
      <c r="A4328" t="s">
        <v>1016</v>
      </c>
      <c r="B4328" t="s">
        <v>6407</v>
      </c>
      <c r="C4328" t="s">
        <v>56</v>
      </c>
      <c r="D4328" t="s">
        <v>13</v>
      </c>
      <c r="E4328" s="7">
        <v>45656</v>
      </c>
      <c r="F4328" t="s">
        <v>579</v>
      </c>
      <c r="G4328">
        <v>0</v>
      </c>
      <c r="H4328" t="s">
        <v>15</v>
      </c>
      <c r="I4328" t="s">
        <v>16</v>
      </c>
      <c r="J4328" t="s">
        <v>16</v>
      </c>
      <c r="K4328" t="s">
        <v>57</v>
      </c>
      <c r="L4328">
        <v>0</v>
      </c>
      <c r="M4328">
        <f t="shared" si="624"/>
        <v>30</v>
      </c>
      <c r="N4328" t="str">
        <f>TEXT(MTDRejection[[#This Row],[RejectionDate]],"dddd")</f>
        <v>Monday</v>
      </c>
    </row>
    <row r="4329" spans="1:14">
      <c r="A4329" t="s">
        <v>116</v>
      </c>
      <c r="B4329" t="s">
        <v>2792</v>
      </c>
      <c r="C4329" t="s">
        <v>1721</v>
      </c>
      <c r="D4329" t="s">
        <v>13</v>
      </c>
      <c r="E4329" s="7">
        <v>45656</v>
      </c>
      <c r="F4329" t="s">
        <v>540</v>
      </c>
      <c r="G4329">
        <v>0</v>
      </c>
      <c r="H4329" t="s">
        <v>130</v>
      </c>
      <c r="I4329" t="s">
        <v>16</v>
      </c>
      <c r="J4329" t="s">
        <v>16</v>
      </c>
      <c r="K4329" t="s">
        <v>57</v>
      </c>
      <c r="L4329">
        <v>0</v>
      </c>
      <c r="M4329">
        <f t="shared" si="624"/>
        <v>30</v>
      </c>
      <c r="N4329" t="str">
        <f>TEXT(MTDRejection[[#This Row],[RejectionDate]],"dddd")</f>
        <v>Monday</v>
      </c>
    </row>
    <row r="4330" spans="1:14">
      <c r="A4330" t="s">
        <v>1016</v>
      </c>
      <c r="B4330" t="s">
        <v>6408</v>
      </c>
      <c r="C4330" t="s">
        <v>56</v>
      </c>
      <c r="D4330" t="s">
        <v>13</v>
      </c>
      <c r="E4330" s="7">
        <v>45656</v>
      </c>
      <c r="F4330" t="s">
        <v>540</v>
      </c>
      <c r="G4330">
        <v>0</v>
      </c>
      <c r="H4330" t="s">
        <v>15</v>
      </c>
      <c r="I4330" t="s">
        <v>16</v>
      </c>
      <c r="J4330" t="s">
        <v>16</v>
      </c>
      <c r="K4330" t="s">
        <v>57</v>
      </c>
      <c r="L4330">
        <v>0</v>
      </c>
      <c r="M4330">
        <f t="shared" si="624"/>
        <v>30</v>
      </c>
      <c r="N4330" t="str">
        <f>TEXT(MTDRejection[[#This Row],[RejectionDate]],"dddd")</f>
        <v>Monday</v>
      </c>
    </row>
    <row r="4331" spans="1:14">
      <c r="A4331" t="s">
        <v>84</v>
      </c>
      <c r="B4331" t="s">
        <v>1924</v>
      </c>
      <c r="C4331" t="s">
        <v>49</v>
      </c>
      <c r="D4331" t="s">
        <v>26</v>
      </c>
      <c r="E4331" s="7">
        <v>45656</v>
      </c>
      <c r="F4331" t="s">
        <v>118</v>
      </c>
      <c r="G4331">
        <v>0</v>
      </c>
      <c r="H4331" t="s">
        <v>27</v>
      </c>
      <c r="I4331" t="s">
        <v>16</v>
      </c>
      <c r="J4331" t="s">
        <v>16</v>
      </c>
      <c r="K4331" t="s">
        <v>50</v>
      </c>
      <c r="L4331">
        <v>0</v>
      </c>
      <c r="M4331">
        <f t="shared" si="624"/>
        <v>30</v>
      </c>
      <c r="N4331" t="str">
        <f>TEXT(MTDRejection[[#This Row],[RejectionDate]],"dddd")</f>
        <v>Monday</v>
      </c>
    </row>
    <row r="4332" spans="1:14">
      <c r="A4332" t="s">
        <v>84</v>
      </c>
      <c r="B4332" t="s">
        <v>6409</v>
      </c>
      <c r="C4332" t="s">
        <v>49</v>
      </c>
      <c r="D4332" t="s">
        <v>26</v>
      </c>
      <c r="E4332" s="7">
        <v>45656</v>
      </c>
      <c r="F4332" t="s">
        <v>118</v>
      </c>
      <c r="G4332">
        <v>0</v>
      </c>
      <c r="H4332" t="s">
        <v>27</v>
      </c>
      <c r="I4332" t="s">
        <v>16</v>
      </c>
      <c r="J4332" t="s">
        <v>16</v>
      </c>
      <c r="K4332" t="s">
        <v>50</v>
      </c>
      <c r="L4332">
        <v>0</v>
      </c>
      <c r="M4332">
        <f t="shared" si="624"/>
        <v>30</v>
      </c>
      <c r="N4332" t="str">
        <f>TEXT(MTDRejection[[#This Row],[RejectionDate]],"dddd")</f>
        <v>Monday</v>
      </c>
    </row>
    <row r="4333" spans="1:14">
      <c r="A4333" t="s">
        <v>986</v>
      </c>
      <c r="B4333" t="s">
        <v>6410</v>
      </c>
      <c r="C4333" t="s">
        <v>59</v>
      </c>
      <c r="D4333" t="s">
        <v>38</v>
      </c>
      <c r="E4333" s="7">
        <v>45656</v>
      </c>
      <c r="F4333" t="s">
        <v>118</v>
      </c>
      <c r="G4333">
        <v>0</v>
      </c>
      <c r="H4333" t="s">
        <v>42</v>
      </c>
      <c r="I4333" t="s">
        <v>16</v>
      </c>
      <c r="J4333" t="s">
        <v>16</v>
      </c>
      <c r="K4333" t="s">
        <v>57</v>
      </c>
      <c r="L4333">
        <v>0</v>
      </c>
      <c r="M4333">
        <f t="shared" si="624"/>
        <v>30</v>
      </c>
      <c r="N4333" t="str">
        <f>TEXT(MTDRejection[[#This Row],[RejectionDate]],"dddd")</f>
        <v>Monday</v>
      </c>
    </row>
    <row r="4334" spans="1:14">
      <c r="A4334" t="s">
        <v>1110</v>
      </c>
      <c r="B4334" t="s">
        <v>6411</v>
      </c>
      <c r="C4334" t="s">
        <v>965</v>
      </c>
      <c r="D4334" t="s">
        <v>20</v>
      </c>
      <c r="E4334" s="7">
        <v>45656</v>
      </c>
      <c r="F4334" t="s">
        <v>129</v>
      </c>
      <c r="G4334">
        <v>0</v>
      </c>
      <c r="H4334" t="s">
        <v>22</v>
      </c>
      <c r="I4334" t="s">
        <v>16</v>
      </c>
      <c r="J4334" t="s">
        <v>16</v>
      </c>
      <c r="K4334" t="s">
        <v>2045</v>
      </c>
      <c r="L4334">
        <v>0</v>
      </c>
      <c r="M4334">
        <f t="shared" si="624"/>
        <v>30</v>
      </c>
      <c r="N4334" t="str">
        <f>TEXT(MTDRejection[[#This Row],[RejectionDate]],"dddd")</f>
        <v>Monday</v>
      </c>
    </row>
    <row r="4335" spans="1:14">
      <c r="A4335" t="s">
        <v>84</v>
      </c>
      <c r="B4335" t="s">
        <v>6412</v>
      </c>
      <c r="C4335" t="s">
        <v>36</v>
      </c>
      <c r="D4335" t="s">
        <v>26</v>
      </c>
      <c r="E4335" s="7">
        <v>45656</v>
      </c>
      <c r="F4335" t="s">
        <v>2355</v>
      </c>
      <c r="G4335">
        <v>0</v>
      </c>
      <c r="H4335" t="s">
        <v>22</v>
      </c>
      <c r="I4335" t="s">
        <v>16</v>
      </c>
      <c r="J4335" t="s">
        <v>16</v>
      </c>
      <c r="K4335" t="s">
        <v>2046</v>
      </c>
      <c r="L4335">
        <v>0</v>
      </c>
      <c r="M4335">
        <f t="shared" si="624"/>
        <v>30</v>
      </c>
      <c r="N4335" t="str">
        <f>TEXT(MTDRejection[[#This Row],[RejectionDate]],"dddd")</f>
        <v>Monday</v>
      </c>
    </row>
    <row r="4336" spans="1:14">
      <c r="A4336" t="s">
        <v>1110</v>
      </c>
      <c r="B4336" t="s">
        <v>6413</v>
      </c>
      <c r="C4336" t="s">
        <v>965</v>
      </c>
      <c r="D4336" t="s">
        <v>20</v>
      </c>
      <c r="E4336" s="7">
        <v>45656</v>
      </c>
      <c r="F4336" t="s">
        <v>129</v>
      </c>
      <c r="G4336">
        <v>0</v>
      </c>
      <c r="H4336" t="s">
        <v>22</v>
      </c>
      <c r="I4336" t="s">
        <v>16</v>
      </c>
      <c r="J4336" t="s">
        <v>16</v>
      </c>
      <c r="K4336" t="s">
        <v>2045</v>
      </c>
      <c r="L4336">
        <v>0</v>
      </c>
      <c r="M4336">
        <f t="shared" si="624"/>
        <v>30</v>
      </c>
      <c r="N4336" t="str">
        <f>TEXT(MTDRejection[[#This Row],[RejectionDate]],"dddd")</f>
        <v>Monday</v>
      </c>
    </row>
    <row r="4337" spans="1:14">
      <c r="A4337" t="s">
        <v>100</v>
      </c>
      <c r="B4337" t="s">
        <v>6414</v>
      </c>
      <c r="C4337" t="s">
        <v>235</v>
      </c>
      <c r="D4337" t="s">
        <v>26</v>
      </c>
      <c r="E4337" s="7">
        <v>45656</v>
      </c>
      <c r="F4337" t="s">
        <v>236</v>
      </c>
      <c r="G4337">
        <v>0</v>
      </c>
      <c r="H4337" t="s">
        <v>27</v>
      </c>
      <c r="I4337" t="s">
        <v>16</v>
      </c>
      <c r="J4337" t="s">
        <v>16</v>
      </c>
      <c r="K4337" t="s">
        <v>57</v>
      </c>
      <c r="L4337">
        <v>0</v>
      </c>
      <c r="M4337">
        <f t="shared" ref="M4337:M4368" si="625">DAY(E4337)</f>
        <v>30</v>
      </c>
      <c r="N4337" t="str">
        <f>TEXT(MTDRejection[[#This Row],[RejectionDate]],"dddd")</f>
        <v>Monday</v>
      </c>
    </row>
    <row r="4338" spans="1:14">
      <c r="A4338" t="s">
        <v>100</v>
      </c>
      <c r="B4338" t="s">
        <v>6415</v>
      </c>
      <c r="C4338" t="s">
        <v>235</v>
      </c>
      <c r="D4338" t="s">
        <v>26</v>
      </c>
      <c r="E4338" s="7">
        <v>45656</v>
      </c>
      <c r="F4338" t="s">
        <v>236</v>
      </c>
      <c r="G4338">
        <v>0</v>
      </c>
      <c r="H4338" t="s">
        <v>27</v>
      </c>
      <c r="I4338" t="s">
        <v>16</v>
      </c>
      <c r="J4338" t="s">
        <v>16</v>
      </c>
      <c r="K4338" t="s">
        <v>57</v>
      </c>
      <c r="L4338">
        <v>0</v>
      </c>
      <c r="M4338">
        <f t="shared" si="625"/>
        <v>30</v>
      </c>
      <c r="N4338" t="str">
        <f>TEXT(MTDRejection[[#This Row],[RejectionDate]],"dddd")</f>
        <v>Monday</v>
      </c>
    </row>
    <row r="4339" spans="1:14">
      <c r="A4339" t="s">
        <v>100</v>
      </c>
      <c r="B4339" t="s">
        <v>6416</v>
      </c>
      <c r="C4339" t="s">
        <v>235</v>
      </c>
      <c r="D4339" t="s">
        <v>26</v>
      </c>
      <c r="E4339" s="7">
        <v>45656</v>
      </c>
      <c r="F4339" t="s">
        <v>236</v>
      </c>
      <c r="G4339">
        <v>0</v>
      </c>
      <c r="H4339" t="s">
        <v>27</v>
      </c>
      <c r="I4339" t="s">
        <v>16</v>
      </c>
      <c r="J4339" t="s">
        <v>16</v>
      </c>
      <c r="K4339" t="s">
        <v>57</v>
      </c>
      <c r="L4339">
        <v>0</v>
      </c>
      <c r="M4339">
        <f t="shared" si="625"/>
        <v>30</v>
      </c>
      <c r="N4339" t="str">
        <f>TEXT(MTDRejection[[#This Row],[RejectionDate]],"dddd")</f>
        <v>Monday</v>
      </c>
    </row>
    <row r="4340" spans="1:14">
      <c r="A4340" t="s">
        <v>360</v>
      </c>
      <c r="B4340" t="s">
        <v>6417</v>
      </c>
      <c r="C4340" t="s">
        <v>36</v>
      </c>
      <c r="D4340" t="s">
        <v>26</v>
      </c>
      <c r="E4340" s="7">
        <v>45656</v>
      </c>
      <c r="F4340" t="s">
        <v>325</v>
      </c>
      <c r="G4340">
        <v>0</v>
      </c>
      <c r="H4340" t="s">
        <v>27</v>
      </c>
      <c r="I4340" t="s">
        <v>16</v>
      </c>
      <c r="J4340" t="s">
        <v>16</v>
      </c>
      <c r="K4340" t="s">
        <v>2046</v>
      </c>
      <c r="L4340">
        <v>0</v>
      </c>
      <c r="M4340">
        <f t="shared" si="625"/>
        <v>30</v>
      </c>
      <c r="N4340" t="str">
        <f>TEXT(MTDRejection[[#This Row],[RejectionDate]],"dddd")</f>
        <v>Monday</v>
      </c>
    </row>
    <row r="4341" spans="1:14">
      <c r="A4341" t="s">
        <v>1907</v>
      </c>
      <c r="B4341" t="s">
        <v>6418</v>
      </c>
      <c r="C4341" t="s">
        <v>25</v>
      </c>
      <c r="D4341" t="s">
        <v>20</v>
      </c>
      <c r="E4341" s="7">
        <v>45656</v>
      </c>
      <c r="F4341" t="s">
        <v>273</v>
      </c>
      <c r="G4341">
        <v>0</v>
      </c>
      <c r="H4341" t="s">
        <v>27</v>
      </c>
      <c r="I4341" t="s">
        <v>16</v>
      </c>
      <c r="J4341" t="s">
        <v>16</v>
      </c>
      <c r="K4341" t="s">
        <v>2045</v>
      </c>
      <c r="L4341">
        <v>0</v>
      </c>
      <c r="M4341">
        <f t="shared" si="625"/>
        <v>30</v>
      </c>
      <c r="N4341" t="str">
        <f>TEXT(MTDRejection[[#This Row],[RejectionDate]],"dddd")</f>
        <v>Monday</v>
      </c>
    </row>
    <row r="4342" spans="1:14">
      <c r="A4342" t="s">
        <v>100</v>
      </c>
      <c r="B4342" t="s">
        <v>6419</v>
      </c>
      <c r="C4342" t="s">
        <v>255</v>
      </c>
      <c r="D4342" t="s">
        <v>26</v>
      </c>
      <c r="E4342" s="7">
        <v>45656</v>
      </c>
      <c r="F4342" t="s">
        <v>236</v>
      </c>
      <c r="G4342">
        <v>0</v>
      </c>
      <c r="H4342" t="s">
        <v>27</v>
      </c>
      <c r="I4342" t="s">
        <v>16</v>
      </c>
      <c r="J4342" t="s">
        <v>16</v>
      </c>
      <c r="K4342" t="s">
        <v>57</v>
      </c>
      <c r="L4342">
        <v>0</v>
      </c>
      <c r="M4342">
        <f t="shared" si="625"/>
        <v>30</v>
      </c>
      <c r="N4342" t="str">
        <f>TEXT(MTDRejection[[#This Row],[RejectionDate]],"dddd")</f>
        <v>Monday</v>
      </c>
    </row>
    <row r="4343" spans="1:14">
      <c r="A4343" t="s">
        <v>100</v>
      </c>
      <c r="B4343" t="s">
        <v>2566</v>
      </c>
      <c r="C4343" t="s">
        <v>255</v>
      </c>
      <c r="D4343" t="s">
        <v>26</v>
      </c>
      <c r="E4343" s="7">
        <v>45656</v>
      </c>
      <c r="F4343" t="s">
        <v>236</v>
      </c>
      <c r="G4343">
        <v>0</v>
      </c>
      <c r="H4343" t="s">
        <v>27</v>
      </c>
      <c r="I4343" t="s">
        <v>16</v>
      </c>
      <c r="J4343" t="s">
        <v>16</v>
      </c>
      <c r="K4343" t="s">
        <v>57</v>
      </c>
      <c r="L4343">
        <v>0</v>
      </c>
      <c r="M4343">
        <f t="shared" si="625"/>
        <v>30</v>
      </c>
      <c r="N4343" t="str">
        <f>TEXT(MTDRejection[[#This Row],[RejectionDate]],"dddd")</f>
        <v>Monday</v>
      </c>
    </row>
    <row r="4344" spans="1:14">
      <c r="A4344" t="s">
        <v>100</v>
      </c>
      <c r="B4344" t="s">
        <v>6420</v>
      </c>
      <c r="C4344" t="s">
        <v>255</v>
      </c>
      <c r="D4344" t="s">
        <v>26</v>
      </c>
      <c r="E4344" s="7">
        <v>45656</v>
      </c>
      <c r="F4344" t="s">
        <v>236</v>
      </c>
      <c r="G4344">
        <v>0</v>
      </c>
      <c r="H4344" t="s">
        <v>27</v>
      </c>
      <c r="I4344" t="s">
        <v>16</v>
      </c>
      <c r="J4344" t="s">
        <v>16</v>
      </c>
      <c r="K4344" t="s">
        <v>57</v>
      </c>
      <c r="L4344">
        <v>0</v>
      </c>
      <c r="M4344">
        <f t="shared" si="625"/>
        <v>30</v>
      </c>
      <c r="N4344" t="str">
        <f>TEXT(MTDRejection[[#This Row],[RejectionDate]],"dddd")</f>
        <v>Monday</v>
      </c>
    </row>
    <row r="4345" spans="1:14">
      <c r="A4345" t="s">
        <v>281</v>
      </c>
      <c r="B4345" t="s">
        <v>6421</v>
      </c>
      <c r="C4345" t="s">
        <v>467</v>
      </c>
      <c r="D4345" t="s">
        <v>26</v>
      </c>
      <c r="E4345" s="7">
        <v>45656</v>
      </c>
      <c r="F4345" t="s">
        <v>236</v>
      </c>
      <c r="G4345">
        <v>0</v>
      </c>
      <c r="H4345" t="s">
        <v>27</v>
      </c>
      <c r="I4345" t="s">
        <v>16</v>
      </c>
      <c r="J4345" t="s">
        <v>16</v>
      </c>
      <c r="K4345" t="s">
        <v>57</v>
      </c>
      <c r="L4345">
        <v>0</v>
      </c>
      <c r="M4345">
        <f t="shared" si="625"/>
        <v>30</v>
      </c>
      <c r="N4345" t="str">
        <f>TEXT(MTDRejection[[#This Row],[RejectionDate]],"dddd")</f>
        <v>Monday</v>
      </c>
    </row>
    <row r="4346" spans="1:14">
      <c r="A4346" t="s">
        <v>281</v>
      </c>
      <c r="B4346" t="s">
        <v>6422</v>
      </c>
      <c r="C4346" t="s">
        <v>467</v>
      </c>
      <c r="D4346" t="s">
        <v>26</v>
      </c>
      <c r="E4346" s="7">
        <v>45656</v>
      </c>
      <c r="F4346" t="s">
        <v>236</v>
      </c>
      <c r="G4346">
        <v>0</v>
      </c>
      <c r="H4346" t="s">
        <v>27</v>
      </c>
      <c r="I4346" t="s">
        <v>16</v>
      </c>
      <c r="J4346" t="s">
        <v>16</v>
      </c>
      <c r="K4346" t="s">
        <v>57</v>
      </c>
      <c r="L4346">
        <v>0</v>
      </c>
      <c r="M4346">
        <f t="shared" si="625"/>
        <v>30</v>
      </c>
      <c r="N4346" t="str">
        <f>TEXT(MTDRejection[[#This Row],[RejectionDate]],"dddd")</f>
        <v>Monday</v>
      </c>
    </row>
    <row r="4347" spans="1:14">
      <c r="A4347" t="s">
        <v>306</v>
      </c>
      <c r="B4347" t="s">
        <v>2794</v>
      </c>
      <c r="C4347" t="s">
        <v>25</v>
      </c>
      <c r="D4347" t="s">
        <v>51</v>
      </c>
      <c r="E4347" s="7">
        <v>45656</v>
      </c>
      <c r="F4347" t="s">
        <v>555</v>
      </c>
      <c r="G4347">
        <v>0</v>
      </c>
      <c r="H4347" t="s">
        <v>53</v>
      </c>
      <c r="I4347" t="s">
        <v>16</v>
      </c>
      <c r="J4347" t="s">
        <v>16</v>
      </c>
      <c r="K4347" t="s">
        <v>2045</v>
      </c>
      <c r="L4347">
        <v>0</v>
      </c>
      <c r="M4347">
        <f t="shared" si="625"/>
        <v>30</v>
      </c>
      <c r="N4347" t="str">
        <f>TEXT(MTDRejection[[#This Row],[RejectionDate]],"dddd")</f>
        <v>Monday</v>
      </c>
    </row>
    <row r="4348" spans="1:14">
      <c r="A4348" t="s">
        <v>495</v>
      </c>
      <c r="B4348" t="s">
        <v>6423</v>
      </c>
      <c r="C4348" t="s">
        <v>12</v>
      </c>
      <c r="D4348" t="s">
        <v>26</v>
      </c>
      <c r="E4348" s="7">
        <v>45656</v>
      </c>
      <c r="F4348" t="s">
        <v>1055</v>
      </c>
      <c r="G4348">
        <v>0</v>
      </c>
      <c r="H4348" t="s">
        <v>425</v>
      </c>
      <c r="I4348" t="s">
        <v>16</v>
      </c>
      <c r="J4348" t="s">
        <v>16</v>
      </c>
      <c r="K4348" t="s">
        <v>2046</v>
      </c>
      <c r="L4348">
        <v>0</v>
      </c>
      <c r="M4348">
        <f t="shared" si="625"/>
        <v>30</v>
      </c>
      <c r="N4348" t="str">
        <f>TEXT(MTDRejection[[#This Row],[RejectionDate]],"dddd")</f>
        <v>Monday</v>
      </c>
    </row>
    <row r="4349" spans="1:14">
      <c r="A4349" t="s">
        <v>1908</v>
      </c>
      <c r="B4349" t="s">
        <v>6424</v>
      </c>
      <c r="C4349" t="s">
        <v>12</v>
      </c>
      <c r="D4349" t="s">
        <v>26</v>
      </c>
      <c r="E4349" s="7">
        <v>45656</v>
      </c>
      <c r="F4349" t="s">
        <v>1055</v>
      </c>
      <c r="G4349">
        <v>0</v>
      </c>
      <c r="H4349" t="s">
        <v>22</v>
      </c>
      <c r="I4349" t="s">
        <v>16</v>
      </c>
      <c r="J4349" t="s">
        <v>16</v>
      </c>
      <c r="K4349" t="s">
        <v>2046</v>
      </c>
      <c r="L4349">
        <v>0</v>
      </c>
      <c r="M4349">
        <f t="shared" si="625"/>
        <v>30</v>
      </c>
      <c r="N4349" t="str">
        <f>TEXT(MTDRejection[[#This Row],[RejectionDate]],"dddd")</f>
        <v>Monday</v>
      </c>
    </row>
    <row r="4350" spans="1:14">
      <c r="A4350" t="s">
        <v>306</v>
      </c>
      <c r="B4350" t="s">
        <v>1920</v>
      </c>
      <c r="C4350" t="s">
        <v>19</v>
      </c>
      <c r="D4350" t="s">
        <v>13</v>
      </c>
      <c r="E4350" s="7">
        <v>45656</v>
      </c>
      <c r="F4350" t="s">
        <v>1219</v>
      </c>
      <c r="G4350">
        <v>0</v>
      </c>
      <c r="H4350" t="s">
        <v>15</v>
      </c>
      <c r="I4350" t="s">
        <v>16</v>
      </c>
      <c r="J4350" t="s">
        <v>16</v>
      </c>
      <c r="K4350" t="s">
        <v>2045</v>
      </c>
      <c r="L4350">
        <v>0</v>
      </c>
      <c r="M4350">
        <f t="shared" si="625"/>
        <v>30</v>
      </c>
      <c r="N4350" t="str">
        <f>TEXT(MTDRejection[[#This Row],[RejectionDate]],"dddd")</f>
        <v>Monday</v>
      </c>
    </row>
    <row r="4351" spans="1:14">
      <c r="A4351" t="s">
        <v>100</v>
      </c>
      <c r="B4351" t="s">
        <v>6425</v>
      </c>
      <c r="C4351" t="s">
        <v>102</v>
      </c>
      <c r="D4351" t="s">
        <v>26</v>
      </c>
      <c r="E4351" s="7">
        <v>45656</v>
      </c>
      <c r="F4351" t="s">
        <v>63</v>
      </c>
      <c r="G4351">
        <v>0</v>
      </c>
      <c r="H4351" t="s">
        <v>27</v>
      </c>
      <c r="I4351" t="s">
        <v>16</v>
      </c>
      <c r="J4351" t="s">
        <v>16</v>
      </c>
      <c r="K4351" t="s">
        <v>2047</v>
      </c>
      <c r="L4351">
        <v>0</v>
      </c>
      <c r="M4351">
        <f t="shared" si="625"/>
        <v>30</v>
      </c>
      <c r="N4351" t="str">
        <f>TEXT(MTDRejection[[#This Row],[RejectionDate]],"dddd")</f>
        <v>Monday</v>
      </c>
    </row>
    <row r="4352" spans="1:14">
      <c r="A4352" t="s">
        <v>934</v>
      </c>
      <c r="B4352" t="s">
        <v>6426</v>
      </c>
      <c r="C4352" t="s">
        <v>19</v>
      </c>
      <c r="D4352" t="s">
        <v>20</v>
      </c>
      <c r="E4352" s="7">
        <v>45656</v>
      </c>
      <c r="F4352" t="s">
        <v>2330</v>
      </c>
      <c r="G4352">
        <v>0</v>
      </c>
      <c r="H4352" t="s">
        <v>22</v>
      </c>
      <c r="I4352" t="s">
        <v>16</v>
      </c>
      <c r="J4352" t="s">
        <v>16</v>
      </c>
      <c r="K4352" t="s">
        <v>2045</v>
      </c>
      <c r="L4352">
        <v>0</v>
      </c>
      <c r="M4352">
        <f t="shared" si="625"/>
        <v>30</v>
      </c>
      <c r="N4352" t="str">
        <f>TEXT(MTDRejection[[#This Row],[RejectionDate]],"dddd")</f>
        <v>Monday</v>
      </c>
    </row>
    <row r="4353" spans="1:14">
      <c r="A4353" t="s">
        <v>165</v>
      </c>
      <c r="B4353" t="s">
        <v>2795</v>
      </c>
      <c r="C4353" t="s">
        <v>25</v>
      </c>
      <c r="D4353" t="s">
        <v>20</v>
      </c>
      <c r="E4353" s="7">
        <v>45656</v>
      </c>
      <c r="F4353" t="s">
        <v>2330</v>
      </c>
      <c r="G4353">
        <v>0</v>
      </c>
      <c r="H4353" t="s">
        <v>22</v>
      </c>
      <c r="I4353" t="s">
        <v>16</v>
      </c>
      <c r="J4353" t="s">
        <v>16</v>
      </c>
      <c r="K4353" t="s">
        <v>2045</v>
      </c>
      <c r="L4353">
        <v>0</v>
      </c>
      <c r="M4353">
        <f t="shared" si="625"/>
        <v>30</v>
      </c>
      <c r="N4353" t="str">
        <f>TEXT(MTDRejection[[#This Row],[RejectionDate]],"dddd")</f>
        <v>Monday</v>
      </c>
    </row>
    <row r="4354" spans="1:14">
      <c r="A4354" t="s">
        <v>137</v>
      </c>
      <c r="B4354" t="s">
        <v>6427</v>
      </c>
      <c r="C4354" t="s">
        <v>54</v>
      </c>
      <c r="D4354" t="s">
        <v>51</v>
      </c>
      <c r="E4354" s="7">
        <v>45656</v>
      </c>
      <c r="F4354" t="s">
        <v>2331</v>
      </c>
      <c r="G4354">
        <v>0</v>
      </c>
      <c r="H4354" t="s">
        <v>53</v>
      </c>
      <c r="I4354" t="s">
        <v>16</v>
      </c>
      <c r="J4354" t="s">
        <v>16</v>
      </c>
      <c r="K4354" t="s">
        <v>2047</v>
      </c>
      <c r="L4354">
        <v>0</v>
      </c>
      <c r="M4354">
        <f t="shared" si="625"/>
        <v>30</v>
      </c>
      <c r="N4354" t="str">
        <f>TEXT(MTDRejection[[#This Row],[RejectionDate]],"dddd")</f>
        <v>Monday</v>
      </c>
    </row>
    <row r="4355" spans="1:14">
      <c r="A4355" t="s">
        <v>137</v>
      </c>
      <c r="B4355" t="s">
        <v>2796</v>
      </c>
      <c r="C4355" t="s">
        <v>25</v>
      </c>
      <c r="D4355" t="s">
        <v>51</v>
      </c>
      <c r="E4355" s="7">
        <v>45656</v>
      </c>
      <c r="F4355" t="s">
        <v>2331</v>
      </c>
      <c r="G4355">
        <v>0</v>
      </c>
      <c r="H4355" t="s">
        <v>53</v>
      </c>
      <c r="I4355" t="s">
        <v>16</v>
      </c>
      <c r="J4355" t="s">
        <v>16</v>
      </c>
      <c r="K4355" t="s">
        <v>2045</v>
      </c>
      <c r="L4355">
        <v>0</v>
      </c>
      <c r="M4355">
        <f t="shared" si="625"/>
        <v>30</v>
      </c>
      <c r="N4355" t="str">
        <f>TEXT(MTDRejection[[#This Row],[RejectionDate]],"dddd")</f>
        <v>Monday</v>
      </c>
    </row>
    <row r="4356" spans="1:14">
      <c r="A4356" t="s">
        <v>137</v>
      </c>
      <c r="B4356" t="s">
        <v>6428</v>
      </c>
      <c r="C4356" t="s">
        <v>12</v>
      </c>
      <c r="D4356" t="s">
        <v>51</v>
      </c>
      <c r="E4356" s="7">
        <v>45656</v>
      </c>
      <c r="F4356" t="s">
        <v>2331</v>
      </c>
      <c r="G4356">
        <v>0</v>
      </c>
      <c r="H4356" t="s">
        <v>53</v>
      </c>
      <c r="I4356" t="s">
        <v>16</v>
      </c>
      <c r="J4356" t="s">
        <v>16</v>
      </c>
      <c r="K4356" t="s">
        <v>2046</v>
      </c>
      <c r="L4356">
        <v>0</v>
      </c>
      <c r="M4356">
        <f t="shared" si="625"/>
        <v>30</v>
      </c>
      <c r="N4356" t="str">
        <f>TEXT(MTDRejection[[#This Row],[RejectionDate]],"dddd")</f>
        <v>Monday</v>
      </c>
    </row>
    <row r="4357" spans="1:14">
      <c r="A4357" t="s">
        <v>137</v>
      </c>
      <c r="B4357" t="s">
        <v>6429</v>
      </c>
      <c r="C4357" t="s">
        <v>25</v>
      </c>
      <c r="D4357" t="s">
        <v>51</v>
      </c>
      <c r="E4357" s="7">
        <v>45656</v>
      </c>
      <c r="F4357" t="s">
        <v>2331</v>
      </c>
      <c r="G4357">
        <v>0</v>
      </c>
      <c r="H4357" t="s">
        <v>53</v>
      </c>
      <c r="I4357" t="s">
        <v>16</v>
      </c>
      <c r="J4357" t="s">
        <v>16</v>
      </c>
      <c r="K4357" t="s">
        <v>2045</v>
      </c>
      <c r="L4357">
        <v>0</v>
      </c>
      <c r="M4357">
        <f t="shared" si="625"/>
        <v>30</v>
      </c>
      <c r="N4357" t="str">
        <f>TEXT(MTDRejection[[#This Row],[RejectionDate]],"dddd")</f>
        <v>Monday</v>
      </c>
    </row>
    <row r="4358" spans="1:14">
      <c r="A4358" t="s">
        <v>45</v>
      </c>
      <c r="B4358" t="s">
        <v>6430</v>
      </c>
      <c r="C4358" t="s">
        <v>19</v>
      </c>
      <c r="D4358" t="s">
        <v>20</v>
      </c>
      <c r="E4358" s="7">
        <v>45656</v>
      </c>
      <c r="F4358" t="s">
        <v>2348</v>
      </c>
      <c r="G4358">
        <v>0</v>
      </c>
      <c r="H4358" t="s">
        <v>22</v>
      </c>
      <c r="I4358" t="s">
        <v>16</v>
      </c>
      <c r="J4358" t="s">
        <v>16</v>
      </c>
      <c r="K4358" t="s">
        <v>2045</v>
      </c>
      <c r="L4358">
        <v>0</v>
      </c>
      <c r="M4358">
        <f t="shared" si="625"/>
        <v>30</v>
      </c>
      <c r="N4358" t="str">
        <f>TEXT(MTDRejection[[#This Row],[RejectionDate]],"dddd")</f>
        <v>Monday</v>
      </c>
    </row>
    <row r="4359" spans="1:14">
      <c r="A4359" t="s">
        <v>682</v>
      </c>
      <c r="B4359" t="s">
        <v>6431</v>
      </c>
      <c r="C4359" t="s">
        <v>12</v>
      </c>
      <c r="D4359" t="s">
        <v>26</v>
      </c>
      <c r="E4359" s="7">
        <v>45656</v>
      </c>
      <c r="F4359" t="s">
        <v>83</v>
      </c>
      <c r="G4359">
        <v>0</v>
      </c>
      <c r="H4359" t="s">
        <v>27</v>
      </c>
      <c r="I4359" t="s">
        <v>16</v>
      </c>
      <c r="J4359" t="s">
        <v>16</v>
      </c>
      <c r="K4359" t="s">
        <v>2046</v>
      </c>
      <c r="L4359">
        <v>0</v>
      </c>
      <c r="M4359">
        <f t="shared" si="625"/>
        <v>30</v>
      </c>
      <c r="N4359" t="str">
        <f>TEXT(MTDRejection[[#This Row],[RejectionDate]],"dddd")</f>
        <v>Monday</v>
      </c>
    </row>
    <row r="4360" spans="1:14">
      <c r="A4360" t="s">
        <v>81</v>
      </c>
      <c r="B4360" t="s">
        <v>6432</v>
      </c>
      <c r="C4360" t="s">
        <v>12</v>
      </c>
      <c r="D4360" t="s">
        <v>26</v>
      </c>
      <c r="E4360" s="7">
        <v>45656</v>
      </c>
      <c r="F4360" t="s">
        <v>83</v>
      </c>
      <c r="G4360">
        <v>0</v>
      </c>
      <c r="H4360" t="s">
        <v>27</v>
      </c>
      <c r="I4360" t="s">
        <v>16</v>
      </c>
      <c r="J4360" t="s">
        <v>16</v>
      </c>
      <c r="K4360" t="s">
        <v>2046</v>
      </c>
      <c r="L4360">
        <v>0</v>
      </c>
      <c r="M4360">
        <f t="shared" si="625"/>
        <v>30</v>
      </c>
      <c r="N4360" t="str">
        <f>TEXT(MTDRejection[[#This Row],[RejectionDate]],"dddd")</f>
        <v>Monday</v>
      </c>
    </row>
    <row r="4361" spans="1:14">
      <c r="A4361" t="s">
        <v>81</v>
      </c>
      <c r="B4361" t="s">
        <v>6433</v>
      </c>
      <c r="C4361" t="s">
        <v>36</v>
      </c>
      <c r="D4361" t="s">
        <v>26</v>
      </c>
      <c r="E4361" s="7">
        <v>45656</v>
      </c>
      <c r="F4361" t="s">
        <v>83</v>
      </c>
      <c r="G4361">
        <v>0</v>
      </c>
      <c r="H4361" t="s">
        <v>27</v>
      </c>
      <c r="I4361" t="s">
        <v>16</v>
      </c>
      <c r="J4361" t="s">
        <v>16</v>
      </c>
      <c r="K4361" t="s">
        <v>2046</v>
      </c>
      <c r="L4361">
        <v>0</v>
      </c>
      <c r="M4361">
        <f t="shared" si="625"/>
        <v>30</v>
      </c>
      <c r="N4361" t="str">
        <f>TEXT(MTDRejection[[#This Row],[RejectionDate]],"dddd")</f>
        <v>Monday</v>
      </c>
    </row>
    <row r="4362" spans="1:14">
      <c r="A4362" t="s">
        <v>353</v>
      </c>
      <c r="B4362" t="s">
        <v>6434</v>
      </c>
      <c r="C4362" t="s">
        <v>36</v>
      </c>
      <c r="D4362" t="s">
        <v>26</v>
      </c>
      <c r="E4362" s="7">
        <v>45656</v>
      </c>
      <c r="F4362" t="s">
        <v>277</v>
      </c>
      <c r="G4362">
        <v>0</v>
      </c>
      <c r="H4362" t="s">
        <v>27</v>
      </c>
      <c r="I4362" t="s">
        <v>16</v>
      </c>
      <c r="J4362" t="s">
        <v>16</v>
      </c>
      <c r="K4362" t="s">
        <v>2046</v>
      </c>
      <c r="L4362">
        <v>0</v>
      </c>
      <c r="M4362">
        <f t="shared" si="625"/>
        <v>30</v>
      </c>
      <c r="N4362" t="str">
        <f>TEXT(MTDRejection[[#This Row],[RejectionDate]],"dddd")</f>
        <v>Monday</v>
      </c>
    </row>
    <row r="4363" spans="1:14">
      <c r="A4363" t="s">
        <v>100</v>
      </c>
      <c r="B4363" t="s">
        <v>6435</v>
      </c>
      <c r="C4363" t="s">
        <v>775</v>
      </c>
      <c r="D4363" t="s">
        <v>26</v>
      </c>
      <c r="E4363" s="7">
        <v>45656</v>
      </c>
      <c r="F4363" t="s">
        <v>184</v>
      </c>
      <c r="G4363">
        <v>0</v>
      </c>
      <c r="H4363" t="s">
        <v>27</v>
      </c>
      <c r="I4363" t="s">
        <v>16</v>
      </c>
      <c r="J4363" t="s">
        <v>16</v>
      </c>
      <c r="K4363" t="s">
        <v>2046</v>
      </c>
      <c r="L4363">
        <v>0</v>
      </c>
      <c r="M4363">
        <f t="shared" si="625"/>
        <v>30</v>
      </c>
      <c r="N4363" t="str">
        <f>TEXT(MTDRejection[[#This Row],[RejectionDate]],"dddd")</f>
        <v>Monday</v>
      </c>
    </row>
    <row r="4364" spans="1:14">
      <c r="A4364" t="s">
        <v>211</v>
      </c>
      <c r="B4364" t="s">
        <v>2798</v>
      </c>
      <c r="C4364" t="s">
        <v>12</v>
      </c>
      <c r="D4364" t="s">
        <v>26</v>
      </c>
      <c r="E4364" s="7">
        <v>45656</v>
      </c>
      <c r="F4364" t="s">
        <v>179</v>
      </c>
      <c r="G4364">
        <v>0</v>
      </c>
      <c r="H4364" t="s">
        <v>22</v>
      </c>
      <c r="I4364" t="s">
        <v>16</v>
      </c>
      <c r="J4364" t="s">
        <v>16</v>
      </c>
      <c r="K4364" t="s">
        <v>2046</v>
      </c>
      <c r="L4364">
        <v>0</v>
      </c>
      <c r="M4364">
        <f t="shared" si="625"/>
        <v>30</v>
      </c>
      <c r="N4364" t="str">
        <f>TEXT(MTDRejection[[#This Row],[RejectionDate]],"dddd")</f>
        <v>Monday</v>
      </c>
    </row>
    <row r="4365" spans="1:14">
      <c r="A4365" t="s">
        <v>45</v>
      </c>
      <c r="B4365" t="s">
        <v>6436</v>
      </c>
      <c r="C4365" t="s">
        <v>36</v>
      </c>
      <c r="D4365" t="s">
        <v>26</v>
      </c>
      <c r="E4365" s="7">
        <v>45656</v>
      </c>
      <c r="F4365" t="s">
        <v>179</v>
      </c>
      <c r="G4365">
        <v>0</v>
      </c>
      <c r="H4365" t="s">
        <v>22</v>
      </c>
      <c r="I4365" t="s">
        <v>16</v>
      </c>
      <c r="J4365" t="s">
        <v>16</v>
      </c>
      <c r="K4365" t="s">
        <v>2046</v>
      </c>
      <c r="L4365">
        <v>0</v>
      </c>
      <c r="M4365">
        <f t="shared" si="625"/>
        <v>30</v>
      </c>
      <c r="N4365" t="str">
        <f>TEXT(MTDRejection[[#This Row],[RejectionDate]],"dddd")</f>
        <v>Monday</v>
      </c>
    </row>
    <row r="4366" spans="1:14">
      <c r="A4366" t="s">
        <v>67</v>
      </c>
      <c r="B4366" t="s">
        <v>6437</v>
      </c>
      <c r="C4366" t="s">
        <v>54</v>
      </c>
      <c r="D4366" t="s">
        <v>13</v>
      </c>
      <c r="E4366" s="7">
        <v>45656</v>
      </c>
      <c r="F4366" t="s">
        <v>107</v>
      </c>
      <c r="G4366">
        <v>0</v>
      </c>
      <c r="H4366" t="s">
        <v>15</v>
      </c>
      <c r="I4366" t="s">
        <v>16</v>
      </c>
      <c r="J4366" t="s">
        <v>16</v>
      </c>
      <c r="K4366" t="s">
        <v>2047</v>
      </c>
      <c r="L4366">
        <v>0</v>
      </c>
      <c r="M4366">
        <f t="shared" si="625"/>
        <v>30</v>
      </c>
      <c r="N4366" t="str">
        <f>TEXT(MTDRejection[[#This Row],[RejectionDate]],"dddd")</f>
        <v>Monday</v>
      </c>
    </row>
    <row r="4367" spans="1:14">
      <c r="A4367" t="s">
        <v>306</v>
      </c>
      <c r="B4367" t="s">
        <v>6438</v>
      </c>
      <c r="C4367" t="s">
        <v>56</v>
      </c>
      <c r="D4367" t="s">
        <v>26</v>
      </c>
      <c r="E4367" s="7">
        <v>45656</v>
      </c>
      <c r="F4367" t="s">
        <v>118</v>
      </c>
      <c r="G4367">
        <v>0</v>
      </c>
      <c r="H4367" t="s">
        <v>27</v>
      </c>
      <c r="I4367" t="s">
        <v>16</v>
      </c>
      <c r="J4367" t="s">
        <v>16</v>
      </c>
      <c r="K4367" t="s">
        <v>57</v>
      </c>
      <c r="L4367">
        <v>0</v>
      </c>
      <c r="M4367">
        <f t="shared" si="625"/>
        <v>30</v>
      </c>
      <c r="N4367" t="str">
        <f>TEXT(MTDRejection[[#This Row],[RejectionDate]],"dddd")</f>
        <v>Monday</v>
      </c>
    </row>
    <row r="4368" spans="1:14">
      <c r="A4368" t="s">
        <v>1811</v>
      </c>
      <c r="B4368" t="s">
        <v>6439</v>
      </c>
      <c r="C4368" t="s">
        <v>54</v>
      </c>
      <c r="D4368" t="s">
        <v>26</v>
      </c>
      <c r="E4368" s="7">
        <v>45656</v>
      </c>
      <c r="F4368" t="s">
        <v>121</v>
      </c>
      <c r="G4368">
        <v>0</v>
      </c>
      <c r="H4368" t="s">
        <v>27</v>
      </c>
      <c r="I4368" t="s">
        <v>16</v>
      </c>
      <c r="J4368" t="s">
        <v>16</v>
      </c>
      <c r="K4368" t="s">
        <v>2047</v>
      </c>
      <c r="L4368">
        <v>0</v>
      </c>
      <c r="M4368">
        <f t="shared" si="625"/>
        <v>30</v>
      </c>
      <c r="N4368" t="str">
        <f>TEXT(MTDRejection[[#This Row],[RejectionDate]],"dddd")</f>
        <v>Monday</v>
      </c>
    </row>
    <row r="4369" spans="1:14">
      <c r="A4369" t="s">
        <v>84</v>
      </c>
      <c r="B4369" t="s">
        <v>4792</v>
      </c>
      <c r="C4369" t="s">
        <v>49</v>
      </c>
      <c r="D4369" t="s">
        <v>26</v>
      </c>
      <c r="E4369" s="7">
        <v>45656</v>
      </c>
      <c r="F4369" t="s">
        <v>118</v>
      </c>
      <c r="G4369">
        <v>0</v>
      </c>
      <c r="H4369" t="s">
        <v>22</v>
      </c>
      <c r="I4369" t="s">
        <v>16</v>
      </c>
      <c r="J4369" t="s">
        <v>16</v>
      </c>
      <c r="K4369" t="s">
        <v>50</v>
      </c>
      <c r="L4369">
        <v>0</v>
      </c>
      <c r="M4369">
        <f t="shared" ref="M4369:M4393" si="626">DAY(E4369)</f>
        <v>30</v>
      </c>
      <c r="N4369" t="str">
        <f>TEXT(MTDRejection[[#This Row],[RejectionDate]],"dddd")</f>
        <v>Monday</v>
      </c>
    </row>
    <row r="4370" spans="1:14">
      <c r="A4370" t="s">
        <v>84</v>
      </c>
      <c r="B4370" t="s">
        <v>4797</v>
      </c>
      <c r="C4370" t="s">
        <v>49</v>
      </c>
      <c r="D4370" t="s">
        <v>26</v>
      </c>
      <c r="E4370" s="7">
        <v>45656</v>
      </c>
      <c r="F4370" t="s">
        <v>118</v>
      </c>
      <c r="G4370">
        <v>0</v>
      </c>
      <c r="H4370" t="s">
        <v>22</v>
      </c>
      <c r="I4370" t="s">
        <v>16</v>
      </c>
      <c r="J4370" t="s">
        <v>16</v>
      </c>
      <c r="K4370" t="s">
        <v>50</v>
      </c>
      <c r="L4370">
        <v>0</v>
      </c>
      <c r="M4370">
        <f t="shared" si="626"/>
        <v>30</v>
      </c>
      <c r="N4370" t="str">
        <f>TEXT(MTDRejection[[#This Row],[RejectionDate]],"dddd")</f>
        <v>Monday</v>
      </c>
    </row>
    <row r="4371" spans="1:14">
      <c r="A4371" t="s">
        <v>84</v>
      </c>
      <c r="B4371" t="s">
        <v>1866</v>
      </c>
      <c r="C4371" t="s">
        <v>49</v>
      </c>
      <c r="D4371" t="s">
        <v>26</v>
      </c>
      <c r="E4371" s="7">
        <v>45656</v>
      </c>
      <c r="F4371" t="s">
        <v>118</v>
      </c>
      <c r="G4371">
        <v>0</v>
      </c>
      <c r="H4371" t="s">
        <v>22</v>
      </c>
      <c r="I4371" t="s">
        <v>16</v>
      </c>
      <c r="J4371" t="s">
        <v>16</v>
      </c>
      <c r="K4371" t="s">
        <v>50</v>
      </c>
      <c r="L4371">
        <v>0</v>
      </c>
      <c r="M4371">
        <f t="shared" si="626"/>
        <v>30</v>
      </c>
      <c r="N4371" t="str">
        <f>TEXT(MTDRejection[[#This Row],[RejectionDate]],"dddd")</f>
        <v>Monday</v>
      </c>
    </row>
    <row r="4372" spans="1:14">
      <c r="A4372" t="s">
        <v>84</v>
      </c>
      <c r="B4372" t="s">
        <v>1917</v>
      </c>
      <c r="C4372" t="s">
        <v>49</v>
      </c>
      <c r="D4372" t="s">
        <v>26</v>
      </c>
      <c r="E4372" s="7">
        <v>45656</v>
      </c>
      <c r="F4372" t="s">
        <v>118</v>
      </c>
      <c r="G4372">
        <v>0</v>
      </c>
      <c r="H4372" t="s">
        <v>22</v>
      </c>
      <c r="I4372" t="s">
        <v>16</v>
      </c>
      <c r="J4372" t="s">
        <v>16</v>
      </c>
      <c r="K4372" t="s">
        <v>50</v>
      </c>
      <c r="L4372">
        <v>0</v>
      </c>
      <c r="M4372">
        <f t="shared" si="626"/>
        <v>30</v>
      </c>
      <c r="N4372" t="str">
        <f>TEXT(MTDRejection[[#This Row],[RejectionDate]],"dddd")</f>
        <v>Monday</v>
      </c>
    </row>
    <row r="4373" spans="1:14">
      <c r="A4373" t="s">
        <v>84</v>
      </c>
      <c r="B4373" t="s">
        <v>6440</v>
      </c>
      <c r="C4373" t="s">
        <v>49</v>
      </c>
      <c r="D4373" t="s">
        <v>26</v>
      </c>
      <c r="E4373" s="7">
        <v>45656</v>
      </c>
      <c r="F4373" t="s">
        <v>118</v>
      </c>
      <c r="G4373">
        <v>0</v>
      </c>
      <c r="H4373" t="s">
        <v>95</v>
      </c>
      <c r="I4373" t="s">
        <v>16</v>
      </c>
      <c r="J4373" t="s">
        <v>16</v>
      </c>
      <c r="K4373" t="s">
        <v>50</v>
      </c>
      <c r="L4373">
        <v>0</v>
      </c>
      <c r="M4373">
        <f t="shared" si="626"/>
        <v>30</v>
      </c>
      <c r="N4373" t="str">
        <f>TEXT(MTDRejection[[#This Row],[RejectionDate]],"dddd")</f>
        <v>Monday</v>
      </c>
    </row>
    <row r="4374" spans="1:14">
      <c r="A4374" t="s">
        <v>84</v>
      </c>
      <c r="B4374" t="s">
        <v>4013</v>
      </c>
      <c r="C4374" t="s">
        <v>49</v>
      </c>
      <c r="D4374" t="s">
        <v>26</v>
      </c>
      <c r="E4374" s="7">
        <v>45656</v>
      </c>
      <c r="F4374" t="s">
        <v>118</v>
      </c>
      <c r="G4374">
        <v>0</v>
      </c>
      <c r="H4374" t="s">
        <v>27</v>
      </c>
      <c r="I4374" t="s">
        <v>16</v>
      </c>
      <c r="J4374" t="s">
        <v>16</v>
      </c>
      <c r="K4374" t="s">
        <v>50</v>
      </c>
      <c r="L4374">
        <v>0</v>
      </c>
      <c r="M4374">
        <f t="shared" si="626"/>
        <v>30</v>
      </c>
      <c r="N4374" t="str">
        <f>TEXT(MTDRejection[[#This Row],[RejectionDate]],"dddd")</f>
        <v>Monday</v>
      </c>
    </row>
    <row r="4375" spans="1:14">
      <c r="A4375" t="s">
        <v>84</v>
      </c>
      <c r="B4375" t="s">
        <v>6441</v>
      </c>
      <c r="C4375" t="s">
        <v>49</v>
      </c>
      <c r="D4375" t="s">
        <v>26</v>
      </c>
      <c r="E4375" s="7">
        <v>45656</v>
      </c>
      <c r="F4375" t="s">
        <v>118</v>
      </c>
      <c r="G4375">
        <v>0</v>
      </c>
      <c r="H4375" t="s">
        <v>95</v>
      </c>
      <c r="I4375" t="s">
        <v>16</v>
      </c>
      <c r="J4375" t="s">
        <v>16</v>
      </c>
      <c r="K4375" t="s">
        <v>50</v>
      </c>
      <c r="L4375">
        <v>0</v>
      </c>
      <c r="M4375">
        <f t="shared" si="626"/>
        <v>30</v>
      </c>
      <c r="N4375" t="str">
        <f>TEXT(MTDRejection[[#This Row],[RejectionDate]],"dddd")</f>
        <v>Monday</v>
      </c>
    </row>
    <row r="4376" spans="1:14">
      <c r="A4376" t="s">
        <v>84</v>
      </c>
      <c r="B4376" t="s">
        <v>6442</v>
      </c>
      <c r="C4376" t="s">
        <v>49</v>
      </c>
      <c r="D4376" t="s">
        <v>26</v>
      </c>
      <c r="E4376" s="7">
        <v>45656</v>
      </c>
      <c r="F4376" t="s">
        <v>118</v>
      </c>
      <c r="G4376">
        <v>0</v>
      </c>
      <c r="H4376" t="s">
        <v>27</v>
      </c>
      <c r="I4376" t="s">
        <v>16</v>
      </c>
      <c r="J4376" t="s">
        <v>16</v>
      </c>
      <c r="K4376" t="s">
        <v>50</v>
      </c>
      <c r="L4376">
        <v>0</v>
      </c>
      <c r="M4376">
        <f t="shared" si="626"/>
        <v>30</v>
      </c>
      <c r="N4376" t="str">
        <f>TEXT(MTDRejection[[#This Row],[RejectionDate]],"dddd")</f>
        <v>Monday</v>
      </c>
    </row>
    <row r="4377" spans="1:14">
      <c r="A4377" t="s">
        <v>84</v>
      </c>
      <c r="B4377" t="s">
        <v>4489</v>
      </c>
      <c r="C4377" t="s">
        <v>49</v>
      </c>
      <c r="D4377" t="s">
        <v>26</v>
      </c>
      <c r="E4377" s="7">
        <v>45656</v>
      </c>
      <c r="F4377" t="s">
        <v>118</v>
      </c>
      <c r="G4377">
        <v>0</v>
      </c>
      <c r="H4377" t="s">
        <v>30</v>
      </c>
      <c r="I4377" t="s">
        <v>16</v>
      </c>
      <c r="J4377" t="s">
        <v>16</v>
      </c>
      <c r="K4377" t="s">
        <v>50</v>
      </c>
      <c r="L4377">
        <v>0</v>
      </c>
      <c r="M4377">
        <f t="shared" si="626"/>
        <v>30</v>
      </c>
      <c r="N4377" t="str">
        <f>TEXT(MTDRejection[[#This Row],[RejectionDate]],"dddd")</f>
        <v>Monday</v>
      </c>
    </row>
    <row r="4378" spans="1:14">
      <c r="A4378" t="s">
        <v>84</v>
      </c>
      <c r="B4378" t="s">
        <v>6443</v>
      </c>
      <c r="C4378" t="s">
        <v>49</v>
      </c>
      <c r="D4378" t="s">
        <v>26</v>
      </c>
      <c r="E4378" s="7">
        <v>45656</v>
      </c>
      <c r="F4378" t="s">
        <v>118</v>
      </c>
      <c r="G4378">
        <v>0</v>
      </c>
      <c r="H4378" t="s">
        <v>505</v>
      </c>
      <c r="I4378" t="s">
        <v>16</v>
      </c>
      <c r="J4378" t="s">
        <v>16</v>
      </c>
      <c r="K4378" t="s">
        <v>50</v>
      </c>
      <c r="L4378">
        <v>0</v>
      </c>
      <c r="M4378">
        <f t="shared" si="626"/>
        <v>30</v>
      </c>
      <c r="N4378" t="str">
        <f>TEXT(MTDRejection[[#This Row],[RejectionDate]],"dddd")</f>
        <v>Monday</v>
      </c>
    </row>
    <row r="4379" spans="1:14">
      <c r="A4379" t="s">
        <v>84</v>
      </c>
      <c r="B4379" t="s">
        <v>1957</v>
      </c>
      <c r="C4379" t="s">
        <v>49</v>
      </c>
      <c r="D4379" t="s">
        <v>26</v>
      </c>
      <c r="E4379" s="7">
        <v>45656</v>
      </c>
      <c r="F4379" t="s">
        <v>118</v>
      </c>
      <c r="G4379">
        <v>0</v>
      </c>
      <c r="H4379" t="s">
        <v>22</v>
      </c>
      <c r="I4379" t="s">
        <v>16</v>
      </c>
      <c r="J4379" t="s">
        <v>16</v>
      </c>
      <c r="K4379" t="s">
        <v>50</v>
      </c>
      <c r="L4379">
        <v>0</v>
      </c>
      <c r="M4379">
        <f t="shared" si="626"/>
        <v>30</v>
      </c>
      <c r="N4379" t="str">
        <f>TEXT(MTDRejection[[#This Row],[RejectionDate]],"dddd")</f>
        <v>Monday</v>
      </c>
    </row>
    <row r="4380" spans="1:14">
      <c r="A4380" t="s">
        <v>84</v>
      </c>
      <c r="B4380" t="s">
        <v>6444</v>
      </c>
      <c r="C4380" t="s">
        <v>49</v>
      </c>
      <c r="D4380" t="s">
        <v>26</v>
      </c>
      <c r="E4380" s="7">
        <v>45656</v>
      </c>
      <c r="F4380" t="s">
        <v>118</v>
      </c>
      <c r="G4380">
        <v>0</v>
      </c>
      <c r="H4380" t="s">
        <v>95</v>
      </c>
      <c r="I4380" t="s">
        <v>16</v>
      </c>
      <c r="J4380" t="s">
        <v>16</v>
      </c>
      <c r="K4380" t="s">
        <v>50</v>
      </c>
      <c r="L4380">
        <v>0</v>
      </c>
      <c r="M4380">
        <f t="shared" si="626"/>
        <v>30</v>
      </c>
      <c r="N4380" t="str">
        <f>TEXT(MTDRejection[[#This Row],[RejectionDate]],"dddd")</f>
        <v>Monday</v>
      </c>
    </row>
    <row r="4381" spans="1:14">
      <c r="A4381" t="s">
        <v>84</v>
      </c>
      <c r="B4381" t="s">
        <v>6445</v>
      </c>
      <c r="C4381" t="s">
        <v>49</v>
      </c>
      <c r="D4381" t="s">
        <v>26</v>
      </c>
      <c r="E4381" s="7">
        <v>45656</v>
      </c>
      <c r="F4381" t="s">
        <v>118</v>
      </c>
      <c r="G4381">
        <v>0</v>
      </c>
      <c r="H4381" t="s">
        <v>22</v>
      </c>
      <c r="I4381" t="s">
        <v>16</v>
      </c>
      <c r="J4381" t="s">
        <v>16</v>
      </c>
      <c r="K4381" t="s">
        <v>50</v>
      </c>
      <c r="L4381">
        <v>0</v>
      </c>
      <c r="M4381">
        <f t="shared" si="626"/>
        <v>30</v>
      </c>
      <c r="N4381" t="str">
        <f>TEXT(MTDRejection[[#This Row],[RejectionDate]],"dddd")</f>
        <v>Monday</v>
      </c>
    </row>
    <row r="4382" spans="1:14">
      <c r="A4382" t="s">
        <v>84</v>
      </c>
      <c r="B4382" t="s">
        <v>6446</v>
      </c>
      <c r="C4382" t="s">
        <v>49</v>
      </c>
      <c r="D4382" t="s">
        <v>26</v>
      </c>
      <c r="E4382" s="7">
        <v>45656</v>
      </c>
      <c r="F4382" t="s">
        <v>118</v>
      </c>
      <c r="G4382">
        <v>0</v>
      </c>
      <c r="H4382" t="s">
        <v>27</v>
      </c>
      <c r="I4382" t="s">
        <v>16</v>
      </c>
      <c r="J4382" t="s">
        <v>16</v>
      </c>
      <c r="K4382" t="s">
        <v>50</v>
      </c>
      <c r="L4382">
        <v>0</v>
      </c>
      <c r="M4382">
        <f t="shared" si="626"/>
        <v>30</v>
      </c>
      <c r="N4382" t="str">
        <f>TEXT(MTDRejection[[#This Row],[RejectionDate]],"dddd")</f>
        <v>Monday</v>
      </c>
    </row>
    <row r="4383" spans="1:14">
      <c r="A4383" t="s">
        <v>84</v>
      </c>
      <c r="B4383" t="s">
        <v>4565</v>
      </c>
      <c r="C4383" t="s">
        <v>49</v>
      </c>
      <c r="D4383" t="s">
        <v>26</v>
      </c>
      <c r="E4383" s="7">
        <v>45656</v>
      </c>
      <c r="F4383" t="s">
        <v>118</v>
      </c>
      <c r="G4383">
        <v>0</v>
      </c>
      <c r="H4383" t="s">
        <v>27</v>
      </c>
      <c r="I4383" t="s">
        <v>16</v>
      </c>
      <c r="J4383" t="s">
        <v>16</v>
      </c>
      <c r="K4383" t="s">
        <v>50</v>
      </c>
      <c r="L4383">
        <v>0</v>
      </c>
      <c r="M4383">
        <f t="shared" si="626"/>
        <v>30</v>
      </c>
      <c r="N4383" t="str">
        <f>TEXT(MTDRejection[[#This Row],[RejectionDate]],"dddd")</f>
        <v>Monday</v>
      </c>
    </row>
    <row r="4384" spans="1:14">
      <c r="A4384" t="s">
        <v>84</v>
      </c>
      <c r="B4384" t="s">
        <v>6447</v>
      </c>
      <c r="C4384" t="s">
        <v>49</v>
      </c>
      <c r="D4384" t="s">
        <v>26</v>
      </c>
      <c r="E4384" s="7">
        <v>45656</v>
      </c>
      <c r="F4384" t="s">
        <v>118</v>
      </c>
      <c r="G4384">
        <v>0</v>
      </c>
      <c r="H4384" t="s">
        <v>27</v>
      </c>
      <c r="I4384" t="s">
        <v>16</v>
      </c>
      <c r="J4384" t="s">
        <v>16</v>
      </c>
      <c r="K4384" t="s">
        <v>50</v>
      </c>
      <c r="L4384">
        <v>0</v>
      </c>
      <c r="M4384">
        <f t="shared" si="626"/>
        <v>30</v>
      </c>
      <c r="N4384" t="str">
        <f>TEXT(MTDRejection[[#This Row],[RejectionDate]],"dddd")</f>
        <v>Monday</v>
      </c>
    </row>
    <row r="4385" spans="1:14">
      <c r="A4385" t="s">
        <v>84</v>
      </c>
      <c r="B4385" t="s">
        <v>1922</v>
      </c>
      <c r="C4385" t="s">
        <v>49</v>
      </c>
      <c r="D4385" t="s">
        <v>26</v>
      </c>
      <c r="E4385" s="7">
        <v>45656</v>
      </c>
      <c r="F4385" t="s">
        <v>118</v>
      </c>
      <c r="G4385">
        <v>0</v>
      </c>
      <c r="H4385" t="s">
        <v>22</v>
      </c>
      <c r="I4385" t="s">
        <v>16</v>
      </c>
      <c r="J4385" t="s">
        <v>16</v>
      </c>
      <c r="K4385" t="s">
        <v>50</v>
      </c>
      <c r="L4385">
        <v>0</v>
      </c>
      <c r="M4385">
        <f t="shared" si="626"/>
        <v>30</v>
      </c>
      <c r="N4385" t="str">
        <f>TEXT(MTDRejection[[#This Row],[RejectionDate]],"dddd")</f>
        <v>Monday</v>
      </c>
    </row>
    <row r="4386" spans="1:14">
      <c r="A4386" t="s">
        <v>84</v>
      </c>
      <c r="B4386" t="s">
        <v>1906</v>
      </c>
      <c r="C4386" t="s">
        <v>49</v>
      </c>
      <c r="D4386" t="s">
        <v>26</v>
      </c>
      <c r="E4386" s="7">
        <v>45656</v>
      </c>
      <c r="F4386" t="s">
        <v>118</v>
      </c>
      <c r="G4386">
        <v>0</v>
      </c>
      <c r="H4386" t="s">
        <v>22</v>
      </c>
      <c r="I4386" t="s">
        <v>16</v>
      </c>
      <c r="J4386" t="s">
        <v>16</v>
      </c>
      <c r="K4386" t="s">
        <v>50</v>
      </c>
      <c r="L4386">
        <v>0</v>
      </c>
      <c r="M4386">
        <f t="shared" si="626"/>
        <v>30</v>
      </c>
      <c r="N4386" t="str">
        <f>TEXT(MTDRejection[[#This Row],[RejectionDate]],"dddd")</f>
        <v>Monday</v>
      </c>
    </row>
    <row r="4387" spans="1:14">
      <c r="A4387" t="s">
        <v>84</v>
      </c>
      <c r="B4387" t="s">
        <v>1914</v>
      </c>
      <c r="C4387" t="s">
        <v>49</v>
      </c>
      <c r="D4387" t="s">
        <v>26</v>
      </c>
      <c r="E4387" s="7">
        <v>45656</v>
      </c>
      <c r="F4387" t="s">
        <v>118</v>
      </c>
      <c r="G4387">
        <v>0</v>
      </c>
      <c r="H4387" t="s">
        <v>22</v>
      </c>
      <c r="I4387" t="s">
        <v>16</v>
      </c>
      <c r="J4387" t="s">
        <v>16</v>
      </c>
      <c r="K4387" t="s">
        <v>50</v>
      </c>
      <c r="L4387">
        <v>0</v>
      </c>
      <c r="M4387">
        <f t="shared" si="626"/>
        <v>30</v>
      </c>
      <c r="N4387" t="str">
        <f>TEXT(MTDRejection[[#This Row],[RejectionDate]],"dddd")</f>
        <v>Monday</v>
      </c>
    </row>
    <row r="4388" spans="1:14">
      <c r="A4388" t="s">
        <v>1548</v>
      </c>
      <c r="B4388" t="s">
        <v>6448</v>
      </c>
      <c r="C4388" t="s">
        <v>125</v>
      </c>
      <c r="D4388" t="s">
        <v>26</v>
      </c>
      <c r="E4388" s="7">
        <v>45656</v>
      </c>
      <c r="F4388" t="s">
        <v>2336</v>
      </c>
      <c r="G4388">
        <v>0</v>
      </c>
      <c r="H4388" t="s">
        <v>22</v>
      </c>
      <c r="I4388" t="s">
        <v>16</v>
      </c>
      <c r="J4388" t="s">
        <v>16</v>
      </c>
      <c r="K4388" t="s">
        <v>2046</v>
      </c>
      <c r="L4388">
        <v>0</v>
      </c>
      <c r="M4388">
        <f t="shared" si="626"/>
        <v>30</v>
      </c>
      <c r="N4388" t="str">
        <f>TEXT(MTDRejection[[#This Row],[RejectionDate]],"dddd")</f>
        <v>Monday</v>
      </c>
    </row>
    <row r="4389" spans="1:14">
      <c r="A4389" t="s">
        <v>465</v>
      </c>
      <c r="B4389" t="s">
        <v>6449</v>
      </c>
      <c r="C4389" t="s">
        <v>36</v>
      </c>
      <c r="D4389" t="s">
        <v>26</v>
      </c>
      <c r="E4389" s="7">
        <v>45656</v>
      </c>
      <c r="F4389" t="s">
        <v>2336</v>
      </c>
      <c r="G4389">
        <v>0</v>
      </c>
      <c r="H4389" t="s">
        <v>27</v>
      </c>
      <c r="I4389" t="s">
        <v>16</v>
      </c>
      <c r="J4389" t="s">
        <v>16</v>
      </c>
      <c r="K4389" t="s">
        <v>2046</v>
      </c>
      <c r="L4389">
        <v>0</v>
      </c>
      <c r="M4389">
        <f t="shared" si="626"/>
        <v>30</v>
      </c>
      <c r="N4389" t="str">
        <f>TEXT(MTDRejection[[#This Row],[RejectionDate]],"dddd")</f>
        <v>Monday</v>
      </c>
    </row>
    <row r="4390" spans="1:14">
      <c r="A4390" t="s">
        <v>986</v>
      </c>
      <c r="B4390" t="s">
        <v>6450</v>
      </c>
      <c r="C4390" t="s">
        <v>123</v>
      </c>
      <c r="D4390" t="s">
        <v>38</v>
      </c>
      <c r="E4390" s="7">
        <v>45656</v>
      </c>
      <c r="F4390" t="s">
        <v>118</v>
      </c>
      <c r="G4390">
        <v>0</v>
      </c>
      <c r="H4390" t="s">
        <v>425</v>
      </c>
      <c r="I4390" t="s">
        <v>16</v>
      </c>
      <c r="J4390" t="s">
        <v>16</v>
      </c>
      <c r="K4390" t="s">
        <v>57</v>
      </c>
      <c r="L4390">
        <v>0</v>
      </c>
      <c r="M4390">
        <f t="shared" si="626"/>
        <v>30</v>
      </c>
      <c r="N4390" t="str">
        <f>TEXT(MTDRejection[[#This Row],[RejectionDate]],"dddd")</f>
        <v>Monday</v>
      </c>
    </row>
    <row r="4391" spans="1:14">
      <c r="A4391" t="s">
        <v>10</v>
      </c>
      <c r="B4391" t="s">
        <v>6451</v>
      </c>
      <c r="C4391" t="s">
        <v>1869</v>
      </c>
      <c r="D4391" t="s">
        <v>38</v>
      </c>
      <c r="E4391" s="7">
        <v>45656</v>
      </c>
      <c r="F4391" t="s">
        <v>118</v>
      </c>
      <c r="G4391">
        <v>0</v>
      </c>
      <c r="H4391" t="s">
        <v>42</v>
      </c>
      <c r="I4391" t="s">
        <v>16</v>
      </c>
      <c r="J4391" t="s">
        <v>16</v>
      </c>
      <c r="K4391" t="s">
        <v>57</v>
      </c>
      <c r="L4391">
        <v>1</v>
      </c>
      <c r="M4391">
        <f t="shared" si="626"/>
        <v>30</v>
      </c>
      <c r="N4391" t="str">
        <f>TEXT(MTDRejection[[#This Row],[RejectionDate]],"dddd")</f>
        <v>Monday</v>
      </c>
    </row>
    <row r="4392" spans="1:14">
      <c r="A4392" t="s">
        <v>45</v>
      </c>
      <c r="B4392" t="s">
        <v>6452</v>
      </c>
      <c r="C4392" t="s">
        <v>59</v>
      </c>
      <c r="D4392" t="s">
        <v>38</v>
      </c>
      <c r="E4392" s="7">
        <v>45656</v>
      </c>
      <c r="F4392" t="s">
        <v>118</v>
      </c>
      <c r="G4392">
        <v>0</v>
      </c>
      <c r="H4392" t="s">
        <v>27</v>
      </c>
      <c r="I4392" t="s">
        <v>16</v>
      </c>
      <c r="J4392" t="s">
        <v>16</v>
      </c>
      <c r="K4392" t="s">
        <v>57</v>
      </c>
      <c r="L4392">
        <v>0</v>
      </c>
      <c r="M4392">
        <f t="shared" si="626"/>
        <v>30</v>
      </c>
      <c r="N4392" t="str">
        <f>TEXT(MTDRejection[[#This Row],[RejectionDate]],"dddd")</f>
        <v>Monday</v>
      </c>
    </row>
    <row r="4393" spans="1:14">
      <c r="A4393" t="s">
        <v>456</v>
      </c>
      <c r="B4393" t="s">
        <v>6453</v>
      </c>
      <c r="C4393" t="s">
        <v>25</v>
      </c>
      <c r="D4393" t="s">
        <v>20</v>
      </c>
      <c r="E4393" s="7">
        <v>45656</v>
      </c>
      <c r="F4393" t="s">
        <v>129</v>
      </c>
      <c r="G4393">
        <v>0</v>
      </c>
      <c r="H4393" t="s">
        <v>22</v>
      </c>
      <c r="I4393" t="s">
        <v>16</v>
      </c>
      <c r="J4393" t="s">
        <v>16</v>
      </c>
      <c r="K4393" t="s">
        <v>2045</v>
      </c>
      <c r="L4393">
        <v>0</v>
      </c>
      <c r="M4393">
        <f t="shared" si="626"/>
        <v>30</v>
      </c>
      <c r="N4393" t="str">
        <f>TEXT(MTDRejection[[#This Row],[RejectionDate]],"dddd")</f>
        <v>Monday</v>
      </c>
    </row>
    <row r="4394" spans="1:14">
      <c r="A4394" t="s">
        <v>461</v>
      </c>
      <c r="B4394" t="s">
        <v>2571</v>
      </c>
      <c r="C4394" t="s">
        <v>36</v>
      </c>
      <c r="D4394" t="s">
        <v>26</v>
      </c>
      <c r="E4394" s="7">
        <v>45656</v>
      </c>
      <c r="F4394" t="s">
        <v>325</v>
      </c>
      <c r="G4394">
        <v>0</v>
      </c>
      <c r="H4394" t="s">
        <v>27</v>
      </c>
      <c r="I4394" t="s">
        <v>16</v>
      </c>
      <c r="J4394" t="s">
        <v>16</v>
      </c>
      <c r="K4394" t="s">
        <v>2046</v>
      </c>
      <c r="L4394">
        <v>0</v>
      </c>
      <c r="M4394">
        <f t="shared" ref="M4394:M4420" si="627">DAY(E4394)</f>
        <v>30</v>
      </c>
      <c r="N4394" t="str">
        <f>TEXT(MTDRejection[[#This Row],[RejectionDate]],"dddd")</f>
        <v>Monday</v>
      </c>
    </row>
    <row r="4395" spans="1:14">
      <c r="A4395" t="s">
        <v>461</v>
      </c>
      <c r="B4395" t="s">
        <v>6454</v>
      </c>
      <c r="C4395" t="s">
        <v>125</v>
      </c>
      <c r="D4395" t="s">
        <v>26</v>
      </c>
      <c r="E4395" s="7">
        <v>45656</v>
      </c>
      <c r="F4395" t="s">
        <v>325</v>
      </c>
      <c r="G4395">
        <v>0</v>
      </c>
      <c r="H4395" t="s">
        <v>27</v>
      </c>
      <c r="I4395" t="s">
        <v>16</v>
      </c>
      <c r="J4395" t="s">
        <v>16</v>
      </c>
      <c r="K4395" t="s">
        <v>2046</v>
      </c>
      <c r="L4395">
        <v>0</v>
      </c>
      <c r="M4395">
        <f t="shared" si="627"/>
        <v>30</v>
      </c>
      <c r="N4395" t="str">
        <f>TEXT(MTDRejection[[#This Row],[RejectionDate]],"dddd")</f>
        <v>Monday</v>
      </c>
    </row>
    <row r="4396" spans="1:14">
      <c r="A4396" t="s">
        <v>200</v>
      </c>
      <c r="B4396" t="s">
        <v>6455</v>
      </c>
      <c r="C4396" t="s">
        <v>25</v>
      </c>
      <c r="D4396" t="s">
        <v>20</v>
      </c>
      <c r="E4396" s="7">
        <v>45656</v>
      </c>
      <c r="F4396" t="s">
        <v>273</v>
      </c>
      <c r="G4396">
        <v>0</v>
      </c>
      <c r="H4396" t="s">
        <v>22</v>
      </c>
      <c r="I4396" t="s">
        <v>16</v>
      </c>
      <c r="J4396" t="s">
        <v>16</v>
      </c>
      <c r="K4396" t="s">
        <v>2045</v>
      </c>
      <c r="L4396">
        <v>0</v>
      </c>
      <c r="M4396">
        <f t="shared" si="627"/>
        <v>30</v>
      </c>
      <c r="N4396" t="str">
        <f>TEXT(MTDRejection[[#This Row],[RejectionDate]],"dddd")</f>
        <v>Monday</v>
      </c>
    </row>
    <row r="4397" spans="1:14">
      <c r="A4397" t="s">
        <v>84</v>
      </c>
      <c r="B4397" t="s">
        <v>6456</v>
      </c>
      <c r="C4397" t="s">
        <v>12</v>
      </c>
      <c r="D4397" t="s">
        <v>38</v>
      </c>
      <c r="E4397" s="7">
        <v>45656</v>
      </c>
      <c r="F4397" t="s">
        <v>39</v>
      </c>
      <c r="G4397">
        <v>0</v>
      </c>
      <c r="H4397" t="s">
        <v>22</v>
      </c>
      <c r="I4397" t="s">
        <v>16</v>
      </c>
      <c r="J4397" t="s">
        <v>16</v>
      </c>
      <c r="K4397" t="s">
        <v>2046</v>
      </c>
      <c r="L4397">
        <v>0</v>
      </c>
      <c r="M4397">
        <f t="shared" si="627"/>
        <v>30</v>
      </c>
      <c r="N4397" t="str">
        <f>TEXT(MTDRejection[[#This Row],[RejectionDate]],"dddd")</f>
        <v>Monday</v>
      </c>
    </row>
    <row r="4398" spans="1:14">
      <c r="A4398" t="s">
        <v>1056</v>
      </c>
      <c r="B4398" t="s">
        <v>6457</v>
      </c>
      <c r="C4398" t="s">
        <v>1723</v>
      </c>
      <c r="D4398" t="s">
        <v>13</v>
      </c>
      <c r="E4398" s="7">
        <v>45656</v>
      </c>
      <c r="F4398" t="s">
        <v>2334</v>
      </c>
      <c r="G4398">
        <v>0</v>
      </c>
      <c r="H4398" t="s">
        <v>15</v>
      </c>
      <c r="I4398" t="s">
        <v>16</v>
      </c>
      <c r="J4398" t="s">
        <v>16</v>
      </c>
      <c r="K4398" t="s">
        <v>57</v>
      </c>
      <c r="L4398">
        <v>0</v>
      </c>
      <c r="M4398">
        <f t="shared" si="627"/>
        <v>30</v>
      </c>
      <c r="N4398" t="str">
        <f>TEXT(MTDRejection[[#This Row],[RejectionDate]],"dddd")</f>
        <v>Monday</v>
      </c>
    </row>
    <row r="4399" spans="1:14">
      <c r="A4399" t="s">
        <v>84</v>
      </c>
      <c r="B4399" t="s">
        <v>6458</v>
      </c>
      <c r="C4399" t="s">
        <v>12</v>
      </c>
      <c r="D4399" t="s">
        <v>26</v>
      </c>
      <c r="E4399" s="7">
        <v>45656</v>
      </c>
      <c r="F4399" t="s">
        <v>222</v>
      </c>
      <c r="G4399">
        <v>0</v>
      </c>
      <c r="H4399" t="s">
        <v>27</v>
      </c>
      <c r="I4399" t="s">
        <v>16</v>
      </c>
      <c r="J4399" t="s">
        <v>16</v>
      </c>
      <c r="K4399" t="s">
        <v>2046</v>
      </c>
      <c r="L4399">
        <v>0</v>
      </c>
      <c r="M4399">
        <f t="shared" si="627"/>
        <v>30</v>
      </c>
      <c r="N4399" t="str">
        <f>TEXT(MTDRejection[[#This Row],[RejectionDate]],"dddd")</f>
        <v>Monday</v>
      </c>
    </row>
    <row r="4400" spans="1:14">
      <c r="A4400" t="s">
        <v>45</v>
      </c>
      <c r="B4400" t="s">
        <v>6459</v>
      </c>
      <c r="C4400" t="s">
        <v>19</v>
      </c>
      <c r="D4400" t="s">
        <v>20</v>
      </c>
      <c r="E4400" s="7">
        <v>45656</v>
      </c>
      <c r="F4400" t="s">
        <v>2348</v>
      </c>
      <c r="G4400">
        <v>0</v>
      </c>
      <c r="H4400" t="s">
        <v>22</v>
      </c>
      <c r="I4400" t="s">
        <v>16</v>
      </c>
      <c r="J4400" t="s">
        <v>16</v>
      </c>
      <c r="K4400" t="s">
        <v>2045</v>
      </c>
      <c r="L4400">
        <v>0</v>
      </c>
      <c r="M4400">
        <f t="shared" si="627"/>
        <v>30</v>
      </c>
      <c r="N4400" t="str">
        <f>TEXT(MTDRejection[[#This Row],[RejectionDate]],"dddd")</f>
        <v>Monday</v>
      </c>
    </row>
    <row r="4401" spans="1:14">
      <c r="A4401" t="s">
        <v>45</v>
      </c>
      <c r="B4401" t="s">
        <v>6460</v>
      </c>
      <c r="C4401" t="s">
        <v>19</v>
      </c>
      <c r="D4401" t="s">
        <v>20</v>
      </c>
      <c r="E4401" s="7">
        <v>45656</v>
      </c>
      <c r="F4401" t="s">
        <v>2348</v>
      </c>
      <c r="G4401">
        <v>0</v>
      </c>
      <c r="H4401" t="s">
        <v>22</v>
      </c>
      <c r="I4401" t="s">
        <v>16</v>
      </c>
      <c r="J4401" t="s">
        <v>16</v>
      </c>
      <c r="K4401" t="s">
        <v>2045</v>
      </c>
      <c r="L4401">
        <v>0</v>
      </c>
      <c r="M4401">
        <f t="shared" si="627"/>
        <v>30</v>
      </c>
      <c r="N4401" t="str">
        <f>TEXT(MTDRejection[[#This Row],[RejectionDate]],"dddd")</f>
        <v>Monday</v>
      </c>
    </row>
    <row r="4402" spans="1:14">
      <c r="A4402" t="s">
        <v>306</v>
      </c>
      <c r="B4402" t="s">
        <v>6461</v>
      </c>
      <c r="C4402" t="s">
        <v>71</v>
      </c>
      <c r="D4402" t="s">
        <v>13</v>
      </c>
      <c r="E4402" s="7">
        <v>45656</v>
      </c>
      <c r="F4402" t="s">
        <v>1861</v>
      </c>
      <c r="G4402">
        <v>0</v>
      </c>
      <c r="H4402" t="s">
        <v>15</v>
      </c>
      <c r="I4402" t="s">
        <v>16</v>
      </c>
      <c r="J4402" t="s">
        <v>16</v>
      </c>
      <c r="K4402" t="s">
        <v>50</v>
      </c>
      <c r="L4402">
        <v>0</v>
      </c>
      <c r="M4402">
        <f t="shared" si="627"/>
        <v>30</v>
      </c>
      <c r="N4402" t="str">
        <f>TEXT(MTDRejection[[#This Row],[RejectionDate]],"dddd")</f>
        <v>Monday</v>
      </c>
    </row>
    <row r="4403" spans="1:14">
      <c r="A4403" t="s">
        <v>84</v>
      </c>
      <c r="B4403" t="s">
        <v>6462</v>
      </c>
      <c r="C4403" t="s">
        <v>49</v>
      </c>
      <c r="D4403" t="s">
        <v>26</v>
      </c>
      <c r="E4403" s="7">
        <v>45656</v>
      </c>
      <c r="F4403" t="s">
        <v>118</v>
      </c>
      <c r="G4403">
        <v>0</v>
      </c>
      <c r="H4403" t="s">
        <v>22</v>
      </c>
      <c r="I4403" t="s">
        <v>16</v>
      </c>
      <c r="J4403" t="s">
        <v>16</v>
      </c>
      <c r="K4403" t="s">
        <v>50</v>
      </c>
      <c r="L4403">
        <v>0</v>
      </c>
      <c r="M4403">
        <f t="shared" si="627"/>
        <v>30</v>
      </c>
      <c r="N4403" t="str">
        <f>TEXT(MTDRejection[[#This Row],[RejectionDate]],"dddd")</f>
        <v>Monday</v>
      </c>
    </row>
    <row r="4404" spans="1:14">
      <c r="A4404" t="s">
        <v>84</v>
      </c>
      <c r="B4404" t="s">
        <v>1925</v>
      </c>
      <c r="C4404" t="s">
        <v>49</v>
      </c>
      <c r="D4404" t="s">
        <v>26</v>
      </c>
      <c r="E4404" s="7">
        <v>45656</v>
      </c>
      <c r="F4404" t="s">
        <v>118</v>
      </c>
      <c r="G4404">
        <v>0</v>
      </c>
      <c r="H4404" t="s">
        <v>22</v>
      </c>
      <c r="I4404" t="s">
        <v>16</v>
      </c>
      <c r="J4404" t="s">
        <v>16</v>
      </c>
      <c r="K4404" t="s">
        <v>50</v>
      </c>
      <c r="L4404">
        <v>0</v>
      </c>
      <c r="M4404">
        <f t="shared" si="627"/>
        <v>30</v>
      </c>
      <c r="N4404" t="str">
        <f>TEXT(MTDRejection[[#This Row],[RejectionDate]],"dddd")</f>
        <v>Monday</v>
      </c>
    </row>
    <row r="4405" spans="1:14">
      <c r="A4405" t="s">
        <v>84</v>
      </c>
      <c r="B4405" t="s">
        <v>4013</v>
      </c>
      <c r="C4405" t="s">
        <v>49</v>
      </c>
      <c r="D4405" t="s">
        <v>26</v>
      </c>
      <c r="E4405" s="7">
        <v>45656</v>
      </c>
      <c r="F4405" t="s">
        <v>118</v>
      </c>
      <c r="G4405">
        <v>0</v>
      </c>
      <c r="H4405" t="s">
        <v>27</v>
      </c>
      <c r="I4405" t="s">
        <v>16</v>
      </c>
      <c r="J4405" t="s">
        <v>16</v>
      </c>
      <c r="K4405" t="s">
        <v>50</v>
      </c>
      <c r="L4405">
        <v>0</v>
      </c>
      <c r="M4405">
        <f t="shared" si="627"/>
        <v>30</v>
      </c>
      <c r="N4405" t="str">
        <f>TEXT(MTDRejection[[#This Row],[RejectionDate]],"dddd")</f>
        <v>Monday</v>
      </c>
    </row>
    <row r="4406" spans="1:14">
      <c r="A4406" t="s">
        <v>84</v>
      </c>
      <c r="B4406" t="s">
        <v>6462</v>
      </c>
      <c r="C4406" t="s">
        <v>49</v>
      </c>
      <c r="D4406" t="s">
        <v>26</v>
      </c>
      <c r="E4406" s="7">
        <v>45656</v>
      </c>
      <c r="F4406" t="s">
        <v>118</v>
      </c>
      <c r="G4406">
        <v>0</v>
      </c>
      <c r="H4406" t="s">
        <v>22</v>
      </c>
      <c r="I4406" t="s">
        <v>16</v>
      </c>
      <c r="J4406" t="s">
        <v>16</v>
      </c>
      <c r="K4406" t="s">
        <v>50</v>
      </c>
      <c r="L4406">
        <v>0</v>
      </c>
      <c r="M4406">
        <f t="shared" si="627"/>
        <v>30</v>
      </c>
      <c r="N4406" t="str">
        <f>TEXT(MTDRejection[[#This Row],[RejectionDate]],"dddd")</f>
        <v>Monday</v>
      </c>
    </row>
    <row r="4407" spans="1:14">
      <c r="A4407" t="s">
        <v>84</v>
      </c>
      <c r="B4407" t="s">
        <v>6463</v>
      </c>
      <c r="C4407" t="s">
        <v>49</v>
      </c>
      <c r="D4407" t="s">
        <v>26</v>
      </c>
      <c r="E4407" s="7">
        <v>45656</v>
      </c>
      <c r="F4407" t="s">
        <v>118</v>
      </c>
      <c r="G4407">
        <v>0</v>
      </c>
      <c r="H4407" t="s">
        <v>22</v>
      </c>
      <c r="I4407" t="s">
        <v>16</v>
      </c>
      <c r="J4407" t="s">
        <v>16</v>
      </c>
      <c r="K4407" t="s">
        <v>50</v>
      </c>
      <c r="L4407">
        <v>0</v>
      </c>
      <c r="M4407">
        <f t="shared" si="627"/>
        <v>30</v>
      </c>
      <c r="N4407" t="str">
        <f>TEXT(MTDRejection[[#This Row],[RejectionDate]],"dddd")</f>
        <v>Monday</v>
      </c>
    </row>
    <row r="4408" spans="1:14">
      <c r="A4408" t="s">
        <v>84</v>
      </c>
      <c r="B4408" t="s">
        <v>4570</v>
      </c>
      <c r="C4408" t="s">
        <v>49</v>
      </c>
      <c r="D4408" t="s">
        <v>26</v>
      </c>
      <c r="E4408" s="7">
        <v>45656</v>
      </c>
      <c r="F4408" t="s">
        <v>118</v>
      </c>
      <c r="G4408">
        <v>0</v>
      </c>
      <c r="H4408" t="s">
        <v>22</v>
      </c>
      <c r="I4408" t="s">
        <v>16</v>
      </c>
      <c r="J4408" t="s">
        <v>16</v>
      </c>
      <c r="K4408" t="s">
        <v>50</v>
      </c>
      <c r="L4408">
        <v>0</v>
      </c>
      <c r="M4408">
        <f t="shared" si="627"/>
        <v>30</v>
      </c>
      <c r="N4408" t="str">
        <f>TEXT(MTDRejection[[#This Row],[RejectionDate]],"dddd")</f>
        <v>Monday</v>
      </c>
    </row>
    <row r="4409" spans="1:14">
      <c r="A4409" t="s">
        <v>84</v>
      </c>
      <c r="B4409" t="s">
        <v>4547</v>
      </c>
      <c r="C4409" t="s">
        <v>49</v>
      </c>
      <c r="D4409" t="s">
        <v>26</v>
      </c>
      <c r="E4409" s="7">
        <v>45656</v>
      </c>
      <c r="F4409" t="s">
        <v>118</v>
      </c>
      <c r="G4409">
        <v>0</v>
      </c>
      <c r="H4409" t="s">
        <v>30</v>
      </c>
      <c r="I4409" t="s">
        <v>16</v>
      </c>
      <c r="J4409" t="s">
        <v>16</v>
      </c>
      <c r="K4409" t="s">
        <v>50</v>
      </c>
      <c r="L4409">
        <v>0</v>
      </c>
      <c r="M4409">
        <f t="shared" si="627"/>
        <v>30</v>
      </c>
      <c r="N4409" t="str">
        <f>TEXT(MTDRejection[[#This Row],[RejectionDate]],"dddd")</f>
        <v>Monday</v>
      </c>
    </row>
    <row r="4410" spans="1:14">
      <c r="A4410" t="s">
        <v>84</v>
      </c>
      <c r="B4410" t="s">
        <v>6464</v>
      </c>
      <c r="C4410" t="s">
        <v>1347</v>
      </c>
      <c r="D4410" t="s">
        <v>26</v>
      </c>
      <c r="E4410" s="7">
        <v>45656</v>
      </c>
      <c r="F4410" t="s">
        <v>118</v>
      </c>
      <c r="G4410">
        <v>0</v>
      </c>
      <c r="H4410" t="s">
        <v>22</v>
      </c>
      <c r="I4410" t="s">
        <v>16</v>
      </c>
      <c r="J4410" t="s">
        <v>16</v>
      </c>
      <c r="K4410" t="s">
        <v>50</v>
      </c>
      <c r="L4410">
        <v>0</v>
      </c>
      <c r="M4410">
        <f t="shared" si="627"/>
        <v>30</v>
      </c>
      <c r="N4410" t="str">
        <f>TEXT(MTDRejection[[#This Row],[RejectionDate]],"dddd")</f>
        <v>Monday</v>
      </c>
    </row>
    <row r="4411" spans="1:14">
      <c r="A4411" t="s">
        <v>84</v>
      </c>
      <c r="B4411" t="s">
        <v>6462</v>
      </c>
      <c r="C4411" t="s">
        <v>1347</v>
      </c>
      <c r="D4411" t="s">
        <v>26</v>
      </c>
      <c r="E4411" s="7">
        <v>45656</v>
      </c>
      <c r="F4411" t="s">
        <v>118</v>
      </c>
      <c r="G4411">
        <v>0</v>
      </c>
      <c r="H4411" t="s">
        <v>27</v>
      </c>
      <c r="I4411" t="s">
        <v>16</v>
      </c>
      <c r="J4411" t="s">
        <v>16</v>
      </c>
      <c r="K4411" t="s">
        <v>50</v>
      </c>
      <c r="L4411">
        <v>0</v>
      </c>
      <c r="M4411">
        <f t="shared" si="627"/>
        <v>30</v>
      </c>
      <c r="N4411" t="str">
        <f>TEXT(MTDRejection[[#This Row],[RejectionDate]],"dddd")</f>
        <v>Monday</v>
      </c>
    </row>
    <row r="4412" spans="1:14">
      <c r="A4412" t="s">
        <v>84</v>
      </c>
      <c r="B4412" t="s">
        <v>1911</v>
      </c>
      <c r="C4412" t="s">
        <v>1347</v>
      </c>
      <c r="D4412" t="s">
        <v>26</v>
      </c>
      <c r="E4412" s="7">
        <v>45656</v>
      </c>
      <c r="F4412" t="s">
        <v>118</v>
      </c>
      <c r="G4412">
        <v>0</v>
      </c>
      <c r="H4412" t="s">
        <v>22</v>
      </c>
      <c r="I4412" t="s">
        <v>16</v>
      </c>
      <c r="J4412" t="s">
        <v>16</v>
      </c>
      <c r="K4412" t="s">
        <v>50</v>
      </c>
      <c r="L4412">
        <v>0</v>
      </c>
      <c r="M4412">
        <f t="shared" si="627"/>
        <v>30</v>
      </c>
      <c r="N4412" t="str">
        <f>TEXT(MTDRejection[[#This Row],[RejectionDate]],"dddd")</f>
        <v>Monday</v>
      </c>
    </row>
    <row r="4413" spans="1:14">
      <c r="A4413" t="s">
        <v>84</v>
      </c>
      <c r="B4413" t="s">
        <v>6465</v>
      </c>
      <c r="C4413" t="s">
        <v>1347</v>
      </c>
      <c r="D4413" t="s">
        <v>26</v>
      </c>
      <c r="E4413" s="7">
        <v>45656</v>
      </c>
      <c r="F4413" t="s">
        <v>118</v>
      </c>
      <c r="G4413">
        <v>0</v>
      </c>
      <c r="H4413" t="s">
        <v>22</v>
      </c>
      <c r="I4413" t="s">
        <v>16</v>
      </c>
      <c r="J4413" t="s">
        <v>16</v>
      </c>
      <c r="K4413" t="s">
        <v>50</v>
      </c>
      <c r="L4413">
        <v>0</v>
      </c>
      <c r="M4413">
        <f t="shared" si="627"/>
        <v>30</v>
      </c>
      <c r="N4413" t="str">
        <f>TEXT(MTDRejection[[#This Row],[RejectionDate]],"dddd")</f>
        <v>Monday</v>
      </c>
    </row>
    <row r="4414" spans="1:14">
      <c r="A4414" t="s">
        <v>86</v>
      </c>
      <c r="B4414" t="s">
        <v>6466</v>
      </c>
      <c r="C4414" t="s">
        <v>12</v>
      </c>
      <c r="D4414" t="s">
        <v>26</v>
      </c>
      <c r="E4414" s="7">
        <v>45656</v>
      </c>
      <c r="F4414" t="s">
        <v>2336</v>
      </c>
      <c r="G4414">
        <v>0</v>
      </c>
      <c r="H4414" t="s">
        <v>27</v>
      </c>
      <c r="I4414" t="s">
        <v>16</v>
      </c>
      <c r="J4414" t="s">
        <v>16</v>
      </c>
      <c r="K4414" t="s">
        <v>2046</v>
      </c>
      <c r="L4414">
        <v>0</v>
      </c>
      <c r="M4414">
        <f t="shared" si="627"/>
        <v>30</v>
      </c>
      <c r="N4414" t="str">
        <f>TEXT(MTDRejection[[#This Row],[RejectionDate]],"dddd")</f>
        <v>Monday</v>
      </c>
    </row>
    <row r="4415" spans="1:14">
      <c r="A4415" t="s">
        <v>84</v>
      </c>
      <c r="B4415" t="s">
        <v>1910</v>
      </c>
      <c r="C4415" t="s">
        <v>49</v>
      </c>
      <c r="D4415" t="s">
        <v>26</v>
      </c>
      <c r="E4415" s="7">
        <v>45656</v>
      </c>
      <c r="F4415" t="s">
        <v>118</v>
      </c>
      <c r="G4415">
        <v>0</v>
      </c>
      <c r="H4415" t="s">
        <v>22</v>
      </c>
      <c r="I4415" t="s">
        <v>16</v>
      </c>
      <c r="J4415" t="s">
        <v>16</v>
      </c>
      <c r="K4415" t="s">
        <v>50</v>
      </c>
      <c r="L4415">
        <v>0</v>
      </c>
      <c r="M4415">
        <f t="shared" si="627"/>
        <v>30</v>
      </c>
      <c r="N4415" t="str">
        <f>TEXT(MTDRejection[[#This Row],[RejectionDate]],"dddd")</f>
        <v>Monday</v>
      </c>
    </row>
    <row r="4416" spans="1:14">
      <c r="A4416" t="s">
        <v>84</v>
      </c>
      <c r="B4416" t="s">
        <v>6467</v>
      </c>
      <c r="C4416" t="s">
        <v>49</v>
      </c>
      <c r="D4416" t="s">
        <v>26</v>
      </c>
      <c r="E4416" s="7">
        <v>45656</v>
      </c>
      <c r="F4416" t="s">
        <v>118</v>
      </c>
      <c r="G4416">
        <v>0</v>
      </c>
      <c r="H4416" t="s">
        <v>30</v>
      </c>
      <c r="I4416" t="s">
        <v>16</v>
      </c>
      <c r="J4416" t="s">
        <v>16</v>
      </c>
      <c r="K4416" t="s">
        <v>50</v>
      </c>
      <c r="L4416">
        <v>0</v>
      </c>
      <c r="M4416">
        <f t="shared" si="627"/>
        <v>30</v>
      </c>
      <c r="N4416" t="str">
        <f>TEXT(MTDRejection[[#This Row],[RejectionDate]],"dddd")</f>
        <v>Monday</v>
      </c>
    </row>
    <row r="4417" spans="1:14">
      <c r="A4417" t="s">
        <v>84</v>
      </c>
      <c r="B4417" t="s">
        <v>6468</v>
      </c>
      <c r="C4417" t="s">
        <v>49</v>
      </c>
      <c r="D4417" t="s">
        <v>26</v>
      </c>
      <c r="E4417" s="7">
        <v>45656</v>
      </c>
      <c r="F4417" t="s">
        <v>118</v>
      </c>
      <c r="G4417">
        <v>0</v>
      </c>
      <c r="H4417" t="s">
        <v>22</v>
      </c>
      <c r="I4417" t="s">
        <v>16</v>
      </c>
      <c r="J4417" t="s">
        <v>16</v>
      </c>
      <c r="K4417" t="s">
        <v>50</v>
      </c>
      <c r="L4417">
        <v>0</v>
      </c>
      <c r="M4417">
        <f t="shared" si="627"/>
        <v>30</v>
      </c>
      <c r="N4417" t="str">
        <f>TEXT(MTDRejection[[#This Row],[RejectionDate]],"dddd")</f>
        <v>Monday</v>
      </c>
    </row>
    <row r="4418" spans="1:14">
      <c r="A4418" t="s">
        <v>84</v>
      </c>
      <c r="B4418" t="s">
        <v>6469</v>
      </c>
      <c r="C4418" t="s">
        <v>49</v>
      </c>
      <c r="D4418" t="s">
        <v>26</v>
      </c>
      <c r="E4418" s="7">
        <v>45656</v>
      </c>
      <c r="F4418" t="s">
        <v>118</v>
      </c>
      <c r="G4418">
        <v>0</v>
      </c>
      <c r="H4418" t="s">
        <v>22</v>
      </c>
      <c r="I4418" t="s">
        <v>16</v>
      </c>
      <c r="J4418" t="s">
        <v>16</v>
      </c>
      <c r="K4418" t="s">
        <v>50</v>
      </c>
      <c r="L4418">
        <v>0</v>
      </c>
      <c r="M4418">
        <f t="shared" si="627"/>
        <v>30</v>
      </c>
      <c r="N4418" t="str">
        <f>TEXT(MTDRejection[[#This Row],[RejectionDate]],"dddd")</f>
        <v>Monday</v>
      </c>
    </row>
    <row r="4419" spans="1:14">
      <c r="A4419" t="s">
        <v>84</v>
      </c>
      <c r="B4419" t="s">
        <v>6470</v>
      </c>
      <c r="C4419" t="s">
        <v>54</v>
      </c>
      <c r="D4419" t="s">
        <v>26</v>
      </c>
      <c r="E4419" s="7">
        <v>45656</v>
      </c>
      <c r="F4419" t="s">
        <v>1304</v>
      </c>
      <c r="G4419">
        <v>0</v>
      </c>
      <c r="H4419" t="s">
        <v>27</v>
      </c>
      <c r="I4419" t="s">
        <v>16</v>
      </c>
      <c r="J4419" t="s">
        <v>16</v>
      </c>
      <c r="K4419" t="s">
        <v>2047</v>
      </c>
      <c r="L4419">
        <v>0</v>
      </c>
      <c r="M4419">
        <f t="shared" si="627"/>
        <v>30</v>
      </c>
      <c r="N4419" t="str">
        <f>TEXT(MTDRejection[[#This Row],[RejectionDate]],"dddd")</f>
        <v>Monday</v>
      </c>
    </row>
    <row r="4420" spans="1:14">
      <c r="A4420" t="s">
        <v>84</v>
      </c>
      <c r="B4420" t="s">
        <v>6471</v>
      </c>
      <c r="C4420" t="s">
        <v>12</v>
      </c>
      <c r="D4420" t="s">
        <v>26</v>
      </c>
      <c r="E4420" s="7">
        <v>45656</v>
      </c>
      <c r="F4420" t="s">
        <v>2355</v>
      </c>
      <c r="G4420">
        <v>0</v>
      </c>
      <c r="H4420" t="s">
        <v>27</v>
      </c>
      <c r="I4420" t="s">
        <v>16</v>
      </c>
      <c r="J4420" t="s">
        <v>16</v>
      </c>
      <c r="K4420" t="s">
        <v>2046</v>
      </c>
      <c r="L4420">
        <v>0</v>
      </c>
      <c r="M4420">
        <f t="shared" si="627"/>
        <v>30</v>
      </c>
      <c r="N4420" t="str">
        <f>TEXT(MTDRejection[[#This Row],[RejectionDate]],"dddd")</f>
        <v>Monday</v>
      </c>
    </row>
    <row r="4421" spans="1:14">
      <c r="A4421" t="s">
        <v>172</v>
      </c>
      <c r="B4421" t="s">
        <v>6472</v>
      </c>
      <c r="C4421" t="s">
        <v>25</v>
      </c>
      <c r="D4421" t="s">
        <v>20</v>
      </c>
      <c r="E4421" s="7">
        <v>45656</v>
      </c>
      <c r="F4421" t="s">
        <v>273</v>
      </c>
      <c r="G4421">
        <v>0</v>
      </c>
      <c r="H4421" t="s">
        <v>130</v>
      </c>
      <c r="I4421" t="s">
        <v>16</v>
      </c>
      <c r="J4421" t="s">
        <v>16</v>
      </c>
      <c r="K4421" t="s">
        <v>2045</v>
      </c>
      <c r="L4421">
        <v>1</v>
      </c>
      <c r="M4421">
        <f t="shared" ref="M4421:M4452" si="628">DAY(E4421)</f>
        <v>30</v>
      </c>
      <c r="N4421" t="str">
        <f>TEXT(MTDRejection[[#This Row],[RejectionDate]],"dddd")</f>
        <v>Monday</v>
      </c>
    </row>
    <row r="4422" spans="1:14">
      <c r="A4422" t="s">
        <v>200</v>
      </c>
      <c r="B4422" t="s">
        <v>6473</v>
      </c>
      <c r="C4422" t="s">
        <v>25</v>
      </c>
      <c r="D4422" t="s">
        <v>26</v>
      </c>
      <c r="E4422" s="7">
        <v>45656</v>
      </c>
      <c r="F4422" t="s">
        <v>273</v>
      </c>
      <c r="G4422">
        <v>0</v>
      </c>
      <c r="H4422" t="s">
        <v>27</v>
      </c>
      <c r="I4422" t="s">
        <v>16</v>
      </c>
      <c r="J4422" t="s">
        <v>16</v>
      </c>
      <c r="K4422" t="s">
        <v>2045</v>
      </c>
      <c r="L4422">
        <v>0</v>
      </c>
      <c r="M4422">
        <f t="shared" si="628"/>
        <v>30</v>
      </c>
      <c r="N4422" t="str">
        <f>TEXT(MTDRejection[[#This Row],[RejectionDate]],"dddd")</f>
        <v>Monday</v>
      </c>
    </row>
    <row r="4423" spans="1:14">
      <c r="A4423" t="s">
        <v>137</v>
      </c>
      <c r="B4423" t="s">
        <v>2084</v>
      </c>
      <c r="C4423" t="s">
        <v>25</v>
      </c>
      <c r="D4423" t="s">
        <v>51</v>
      </c>
      <c r="E4423" s="7">
        <v>45656</v>
      </c>
      <c r="F4423" t="s">
        <v>2331</v>
      </c>
      <c r="G4423">
        <v>0</v>
      </c>
      <c r="H4423" t="s">
        <v>53</v>
      </c>
      <c r="I4423" t="s">
        <v>16</v>
      </c>
      <c r="J4423" t="s">
        <v>16</v>
      </c>
      <c r="K4423" t="s">
        <v>2045</v>
      </c>
      <c r="L4423">
        <v>0</v>
      </c>
      <c r="M4423">
        <f t="shared" si="628"/>
        <v>30</v>
      </c>
      <c r="N4423" t="str">
        <f>TEXT(MTDRejection[[#This Row],[RejectionDate]],"dddd")</f>
        <v>Monday</v>
      </c>
    </row>
    <row r="4424" spans="1:14">
      <c r="A4424" t="s">
        <v>137</v>
      </c>
      <c r="B4424" t="s">
        <v>6474</v>
      </c>
      <c r="C4424" t="s">
        <v>12</v>
      </c>
      <c r="D4424" t="s">
        <v>51</v>
      </c>
      <c r="E4424" s="7">
        <v>45656</v>
      </c>
      <c r="F4424" t="s">
        <v>2331</v>
      </c>
      <c r="G4424">
        <v>0</v>
      </c>
      <c r="H4424" t="s">
        <v>53</v>
      </c>
      <c r="I4424" t="s">
        <v>16</v>
      </c>
      <c r="J4424" t="s">
        <v>16</v>
      </c>
      <c r="K4424" t="s">
        <v>2046</v>
      </c>
      <c r="L4424">
        <v>0</v>
      </c>
      <c r="M4424">
        <f t="shared" si="628"/>
        <v>30</v>
      </c>
      <c r="N4424" t="str">
        <f>TEXT(MTDRejection[[#This Row],[RejectionDate]],"dddd")</f>
        <v>Monday</v>
      </c>
    </row>
    <row r="4425" spans="1:14">
      <c r="A4425" t="s">
        <v>137</v>
      </c>
      <c r="B4425" t="s">
        <v>6475</v>
      </c>
      <c r="C4425" t="s">
        <v>54</v>
      </c>
      <c r="D4425" t="s">
        <v>51</v>
      </c>
      <c r="E4425" s="7">
        <v>45656</v>
      </c>
      <c r="F4425" t="s">
        <v>2331</v>
      </c>
      <c r="G4425">
        <v>0</v>
      </c>
      <c r="H4425" t="s">
        <v>53</v>
      </c>
      <c r="I4425" t="s">
        <v>16</v>
      </c>
      <c r="J4425" t="s">
        <v>16</v>
      </c>
      <c r="K4425" t="s">
        <v>2047</v>
      </c>
      <c r="L4425">
        <v>0</v>
      </c>
      <c r="M4425">
        <f t="shared" si="628"/>
        <v>30</v>
      </c>
      <c r="N4425" t="str">
        <f>TEXT(MTDRejection[[#This Row],[RejectionDate]],"dddd")</f>
        <v>Monday</v>
      </c>
    </row>
    <row r="4426" spans="1:14">
      <c r="A4426" t="s">
        <v>283</v>
      </c>
      <c r="B4426" t="s">
        <v>6476</v>
      </c>
      <c r="C4426" t="s">
        <v>54</v>
      </c>
      <c r="D4426" t="s">
        <v>13</v>
      </c>
      <c r="E4426" s="7">
        <v>45656</v>
      </c>
      <c r="F4426" t="s">
        <v>574</v>
      </c>
      <c r="G4426">
        <v>0</v>
      </c>
      <c r="H4426" t="s">
        <v>15</v>
      </c>
      <c r="I4426" t="s">
        <v>16</v>
      </c>
      <c r="J4426" t="s">
        <v>16</v>
      </c>
      <c r="K4426" t="s">
        <v>2047</v>
      </c>
      <c r="L4426">
        <v>0</v>
      </c>
      <c r="M4426">
        <f t="shared" si="628"/>
        <v>30</v>
      </c>
      <c r="N4426" t="str">
        <f>TEXT(MTDRejection[[#This Row],[RejectionDate]],"dddd")</f>
        <v>Monday</v>
      </c>
    </row>
    <row r="4427" spans="1:14">
      <c r="A4427" t="s">
        <v>211</v>
      </c>
      <c r="B4427" t="s">
        <v>6477</v>
      </c>
      <c r="C4427" t="s">
        <v>12</v>
      </c>
      <c r="D4427" t="s">
        <v>26</v>
      </c>
      <c r="E4427" s="7">
        <v>45656</v>
      </c>
      <c r="F4427" t="s">
        <v>2354</v>
      </c>
      <c r="G4427">
        <v>0</v>
      </c>
      <c r="H4427" t="s">
        <v>22</v>
      </c>
      <c r="I4427" t="s">
        <v>16</v>
      </c>
      <c r="J4427" t="s">
        <v>16</v>
      </c>
      <c r="K4427" t="s">
        <v>2046</v>
      </c>
      <c r="L4427">
        <v>0</v>
      </c>
      <c r="M4427">
        <f t="shared" si="628"/>
        <v>30</v>
      </c>
      <c r="N4427" t="str">
        <f>TEXT(MTDRejection[[#This Row],[RejectionDate]],"dddd")</f>
        <v>Monday</v>
      </c>
    </row>
    <row r="4428" spans="1:14">
      <c r="A4428" t="s">
        <v>45</v>
      </c>
      <c r="B4428" t="s">
        <v>1967</v>
      </c>
      <c r="C4428" t="s">
        <v>125</v>
      </c>
      <c r="D4428" t="s">
        <v>26</v>
      </c>
      <c r="E4428" s="7">
        <v>45656</v>
      </c>
      <c r="F4428" t="s">
        <v>179</v>
      </c>
      <c r="G4428">
        <v>0</v>
      </c>
      <c r="H4428" t="s">
        <v>30</v>
      </c>
      <c r="I4428" t="s">
        <v>16</v>
      </c>
      <c r="J4428" t="s">
        <v>16</v>
      </c>
      <c r="K4428" t="s">
        <v>2046</v>
      </c>
      <c r="L4428">
        <v>0</v>
      </c>
      <c r="M4428">
        <f t="shared" si="628"/>
        <v>30</v>
      </c>
      <c r="N4428" t="str">
        <f>TEXT(MTDRejection[[#This Row],[RejectionDate]],"dddd")</f>
        <v>Monday</v>
      </c>
    </row>
    <row r="4429" spans="1:14">
      <c r="A4429" t="s">
        <v>45</v>
      </c>
      <c r="B4429" t="s">
        <v>2036</v>
      </c>
      <c r="C4429" t="s">
        <v>36</v>
      </c>
      <c r="D4429" t="s">
        <v>26</v>
      </c>
      <c r="E4429" s="7">
        <v>45656</v>
      </c>
      <c r="F4429" t="s">
        <v>179</v>
      </c>
      <c r="G4429">
        <v>0</v>
      </c>
      <c r="H4429" t="s">
        <v>27</v>
      </c>
      <c r="I4429" t="s">
        <v>16</v>
      </c>
      <c r="J4429" t="s">
        <v>16</v>
      </c>
      <c r="K4429" t="s">
        <v>2046</v>
      </c>
      <c r="L4429">
        <v>0</v>
      </c>
      <c r="M4429">
        <f t="shared" si="628"/>
        <v>30</v>
      </c>
      <c r="N4429" t="str">
        <f>TEXT(MTDRejection[[#This Row],[RejectionDate]],"dddd")</f>
        <v>Monday</v>
      </c>
    </row>
    <row r="4430" spans="1:14">
      <c r="A4430" t="s">
        <v>263</v>
      </c>
      <c r="B4430" t="s">
        <v>6478</v>
      </c>
      <c r="C4430" t="s">
        <v>36</v>
      </c>
      <c r="D4430" t="s">
        <v>26</v>
      </c>
      <c r="E4430" s="7">
        <v>45656</v>
      </c>
      <c r="F4430" t="s">
        <v>311</v>
      </c>
      <c r="G4430">
        <v>0</v>
      </c>
      <c r="H4430" t="s">
        <v>22</v>
      </c>
      <c r="I4430" t="s">
        <v>16</v>
      </c>
      <c r="J4430" t="s">
        <v>16</v>
      </c>
      <c r="K4430" t="s">
        <v>2046</v>
      </c>
      <c r="L4430">
        <v>0</v>
      </c>
      <c r="M4430">
        <f t="shared" si="628"/>
        <v>30</v>
      </c>
      <c r="N4430" t="str">
        <f>TEXT(MTDRejection[[#This Row],[RejectionDate]],"dddd")</f>
        <v>Monday</v>
      </c>
    </row>
    <row r="4431" spans="1:14">
      <c r="A4431" t="s">
        <v>1596</v>
      </c>
      <c r="B4431" t="s">
        <v>6479</v>
      </c>
      <c r="C4431" t="s">
        <v>71</v>
      </c>
      <c r="D4431" t="s">
        <v>38</v>
      </c>
      <c r="E4431" s="7">
        <v>45656</v>
      </c>
      <c r="F4431" t="s">
        <v>108</v>
      </c>
      <c r="G4431">
        <v>0</v>
      </c>
      <c r="H4431" t="s">
        <v>42</v>
      </c>
      <c r="I4431" t="s">
        <v>16</v>
      </c>
      <c r="J4431" t="s">
        <v>16</v>
      </c>
      <c r="K4431" t="s">
        <v>50</v>
      </c>
      <c r="L4431">
        <v>0</v>
      </c>
      <c r="M4431">
        <f t="shared" si="628"/>
        <v>30</v>
      </c>
      <c r="N4431" t="str">
        <f>TEXT(MTDRejection[[#This Row],[RejectionDate]],"dddd")</f>
        <v>Monday</v>
      </c>
    </row>
    <row r="4432" spans="1:14">
      <c r="A4432" t="s">
        <v>84</v>
      </c>
      <c r="B4432" t="s">
        <v>6480</v>
      </c>
      <c r="C4432" t="s">
        <v>49</v>
      </c>
      <c r="D4432" t="s">
        <v>26</v>
      </c>
      <c r="E4432" s="7">
        <v>45656</v>
      </c>
      <c r="F4432" t="s">
        <v>118</v>
      </c>
      <c r="G4432">
        <v>0</v>
      </c>
      <c r="H4432" t="s">
        <v>22</v>
      </c>
      <c r="I4432" t="s">
        <v>16</v>
      </c>
      <c r="J4432" t="s">
        <v>16</v>
      </c>
      <c r="K4432" t="s">
        <v>50</v>
      </c>
      <c r="L4432">
        <v>0</v>
      </c>
      <c r="M4432">
        <f t="shared" si="628"/>
        <v>30</v>
      </c>
      <c r="N4432" t="str">
        <f>TEXT(MTDRejection[[#This Row],[RejectionDate]],"dddd")</f>
        <v>Monday</v>
      </c>
    </row>
    <row r="4433" spans="1:14">
      <c r="A4433" t="s">
        <v>84</v>
      </c>
      <c r="B4433" t="s">
        <v>6481</v>
      </c>
      <c r="C4433" t="s">
        <v>49</v>
      </c>
      <c r="D4433" t="s">
        <v>26</v>
      </c>
      <c r="E4433" s="7">
        <v>45656</v>
      </c>
      <c r="F4433" t="s">
        <v>118</v>
      </c>
      <c r="G4433">
        <v>0</v>
      </c>
      <c r="H4433" t="s">
        <v>130</v>
      </c>
      <c r="I4433" t="s">
        <v>16</v>
      </c>
      <c r="J4433" t="s">
        <v>16</v>
      </c>
      <c r="K4433" t="s">
        <v>50</v>
      </c>
      <c r="L4433">
        <v>0</v>
      </c>
      <c r="M4433">
        <f t="shared" si="628"/>
        <v>30</v>
      </c>
      <c r="N4433" t="str">
        <f>TEXT(MTDRejection[[#This Row],[RejectionDate]],"dddd")</f>
        <v>Monday</v>
      </c>
    </row>
    <row r="4434" spans="1:14">
      <c r="A4434" t="s">
        <v>84</v>
      </c>
      <c r="B4434" t="s">
        <v>1928</v>
      </c>
      <c r="C4434" t="s">
        <v>49</v>
      </c>
      <c r="D4434" t="s">
        <v>26</v>
      </c>
      <c r="E4434" s="7">
        <v>45656</v>
      </c>
      <c r="F4434" t="s">
        <v>118</v>
      </c>
      <c r="G4434">
        <v>0</v>
      </c>
      <c r="H4434" t="s">
        <v>22</v>
      </c>
      <c r="I4434" t="s">
        <v>16</v>
      </c>
      <c r="J4434" t="s">
        <v>16</v>
      </c>
      <c r="K4434" t="s">
        <v>50</v>
      </c>
      <c r="L4434">
        <v>0</v>
      </c>
      <c r="M4434">
        <f t="shared" si="628"/>
        <v>30</v>
      </c>
      <c r="N4434" t="str">
        <f>TEXT(MTDRejection[[#This Row],[RejectionDate]],"dddd")</f>
        <v>Monday</v>
      </c>
    </row>
    <row r="4435" spans="1:14">
      <c r="A4435" t="s">
        <v>84</v>
      </c>
      <c r="B4435" t="s">
        <v>1930</v>
      </c>
      <c r="C4435" t="s">
        <v>49</v>
      </c>
      <c r="D4435" t="s">
        <v>26</v>
      </c>
      <c r="E4435" s="7">
        <v>45656</v>
      </c>
      <c r="F4435" t="s">
        <v>118</v>
      </c>
      <c r="G4435">
        <v>0</v>
      </c>
      <c r="H4435" t="s">
        <v>22</v>
      </c>
      <c r="I4435" t="s">
        <v>16</v>
      </c>
      <c r="J4435" t="s">
        <v>16</v>
      </c>
      <c r="K4435" t="s">
        <v>50</v>
      </c>
      <c r="L4435">
        <v>0</v>
      </c>
      <c r="M4435">
        <f t="shared" si="628"/>
        <v>30</v>
      </c>
      <c r="N4435" t="str">
        <f>TEXT(MTDRejection[[#This Row],[RejectionDate]],"dddd")</f>
        <v>Monday</v>
      </c>
    </row>
    <row r="4436" spans="1:14">
      <c r="A4436" t="s">
        <v>84</v>
      </c>
      <c r="B4436" t="s">
        <v>6482</v>
      </c>
      <c r="C4436" t="s">
        <v>49</v>
      </c>
      <c r="D4436" t="s">
        <v>26</v>
      </c>
      <c r="E4436" s="7">
        <v>45656</v>
      </c>
      <c r="F4436" t="s">
        <v>118</v>
      </c>
      <c r="G4436">
        <v>0</v>
      </c>
      <c r="H4436" t="s">
        <v>130</v>
      </c>
      <c r="I4436" t="s">
        <v>16</v>
      </c>
      <c r="J4436" t="s">
        <v>16</v>
      </c>
      <c r="K4436" t="s">
        <v>50</v>
      </c>
      <c r="L4436">
        <v>0</v>
      </c>
      <c r="M4436">
        <f t="shared" si="628"/>
        <v>30</v>
      </c>
      <c r="N4436" t="str">
        <f>TEXT(MTDRejection[[#This Row],[RejectionDate]],"dddd")</f>
        <v>Monday</v>
      </c>
    </row>
    <row r="4437" spans="1:14">
      <c r="A4437" t="s">
        <v>84</v>
      </c>
      <c r="B4437" t="s">
        <v>2576</v>
      </c>
      <c r="C4437" t="s">
        <v>49</v>
      </c>
      <c r="D4437" t="s">
        <v>26</v>
      </c>
      <c r="E4437" s="7">
        <v>45656</v>
      </c>
      <c r="F4437" t="s">
        <v>118</v>
      </c>
      <c r="G4437">
        <v>0</v>
      </c>
      <c r="H4437" t="s">
        <v>22</v>
      </c>
      <c r="I4437" t="s">
        <v>16</v>
      </c>
      <c r="J4437" t="s">
        <v>16</v>
      </c>
      <c r="K4437" t="s">
        <v>50</v>
      </c>
      <c r="L4437">
        <v>0</v>
      </c>
      <c r="M4437">
        <f t="shared" si="628"/>
        <v>30</v>
      </c>
      <c r="N4437" t="str">
        <f>TEXT(MTDRejection[[#This Row],[RejectionDate]],"dddd")</f>
        <v>Monday</v>
      </c>
    </row>
    <row r="4438" spans="1:14">
      <c r="A4438" t="s">
        <v>84</v>
      </c>
      <c r="B4438" t="s">
        <v>6483</v>
      </c>
      <c r="C4438" t="s">
        <v>49</v>
      </c>
      <c r="D4438" t="s">
        <v>26</v>
      </c>
      <c r="E4438" s="7">
        <v>45656</v>
      </c>
      <c r="F4438" t="s">
        <v>118</v>
      </c>
      <c r="G4438">
        <v>0</v>
      </c>
      <c r="H4438" t="s">
        <v>22</v>
      </c>
      <c r="I4438" t="s">
        <v>16</v>
      </c>
      <c r="J4438" t="s">
        <v>16</v>
      </c>
      <c r="K4438" t="s">
        <v>50</v>
      </c>
      <c r="L4438">
        <v>0</v>
      </c>
      <c r="M4438">
        <f t="shared" si="628"/>
        <v>30</v>
      </c>
      <c r="N4438" t="str">
        <f>TEXT(MTDRejection[[#This Row],[RejectionDate]],"dddd")</f>
        <v>Monday</v>
      </c>
    </row>
    <row r="4439" spans="1:14">
      <c r="A4439" t="s">
        <v>84</v>
      </c>
      <c r="B4439" t="s">
        <v>6484</v>
      </c>
      <c r="C4439" t="s">
        <v>49</v>
      </c>
      <c r="D4439" t="s">
        <v>26</v>
      </c>
      <c r="E4439" s="7">
        <v>45656</v>
      </c>
      <c r="F4439" t="s">
        <v>118</v>
      </c>
      <c r="G4439">
        <v>0</v>
      </c>
      <c r="H4439" t="s">
        <v>22</v>
      </c>
      <c r="I4439" t="s">
        <v>16</v>
      </c>
      <c r="J4439" t="s">
        <v>16</v>
      </c>
      <c r="K4439" t="s">
        <v>50</v>
      </c>
      <c r="L4439">
        <v>0</v>
      </c>
      <c r="M4439">
        <f t="shared" si="628"/>
        <v>30</v>
      </c>
      <c r="N4439" t="str">
        <f>TEXT(MTDRejection[[#This Row],[RejectionDate]],"dddd")</f>
        <v>Monday</v>
      </c>
    </row>
    <row r="4440" spans="1:14">
      <c r="A4440" t="s">
        <v>84</v>
      </c>
      <c r="B4440" t="s">
        <v>1927</v>
      </c>
      <c r="C4440" t="s">
        <v>49</v>
      </c>
      <c r="D4440" t="s">
        <v>26</v>
      </c>
      <c r="E4440" s="7">
        <v>45656</v>
      </c>
      <c r="F4440" t="s">
        <v>118</v>
      </c>
      <c r="G4440">
        <v>0</v>
      </c>
      <c r="H4440" t="s">
        <v>130</v>
      </c>
      <c r="I4440" t="s">
        <v>16</v>
      </c>
      <c r="J4440" t="s">
        <v>16</v>
      </c>
      <c r="K4440" t="s">
        <v>50</v>
      </c>
      <c r="L4440">
        <v>0</v>
      </c>
      <c r="M4440">
        <f t="shared" si="628"/>
        <v>30</v>
      </c>
      <c r="N4440" t="str">
        <f>TEXT(MTDRejection[[#This Row],[RejectionDate]],"dddd")</f>
        <v>Monday</v>
      </c>
    </row>
    <row r="4441" spans="1:14">
      <c r="A4441" t="s">
        <v>84</v>
      </c>
      <c r="B4441" t="s">
        <v>6485</v>
      </c>
      <c r="C4441" t="s">
        <v>49</v>
      </c>
      <c r="D4441" t="s">
        <v>26</v>
      </c>
      <c r="E4441" s="7">
        <v>45656</v>
      </c>
      <c r="F4441" t="s">
        <v>118</v>
      </c>
      <c r="G4441">
        <v>0</v>
      </c>
      <c r="H4441" t="s">
        <v>95</v>
      </c>
      <c r="I4441" t="s">
        <v>16</v>
      </c>
      <c r="J4441" t="s">
        <v>16</v>
      </c>
      <c r="K4441" t="s">
        <v>50</v>
      </c>
      <c r="L4441">
        <v>0</v>
      </c>
      <c r="M4441">
        <f t="shared" si="628"/>
        <v>30</v>
      </c>
      <c r="N4441" t="str">
        <f>TEXT(MTDRejection[[#This Row],[RejectionDate]],"dddd")</f>
        <v>Monday</v>
      </c>
    </row>
    <row r="4442" spans="1:14">
      <c r="A4442" t="s">
        <v>84</v>
      </c>
      <c r="B4442" t="s">
        <v>1926</v>
      </c>
      <c r="C4442" t="s">
        <v>1347</v>
      </c>
      <c r="D4442" t="s">
        <v>26</v>
      </c>
      <c r="E4442" s="7">
        <v>45656</v>
      </c>
      <c r="F4442" t="s">
        <v>118</v>
      </c>
      <c r="G4442">
        <v>0</v>
      </c>
      <c r="H4442" t="s">
        <v>22</v>
      </c>
      <c r="I4442" t="s">
        <v>16</v>
      </c>
      <c r="J4442" t="s">
        <v>16</v>
      </c>
      <c r="K4442" t="s">
        <v>50</v>
      </c>
      <c r="L4442">
        <v>0</v>
      </c>
      <c r="M4442">
        <f t="shared" si="628"/>
        <v>30</v>
      </c>
      <c r="N4442" t="str">
        <f>TEXT(MTDRejection[[#This Row],[RejectionDate]],"dddd")</f>
        <v>Monday</v>
      </c>
    </row>
    <row r="4443" spans="1:14">
      <c r="A4443" t="s">
        <v>84</v>
      </c>
      <c r="B4443" t="s">
        <v>6486</v>
      </c>
      <c r="C4443" t="s">
        <v>1347</v>
      </c>
      <c r="D4443" t="s">
        <v>26</v>
      </c>
      <c r="E4443" s="7">
        <v>45656</v>
      </c>
      <c r="F4443" t="s">
        <v>118</v>
      </c>
      <c r="G4443">
        <v>0</v>
      </c>
      <c r="H4443" t="s">
        <v>22</v>
      </c>
      <c r="I4443" t="s">
        <v>16</v>
      </c>
      <c r="J4443" t="s">
        <v>16</v>
      </c>
      <c r="K4443" t="s">
        <v>50</v>
      </c>
      <c r="L4443">
        <v>0</v>
      </c>
      <c r="M4443">
        <f t="shared" si="628"/>
        <v>30</v>
      </c>
      <c r="N4443" t="str">
        <f>TEXT(MTDRejection[[#This Row],[RejectionDate]],"dddd")</f>
        <v>Monday</v>
      </c>
    </row>
    <row r="4444" spans="1:14">
      <c r="A4444" t="s">
        <v>84</v>
      </c>
      <c r="B4444" t="s">
        <v>6487</v>
      </c>
      <c r="C4444" t="s">
        <v>1347</v>
      </c>
      <c r="D4444" t="s">
        <v>26</v>
      </c>
      <c r="E4444" s="7">
        <v>45656</v>
      </c>
      <c r="F4444" t="s">
        <v>118</v>
      </c>
      <c r="G4444">
        <v>0</v>
      </c>
      <c r="H4444" t="s">
        <v>130</v>
      </c>
      <c r="I4444" t="s">
        <v>16</v>
      </c>
      <c r="J4444" t="s">
        <v>16</v>
      </c>
      <c r="K4444" t="s">
        <v>50</v>
      </c>
      <c r="L4444">
        <v>0</v>
      </c>
      <c r="M4444">
        <f t="shared" si="628"/>
        <v>30</v>
      </c>
      <c r="N4444" t="str">
        <f>TEXT(MTDRejection[[#This Row],[RejectionDate]],"dddd")</f>
        <v>Monday</v>
      </c>
    </row>
    <row r="4445" spans="1:14">
      <c r="A4445" t="s">
        <v>84</v>
      </c>
      <c r="B4445" t="s">
        <v>4572</v>
      </c>
      <c r="C4445" t="s">
        <v>1347</v>
      </c>
      <c r="D4445" t="s">
        <v>26</v>
      </c>
      <c r="E4445" s="7">
        <v>45656</v>
      </c>
      <c r="F4445" t="s">
        <v>118</v>
      </c>
      <c r="G4445">
        <v>0</v>
      </c>
      <c r="H4445" t="s">
        <v>22</v>
      </c>
      <c r="I4445" t="s">
        <v>16</v>
      </c>
      <c r="J4445" t="s">
        <v>16</v>
      </c>
      <c r="K4445" t="s">
        <v>50</v>
      </c>
      <c r="L4445">
        <v>0</v>
      </c>
      <c r="M4445">
        <f t="shared" si="628"/>
        <v>30</v>
      </c>
      <c r="N4445" t="str">
        <f>TEXT(MTDRejection[[#This Row],[RejectionDate]],"dddd")</f>
        <v>Monday</v>
      </c>
    </row>
    <row r="4446" spans="1:14">
      <c r="A4446" t="s">
        <v>84</v>
      </c>
      <c r="B4446" t="s">
        <v>6488</v>
      </c>
      <c r="C4446" t="s">
        <v>1347</v>
      </c>
      <c r="D4446" t="s">
        <v>26</v>
      </c>
      <c r="E4446" s="7">
        <v>45656</v>
      </c>
      <c r="F4446" t="s">
        <v>118</v>
      </c>
      <c r="G4446">
        <v>0</v>
      </c>
      <c r="H4446" t="s">
        <v>95</v>
      </c>
      <c r="I4446" t="s">
        <v>16</v>
      </c>
      <c r="J4446" t="s">
        <v>16</v>
      </c>
      <c r="K4446" t="s">
        <v>50</v>
      </c>
      <c r="L4446">
        <v>0</v>
      </c>
      <c r="M4446">
        <f t="shared" si="628"/>
        <v>30</v>
      </c>
      <c r="N4446" t="str">
        <f>TEXT(MTDRejection[[#This Row],[RejectionDate]],"dddd")</f>
        <v>Monday</v>
      </c>
    </row>
    <row r="4447" spans="1:14">
      <c r="A4447" t="s">
        <v>84</v>
      </c>
      <c r="B4447" t="s">
        <v>6489</v>
      </c>
      <c r="C4447" t="s">
        <v>1347</v>
      </c>
      <c r="D4447" t="s">
        <v>26</v>
      </c>
      <c r="E4447" s="7">
        <v>45656</v>
      </c>
      <c r="F4447" t="s">
        <v>118</v>
      </c>
      <c r="G4447">
        <v>0</v>
      </c>
      <c r="H4447" t="s">
        <v>22</v>
      </c>
      <c r="I4447" t="s">
        <v>16</v>
      </c>
      <c r="J4447" t="s">
        <v>16</v>
      </c>
      <c r="K4447" t="s">
        <v>50</v>
      </c>
      <c r="L4447">
        <v>0</v>
      </c>
      <c r="M4447">
        <f t="shared" si="628"/>
        <v>30</v>
      </c>
      <c r="N4447" t="str">
        <f>TEXT(MTDRejection[[#This Row],[RejectionDate]],"dddd")</f>
        <v>Monday</v>
      </c>
    </row>
    <row r="4448" spans="1:14">
      <c r="A4448" t="s">
        <v>84</v>
      </c>
      <c r="B4448" t="s">
        <v>6443</v>
      </c>
      <c r="C4448" t="s">
        <v>1347</v>
      </c>
      <c r="D4448" t="s">
        <v>26</v>
      </c>
      <c r="E4448" s="7">
        <v>45656</v>
      </c>
      <c r="F4448" t="s">
        <v>118</v>
      </c>
      <c r="G4448">
        <v>0</v>
      </c>
      <c r="H4448" t="s">
        <v>22</v>
      </c>
      <c r="I4448" t="s">
        <v>16</v>
      </c>
      <c r="J4448" t="s">
        <v>16</v>
      </c>
      <c r="K4448" t="s">
        <v>50</v>
      </c>
      <c r="L4448">
        <v>0</v>
      </c>
      <c r="M4448">
        <f t="shared" si="628"/>
        <v>30</v>
      </c>
      <c r="N4448" t="str">
        <f>TEXT(MTDRejection[[#This Row],[RejectionDate]],"dddd")</f>
        <v>Monday</v>
      </c>
    </row>
    <row r="4449" spans="1:14">
      <c r="A4449" t="s">
        <v>84</v>
      </c>
      <c r="B4449" t="s">
        <v>6490</v>
      </c>
      <c r="C4449" t="s">
        <v>1347</v>
      </c>
      <c r="D4449" t="s">
        <v>26</v>
      </c>
      <c r="E4449" s="7">
        <v>45656</v>
      </c>
      <c r="F4449" t="s">
        <v>118</v>
      </c>
      <c r="G4449">
        <v>0</v>
      </c>
      <c r="H4449" t="s">
        <v>27</v>
      </c>
      <c r="I4449" t="s">
        <v>16</v>
      </c>
      <c r="J4449" t="s">
        <v>16</v>
      </c>
      <c r="K4449" t="s">
        <v>50</v>
      </c>
      <c r="L4449">
        <v>0</v>
      </c>
      <c r="M4449">
        <f t="shared" si="628"/>
        <v>30</v>
      </c>
      <c r="N4449" t="str">
        <f>TEXT(MTDRejection[[#This Row],[RejectionDate]],"dddd")</f>
        <v>Monday</v>
      </c>
    </row>
    <row r="4450" spans="1:14">
      <c r="A4450" t="s">
        <v>84</v>
      </c>
      <c r="B4450" t="s">
        <v>4181</v>
      </c>
      <c r="C4450" t="s">
        <v>49</v>
      </c>
      <c r="D4450" t="s">
        <v>26</v>
      </c>
      <c r="E4450" s="7">
        <v>45656</v>
      </c>
      <c r="F4450" t="s">
        <v>118</v>
      </c>
      <c r="G4450">
        <v>0</v>
      </c>
      <c r="H4450" t="s">
        <v>22</v>
      </c>
      <c r="I4450" t="s">
        <v>16</v>
      </c>
      <c r="J4450" t="s">
        <v>16</v>
      </c>
      <c r="K4450" t="s">
        <v>50</v>
      </c>
      <c r="L4450">
        <v>0</v>
      </c>
      <c r="M4450">
        <f t="shared" si="628"/>
        <v>30</v>
      </c>
      <c r="N4450" t="str">
        <f>TEXT(MTDRejection[[#This Row],[RejectionDate]],"dddd")</f>
        <v>Monday</v>
      </c>
    </row>
    <row r="4451" spans="1:14">
      <c r="A4451" t="s">
        <v>84</v>
      </c>
      <c r="B4451" t="s">
        <v>6491</v>
      </c>
      <c r="C4451" t="s">
        <v>49</v>
      </c>
      <c r="D4451" t="s">
        <v>26</v>
      </c>
      <c r="E4451" s="7">
        <v>45656</v>
      </c>
      <c r="F4451" t="s">
        <v>118</v>
      </c>
      <c r="G4451">
        <v>0</v>
      </c>
      <c r="H4451" t="s">
        <v>22</v>
      </c>
      <c r="I4451" t="s">
        <v>16</v>
      </c>
      <c r="J4451" t="s">
        <v>16</v>
      </c>
      <c r="K4451" t="s">
        <v>50</v>
      </c>
      <c r="L4451">
        <v>0</v>
      </c>
      <c r="M4451">
        <f t="shared" si="628"/>
        <v>30</v>
      </c>
      <c r="N4451" t="str">
        <f>TEXT(MTDRejection[[#This Row],[RejectionDate]],"dddd")</f>
        <v>Monday</v>
      </c>
    </row>
    <row r="4452" spans="1:14">
      <c r="A4452" t="s">
        <v>84</v>
      </c>
      <c r="B4452" t="s">
        <v>6447</v>
      </c>
      <c r="C4452" t="s">
        <v>49</v>
      </c>
      <c r="D4452" t="s">
        <v>26</v>
      </c>
      <c r="E4452" s="7">
        <v>45656</v>
      </c>
      <c r="F4452" t="s">
        <v>118</v>
      </c>
      <c r="G4452">
        <v>0</v>
      </c>
      <c r="H4452" t="s">
        <v>130</v>
      </c>
      <c r="I4452" t="s">
        <v>16</v>
      </c>
      <c r="J4452" t="s">
        <v>16</v>
      </c>
      <c r="K4452" t="s">
        <v>50</v>
      </c>
      <c r="L4452">
        <v>0</v>
      </c>
      <c r="M4452">
        <f t="shared" si="628"/>
        <v>30</v>
      </c>
      <c r="N4452" t="str">
        <f>TEXT(MTDRejection[[#This Row],[RejectionDate]],"dddd")</f>
        <v>Monday</v>
      </c>
    </row>
    <row r="4453" spans="1:14">
      <c r="A4453" t="s">
        <v>84</v>
      </c>
      <c r="B4453" t="s">
        <v>6492</v>
      </c>
      <c r="C4453" t="s">
        <v>49</v>
      </c>
      <c r="D4453" t="s">
        <v>26</v>
      </c>
      <c r="E4453" s="7">
        <v>45656</v>
      </c>
      <c r="F4453" t="s">
        <v>118</v>
      </c>
      <c r="G4453">
        <v>0</v>
      </c>
      <c r="H4453" t="s">
        <v>22</v>
      </c>
      <c r="I4453" t="s">
        <v>16</v>
      </c>
      <c r="J4453" t="s">
        <v>16</v>
      </c>
      <c r="K4453" t="s">
        <v>50</v>
      </c>
      <c r="L4453">
        <v>0</v>
      </c>
      <c r="M4453">
        <f t="shared" ref="M4453:M4473" si="629">DAY(E4453)</f>
        <v>30</v>
      </c>
      <c r="N4453" t="str">
        <f>TEXT(MTDRejection[[#This Row],[RejectionDate]],"dddd")</f>
        <v>Monday</v>
      </c>
    </row>
    <row r="4454" spans="1:14">
      <c r="A4454" t="s">
        <v>84</v>
      </c>
      <c r="B4454" t="s">
        <v>6493</v>
      </c>
      <c r="C4454" t="s">
        <v>49</v>
      </c>
      <c r="D4454" t="s">
        <v>26</v>
      </c>
      <c r="E4454" s="7">
        <v>45656</v>
      </c>
      <c r="F4454" t="s">
        <v>118</v>
      </c>
      <c r="G4454">
        <v>0</v>
      </c>
      <c r="H4454" t="s">
        <v>27</v>
      </c>
      <c r="I4454" t="s">
        <v>16</v>
      </c>
      <c r="J4454" t="s">
        <v>16</v>
      </c>
      <c r="K4454" t="s">
        <v>50</v>
      </c>
      <c r="L4454">
        <v>0</v>
      </c>
      <c r="M4454">
        <f t="shared" si="629"/>
        <v>30</v>
      </c>
      <c r="N4454" t="str">
        <f>TEXT(MTDRejection[[#This Row],[RejectionDate]],"dddd")</f>
        <v>Monday</v>
      </c>
    </row>
    <row r="4455" spans="1:14">
      <c r="A4455" t="s">
        <v>84</v>
      </c>
      <c r="B4455" t="s">
        <v>1931</v>
      </c>
      <c r="C4455" t="s">
        <v>49</v>
      </c>
      <c r="D4455" t="s">
        <v>26</v>
      </c>
      <c r="E4455" s="7">
        <v>45656</v>
      </c>
      <c r="F4455" t="s">
        <v>118</v>
      </c>
      <c r="G4455">
        <v>0</v>
      </c>
      <c r="H4455" t="s">
        <v>27</v>
      </c>
      <c r="I4455" t="s">
        <v>16</v>
      </c>
      <c r="J4455" t="s">
        <v>16</v>
      </c>
      <c r="K4455" t="s">
        <v>50</v>
      </c>
      <c r="L4455">
        <v>0</v>
      </c>
      <c r="M4455">
        <f t="shared" si="629"/>
        <v>30</v>
      </c>
      <c r="N4455" t="str">
        <f>TEXT(MTDRejection[[#This Row],[RejectionDate]],"dddd")</f>
        <v>Monday</v>
      </c>
    </row>
    <row r="4456" spans="1:14">
      <c r="A4456" t="s">
        <v>84</v>
      </c>
      <c r="B4456" t="s">
        <v>6494</v>
      </c>
      <c r="C4456" t="s">
        <v>49</v>
      </c>
      <c r="D4456" t="s">
        <v>26</v>
      </c>
      <c r="E4456" s="7">
        <v>45656</v>
      </c>
      <c r="F4456" t="s">
        <v>118</v>
      </c>
      <c r="G4456">
        <v>0</v>
      </c>
      <c r="H4456" t="s">
        <v>22</v>
      </c>
      <c r="I4456" t="s">
        <v>16</v>
      </c>
      <c r="J4456" t="s">
        <v>16</v>
      </c>
      <c r="K4456" t="s">
        <v>50</v>
      </c>
      <c r="L4456">
        <v>0</v>
      </c>
      <c r="M4456">
        <f t="shared" si="629"/>
        <v>30</v>
      </c>
      <c r="N4456" t="str">
        <f>TEXT(MTDRejection[[#This Row],[RejectionDate]],"dddd")</f>
        <v>Monday</v>
      </c>
    </row>
    <row r="4457" spans="1:14">
      <c r="A4457" t="s">
        <v>84</v>
      </c>
      <c r="B4457" t="s">
        <v>6495</v>
      </c>
      <c r="C4457" t="s">
        <v>49</v>
      </c>
      <c r="D4457" t="s">
        <v>26</v>
      </c>
      <c r="E4457" s="7">
        <v>45656</v>
      </c>
      <c r="F4457" t="s">
        <v>118</v>
      </c>
      <c r="G4457">
        <v>0</v>
      </c>
      <c r="H4457" t="s">
        <v>22</v>
      </c>
      <c r="I4457" t="s">
        <v>16</v>
      </c>
      <c r="J4457" t="s">
        <v>16</v>
      </c>
      <c r="K4457" t="s">
        <v>50</v>
      </c>
      <c r="L4457">
        <v>0</v>
      </c>
      <c r="M4457">
        <f t="shared" si="629"/>
        <v>30</v>
      </c>
      <c r="N4457" t="str">
        <f>TEXT(MTDRejection[[#This Row],[RejectionDate]],"dddd")</f>
        <v>Monday</v>
      </c>
    </row>
    <row r="4458" spans="1:14">
      <c r="A4458" t="s">
        <v>285</v>
      </c>
      <c r="B4458" t="s">
        <v>6496</v>
      </c>
      <c r="C4458" t="s">
        <v>125</v>
      </c>
      <c r="D4458" t="s">
        <v>26</v>
      </c>
      <c r="E4458" s="7">
        <v>45656</v>
      </c>
      <c r="F4458" t="s">
        <v>2337</v>
      </c>
      <c r="G4458">
        <v>0</v>
      </c>
      <c r="H4458" t="s">
        <v>130</v>
      </c>
      <c r="I4458" t="s">
        <v>16</v>
      </c>
      <c r="J4458" t="s">
        <v>16</v>
      </c>
      <c r="K4458" t="s">
        <v>2046</v>
      </c>
      <c r="L4458">
        <v>0</v>
      </c>
      <c r="M4458">
        <f t="shared" si="629"/>
        <v>30</v>
      </c>
      <c r="N4458" t="str">
        <f>TEXT(MTDRejection[[#This Row],[RejectionDate]],"dddd")</f>
        <v>Monday</v>
      </c>
    </row>
    <row r="4459" spans="1:14">
      <c r="A4459" t="s">
        <v>142</v>
      </c>
      <c r="B4459" t="s">
        <v>6497</v>
      </c>
      <c r="C4459" t="s">
        <v>1347</v>
      </c>
      <c r="D4459" t="s">
        <v>26</v>
      </c>
      <c r="E4459" s="7">
        <v>45656</v>
      </c>
      <c r="F4459" t="s">
        <v>118</v>
      </c>
      <c r="G4459">
        <v>0</v>
      </c>
      <c r="H4459" t="s">
        <v>15</v>
      </c>
      <c r="I4459" t="s">
        <v>16</v>
      </c>
      <c r="J4459" t="s">
        <v>16</v>
      </c>
      <c r="K4459" t="s">
        <v>50</v>
      </c>
      <c r="L4459">
        <v>0</v>
      </c>
      <c r="M4459">
        <f t="shared" si="629"/>
        <v>30</v>
      </c>
      <c r="N4459" t="str">
        <f>TEXT(MTDRejection[[#This Row],[RejectionDate]],"dddd")</f>
        <v>Monday</v>
      </c>
    </row>
    <row r="4460" spans="1:14">
      <c r="A4460" t="s">
        <v>142</v>
      </c>
      <c r="B4460" t="s">
        <v>4582</v>
      </c>
      <c r="C4460" t="s">
        <v>49</v>
      </c>
      <c r="D4460" t="s">
        <v>26</v>
      </c>
      <c r="E4460" s="7">
        <v>45656</v>
      </c>
      <c r="F4460" t="s">
        <v>118</v>
      </c>
      <c r="G4460">
        <v>0</v>
      </c>
      <c r="H4460" t="s">
        <v>130</v>
      </c>
      <c r="I4460" t="s">
        <v>16</v>
      </c>
      <c r="J4460" t="s">
        <v>16</v>
      </c>
      <c r="K4460" t="s">
        <v>50</v>
      </c>
      <c r="L4460">
        <v>0</v>
      </c>
      <c r="M4460">
        <f t="shared" si="629"/>
        <v>30</v>
      </c>
      <c r="N4460" t="str">
        <f>TEXT(MTDRejection[[#This Row],[RejectionDate]],"dddd")</f>
        <v>Monday</v>
      </c>
    </row>
    <row r="4461" spans="1:14">
      <c r="A4461" t="s">
        <v>142</v>
      </c>
      <c r="B4461" t="s">
        <v>6498</v>
      </c>
      <c r="C4461" t="s">
        <v>49</v>
      </c>
      <c r="D4461" t="s">
        <v>26</v>
      </c>
      <c r="E4461" s="7">
        <v>45656</v>
      </c>
      <c r="F4461" t="s">
        <v>118</v>
      </c>
      <c r="G4461">
        <v>0</v>
      </c>
      <c r="H4461" t="s">
        <v>22</v>
      </c>
      <c r="I4461" t="s">
        <v>16</v>
      </c>
      <c r="J4461" t="s">
        <v>16</v>
      </c>
      <c r="K4461" t="s">
        <v>50</v>
      </c>
      <c r="L4461">
        <v>0</v>
      </c>
      <c r="M4461">
        <f t="shared" si="629"/>
        <v>30</v>
      </c>
      <c r="N4461" t="str">
        <f>TEXT(MTDRejection[[#This Row],[RejectionDate]],"dddd")</f>
        <v>Monday</v>
      </c>
    </row>
    <row r="4462" spans="1:14">
      <c r="A4462" t="s">
        <v>142</v>
      </c>
      <c r="B4462" t="s">
        <v>6499</v>
      </c>
      <c r="C4462" t="s">
        <v>49</v>
      </c>
      <c r="D4462" t="s">
        <v>26</v>
      </c>
      <c r="E4462" s="7">
        <v>45656</v>
      </c>
      <c r="F4462" t="s">
        <v>118</v>
      </c>
      <c r="G4462">
        <v>0</v>
      </c>
      <c r="H4462" t="s">
        <v>130</v>
      </c>
      <c r="I4462" t="s">
        <v>16</v>
      </c>
      <c r="J4462" t="s">
        <v>16</v>
      </c>
      <c r="K4462" t="s">
        <v>50</v>
      </c>
      <c r="L4462">
        <v>0</v>
      </c>
      <c r="M4462">
        <f t="shared" si="629"/>
        <v>30</v>
      </c>
      <c r="N4462" t="str">
        <f>TEXT(MTDRejection[[#This Row],[RejectionDate]],"dddd")</f>
        <v>Monday</v>
      </c>
    </row>
    <row r="4463" spans="1:14">
      <c r="A4463" t="s">
        <v>142</v>
      </c>
      <c r="B4463" t="s">
        <v>1956</v>
      </c>
      <c r="C4463" t="s">
        <v>49</v>
      </c>
      <c r="D4463" t="s">
        <v>26</v>
      </c>
      <c r="E4463" s="7">
        <v>45656</v>
      </c>
      <c r="F4463" t="s">
        <v>118</v>
      </c>
      <c r="G4463">
        <v>0</v>
      </c>
      <c r="H4463" t="s">
        <v>30</v>
      </c>
      <c r="I4463" t="s">
        <v>16</v>
      </c>
      <c r="J4463" t="s">
        <v>16</v>
      </c>
      <c r="K4463" t="s">
        <v>50</v>
      </c>
      <c r="L4463">
        <v>0</v>
      </c>
      <c r="M4463">
        <f t="shared" si="629"/>
        <v>30</v>
      </c>
      <c r="N4463" t="str">
        <f>TEXT(MTDRejection[[#This Row],[RejectionDate]],"dddd")</f>
        <v>Monday</v>
      </c>
    </row>
    <row r="4464" spans="1:14">
      <c r="A4464" t="s">
        <v>142</v>
      </c>
      <c r="B4464" t="s">
        <v>6500</v>
      </c>
      <c r="C4464" t="s">
        <v>49</v>
      </c>
      <c r="D4464" t="s">
        <v>26</v>
      </c>
      <c r="E4464" s="7">
        <v>45656</v>
      </c>
      <c r="F4464" t="s">
        <v>118</v>
      </c>
      <c r="G4464">
        <v>0</v>
      </c>
      <c r="H4464" t="s">
        <v>22</v>
      </c>
      <c r="I4464" t="s">
        <v>16</v>
      </c>
      <c r="J4464" t="s">
        <v>16</v>
      </c>
      <c r="K4464" t="s">
        <v>50</v>
      </c>
      <c r="L4464">
        <v>0</v>
      </c>
      <c r="M4464">
        <f t="shared" si="629"/>
        <v>30</v>
      </c>
      <c r="N4464" t="str">
        <f>TEXT(MTDRejection[[#This Row],[RejectionDate]],"dddd")</f>
        <v>Monday</v>
      </c>
    </row>
    <row r="4465" spans="1:14">
      <c r="A4465" t="s">
        <v>142</v>
      </c>
      <c r="B4465" t="s">
        <v>6501</v>
      </c>
      <c r="C4465" t="s">
        <v>49</v>
      </c>
      <c r="D4465" t="s">
        <v>26</v>
      </c>
      <c r="E4465" s="7">
        <v>45656</v>
      </c>
      <c r="F4465" t="s">
        <v>118</v>
      </c>
      <c r="G4465">
        <v>0</v>
      </c>
      <c r="H4465" t="s">
        <v>30</v>
      </c>
      <c r="I4465" t="s">
        <v>16</v>
      </c>
      <c r="J4465" t="s">
        <v>16</v>
      </c>
      <c r="K4465" t="s">
        <v>50</v>
      </c>
      <c r="L4465">
        <v>0</v>
      </c>
      <c r="M4465">
        <f t="shared" si="629"/>
        <v>30</v>
      </c>
      <c r="N4465" t="str">
        <f>TEXT(MTDRejection[[#This Row],[RejectionDate]],"dddd")</f>
        <v>Monday</v>
      </c>
    </row>
    <row r="4466" spans="1:14">
      <c r="A4466" t="s">
        <v>142</v>
      </c>
      <c r="B4466" t="s">
        <v>6502</v>
      </c>
      <c r="C4466" t="s">
        <v>49</v>
      </c>
      <c r="D4466" t="s">
        <v>26</v>
      </c>
      <c r="E4466" s="7">
        <v>45656</v>
      </c>
      <c r="F4466" t="s">
        <v>118</v>
      </c>
      <c r="G4466">
        <v>0</v>
      </c>
      <c r="H4466" t="s">
        <v>15</v>
      </c>
      <c r="I4466" t="s">
        <v>16</v>
      </c>
      <c r="J4466" t="s">
        <v>16</v>
      </c>
      <c r="K4466" t="s">
        <v>50</v>
      </c>
      <c r="L4466">
        <v>0</v>
      </c>
      <c r="M4466">
        <f t="shared" si="629"/>
        <v>30</v>
      </c>
      <c r="N4466" t="str">
        <f>TEXT(MTDRejection[[#This Row],[RejectionDate]],"dddd")</f>
        <v>Monday</v>
      </c>
    </row>
    <row r="4467" spans="1:14">
      <c r="A4467" t="s">
        <v>142</v>
      </c>
      <c r="B4467" t="s">
        <v>6503</v>
      </c>
      <c r="C4467" t="s">
        <v>49</v>
      </c>
      <c r="D4467" t="s">
        <v>26</v>
      </c>
      <c r="E4467" s="7">
        <v>45656</v>
      </c>
      <c r="F4467" t="s">
        <v>118</v>
      </c>
      <c r="G4467">
        <v>0</v>
      </c>
      <c r="H4467" t="s">
        <v>22</v>
      </c>
      <c r="I4467" t="s">
        <v>16</v>
      </c>
      <c r="J4467" t="s">
        <v>16</v>
      </c>
      <c r="K4467" t="s">
        <v>50</v>
      </c>
      <c r="L4467">
        <v>0</v>
      </c>
      <c r="M4467">
        <f t="shared" si="629"/>
        <v>30</v>
      </c>
      <c r="N4467" t="str">
        <f>TEXT(MTDRejection[[#This Row],[RejectionDate]],"dddd")</f>
        <v>Monday</v>
      </c>
    </row>
    <row r="4468" spans="1:14">
      <c r="A4468" t="s">
        <v>142</v>
      </c>
      <c r="B4468" t="s">
        <v>6504</v>
      </c>
      <c r="C4468" t="s">
        <v>49</v>
      </c>
      <c r="D4468" t="s">
        <v>26</v>
      </c>
      <c r="E4468" s="7">
        <v>45656</v>
      </c>
      <c r="F4468" t="s">
        <v>118</v>
      </c>
      <c r="G4468">
        <v>0</v>
      </c>
      <c r="H4468" t="s">
        <v>95</v>
      </c>
      <c r="I4468" t="s">
        <v>16</v>
      </c>
      <c r="J4468" t="s">
        <v>16</v>
      </c>
      <c r="K4468" t="s">
        <v>50</v>
      </c>
      <c r="L4468">
        <v>0</v>
      </c>
      <c r="M4468">
        <f t="shared" si="629"/>
        <v>30</v>
      </c>
      <c r="N4468" t="str">
        <f>TEXT(MTDRejection[[#This Row],[RejectionDate]],"dddd")</f>
        <v>Monday</v>
      </c>
    </row>
    <row r="4469" spans="1:14">
      <c r="A4469" t="s">
        <v>142</v>
      </c>
      <c r="B4469" t="s">
        <v>6505</v>
      </c>
      <c r="C4469" t="s">
        <v>49</v>
      </c>
      <c r="D4469" t="s">
        <v>26</v>
      </c>
      <c r="E4469" s="7">
        <v>45656</v>
      </c>
      <c r="F4469" t="s">
        <v>118</v>
      </c>
      <c r="G4469">
        <v>0</v>
      </c>
      <c r="H4469" t="s">
        <v>27</v>
      </c>
      <c r="I4469" t="s">
        <v>16</v>
      </c>
      <c r="J4469" t="s">
        <v>16</v>
      </c>
      <c r="K4469" t="s">
        <v>50</v>
      </c>
      <c r="L4469">
        <v>0</v>
      </c>
      <c r="M4469">
        <f t="shared" si="629"/>
        <v>30</v>
      </c>
      <c r="N4469" t="str">
        <f>TEXT(MTDRejection[[#This Row],[RejectionDate]],"dddd")</f>
        <v>Monday</v>
      </c>
    </row>
    <row r="4470" spans="1:14">
      <c r="A4470" t="s">
        <v>142</v>
      </c>
      <c r="B4470" t="s">
        <v>6506</v>
      </c>
      <c r="C4470" t="s">
        <v>49</v>
      </c>
      <c r="D4470" t="s">
        <v>26</v>
      </c>
      <c r="E4470" s="7">
        <v>45656</v>
      </c>
      <c r="F4470" t="s">
        <v>118</v>
      </c>
      <c r="G4470">
        <v>0</v>
      </c>
      <c r="H4470" t="s">
        <v>27</v>
      </c>
      <c r="I4470" t="s">
        <v>16</v>
      </c>
      <c r="J4470" t="s">
        <v>16</v>
      </c>
      <c r="K4470" t="s">
        <v>50</v>
      </c>
      <c r="L4470">
        <v>0</v>
      </c>
      <c r="M4470">
        <f t="shared" si="629"/>
        <v>30</v>
      </c>
      <c r="N4470" t="str">
        <f>TEXT(MTDRejection[[#This Row],[RejectionDate]],"dddd")</f>
        <v>Monday</v>
      </c>
    </row>
    <row r="4471" spans="1:14">
      <c r="A4471" t="s">
        <v>142</v>
      </c>
      <c r="B4471" t="s">
        <v>6507</v>
      </c>
      <c r="C4471" t="s">
        <v>49</v>
      </c>
      <c r="D4471" t="s">
        <v>26</v>
      </c>
      <c r="E4471" s="7">
        <v>45656</v>
      </c>
      <c r="F4471" t="s">
        <v>118</v>
      </c>
      <c r="G4471">
        <v>0</v>
      </c>
      <c r="H4471" t="s">
        <v>22</v>
      </c>
      <c r="I4471" t="s">
        <v>16</v>
      </c>
      <c r="J4471" t="s">
        <v>16</v>
      </c>
      <c r="K4471" t="s">
        <v>50</v>
      </c>
      <c r="L4471">
        <v>0</v>
      </c>
      <c r="M4471">
        <f t="shared" si="629"/>
        <v>30</v>
      </c>
      <c r="N4471" t="str">
        <f>TEXT(MTDRejection[[#This Row],[RejectionDate]],"dddd")</f>
        <v>Monday</v>
      </c>
    </row>
    <row r="4472" spans="1:14">
      <c r="A4472" t="s">
        <v>142</v>
      </c>
      <c r="B4472" t="s">
        <v>6508</v>
      </c>
      <c r="C4472" t="s">
        <v>49</v>
      </c>
      <c r="D4472" t="s">
        <v>26</v>
      </c>
      <c r="E4472" s="7">
        <v>45656</v>
      </c>
      <c r="F4472" t="s">
        <v>118</v>
      </c>
      <c r="G4472">
        <v>0</v>
      </c>
      <c r="H4472" t="s">
        <v>22</v>
      </c>
      <c r="I4472" t="s">
        <v>16</v>
      </c>
      <c r="J4472" t="s">
        <v>16</v>
      </c>
      <c r="K4472" t="s">
        <v>50</v>
      </c>
      <c r="L4472">
        <v>0</v>
      </c>
      <c r="M4472">
        <f t="shared" si="629"/>
        <v>30</v>
      </c>
      <c r="N4472" t="str">
        <f>TEXT(MTDRejection[[#This Row],[RejectionDate]],"dddd")</f>
        <v>Monday</v>
      </c>
    </row>
    <row r="4473" spans="1:14">
      <c r="A4473" t="s">
        <v>142</v>
      </c>
      <c r="B4473" t="s">
        <v>6509</v>
      </c>
      <c r="C4473" t="s">
        <v>49</v>
      </c>
      <c r="D4473" t="s">
        <v>26</v>
      </c>
      <c r="E4473" s="7">
        <v>45656</v>
      </c>
      <c r="F4473" t="s">
        <v>118</v>
      </c>
      <c r="G4473">
        <v>0</v>
      </c>
      <c r="H4473" t="s">
        <v>22</v>
      </c>
      <c r="I4473" t="s">
        <v>16</v>
      </c>
      <c r="J4473" t="s">
        <v>16</v>
      </c>
      <c r="K4473" t="s">
        <v>50</v>
      </c>
      <c r="L4473">
        <v>0</v>
      </c>
      <c r="M4473">
        <f t="shared" si="629"/>
        <v>30</v>
      </c>
      <c r="N4473" t="str">
        <f>TEXT(MTDRejection[[#This Row],[RejectionDate]],"dddd")</f>
        <v>Monday</v>
      </c>
    </row>
    <row r="4474" spans="1:14">
      <c r="A4474" t="s">
        <v>180</v>
      </c>
      <c r="B4474" t="s">
        <v>6510</v>
      </c>
      <c r="C4474" t="s">
        <v>54</v>
      </c>
      <c r="D4474" t="s">
        <v>13</v>
      </c>
      <c r="E4474" s="7">
        <v>45656</v>
      </c>
      <c r="F4474" t="s">
        <v>2343</v>
      </c>
      <c r="G4474">
        <v>0</v>
      </c>
      <c r="H4474" t="s">
        <v>15</v>
      </c>
      <c r="I4474" t="s">
        <v>16</v>
      </c>
      <c r="J4474" t="s">
        <v>16</v>
      </c>
      <c r="K4474" t="s">
        <v>2047</v>
      </c>
      <c r="L4474">
        <v>0</v>
      </c>
      <c r="M4474">
        <f t="shared" ref="M4474:M4485" si="630">DAY(E4474)</f>
        <v>30</v>
      </c>
      <c r="N4474" t="str">
        <f>TEXT(MTDRejection[[#This Row],[RejectionDate]],"dddd")</f>
        <v>Monday</v>
      </c>
    </row>
    <row r="4475" spans="1:14">
      <c r="A4475" t="s">
        <v>419</v>
      </c>
      <c r="B4475" t="s">
        <v>6511</v>
      </c>
      <c r="C4475" t="s">
        <v>25</v>
      </c>
      <c r="D4475" t="s">
        <v>20</v>
      </c>
      <c r="E4475" s="7">
        <v>45656</v>
      </c>
      <c r="F4475" t="s">
        <v>273</v>
      </c>
      <c r="G4475">
        <v>0</v>
      </c>
      <c r="H4475" t="s">
        <v>27</v>
      </c>
      <c r="I4475" t="s">
        <v>16</v>
      </c>
      <c r="J4475" t="s">
        <v>16</v>
      </c>
      <c r="K4475" t="s">
        <v>2045</v>
      </c>
      <c r="L4475">
        <v>0</v>
      </c>
      <c r="M4475">
        <f t="shared" si="630"/>
        <v>30</v>
      </c>
      <c r="N4475" t="str">
        <f>TEXT(MTDRejection[[#This Row],[RejectionDate]],"dddd")</f>
        <v>Monday</v>
      </c>
    </row>
    <row r="4476" spans="1:14">
      <c r="A4476" t="s">
        <v>419</v>
      </c>
      <c r="B4476" t="s">
        <v>6512</v>
      </c>
      <c r="C4476" t="s">
        <v>25</v>
      </c>
      <c r="D4476" t="s">
        <v>20</v>
      </c>
      <c r="E4476" s="7">
        <v>45656</v>
      </c>
      <c r="F4476" t="s">
        <v>273</v>
      </c>
      <c r="G4476">
        <v>0</v>
      </c>
      <c r="H4476" t="s">
        <v>22</v>
      </c>
      <c r="I4476" t="s">
        <v>16</v>
      </c>
      <c r="J4476" t="s">
        <v>16</v>
      </c>
      <c r="K4476" t="s">
        <v>2045</v>
      </c>
      <c r="L4476">
        <v>0</v>
      </c>
      <c r="M4476">
        <f t="shared" si="630"/>
        <v>30</v>
      </c>
      <c r="N4476" t="str">
        <f>TEXT(MTDRejection[[#This Row],[RejectionDate]],"dddd")</f>
        <v>Monday</v>
      </c>
    </row>
    <row r="4477" spans="1:14">
      <c r="A4477" t="s">
        <v>360</v>
      </c>
      <c r="B4477" t="s">
        <v>6513</v>
      </c>
      <c r="C4477" t="s">
        <v>36</v>
      </c>
      <c r="D4477" t="s">
        <v>26</v>
      </c>
      <c r="E4477" s="7">
        <v>45656</v>
      </c>
      <c r="F4477" t="s">
        <v>325</v>
      </c>
      <c r="G4477">
        <v>0</v>
      </c>
      <c r="H4477" t="s">
        <v>27</v>
      </c>
      <c r="I4477" t="s">
        <v>16</v>
      </c>
      <c r="J4477" t="s">
        <v>16</v>
      </c>
      <c r="K4477" t="s">
        <v>2046</v>
      </c>
      <c r="L4477">
        <v>0</v>
      </c>
      <c r="M4477">
        <f t="shared" si="630"/>
        <v>30</v>
      </c>
      <c r="N4477" t="str">
        <f>TEXT(MTDRejection[[#This Row],[RejectionDate]],"dddd")</f>
        <v>Monday</v>
      </c>
    </row>
    <row r="4478" spans="1:14">
      <c r="A4478" t="s">
        <v>360</v>
      </c>
      <c r="B4478" t="s">
        <v>6514</v>
      </c>
      <c r="C4478" t="s">
        <v>125</v>
      </c>
      <c r="D4478" t="s">
        <v>26</v>
      </c>
      <c r="E4478" s="7">
        <v>45656</v>
      </c>
      <c r="F4478" t="s">
        <v>325</v>
      </c>
      <c r="G4478">
        <v>0</v>
      </c>
      <c r="H4478" t="s">
        <v>27</v>
      </c>
      <c r="I4478" t="s">
        <v>16</v>
      </c>
      <c r="J4478" t="s">
        <v>16</v>
      </c>
      <c r="K4478" t="s">
        <v>2046</v>
      </c>
      <c r="L4478">
        <v>0</v>
      </c>
      <c r="M4478">
        <f t="shared" si="630"/>
        <v>30</v>
      </c>
      <c r="N4478" t="str">
        <f>TEXT(MTDRejection[[#This Row],[RejectionDate]],"dddd")</f>
        <v>Monday</v>
      </c>
    </row>
    <row r="4479" spans="1:14">
      <c r="A4479" t="s">
        <v>96</v>
      </c>
      <c r="B4479" t="s">
        <v>6515</v>
      </c>
      <c r="C4479" t="s">
        <v>54</v>
      </c>
      <c r="D4479" t="s">
        <v>51</v>
      </c>
      <c r="E4479" s="7">
        <v>45656</v>
      </c>
      <c r="F4479" t="s">
        <v>555</v>
      </c>
      <c r="G4479">
        <v>0</v>
      </c>
      <c r="H4479" t="s">
        <v>53</v>
      </c>
      <c r="I4479" t="s">
        <v>16</v>
      </c>
      <c r="J4479" t="s">
        <v>16</v>
      </c>
      <c r="K4479" t="s">
        <v>2047</v>
      </c>
      <c r="L4479">
        <v>0</v>
      </c>
      <c r="M4479">
        <f t="shared" si="630"/>
        <v>30</v>
      </c>
      <c r="N4479" t="str">
        <f>TEXT(MTDRejection[[#This Row],[RejectionDate]],"dddd")</f>
        <v>Monday</v>
      </c>
    </row>
    <row r="4480" spans="1:14">
      <c r="A4480" t="s">
        <v>81</v>
      </c>
      <c r="B4480" t="s">
        <v>6516</v>
      </c>
      <c r="C4480" t="s">
        <v>12</v>
      </c>
      <c r="D4480" t="s">
        <v>38</v>
      </c>
      <c r="E4480" s="7">
        <v>45656</v>
      </c>
      <c r="F4480" t="s">
        <v>39</v>
      </c>
      <c r="G4480">
        <v>0</v>
      </c>
      <c r="H4480" t="s">
        <v>42</v>
      </c>
      <c r="I4480" t="s">
        <v>16</v>
      </c>
      <c r="J4480" t="s">
        <v>16</v>
      </c>
      <c r="K4480" t="s">
        <v>2046</v>
      </c>
      <c r="L4480">
        <v>0</v>
      </c>
      <c r="M4480">
        <f t="shared" si="630"/>
        <v>30</v>
      </c>
      <c r="N4480" t="str">
        <f>TEXT(MTDRejection[[#This Row],[RejectionDate]],"dddd")</f>
        <v>Monday</v>
      </c>
    </row>
    <row r="4481" spans="1:14">
      <c r="A4481" t="s">
        <v>306</v>
      </c>
      <c r="B4481" t="s">
        <v>2589</v>
      </c>
      <c r="C4481" t="s">
        <v>56</v>
      </c>
      <c r="D4481" t="s">
        <v>13</v>
      </c>
      <c r="E4481" s="7">
        <v>45656</v>
      </c>
      <c r="F4481" t="s">
        <v>844</v>
      </c>
      <c r="G4481">
        <v>0</v>
      </c>
      <c r="H4481" t="s">
        <v>15</v>
      </c>
      <c r="I4481" t="s">
        <v>16</v>
      </c>
      <c r="J4481" t="s">
        <v>16</v>
      </c>
      <c r="K4481" t="s">
        <v>57</v>
      </c>
      <c r="L4481">
        <v>0</v>
      </c>
      <c r="M4481">
        <f t="shared" si="630"/>
        <v>30</v>
      </c>
      <c r="N4481" t="str">
        <f>TEXT(MTDRejection[[#This Row],[RejectionDate]],"dddd")</f>
        <v>Monday</v>
      </c>
    </row>
    <row r="4482" spans="1:14">
      <c r="A4482" t="s">
        <v>263</v>
      </c>
      <c r="B4482" t="s">
        <v>6517</v>
      </c>
      <c r="C4482" t="s">
        <v>36</v>
      </c>
      <c r="D4482" t="s">
        <v>26</v>
      </c>
      <c r="E4482" s="7">
        <v>45656</v>
      </c>
      <c r="F4482" t="s">
        <v>311</v>
      </c>
      <c r="G4482">
        <v>0</v>
      </c>
      <c r="H4482" t="s">
        <v>27</v>
      </c>
      <c r="I4482" t="s">
        <v>16</v>
      </c>
      <c r="J4482" t="s">
        <v>16</v>
      </c>
      <c r="K4482" t="s">
        <v>2046</v>
      </c>
      <c r="L4482">
        <v>0</v>
      </c>
      <c r="M4482">
        <f t="shared" si="630"/>
        <v>30</v>
      </c>
      <c r="N4482" t="str">
        <f>TEXT(MTDRejection[[#This Row],[RejectionDate]],"dddd")</f>
        <v>Monday</v>
      </c>
    </row>
    <row r="4483" spans="1:14">
      <c r="A4483" t="s">
        <v>142</v>
      </c>
      <c r="B4483" t="s">
        <v>6518</v>
      </c>
      <c r="C4483" t="s">
        <v>54</v>
      </c>
      <c r="D4483" t="s">
        <v>13</v>
      </c>
      <c r="E4483" s="7">
        <v>45656</v>
      </c>
      <c r="F4483" t="s">
        <v>98</v>
      </c>
      <c r="G4483">
        <v>0</v>
      </c>
      <c r="H4483" t="s">
        <v>15</v>
      </c>
      <c r="I4483" t="s">
        <v>16</v>
      </c>
      <c r="J4483" t="s">
        <v>16</v>
      </c>
      <c r="K4483" t="s">
        <v>2047</v>
      </c>
      <c r="L4483">
        <v>0</v>
      </c>
      <c r="M4483">
        <f t="shared" si="630"/>
        <v>30</v>
      </c>
      <c r="N4483" t="str">
        <f>TEXT(MTDRejection[[#This Row],[RejectionDate]],"dddd")</f>
        <v>Monday</v>
      </c>
    </row>
    <row r="4484" spans="1:14">
      <c r="A4484" t="s">
        <v>84</v>
      </c>
      <c r="B4484" t="s">
        <v>6519</v>
      </c>
      <c r="C4484" t="s">
        <v>12</v>
      </c>
      <c r="D4484" t="s">
        <v>13</v>
      </c>
      <c r="E4484" s="7">
        <v>45656</v>
      </c>
      <c r="F4484" t="s">
        <v>98</v>
      </c>
      <c r="G4484">
        <v>0</v>
      </c>
      <c r="H4484" t="s">
        <v>15</v>
      </c>
      <c r="I4484" t="s">
        <v>16</v>
      </c>
      <c r="J4484" t="s">
        <v>16</v>
      </c>
      <c r="K4484" t="s">
        <v>2046</v>
      </c>
      <c r="L4484">
        <v>0</v>
      </c>
      <c r="M4484">
        <f t="shared" si="630"/>
        <v>30</v>
      </c>
      <c r="N4484" t="str">
        <f>TEXT(MTDRejection[[#This Row],[RejectionDate]],"dddd")</f>
        <v>Monday</v>
      </c>
    </row>
    <row r="4485" spans="1:14">
      <c r="A4485" t="s">
        <v>45</v>
      </c>
      <c r="B4485" t="s">
        <v>6520</v>
      </c>
      <c r="C4485" t="s">
        <v>36</v>
      </c>
      <c r="D4485" t="s">
        <v>26</v>
      </c>
      <c r="E4485" s="7">
        <v>45656</v>
      </c>
      <c r="F4485" t="s">
        <v>2346</v>
      </c>
      <c r="G4485">
        <v>0</v>
      </c>
      <c r="H4485" t="s">
        <v>27</v>
      </c>
      <c r="I4485" t="s">
        <v>16</v>
      </c>
      <c r="J4485" t="s">
        <v>16</v>
      </c>
      <c r="K4485" t="s">
        <v>2046</v>
      </c>
      <c r="L4485">
        <v>0</v>
      </c>
      <c r="M4485">
        <f t="shared" si="630"/>
        <v>30</v>
      </c>
      <c r="N4485" t="str">
        <f>TEXT(MTDRejection[[#This Row],[RejectionDate]],"dddd")</f>
        <v>Monday</v>
      </c>
    </row>
    <row r="4486" spans="1:14">
      <c r="A4486" t="s">
        <v>100</v>
      </c>
      <c r="B4486" t="s">
        <v>6521</v>
      </c>
      <c r="C4486" t="s">
        <v>929</v>
      </c>
      <c r="D4486" t="s">
        <v>13</v>
      </c>
      <c r="E4486" s="7">
        <v>45656</v>
      </c>
      <c r="F4486" t="s">
        <v>1013</v>
      </c>
      <c r="G4486">
        <v>1</v>
      </c>
      <c r="H4486" t="s">
        <v>30</v>
      </c>
      <c r="I4486" t="s">
        <v>16</v>
      </c>
      <c r="J4486" t="s">
        <v>16</v>
      </c>
      <c r="K4486" t="s">
        <v>930</v>
      </c>
      <c r="L4486">
        <v>0</v>
      </c>
      <c r="M4486">
        <f t="shared" ref="M4486:M4517" si="631">DAY(E4486)</f>
        <v>30</v>
      </c>
      <c r="N4486" t="str">
        <f>TEXT(MTDRejection[[#This Row],[RejectionDate]],"dddd")</f>
        <v>Monday</v>
      </c>
    </row>
    <row r="4487" spans="1:14">
      <c r="A4487" t="s">
        <v>45</v>
      </c>
      <c r="B4487" t="s">
        <v>6522</v>
      </c>
      <c r="C4487" t="s">
        <v>54</v>
      </c>
      <c r="D4487" t="s">
        <v>26</v>
      </c>
      <c r="E4487" s="7">
        <v>45656</v>
      </c>
      <c r="F4487" t="s">
        <v>1304</v>
      </c>
      <c r="G4487">
        <v>1</v>
      </c>
      <c r="H4487" t="s">
        <v>95</v>
      </c>
      <c r="I4487" t="s">
        <v>16</v>
      </c>
      <c r="J4487" t="s">
        <v>16</v>
      </c>
      <c r="K4487" t="s">
        <v>2047</v>
      </c>
      <c r="L4487">
        <v>0</v>
      </c>
      <c r="M4487">
        <f t="shared" si="631"/>
        <v>30</v>
      </c>
      <c r="N4487" t="str">
        <f>TEXT(MTDRejection[[#This Row],[RejectionDate]],"dddd")</f>
        <v>Monday</v>
      </c>
    </row>
    <row r="4488" spans="1:14">
      <c r="A4488" t="s">
        <v>912</v>
      </c>
      <c r="B4488" t="s">
        <v>6523</v>
      </c>
      <c r="C4488" t="s">
        <v>12</v>
      </c>
      <c r="D4488" t="s">
        <v>26</v>
      </c>
      <c r="E4488" s="7">
        <v>45656</v>
      </c>
      <c r="F4488" t="s">
        <v>141</v>
      </c>
      <c r="G4488">
        <v>1</v>
      </c>
      <c r="H4488" t="s">
        <v>27</v>
      </c>
      <c r="I4488" t="s">
        <v>16</v>
      </c>
      <c r="J4488" t="s">
        <v>16</v>
      </c>
      <c r="K4488" t="s">
        <v>2046</v>
      </c>
      <c r="L4488">
        <v>0</v>
      </c>
      <c r="M4488">
        <f t="shared" si="631"/>
        <v>30</v>
      </c>
      <c r="N4488" t="str">
        <f>TEXT(MTDRejection[[#This Row],[RejectionDate]],"dddd")</f>
        <v>Monday</v>
      </c>
    </row>
    <row r="4489" spans="1:14">
      <c r="A4489" t="s">
        <v>104</v>
      </c>
      <c r="B4489" t="s">
        <v>6524</v>
      </c>
      <c r="C4489" t="s">
        <v>106</v>
      </c>
      <c r="D4489" t="s">
        <v>26</v>
      </c>
      <c r="E4489" s="7">
        <v>45656</v>
      </c>
      <c r="F4489" t="s">
        <v>294</v>
      </c>
      <c r="G4489">
        <v>1</v>
      </c>
      <c r="H4489" t="s">
        <v>22</v>
      </c>
      <c r="I4489" t="s">
        <v>16</v>
      </c>
      <c r="J4489" t="s">
        <v>16</v>
      </c>
      <c r="K4489" t="s">
        <v>2048</v>
      </c>
      <c r="L4489">
        <v>0</v>
      </c>
      <c r="M4489">
        <f t="shared" si="631"/>
        <v>30</v>
      </c>
      <c r="N4489" t="str">
        <f>TEXT(MTDRejection[[#This Row],[RejectionDate]],"dddd")</f>
        <v>Monday</v>
      </c>
    </row>
    <row r="4490" spans="1:14">
      <c r="A4490" t="s">
        <v>306</v>
      </c>
      <c r="B4490" t="s">
        <v>6525</v>
      </c>
      <c r="C4490" t="s">
        <v>71</v>
      </c>
      <c r="D4490" t="s">
        <v>13</v>
      </c>
      <c r="E4490" s="7">
        <v>45656</v>
      </c>
      <c r="F4490" t="s">
        <v>819</v>
      </c>
      <c r="G4490">
        <v>1</v>
      </c>
      <c r="H4490" t="s">
        <v>15</v>
      </c>
      <c r="I4490" t="s">
        <v>16</v>
      </c>
      <c r="J4490" t="s">
        <v>16</v>
      </c>
      <c r="K4490" t="s">
        <v>50</v>
      </c>
      <c r="L4490">
        <v>0</v>
      </c>
      <c r="M4490">
        <f t="shared" si="631"/>
        <v>30</v>
      </c>
      <c r="N4490" t="str">
        <f>TEXT(MTDRejection[[#This Row],[RejectionDate]],"dddd")</f>
        <v>Monday</v>
      </c>
    </row>
    <row r="4491" spans="1:14">
      <c r="A4491" t="s">
        <v>306</v>
      </c>
      <c r="B4491" t="s">
        <v>6526</v>
      </c>
      <c r="C4491" t="s">
        <v>71</v>
      </c>
      <c r="D4491" t="s">
        <v>38</v>
      </c>
      <c r="E4491" s="7">
        <v>45656</v>
      </c>
      <c r="F4491" t="s">
        <v>108</v>
      </c>
      <c r="G4491">
        <v>1</v>
      </c>
      <c r="H4491" t="s">
        <v>42</v>
      </c>
      <c r="I4491" t="s">
        <v>16</v>
      </c>
      <c r="J4491" t="s">
        <v>16</v>
      </c>
      <c r="K4491" t="s">
        <v>50</v>
      </c>
      <c r="L4491">
        <v>0</v>
      </c>
      <c r="M4491">
        <f t="shared" si="631"/>
        <v>30</v>
      </c>
      <c r="N4491" t="str">
        <f>TEXT(MTDRejection[[#This Row],[RejectionDate]],"dddd")</f>
        <v>Monday</v>
      </c>
    </row>
    <row r="4492" spans="1:14">
      <c r="A4492" t="s">
        <v>116</v>
      </c>
      <c r="B4492" t="s">
        <v>6527</v>
      </c>
      <c r="C4492" t="s">
        <v>56</v>
      </c>
      <c r="D4492" t="s">
        <v>38</v>
      </c>
      <c r="E4492" s="7">
        <v>45656</v>
      </c>
      <c r="F4492" t="s">
        <v>108</v>
      </c>
      <c r="G4492">
        <v>1</v>
      </c>
      <c r="H4492" t="s">
        <v>42</v>
      </c>
      <c r="I4492" t="s">
        <v>16</v>
      </c>
      <c r="J4492" t="s">
        <v>16</v>
      </c>
      <c r="K4492" t="s">
        <v>57</v>
      </c>
      <c r="L4492">
        <v>0</v>
      </c>
      <c r="M4492">
        <f t="shared" si="631"/>
        <v>30</v>
      </c>
      <c r="N4492" t="str">
        <f>TEXT(MTDRejection[[#This Row],[RejectionDate]],"dddd")</f>
        <v>Monday</v>
      </c>
    </row>
    <row r="4493" spans="1:14">
      <c r="A4493" t="s">
        <v>627</v>
      </c>
      <c r="B4493" t="s">
        <v>6528</v>
      </c>
      <c r="C4493" t="s">
        <v>1691</v>
      </c>
      <c r="D4493" t="s">
        <v>38</v>
      </c>
      <c r="E4493" s="7">
        <v>45656</v>
      </c>
      <c r="F4493" t="s">
        <v>108</v>
      </c>
      <c r="G4493">
        <v>1</v>
      </c>
      <c r="H4493" t="s">
        <v>42</v>
      </c>
      <c r="I4493" t="s">
        <v>16</v>
      </c>
      <c r="J4493" t="s">
        <v>16</v>
      </c>
      <c r="K4493" t="s">
        <v>50</v>
      </c>
      <c r="L4493">
        <v>0</v>
      </c>
      <c r="M4493">
        <f t="shared" si="631"/>
        <v>30</v>
      </c>
      <c r="N4493" t="str">
        <f>TEXT(MTDRejection[[#This Row],[RejectionDate]],"dddd")</f>
        <v>Monday</v>
      </c>
    </row>
    <row r="4494" spans="1:14">
      <c r="A4494" t="s">
        <v>216</v>
      </c>
      <c r="B4494" t="s">
        <v>6529</v>
      </c>
      <c r="C4494" t="s">
        <v>1730</v>
      </c>
      <c r="D4494" t="s">
        <v>38</v>
      </c>
      <c r="E4494" s="7">
        <v>45656</v>
      </c>
      <c r="F4494" t="s">
        <v>108</v>
      </c>
      <c r="G4494">
        <v>1</v>
      </c>
      <c r="H4494" t="s">
        <v>42</v>
      </c>
      <c r="I4494" t="s">
        <v>16</v>
      </c>
      <c r="J4494" t="s">
        <v>16</v>
      </c>
      <c r="K4494" t="s">
        <v>57</v>
      </c>
      <c r="L4494">
        <v>0</v>
      </c>
      <c r="M4494">
        <f t="shared" si="631"/>
        <v>30</v>
      </c>
      <c r="N4494" t="str">
        <f>TEXT(MTDRejection[[#This Row],[RejectionDate]],"dddd")</f>
        <v>Monday</v>
      </c>
    </row>
    <row r="4495" spans="1:14">
      <c r="A4495" t="s">
        <v>142</v>
      </c>
      <c r="B4495" t="s">
        <v>6530</v>
      </c>
      <c r="C4495" t="s">
        <v>36</v>
      </c>
      <c r="D4495" t="s">
        <v>26</v>
      </c>
      <c r="E4495" s="7">
        <v>45656</v>
      </c>
      <c r="F4495" t="s">
        <v>2333</v>
      </c>
      <c r="G4495">
        <v>1</v>
      </c>
      <c r="H4495" t="s">
        <v>27</v>
      </c>
      <c r="I4495" t="s">
        <v>16</v>
      </c>
      <c r="J4495" t="s">
        <v>16</v>
      </c>
      <c r="K4495" t="s">
        <v>2046</v>
      </c>
      <c r="L4495">
        <v>0</v>
      </c>
      <c r="M4495">
        <f t="shared" si="631"/>
        <v>30</v>
      </c>
      <c r="N4495" t="str">
        <f>TEXT(MTDRejection[[#This Row],[RejectionDate]],"dddd")</f>
        <v>Monday</v>
      </c>
    </row>
    <row r="4496" spans="1:14">
      <c r="A4496" t="s">
        <v>996</v>
      </c>
      <c r="B4496" t="s">
        <v>2802</v>
      </c>
      <c r="C4496" t="s">
        <v>54</v>
      </c>
      <c r="D4496" t="s">
        <v>26</v>
      </c>
      <c r="E4496" s="7">
        <v>45656</v>
      </c>
      <c r="F4496" t="s">
        <v>535</v>
      </c>
      <c r="G4496">
        <v>1</v>
      </c>
      <c r="H4496" t="s">
        <v>27</v>
      </c>
      <c r="I4496" t="s">
        <v>16</v>
      </c>
      <c r="J4496" t="s">
        <v>16</v>
      </c>
      <c r="K4496" t="s">
        <v>2047</v>
      </c>
      <c r="L4496">
        <v>1</v>
      </c>
      <c r="M4496">
        <f t="shared" si="631"/>
        <v>30</v>
      </c>
      <c r="N4496" t="str">
        <f>TEXT(MTDRejection[[#This Row],[RejectionDate]],"dddd")</f>
        <v>Monday</v>
      </c>
    </row>
    <row r="4497" spans="1:14">
      <c r="A4497" t="s">
        <v>189</v>
      </c>
      <c r="B4497" t="s">
        <v>6531</v>
      </c>
      <c r="C4497" t="s">
        <v>12</v>
      </c>
      <c r="D4497" t="s">
        <v>26</v>
      </c>
      <c r="E4497" s="7">
        <v>45656</v>
      </c>
      <c r="F4497" t="s">
        <v>1139</v>
      </c>
      <c r="G4497">
        <v>1</v>
      </c>
      <c r="H4497" t="s">
        <v>22</v>
      </c>
      <c r="I4497" t="s">
        <v>16</v>
      </c>
      <c r="J4497" t="s">
        <v>16</v>
      </c>
      <c r="K4497" t="s">
        <v>2046</v>
      </c>
      <c r="L4497">
        <v>0</v>
      </c>
      <c r="M4497">
        <f t="shared" si="631"/>
        <v>30</v>
      </c>
      <c r="N4497" t="str">
        <f>TEXT(MTDRejection[[#This Row],[RejectionDate]],"dddd")</f>
        <v>Monday</v>
      </c>
    </row>
    <row r="4498" spans="1:14">
      <c r="A4498" t="s">
        <v>1939</v>
      </c>
      <c r="B4498" t="s">
        <v>6532</v>
      </c>
      <c r="C4498" t="s">
        <v>54</v>
      </c>
      <c r="D4498" t="s">
        <v>26</v>
      </c>
      <c r="E4498" s="7">
        <v>45656</v>
      </c>
      <c r="F4498" t="s">
        <v>94</v>
      </c>
      <c r="G4498">
        <v>1</v>
      </c>
      <c r="H4498" t="s">
        <v>22</v>
      </c>
      <c r="I4498" t="s">
        <v>16</v>
      </c>
      <c r="J4498" t="s">
        <v>16</v>
      </c>
      <c r="K4498" t="s">
        <v>2047</v>
      </c>
      <c r="L4498">
        <v>0</v>
      </c>
      <c r="M4498">
        <f t="shared" si="631"/>
        <v>30</v>
      </c>
      <c r="N4498" t="str">
        <f>TEXT(MTDRejection[[#This Row],[RejectionDate]],"dddd")</f>
        <v>Monday</v>
      </c>
    </row>
    <row r="4499" spans="1:14">
      <c r="A4499" t="s">
        <v>912</v>
      </c>
      <c r="B4499" t="s">
        <v>6533</v>
      </c>
      <c r="C4499" t="s">
        <v>12</v>
      </c>
      <c r="D4499" t="s">
        <v>26</v>
      </c>
      <c r="E4499" s="7">
        <v>45656</v>
      </c>
      <c r="F4499" t="s">
        <v>1139</v>
      </c>
      <c r="G4499">
        <v>1</v>
      </c>
      <c r="H4499" t="s">
        <v>27</v>
      </c>
      <c r="I4499" t="s">
        <v>16</v>
      </c>
      <c r="J4499" t="s">
        <v>16</v>
      </c>
      <c r="K4499" t="s">
        <v>2046</v>
      </c>
      <c r="L4499">
        <v>0</v>
      </c>
      <c r="M4499">
        <f t="shared" si="631"/>
        <v>30</v>
      </c>
      <c r="N4499" t="str">
        <f>TEXT(MTDRejection[[#This Row],[RejectionDate]],"dddd")</f>
        <v>Monday</v>
      </c>
    </row>
    <row r="4500" spans="1:14">
      <c r="A4500" t="s">
        <v>60</v>
      </c>
      <c r="B4500" t="s">
        <v>6534</v>
      </c>
      <c r="C4500" t="s">
        <v>106</v>
      </c>
      <c r="D4500" t="s">
        <v>26</v>
      </c>
      <c r="E4500" s="7">
        <v>45656</v>
      </c>
      <c r="F4500" t="s">
        <v>330</v>
      </c>
      <c r="G4500">
        <v>1</v>
      </c>
      <c r="H4500" t="s">
        <v>290</v>
      </c>
      <c r="I4500" t="s">
        <v>16</v>
      </c>
      <c r="J4500" t="s">
        <v>16</v>
      </c>
      <c r="K4500" t="s">
        <v>2048</v>
      </c>
      <c r="L4500">
        <v>0</v>
      </c>
      <c r="M4500">
        <f t="shared" si="631"/>
        <v>30</v>
      </c>
      <c r="N4500" t="str">
        <f>TEXT(MTDRejection[[#This Row],[RejectionDate]],"dddd")</f>
        <v>Monday</v>
      </c>
    </row>
    <row r="4501" spans="1:14">
      <c r="A4501" t="s">
        <v>60</v>
      </c>
      <c r="B4501" t="s">
        <v>6535</v>
      </c>
      <c r="C4501" t="s">
        <v>106</v>
      </c>
      <c r="D4501" t="s">
        <v>26</v>
      </c>
      <c r="E4501" s="7">
        <v>45656</v>
      </c>
      <c r="F4501" t="s">
        <v>330</v>
      </c>
      <c r="G4501">
        <v>1</v>
      </c>
      <c r="H4501" t="s">
        <v>27</v>
      </c>
      <c r="I4501" t="s">
        <v>16</v>
      </c>
      <c r="J4501" t="s">
        <v>16</v>
      </c>
      <c r="K4501" t="s">
        <v>2048</v>
      </c>
      <c r="L4501">
        <v>1</v>
      </c>
      <c r="M4501">
        <f t="shared" si="631"/>
        <v>30</v>
      </c>
      <c r="N4501" t="str">
        <f>TEXT(MTDRejection[[#This Row],[RejectionDate]],"dddd")</f>
        <v>Monday</v>
      </c>
    </row>
    <row r="4502" spans="1:14">
      <c r="A4502" t="s">
        <v>81</v>
      </c>
      <c r="B4502" t="s">
        <v>4635</v>
      </c>
      <c r="C4502" t="s">
        <v>54</v>
      </c>
      <c r="D4502" t="s">
        <v>26</v>
      </c>
      <c r="E4502" s="7">
        <v>45656</v>
      </c>
      <c r="F4502" t="s">
        <v>103</v>
      </c>
      <c r="G4502">
        <v>1</v>
      </c>
      <c r="H4502" t="s">
        <v>27</v>
      </c>
      <c r="I4502" t="s">
        <v>16</v>
      </c>
      <c r="J4502" t="s">
        <v>16</v>
      </c>
      <c r="K4502" t="s">
        <v>2047</v>
      </c>
      <c r="L4502">
        <v>0</v>
      </c>
      <c r="M4502">
        <f t="shared" si="631"/>
        <v>30</v>
      </c>
      <c r="N4502" t="str">
        <f>TEXT(MTDRejection[[#This Row],[RejectionDate]],"dddd")</f>
        <v>Monday</v>
      </c>
    </row>
    <row r="4503" spans="1:14">
      <c r="A4503" t="s">
        <v>60</v>
      </c>
      <c r="B4503" t="s">
        <v>6534</v>
      </c>
      <c r="C4503" t="s">
        <v>220</v>
      </c>
      <c r="D4503" t="s">
        <v>26</v>
      </c>
      <c r="E4503" s="7">
        <v>45656</v>
      </c>
      <c r="F4503" t="s">
        <v>330</v>
      </c>
      <c r="G4503">
        <v>1</v>
      </c>
      <c r="H4503" t="s">
        <v>290</v>
      </c>
      <c r="I4503" t="s">
        <v>16</v>
      </c>
      <c r="J4503" t="s">
        <v>16</v>
      </c>
      <c r="K4503" t="s">
        <v>2048</v>
      </c>
      <c r="L4503">
        <v>0</v>
      </c>
      <c r="M4503">
        <f t="shared" si="631"/>
        <v>30</v>
      </c>
      <c r="N4503" t="str">
        <f>TEXT(MTDRejection[[#This Row],[RejectionDate]],"dddd")</f>
        <v>Monday</v>
      </c>
    </row>
    <row r="4504" spans="1:14">
      <c r="A4504" t="s">
        <v>465</v>
      </c>
      <c r="B4504" t="s">
        <v>6536</v>
      </c>
      <c r="C4504" t="s">
        <v>54</v>
      </c>
      <c r="D4504" t="s">
        <v>26</v>
      </c>
      <c r="E4504" s="7">
        <v>45656</v>
      </c>
      <c r="F4504" t="s">
        <v>538</v>
      </c>
      <c r="G4504">
        <v>1</v>
      </c>
      <c r="H4504" t="s">
        <v>27</v>
      </c>
      <c r="I4504" t="s">
        <v>16</v>
      </c>
      <c r="J4504" t="s">
        <v>16</v>
      </c>
      <c r="K4504" t="s">
        <v>2047</v>
      </c>
      <c r="L4504">
        <v>0</v>
      </c>
      <c r="M4504">
        <f t="shared" si="631"/>
        <v>30</v>
      </c>
      <c r="N4504" t="str">
        <f>TEXT(MTDRejection[[#This Row],[RejectionDate]],"dddd")</f>
        <v>Monday</v>
      </c>
    </row>
    <row r="4505" spans="1:14">
      <c r="A4505" t="s">
        <v>211</v>
      </c>
      <c r="B4505" t="s">
        <v>6537</v>
      </c>
      <c r="C4505" t="s">
        <v>54</v>
      </c>
      <c r="D4505" t="s">
        <v>26</v>
      </c>
      <c r="E4505" s="7">
        <v>45656</v>
      </c>
      <c r="F4505" t="s">
        <v>103</v>
      </c>
      <c r="G4505">
        <v>1</v>
      </c>
      <c r="H4505" t="s">
        <v>27</v>
      </c>
      <c r="I4505" t="s">
        <v>16</v>
      </c>
      <c r="J4505" t="s">
        <v>16</v>
      </c>
      <c r="K4505" t="s">
        <v>2047</v>
      </c>
      <c r="L4505">
        <v>0</v>
      </c>
      <c r="M4505">
        <f t="shared" si="631"/>
        <v>30</v>
      </c>
      <c r="N4505" t="str">
        <f>TEXT(MTDRejection[[#This Row],[RejectionDate]],"dddd")</f>
        <v>Monday</v>
      </c>
    </row>
    <row r="4506" spans="1:14">
      <c r="A4506" t="s">
        <v>137</v>
      </c>
      <c r="B4506" t="s">
        <v>6538</v>
      </c>
      <c r="C4506" t="s">
        <v>12</v>
      </c>
      <c r="D4506" t="s">
        <v>26</v>
      </c>
      <c r="E4506" s="7">
        <v>45656</v>
      </c>
      <c r="F4506" t="s">
        <v>169</v>
      </c>
      <c r="G4506">
        <v>1</v>
      </c>
      <c r="H4506" t="s">
        <v>22</v>
      </c>
      <c r="I4506" t="s">
        <v>16</v>
      </c>
      <c r="J4506" t="s">
        <v>16</v>
      </c>
      <c r="K4506" t="s">
        <v>2046</v>
      </c>
      <c r="L4506">
        <v>0</v>
      </c>
      <c r="M4506">
        <f t="shared" si="631"/>
        <v>30</v>
      </c>
      <c r="N4506" t="str">
        <f>TEXT(MTDRejection[[#This Row],[RejectionDate]],"dddd")</f>
        <v>Monday</v>
      </c>
    </row>
    <row r="4507" spans="1:14">
      <c r="A4507" t="s">
        <v>306</v>
      </c>
      <c r="B4507" t="s">
        <v>6539</v>
      </c>
      <c r="C4507" t="s">
        <v>56</v>
      </c>
      <c r="D4507" t="s">
        <v>13</v>
      </c>
      <c r="E4507" s="7">
        <v>45656</v>
      </c>
      <c r="F4507" t="s">
        <v>1861</v>
      </c>
      <c r="G4507">
        <v>1</v>
      </c>
      <c r="H4507" t="s">
        <v>15</v>
      </c>
      <c r="I4507" t="s">
        <v>16</v>
      </c>
      <c r="J4507" t="s">
        <v>16</v>
      </c>
      <c r="K4507" t="s">
        <v>57</v>
      </c>
      <c r="L4507">
        <v>0</v>
      </c>
      <c r="M4507">
        <f t="shared" si="631"/>
        <v>30</v>
      </c>
      <c r="N4507" t="str">
        <f>TEXT(MTDRejection[[#This Row],[RejectionDate]],"dddd")</f>
        <v>Monday</v>
      </c>
    </row>
    <row r="4508" spans="1:14">
      <c r="A4508" t="s">
        <v>697</v>
      </c>
      <c r="B4508" t="s">
        <v>1941</v>
      </c>
      <c r="C4508" t="s">
        <v>36</v>
      </c>
      <c r="D4508" t="s">
        <v>26</v>
      </c>
      <c r="E4508" s="7">
        <v>45656</v>
      </c>
      <c r="F4508" t="s">
        <v>355</v>
      </c>
      <c r="G4508">
        <v>1</v>
      </c>
      <c r="H4508" t="s">
        <v>27</v>
      </c>
      <c r="I4508" t="s">
        <v>16</v>
      </c>
      <c r="J4508" t="s">
        <v>16</v>
      </c>
      <c r="K4508" t="s">
        <v>2046</v>
      </c>
      <c r="L4508">
        <v>0</v>
      </c>
      <c r="M4508">
        <f t="shared" si="631"/>
        <v>30</v>
      </c>
      <c r="N4508" t="str">
        <f>TEXT(MTDRejection[[#This Row],[RejectionDate]],"dddd")</f>
        <v>Monday</v>
      </c>
    </row>
    <row r="4509" spans="1:14">
      <c r="A4509" t="s">
        <v>1942</v>
      </c>
      <c r="B4509" t="s">
        <v>6540</v>
      </c>
      <c r="C4509" t="s">
        <v>12</v>
      </c>
      <c r="D4509" t="s">
        <v>26</v>
      </c>
      <c r="E4509" s="7">
        <v>45656</v>
      </c>
      <c r="F4509" t="s">
        <v>380</v>
      </c>
      <c r="G4509">
        <v>1</v>
      </c>
      <c r="H4509" t="s">
        <v>27</v>
      </c>
      <c r="I4509" t="s">
        <v>16</v>
      </c>
      <c r="J4509" t="s">
        <v>16</v>
      </c>
      <c r="K4509" t="s">
        <v>2046</v>
      </c>
      <c r="L4509">
        <v>0</v>
      </c>
      <c r="M4509">
        <f t="shared" si="631"/>
        <v>30</v>
      </c>
      <c r="N4509" t="str">
        <f>TEXT(MTDRejection[[#This Row],[RejectionDate]],"dddd")</f>
        <v>Monday</v>
      </c>
    </row>
    <row r="4510" spans="1:14">
      <c r="A4510" t="s">
        <v>45</v>
      </c>
      <c r="B4510" t="s">
        <v>6541</v>
      </c>
      <c r="C4510" t="s">
        <v>12</v>
      </c>
      <c r="D4510" t="s">
        <v>26</v>
      </c>
      <c r="E4510" s="7">
        <v>45656</v>
      </c>
      <c r="F4510" t="s">
        <v>83</v>
      </c>
      <c r="G4510">
        <v>1</v>
      </c>
      <c r="H4510" t="s">
        <v>27</v>
      </c>
      <c r="I4510" t="s">
        <v>16</v>
      </c>
      <c r="J4510" t="s">
        <v>16</v>
      </c>
      <c r="K4510" t="s">
        <v>2046</v>
      </c>
      <c r="L4510">
        <v>0</v>
      </c>
      <c r="M4510">
        <f t="shared" si="631"/>
        <v>30</v>
      </c>
      <c r="N4510" t="str">
        <f>TEXT(MTDRejection[[#This Row],[RejectionDate]],"dddd")</f>
        <v>Monday</v>
      </c>
    </row>
    <row r="4511" spans="1:14">
      <c r="A4511" t="s">
        <v>47</v>
      </c>
      <c r="B4511" t="s">
        <v>6542</v>
      </c>
      <c r="C4511" t="s">
        <v>12</v>
      </c>
      <c r="D4511" t="s">
        <v>26</v>
      </c>
      <c r="E4511" s="7">
        <v>45656</v>
      </c>
      <c r="F4511" t="s">
        <v>182</v>
      </c>
      <c r="G4511">
        <v>1</v>
      </c>
      <c r="H4511" t="s">
        <v>27</v>
      </c>
      <c r="I4511" t="s">
        <v>16</v>
      </c>
      <c r="J4511" t="s">
        <v>16</v>
      </c>
      <c r="K4511" t="s">
        <v>2046</v>
      </c>
      <c r="L4511">
        <v>0</v>
      </c>
      <c r="M4511">
        <f t="shared" si="631"/>
        <v>30</v>
      </c>
      <c r="N4511" t="str">
        <f>TEXT(MTDRejection[[#This Row],[RejectionDate]],"dddd")</f>
        <v>Monday</v>
      </c>
    </row>
    <row r="4512" spans="1:14">
      <c r="A4512" t="s">
        <v>419</v>
      </c>
      <c r="B4512" t="s">
        <v>6543</v>
      </c>
      <c r="C4512" t="s">
        <v>36</v>
      </c>
      <c r="D4512" t="s">
        <v>26</v>
      </c>
      <c r="E4512" s="7">
        <v>45656</v>
      </c>
      <c r="F4512" t="s">
        <v>355</v>
      </c>
      <c r="G4512">
        <v>1</v>
      </c>
      <c r="H4512" t="s">
        <v>27</v>
      </c>
      <c r="I4512" t="s">
        <v>16</v>
      </c>
      <c r="J4512" t="s">
        <v>16</v>
      </c>
      <c r="K4512" t="s">
        <v>2046</v>
      </c>
      <c r="L4512">
        <v>0</v>
      </c>
      <c r="M4512">
        <f t="shared" si="631"/>
        <v>30</v>
      </c>
      <c r="N4512" t="str">
        <f>TEXT(MTDRejection[[#This Row],[RejectionDate]],"dddd")</f>
        <v>Monday</v>
      </c>
    </row>
    <row r="4513" spans="1:14">
      <c r="A4513" t="s">
        <v>404</v>
      </c>
      <c r="B4513" t="s">
        <v>6544</v>
      </c>
      <c r="C4513" t="s">
        <v>12</v>
      </c>
      <c r="D4513" t="s">
        <v>26</v>
      </c>
      <c r="E4513" s="7">
        <v>45656</v>
      </c>
      <c r="F4513" t="s">
        <v>182</v>
      </c>
      <c r="G4513">
        <v>1</v>
      </c>
      <c r="H4513" t="s">
        <v>27</v>
      </c>
      <c r="I4513" t="s">
        <v>16</v>
      </c>
      <c r="J4513" t="s">
        <v>16</v>
      </c>
      <c r="K4513" t="s">
        <v>2046</v>
      </c>
      <c r="L4513">
        <v>0</v>
      </c>
      <c r="M4513">
        <f t="shared" si="631"/>
        <v>30</v>
      </c>
      <c r="N4513" t="str">
        <f>TEXT(MTDRejection[[#This Row],[RejectionDate]],"dddd")</f>
        <v>Monday</v>
      </c>
    </row>
    <row r="4514" spans="1:14">
      <c r="A4514" t="s">
        <v>60</v>
      </c>
      <c r="B4514" t="s">
        <v>6545</v>
      </c>
      <c r="C4514" t="s">
        <v>36</v>
      </c>
      <c r="D4514" t="s">
        <v>26</v>
      </c>
      <c r="E4514" s="7">
        <v>45656</v>
      </c>
      <c r="F4514" t="s">
        <v>1055</v>
      </c>
      <c r="G4514">
        <v>1</v>
      </c>
      <c r="H4514" t="s">
        <v>27</v>
      </c>
      <c r="I4514" t="s">
        <v>16</v>
      </c>
      <c r="J4514" t="s">
        <v>16</v>
      </c>
      <c r="K4514" t="s">
        <v>2046</v>
      </c>
      <c r="L4514">
        <v>0</v>
      </c>
      <c r="M4514">
        <f t="shared" si="631"/>
        <v>30</v>
      </c>
      <c r="N4514" t="str">
        <f>TEXT(MTDRejection[[#This Row],[RejectionDate]],"dddd")</f>
        <v>Monday</v>
      </c>
    </row>
    <row r="4515" spans="1:14">
      <c r="A4515" t="s">
        <v>446</v>
      </c>
      <c r="B4515" t="s">
        <v>6546</v>
      </c>
      <c r="C4515" t="s">
        <v>12</v>
      </c>
      <c r="D4515" t="s">
        <v>51</v>
      </c>
      <c r="E4515" s="7">
        <v>45656</v>
      </c>
      <c r="F4515" t="s">
        <v>52</v>
      </c>
      <c r="G4515">
        <v>1</v>
      </c>
      <c r="H4515" t="s">
        <v>53</v>
      </c>
      <c r="I4515" t="s">
        <v>16</v>
      </c>
      <c r="J4515" t="s">
        <v>16</v>
      </c>
      <c r="K4515" t="s">
        <v>2046</v>
      </c>
      <c r="L4515">
        <v>0</v>
      </c>
      <c r="M4515">
        <f t="shared" si="631"/>
        <v>30</v>
      </c>
      <c r="N4515" t="str">
        <f>TEXT(MTDRejection[[#This Row],[RejectionDate]],"dddd")</f>
        <v>Monday</v>
      </c>
    </row>
    <row r="4516" spans="1:14">
      <c r="A4516" t="s">
        <v>317</v>
      </c>
      <c r="B4516" t="s">
        <v>6547</v>
      </c>
      <c r="C4516" t="s">
        <v>12</v>
      </c>
      <c r="D4516" t="s">
        <v>26</v>
      </c>
      <c r="E4516" s="7">
        <v>45656</v>
      </c>
      <c r="F4516" t="s">
        <v>1055</v>
      </c>
      <c r="G4516">
        <v>1</v>
      </c>
      <c r="H4516" t="s">
        <v>27</v>
      </c>
      <c r="I4516" t="s">
        <v>16</v>
      </c>
      <c r="J4516" t="s">
        <v>16</v>
      </c>
      <c r="K4516" t="s">
        <v>2046</v>
      </c>
      <c r="L4516">
        <v>0</v>
      </c>
      <c r="M4516">
        <f t="shared" si="631"/>
        <v>30</v>
      </c>
      <c r="N4516" t="str">
        <f>TEXT(MTDRejection[[#This Row],[RejectionDate]],"dddd")</f>
        <v>Monday</v>
      </c>
    </row>
    <row r="4517" spans="1:14">
      <c r="A4517" t="s">
        <v>1822</v>
      </c>
      <c r="B4517" t="s">
        <v>6548</v>
      </c>
      <c r="C4517" t="s">
        <v>12</v>
      </c>
      <c r="D4517" t="s">
        <v>26</v>
      </c>
      <c r="E4517" s="7">
        <v>45656</v>
      </c>
      <c r="F4517" t="s">
        <v>1055</v>
      </c>
      <c r="G4517">
        <v>1</v>
      </c>
      <c r="H4517" t="s">
        <v>30</v>
      </c>
      <c r="I4517" t="s">
        <v>16</v>
      </c>
      <c r="J4517" t="s">
        <v>16</v>
      </c>
      <c r="K4517" t="s">
        <v>2046</v>
      </c>
      <c r="L4517">
        <v>0</v>
      </c>
      <c r="M4517">
        <f t="shared" si="631"/>
        <v>30</v>
      </c>
      <c r="N4517" t="str">
        <f>TEXT(MTDRejection[[#This Row],[RejectionDate]],"dddd")</f>
        <v>Monday</v>
      </c>
    </row>
    <row r="4518" spans="1:14">
      <c r="A4518" t="s">
        <v>45</v>
      </c>
      <c r="B4518" t="s">
        <v>2543</v>
      </c>
      <c r="C4518" t="s">
        <v>36</v>
      </c>
      <c r="D4518" t="s">
        <v>26</v>
      </c>
      <c r="E4518" s="7">
        <v>45656</v>
      </c>
      <c r="F4518" t="s">
        <v>224</v>
      </c>
      <c r="G4518">
        <v>1</v>
      </c>
      <c r="H4518" t="s">
        <v>27</v>
      </c>
      <c r="I4518" t="s">
        <v>16</v>
      </c>
      <c r="J4518" t="s">
        <v>16</v>
      </c>
      <c r="K4518" t="s">
        <v>2046</v>
      </c>
      <c r="L4518">
        <v>0</v>
      </c>
      <c r="M4518">
        <f t="shared" ref="M4518:M4535" si="632">DAY(E4518)</f>
        <v>30</v>
      </c>
      <c r="N4518" t="str">
        <f>TEXT(MTDRejection[[#This Row],[RejectionDate]],"dddd")</f>
        <v>Monday</v>
      </c>
    </row>
    <row r="4519" spans="1:14">
      <c r="A4519" t="s">
        <v>627</v>
      </c>
      <c r="B4519" t="s">
        <v>6549</v>
      </c>
      <c r="C4519" t="s">
        <v>12</v>
      </c>
      <c r="D4519" t="s">
        <v>26</v>
      </c>
      <c r="E4519" s="7">
        <v>45656</v>
      </c>
      <c r="F4519" t="s">
        <v>222</v>
      </c>
      <c r="G4519">
        <v>1</v>
      </c>
      <c r="H4519" t="s">
        <v>27</v>
      </c>
      <c r="I4519" t="s">
        <v>16</v>
      </c>
      <c r="J4519" t="s">
        <v>16</v>
      </c>
      <c r="K4519" t="s">
        <v>2046</v>
      </c>
      <c r="L4519">
        <v>0</v>
      </c>
      <c r="M4519">
        <f t="shared" si="632"/>
        <v>30</v>
      </c>
      <c r="N4519" t="str">
        <f>TEXT(MTDRejection[[#This Row],[RejectionDate]],"dddd")</f>
        <v>Monday</v>
      </c>
    </row>
    <row r="4520" spans="1:14">
      <c r="A4520" t="s">
        <v>84</v>
      </c>
      <c r="B4520" t="s">
        <v>6550</v>
      </c>
      <c r="C4520" t="s">
        <v>125</v>
      </c>
      <c r="D4520" t="s">
        <v>13</v>
      </c>
      <c r="E4520" s="7">
        <v>45656</v>
      </c>
      <c r="F4520" t="s">
        <v>1219</v>
      </c>
      <c r="G4520">
        <v>1</v>
      </c>
      <c r="H4520" t="s">
        <v>15</v>
      </c>
      <c r="I4520" t="s">
        <v>16</v>
      </c>
      <c r="J4520" t="s">
        <v>16</v>
      </c>
      <c r="K4520" t="s">
        <v>2046</v>
      </c>
      <c r="L4520">
        <v>0</v>
      </c>
      <c r="M4520">
        <f t="shared" si="632"/>
        <v>30</v>
      </c>
      <c r="N4520" t="str">
        <f>TEXT(MTDRejection[[#This Row],[RejectionDate]],"dddd")</f>
        <v>Monday</v>
      </c>
    </row>
    <row r="4521" spans="1:14">
      <c r="A4521" t="s">
        <v>64</v>
      </c>
      <c r="B4521" t="s">
        <v>6551</v>
      </c>
      <c r="C4521" t="s">
        <v>25</v>
      </c>
      <c r="D4521" t="s">
        <v>26</v>
      </c>
      <c r="E4521" s="7">
        <v>45656</v>
      </c>
      <c r="F4521" t="s">
        <v>66</v>
      </c>
      <c r="G4521">
        <v>1</v>
      </c>
      <c r="H4521" t="s">
        <v>27</v>
      </c>
      <c r="I4521" t="s">
        <v>16</v>
      </c>
      <c r="J4521" t="s">
        <v>16</v>
      </c>
      <c r="K4521" t="s">
        <v>2045</v>
      </c>
      <c r="L4521">
        <v>0</v>
      </c>
      <c r="M4521">
        <f t="shared" si="632"/>
        <v>30</v>
      </c>
      <c r="N4521" t="str">
        <f>TEXT(MTDRejection[[#This Row],[RejectionDate]],"dddd")</f>
        <v>Monday</v>
      </c>
    </row>
    <row r="4522" spans="1:14">
      <c r="A4522" t="s">
        <v>452</v>
      </c>
      <c r="B4522" t="s">
        <v>6552</v>
      </c>
      <c r="C4522" t="s">
        <v>25</v>
      </c>
      <c r="D4522" t="s">
        <v>20</v>
      </c>
      <c r="E4522" s="7">
        <v>45656</v>
      </c>
      <c r="F4522" t="s">
        <v>2330</v>
      </c>
      <c r="G4522">
        <v>1</v>
      </c>
      <c r="H4522" t="s">
        <v>22</v>
      </c>
      <c r="I4522" t="s">
        <v>16</v>
      </c>
      <c r="J4522" t="s">
        <v>16</v>
      </c>
      <c r="K4522" t="s">
        <v>2045</v>
      </c>
      <c r="L4522">
        <v>0</v>
      </c>
      <c r="M4522">
        <f t="shared" si="632"/>
        <v>30</v>
      </c>
      <c r="N4522" t="str">
        <f>TEXT(MTDRejection[[#This Row],[RejectionDate]],"dddd")</f>
        <v>Monday</v>
      </c>
    </row>
    <row r="4523" spans="1:14">
      <c r="A4523" t="s">
        <v>263</v>
      </c>
      <c r="B4523" t="s">
        <v>6553</v>
      </c>
      <c r="C4523" t="s">
        <v>93</v>
      </c>
      <c r="D4523" t="s">
        <v>26</v>
      </c>
      <c r="E4523" s="7">
        <v>45656</v>
      </c>
      <c r="F4523" t="s">
        <v>63</v>
      </c>
      <c r="G4523">
        <v>1</v>
      </c>
      <c r="H4523" t="s">
        <v>22</v>
      </c>
      <c r="I4523" t="s">
        <v>16</v>
      </c>
      <c r="J4523" t="s">
        <v>16</v>
      </c>
      <c r="K4523" t="s">
        <v>2047</v>
      </c>
      <c r="L4523">
        <v>0</v>
      </c>
      <c r="M4523">
        <f t="shared" si="632"/>
        <v>30</v>
      </c>
      <c r="N4523" t="str">
        <f>TEXT(MTDRejection[[#This Row],[RejectionDate]],"dddd")</f>
        <v>Monday</v>
      </c>
    </row>
    <row r="4524" spans="1:14">
      <c r="A4524" t="s">
        <v>84</v>
      </c>
      <c r="B4524" t="s">
        <v>6554</v>
      </c>
      <c r="C4524" t="s">
        <v>19</v>
      </c>
      <c r="D4524" t="s">
        <v>26</v>
      </c>
      <c r="E4524" s="7">
        <v>45656</v>
      </c>
      <c r="F4524" t="s">
        <v>66</v>
      </c>
      <c r="G4524">
        <v>1</v>
      </c>
      <c r="H4524" t="s">
        <v>22</v>
      </c>
      <c r="I4524" t="s">
        <v>16</v>
      </c>
      <c r="J4524" t="s">
        <v>16</v>
      </c>
      <c r="K4524" t="s">
        <v>2045</v>
      </c>
      <c r="L4524">
        <v>1</v>
      </c>
      <c r="M4524">
        <f t="shared" si="632"/>
        <v>30</v>
      </c>
      <c r="N4524" t="str">
        <f>TEXT(MTDRejection[[#This Row],[RejectionDate]],"dddd")</f>
        <v>Monday</v>
      </c>
    </row>
    <row r="4525" spans="1:14">
      <c r="A4525" t="s">
        <v>131</v>
      </c>
      <c r="B4525" t="s">
        <v>6555</v>
      </c>
      <c r="C4525" t="s">
        <v>19</v>
      </c>
      <c r="D4525" t="s">
        <v>20</v>
      </c>
      <c r="E4525" s="7">
        <v>45656</v>
      </c>
      <c r="F4525" t="s">
        <v>2330</v>
      </c>
      <c r="G4525">
        <v>1</v>
      </c>
      <c r="H4525" t="s">
        <v>22</v>
      </c>
      <c r="I4525" t="s">
        <v>16</v>
      </c>
      <c r="J4525" t="s">
        <v>16</v>
      </c>
      <c r="K4525" t="s">
        <v>2045</v>
      </c>
      <c r="L4525">
        <v>0</v>
      </c>
      <c r="M4525">
        <f t="shared" si="632"/>
        <v>30</v>
      </c>
      <c r="N4525" t="str">
        <f>TEXT(MTDRejection[[#This Row],[RejectionDate]],"dddd")</f>
        <v>Monday</v>
      </c>
    </row>
    <row r="4526" spans="1:14">
      <c r="A4526" t="s">
        <v>142</v>
      </c>
      <c r="B4526" t="s">
        <v>6556</v>
      </c>
      <c r="C4526" t="s">
        <v>19</v>
      </c>
      <c r="D4526" t="s">
        <v>26</v>
      </c>
      <c r="E4526" s="7">
        <v>45656</v>
      </c>
      <c r="F4526" t="s">
        <v>66</v>
      </c>
      <c r="G4526">
        <v>1</v>
      </c>
      <c r="H4526" t="s">
        <v>30</v>
      </c>
      <c r="I4526" t="s">
        <v>16</v>
      </c>
      <c r="J4526" t="s">
        <v>16</v>
      </c>
      <c r="K4526" t="s">
        <v>2045</v>
      </c>
      <c r="L4526">
        <v>1</v>
      </c>
      <c r="M4526">
        <f t="shared" si="632"/>
        <v>30</v>
      </c>
      <c r="N4526" t="str">
        <f>TEXT(MTDRejection[[#This Row],[RejectionDate]],"dddd")</f>
        <v>Monday</v>
      </c>
    </row>
    <row r="4527" spans="1:14">
      <c r="A4527" t="s">
        <v>119</v>
      </c>
      <c r="B4527" t="s">
        <v>6557</v>
      </c>
      <c r="C4527" t="s">
        <v>25</v>
      </c>
      <c r="D4527" t="s">
        <v>20</v>
      </c>
      <c r="E4527" s="7">
        <v>45656</v>
      </c>
      <c r="F4527" t="s">
        <v>2330</v>
      </c>
      <c r="G4527">
        <v>1</v>
      </c>
      <c r="H4527" t="s">
        <v>27</v>
      </c>
      <c r="I4527" t="s">
        <v>16</v>
      </c>
      <c r="J4527" t="s">
        <v>16</v>
      </c>
      <c r="K4527" t="s">
        <v>2045</v>
      </c>
      <c r="L4527">
        <v>0</v>
      </c>
      <c r="M4527">
        <f t="shared" si="632"/>
        <v>30</v>
      </c>
      <c r="N4527" t="str">
        <f>TEXT(MTDRejection[[#This Row],[RejectionDate]],"dddd")</f>
        <v>Monday</v>
      </c>
    </row>
    <row r="4528" spans="1:14">
      <c r="A4528" t="s">
        <v>1237</v>
      </c>
      <c r="B4528" t="s">
        <v>6558</v>
      </c>
      <c r="C4528" t="s">
        <v>54</v>
      </c>
      <c r="D4528" t="s">
        <v>38</v>
      </c>
      <c r="E4528" s="7">
        <v>45656</v>
      </c>
      <c r="F4528" t="s">
        <v>1776</v>
      </c>
      <c r="G4528">
        <v>1</v>
      </c>
      <c r="H4528" t="s">
        <v>42</v>
      </c>
      <c r="I4528" t="s">
        <v>16</v>
      </c>
      <c r="J4528" t="s">
        <v>16</v>
      </c>
      <c r="K4528" t="s">
        <v>2047</v>
      </c>
      <c r="L4528">
        <v>0</v>
      </c>
      <c r="M4528">
        <f t="shared" si="632"/>
        <v>30</v>
      </c>
      <c r="N4528" t="str">
        <f>TEXT(MTDRejection[[#This Row],[RejectionDate]],"dddd")</f>
        <v>Monday</v>
      </c>
    </row>
    <row r="4529" spans="1:14">
      <c r="A4529" t="s">
        <v>306</v>
      </c>
      <c r="B4529" t="s">
        <v>6559</v>
      </c>
      <c r="C4529" t="s">
        <v>12</v>
      </c>
      <c r="D4529" t="s">
        <v>38</v>
      </c>
      <c r="E4529" s="7">
        <v>45656</v>
      </c>
      <c r="F4529" t="s">
        <v>39</v>
      </c>
      <c r="G4529">
        <v>1</v>
      </c>
      <c r="H4529" t="s">
        <v>42</v>
      </c>
      <c r="I4529" t="s">
        <v>16</v>
      </c>
      <c r="J4529" t="s">
        <v>16</v>
      </c>
      <c r="K4529" t="s">
        <v>2046</v>
      </c>
      <c r="L4529">
        <v>0</v>
      </c>
      <c r="M4529">
        <f t="shared" si="632"/>
        <v>30</v>
      </c>
      <c r="N4529" t="str">
        <f>TEXT(MTDRejection[[#This Row],[RejectionDate]],"dddd")</f>
        <v>Monday</v>
      </c>
    </row>
    <row r="4530" spans="1:14">
      <c r="A4530" t="s">
        <v>599</v>
      </c>
      <c r="B4530" t="s">
        <v>6560</v>
      </c>
      <c r="C4530" t="s">
        <v>36</v>
      </c>
      <c r="D4530" t="s">
        <v>26</v>
      </c>
      <c r="E4530" s="7">
        <v>45656</v>
      </c>
      <c r="F4530" t="s">
        <v>675</v>
      </c>
      <c r="G4530">
        <v>1</v>
      </c>
      <c r="H4530" t="s">
        <v>27</v>
      </c>
      <c r="I4530" t="s">
        <v>16</v>
      </c>
      <c r="J4530" t="s">
        <v>16</v>
      </c>
      <c r="K4530" t="s">
        <v>2046</v>
      </c>
      <c r="L4530">
        <v>0</v>
      </c>
      <c r="M4530">
        <f t="shared" si="632"/>
        <v>30</v>
      </c>
      <c r="N4530" t="str">
        <f>TEXT(MTDRejection[[#This Row],[RejectionDate]],"dddd")</f>
        <v>Monday</v>
      </c>
    </row>
    <row r="4531" spans="1:14">
      <c r="A4531" t="s">
        <v>599</v>
      </c>
      <c r="B4531" t="s">
        <v>6561</v>
      </c>
      <c r="C4531" t="s">
        <v>54</v>
      </c>
      <c r="D4531" t="s">
        <v>51</v>
      </c>
      <c r="E4531" s="7">
        <v>45656</v>
      </c>
      <c r="F4531" t="s">
        <v>555</v>
      </c>
      <c r="G4531">
        <v>1</v>
      </c>
      <c r="H4531" t="s">
        <v>53</v>
      </c>
      <c r="I4531" t="s">
        <v>16</v>
      </c>
      <c r="J4531" t="s">
        <v>16</v>
      </c>
      <c r="K4531" t="s">
        <v>2047</v>
      </c>
      <c r="L4531">
        <v>0</v>
      </c>
      <c r="M4531">
        <f t="shared" si="632"/>
        <v>30</v>
      </c>
      <c r="N4531" t="str">
        <f>TEXT(MTDRejection[[#This Row],[RejectionDate]],"dddd")</f>
        <v>Monday</v>
      </c>
    </row>
    <row r="4532" spans="1:14">
      <c r="A4532" t="s">
        <v>84</v>
      </c>
      <c r="B4532" t="s">
        <v>6562</v>
      </c>
      <c r="C4532" t="s">
        <v>54</v>
      </c>
      <c r="D4532" t="s">
        <v>51</v>
      </c>
      <c r="E4532" s="7">
        <v>45656</v>
      </c>
      <c r="F4532" t="s">
        <v>555</v>
      </c>
      <c r="G4532">
        <v>1</v>
      </c>
      <c r="H4532" t="s">
        <v>53</v>
      </c>
      <c r="I4532" t="s">
        <v>16</v>
      </c>
      <c r="J4532" t="s">
        <v>16</v>
      </c>
      <c r="K4532" t="s">
        <v>2047</v>
      </c>
      <c r="L4532">
        <v>0</v>
      </c>
      <c r="M4532">
        <f t="shared" si="632"/>
        <v>30</v>
      </c>
      <c r="N4532" t="str">
        <f>TEXT(MTDRejection[[#This Row],[RejectionDate]],"dddd")</f>
        <v>Monday</v>
      </c>
    </row>
    <row r="4533" spans="1:14">
      <c r="A4533" t="s">
        <v>176</v>
      </c>
      <c r="B4533" t="s">
        <v>6563</v>
      </c>
      <c r="C4533" t="s">
        <v>54</v>
      </c>
      <c r="D4533" t="s">
        <v>26</v>
      </c>
      <c r="E4533" s="7">
        <v>45656</v>
      </c>
      <c r="F4533" t="s">
        <v>458</v>
      </c>
      <c r="G4533">
        <v>1</v>
      </c>
      <c r="H4533" t="s">
        <v>27</v>
      </c>
      <c r="I4533" t="s">
        <v>16</v>
      </c>
      <c r="J4533" t="s">
        <v>16</v>
      </c>
      <c r="K4533" t="s">
        <v>2047</v>
      </c>
      <c r="L4533">
        <v>0</v>
      </c>
      <c r="M4533">
        <f t="shared" si="632"/>
        <v>30</v>
      </c>
      <c r="N4533" t="str">
        <f>TEXT(MTDRejection[[#This Row],[RejectionDate]],"dddd")</f>
        <v>Monday</v>
      </c>
    </row>
    <row r="4534" spans="1:14">
      <c r="A4534" t="s">
        <v>160</v>
      </c>
      <c r="B4534" t="s">
        <v>6564</v>
      </c>
      <c r="C4534" t="s">
        <v>36</v>
      </c>
      <c r="D4534" t="s">
        <v>26</v>
      </c>
      <c r="E4534" s="7">
        <v>45656</v>
      </c>
      <c r="F4534" t="s">
        <v>675</v>
      </c>
      <c r="G4534">
        <v>1</v>
      </c>
      <c r="H4534" t="s">
        <v>27</v>
      </c>
      <c r="I4534" t="s">
        <v>16</v>
      </c>
      <c r="J4534" t="s">
        <v>16</v>
      </c>
      <c r="K4534" t="s">
        <v>2046</v>
      </c>
      <c r="L4534">
        <v>0</v>
      </c>
      <c r="M4534">
        <f t="shared" si="632"/>
        <v>30</v>
      </c>
      <c r="N4534" t="str">
        <f>TEXT(MTDRejection[[#This Row],[RejectionDate]],"dddd")</f>
        <v>Monday</v>
      </c>
    </row>
    <row r="4535" spans="1:14">
      <c r="A4535" t="s">
        <v>160</v>
      </c>
      <c r="B4535" t="s">
        <v>6565</v>
      </c>
      <c r="C4535" t="s">
        <v>19</v>
      </c>
      <c r="D4535" t="s">
        <v>26</v>
      </c>
      <c r="E4535" s="7">
        <v>45656</v>
      </c>
      <c r="F4535" t="s">
        <v>2327</v>
      </c>
      <c r="G4535">
        <v>1</v>
      </c>
      <c r="H4535" t="s">
        <v>27</v>
      </c>
      <c r="I4535" t="s">
        <v>16</v>
      </c>
      <c r="J4535" t="s">
        <v>16</v>
      </c>
      <c r="K4535" t="s">
        <v>2045</v>
      </c>
      <c r="L4535">
        <v>0</v>
      </c>
      <c r="M4535">
        <f t="shared" si="632"/>
        <v>30</v>
      </c>
      <c r="N4535" t="str">
        <f>TEXT(MTDRejection[[#This Row],[RejectionDate]],"dddd")</f>
        <v>Monday</v>
      </c>
    </row>
    <row r="4536" spans="1:14">
      <c r="A4536" t="s">
        <v>100</v>
      </c>
      <c r="B4536" t="s">
        <v>6566</v>
      </c>
      <c r="C4536" t="s">
        <v>102</v>
      </c>
      <c r="D4536" t="s">
        <v>13</v>
      </c>
      <c r="E4536" s="7">
        <v>45656</v>
      </c>
      <c r="F4536" t="s">
        <v>1219</v>
      </c>
      <c r="G4536">
        <v>1</v>
      </c>
      <c r="H4536" t="s">
        <v>505</v>
      </c>
      <c r="I4536" t="s">
        <v>16</v>
      </c>
      <c r="J4536" t="s">
        <v>16</v>
      </c>
      <c r="K4536" t="s">
        <v>2047</v>
      </c>
      <c r="L4536">
        <v>0</v>
      </c>
      <c r="M4536">
        <f>DAY(E4536)</f>
        <v>30</v>
      </c>
      <c r="N4536" t="str">
        <f>TEXT(MTDRejection[[#This Row],[RejectionDate]],"dddd")</f>
        <v>Monday</v>
      </c>
    </row>
    <row r="4537" spans="1:14">
      <c r="A4537" t="s">
        <v>100</v>
      </c>
      <c r="B4537" t="s">
        <v>6567</v>
      </c>
      <c r="C4537" t="s">
        <v>775</v>
      </c>
      <c r="D4537" t="s">
        <v>26</v>
      </c>
      <c r="E4537" s="7">
        <v>45656</v>
      </c>
      <c r="F4537" t="s">
        <v>380</v>
      </c>
      <c r="G4537">
        <v>1</v>
      </c>
      <c r="H4537" t="s">
        <v>22</v>
      </c>
      <c r="I4537" t="s">
        <v>16</v>
      </c>
      <c r="J4537" t="s">
        <v>16</v>
      </c>
      <c r="K4537" t="s">
        <v>2046</v>
      </c>
      <c r="L4537">
        <v>0</v>
      </c>
      <c r="M4537">
        <f t="shared" ref="M4537:M4538" si="633">DAY(E4537)</f>
        <v>30</v>
      </c>
      <c r="N4537" t="str">
        <f>TEXT(MTDRejection[[#This Row],[RejectionDate]],"dddd")</f>
        <v>Monday</v>
      </c>
    </row>
    <row r="4538" spans="1:14">
      <c r="A4538" t="s">
        <v>1755</v>
      </c>
      <c r="B4538" t="s">
        <v>6568</v>
      </c>
      <c r="C4538" t="s">
        <v>12</v>
      </c>
      <c r="D4538" t="s">
        <v>26</v>
      </c>
      <c r="E4538" s="7">
        <v>45656</v>
      </c>
      <c r="F4538" t="s">
        <v>1055</v>
      </c>
      <c r="G4538">
        <v>1</v>
      </c>
      <c r="H4538" t="s">
        <v>22</v>
      </c>
      <c r="I4538" t="s">
        <v>16</v>
      </c>
      <c r="J4538" t="s">
        <v>16</v>
      </c>
      <c r="K4538" t="s">
        <v>2046</v>
      </c>
      <c r="L4538">
        <v>0</v>
      </c>
      <c r="M4538">
        <f t="shared" si="633"/>
        <v>30</v>
      </c>
      <c r="N4538" t="str">
        <f>TEXT(MTDRejection[[#This Row],[RejectionDate]],"dddd")</f>
        <v>Monday</v>
      </c>
    </row>
    <row r="4539" spans="1:14">
      <c r="A4539" t="s">
        <v>96</v>
      </c>
      <c r="B4539" t="s">
        <v>4598</v>
      </c>
      <c r="C4539" t="s">
        <v>12</v>
      </c>
      <c r="D4539" t="s">
        <v>13</v>
      </c>
      <c r="E4539" s="7">
        <v>45656</v>
      </c>
      <c r="F4539" t="s">
        <v>492</v>
      </c>
      <c r="G4539">
        <v>1</v>
      </c>
      <c r="H4539" t="s">
        <v>15</v>
      </c>
      <c r="I4539" t="s">
        <v>16</v>
      </c>
      <c r="J4539" t="s">
        <v>16</v>
      </c>
      <c r="K4539" t="s">
        <v>2046</v>
      </c>
      <c r="L4539">
        <v>0</v>
      </c>
      <c r="M4539">
        <f>DAY(E4539)</f>
        <v>30</v>
      </c>
      <c r="N4539" t="str">
        <f>TEXT(MTDRejection[[#This Row],[RejectionDate]],"dddd")</f>
        <v>Monday</v>
      </c>
    </row>
    <row r="4540" spans="1:14">
      <c r="A4540" t="s">
        <v>572</v>
      </c>
      <c r="B4540" t="s">
        <v>6569</v>
      </c>
      <c r="C4540" t="s">
        <v>12</v>
      </c>
      <c r="D4540" t="s">
        <v>26</v>
      </c>
      <c r="E4540" s="7">
        <v>45656</v>
      </c>
      <c r="F4540" t="s">
        <v>2335</v>
      </c>
      <c r="G4540">
        <v>2</v>
      </c>
      <c r="H4540" t="s">
        <v>95</v>
      </c>
      <c r="I4540" t="s">
        <v>16</v>
      </c>
      <c r="J4540" t="s">
        <v>16</v>
      </c>
      <c r="K4540" t="s">
        <v>2046</v>
      </c>
      <c r="L4540">
        <v>0</v>
      </c>
      <c r="M4540">
        <f>DAY(E4540)</f>
        <v>30</v>
      </c>
      <c r="N4540" t="str">
        <f>TEXT(MTDRejection[[#This Row],[RejectionDate]],"dddd")</f>
        <v>Monday</v>
      </c>
    </row>
    <row r="4541" spans="1:14">
      <c r="A4541" t="s">
        <v>996</v>
      </c>
      <c r="B4541" t="s">
        <v>6570</v>
      </c>
      <c r="C4541" t="s">
        <v>12</v>
      </c>
      <c r="D4541" t="s">
        <v>26</v>
      </c>
      <c r="E4541" s="7">
        <v>45656</v>
      </c>
      <c r="F4541" t="s">
        <v>37</v>
      </c>
      <c r="G4541">
        <v>2</v>
      </c>
      <c r="H4541" t="s">
        <v>27</v>
      </c>
      <c r="I4541" t="s">
        <v>16</v>
      </c>
      <c r="J4541" t="s">
        <v>16</v>
      </c>
      <c r="K4541" t="s">
        <v>2046</v>
      </c>
      <c r="L4541">
        <v>0</v>
      </c>
      <c r="M4541">
        <f>DAY(E4541)</f>
        <v>30</v>
      </c>
      <c r="N4541" t="str">
        <f>TEXT(MTDRejection[[#This Row],[RejectionDate]],"dddd")</f>
        <v>Monday</v>
      </c>
    </row>
    <row r="4542" spans="1:14">
      <c r="A4542" t="s">
        <v>1455</v>
      </c>
      <c r="B4542" t="s">
        <v>6571</v>
      </c>
      <c r="C4542" t="s">
        <v>36</v>
      </c>
      <c r="D4542" t="s">
        <v>38</v>
      </c>
      <c r="E4542" s="7">
        <v>45656</v>
      </c>
      <c r="F4542" t="s">
        <v>39</v>
      </c>
      <c r="G4542">
        <v>2</v>
      </c>
      <c r="H4542" t="s">
        <v>42</v>
      </c>
      <c r="I4542" t="s">
        <v>16</v>
      </c>
      <c r="J4542" t="s">
        <v>16</v>
      </c>
      <c r="K4542" t="s">
        <v>2046</v>
      </c>
      <c r="L4542">
        <v>0</v>
      </c>
      <c r="M4542">
        <f>DAY(E4542)</f>
        <v>30</v>
      </c>
      <c r="N4542" t="str">
        <f>TEXT(MTDRejection[[#This Row],[RejectionDate]],"dddd")</f>
        <v>Monday</v>
      </c>
    </row>
    <row r="4543" spans="1:14">
      <c r="A4543" t="s">
        <v>100</v>
      </c>
      <c r="B4543" t="s">
        <v>6572</v>
      </c>
      <c r="C4543" t="s">
        <v>357</v>
      </c>
      <c r="D4543" t="s">
        <v>26</v>
      </c>
      <c r="E4543" s="7">
        <v>45656</v>
      </c>
      <c r="F4543" t="s">
        <v>380</v>
      </c>
      <c r="G4543">
        <v>3</v>
      </c>
      <c r="H4543" t="s">
        <v>30</v>
      </c>
      <c r="I4543" t="s">
        <v>16</v>
      </c>
      <c r="J4543" t="s">
        <v>16</v>
      </c>
      <c r="K4543" t="s">
        <v>2046</v>
      </c>
      <c r="L4543">
        <v>0</v>
      </c>
      <c r="M4543">
        <f>DAY(E4543)</f>
        <v>30</v>
      </c>
      <c r="N4543" t="str">
        <f>TEXT(MTDRejection[[#This Row],[RejectionDate]],"dddd")</f>
        <v>Monday</v>
      </c>
    </row>
    <row r="4544" spans="1:14">
      <c r="A4544" t="s">
        <v>45</v>
      </c>
      <c r="B4544" t="s">
        <v>6573</v>
      </c>
      <c r="C4544" t="s">
        <v>59</v>
      </c>
      <c r="D4544" t="s">
        <v>26</v>
      </c>
      <c r="E4544" s="7">
        <v>45656</v>
      </c>
      <c r="F4544" t="s">
        <v>236</v>
      </c>
      <c r="G4544">
        <v>3</v>
      </c>
      <c r="H4544" t="s">
        <v>27</v>
      </c>
      <c r="I4544" t="s">
        <v>16</v>
      </c>
      <c r="J4544" t="s">
        <v>16</v>
      </c>
      <c r="K4544" t="s">
        <v>57</v>
      </c>
      <c r="L4544">
        <v>0</v>
      </c>
      <c r="M4544">
        <f t="shared" ref="M4544:M4546" si="634">DAY(E4544)</f>
        <v>30</v>
      </c>
      <c r="N4544" t="str">
        <f>TEXT(MTDRejection[[#This Row],[RejectionDate]],"dddd")</f>
        <v>Monday</v>
      </c>
    </row>
    <row r="4545" spans="1:14">
      <c r="A4545" t="s">
        <v>45</v>
      </c>
      <c r="B4545" t="s">
        <v>2026</v>
      </c>
      <c r="C4545" t="s">
        <v>59</v>
      </c>
      <c r="D4545" t="s">
        <v>26</v>
      </c>
      <c r="E4545" s="7">
        <v>45656</v>
      </c>
      <c r="F4545" t="s">
        <v>236</v>
      </c>
      <c r="G4545">
        <v>3</v>
      </c>
      <c r="H4545" t="s">
        <v>22</v>
      </c>
      <c r="I4545" t="s">
        <v>16</v>
      </c>
      <c r="J4545" t="s">
        <v>16</v>
      </c>
      <c r="K4545" t="s">
        <v>57</v>
      </c>
      <c r="L4545">
        <v>0</v>
      </c>
      <c r="M4545">
        <f t="shared" si="634"/>
        <v>30</v>
      </c>
      <c r="N4545" t="str">
        <f>TEXT(MTDRejection[[#This Row],[RejectionDate]],"dddd")</f>
        <v>Monday</v>
      </c>
    </row>
    <row r="4546" spans="1:14">
      <c r="A4546" t="s">
        <v>45</v>
      </c>
      <c r="B4546" t="s">
        <v>6574</v>
      </c>
      <c r="C4546" t="s">
        <v>59</v>
      </c>
      <c r="D4546" t="s">
        <v>26</v>
      </c>
      <c r="E4546" s="7">
        <v>45656</v>
      </c>
      <c r="F4546" t="s">
        <v>236</v>
      </c>
      <c r="G4546">
        <v>3</v>
      </c>
      <c r="H4546" t="s">
        <v>130</v>
      </c>
      <c r="I4546" t="s">
        <v>16</v>
      </c>
      <c r="J4546" t="s">
        <v>16</v>
      </c>
      <c r="K4546" t="s">
        <v>57</v>
      </c>
      <c r="L4546">
        <v>0</v>
      </c>
      <c r="M4546">
        <f t="shared" si="634"/>
        <v>30</v>
      </c>
      <c r="N4546" t="str">
        <f>TEXT(MTDRejection[[#This Row],[RejectionDate]],"dddd")</f>
        <v>Monday</v>
      </c>
    </row>
    <row r="4547" spans="1:14">
      <c r="A4547" t="s">
        <v>1181</v>
      </c>
      <c r="B4547" t="s">
        <v>6575</v>
      </c>
      <c r="C4547" t="s">
        <v>36</v>
      </c>
      <c r="D4547" t="s">
        <v>26</v>
      </c>
      <c r="E4547" s="7">
        <v>45656</v>
      </c>
      <c r="F4547" t="s">
        <v>355</v>
      </c>
      <c r="G4547">
        <v>3</v>
      </c>
      <c r="H4547" t="s">
        <v>22</v>
      </c>
      <c r="I4547" t="s">
        <v>16</v>
      </c>
      <c r="J4547" t="s">
        <v>16</v>
      </c>
      <c r="K4547" t="s">
        <v>2046</v>
      </c>
      <c r="L4547">
        <v>0</v>
      </c>
      <c r="M4547">
        <f>DAY(E4547)</f>
        <v>30</v>
      </c>
      <c r="N4547" t="str">
        <f>TEXT(MTDRejection[[#This Row],[RejectionDate]],"dddd")</f>
        <v>Monday</v>
      </c>
    </row>
    <row r="4548" spans="1:14">
      <c r="A4548" t="s">
        <v>469</v>
      </c>
      <c r="B4548" t="s">
        <v>6576</v>
      </c>
      <c r="C4548" t="s">
        <v>12</v>
      </c>
      <c r="D4548" t="s">
        <v>26</v>
      </c>
      <c r="E4548" s="7">
        <v>45656</v>
      </c>
      <c r="F4548" t="s">
        <v>2337</v>
      </c>
      <c r="G4548">
        <v>3</v>
      </c>
      <c r="H4548" t="s">
        <v>27</v>
      </c>
      <c r="I4548" t="s">
        <v>16</v>
      </c>
      <c r="J4548" t="s">
        <v>16</v>
      </c>
      <c r="K4548" t="s">
        <v>2046</v>
      </c>
      <c r="L4548">
        <v>0</v>
      </c>
      <c r="M4548">
        <f>DAY(E4548)</f>
        <v>30</v>
      </c>
      <c r="N4548" t="str">
        <f>TEXT(MTDRejection[[#This Row],[RejectionDate]],"dddd")</f>
        <v>Monday</v>
      </c>
    </row>
    <row r="4549" spans="1:14">
      <c r="A4549" t="s">
        <v>231</v>
      </c>
      <c r="B4549" t="s">
        <v>6577</v>
      </c>
      <c r="C4549" t="s">
        <v>54</v>
      </c>
      <c r="D4549" t="s">
        <v>26</v>
      </c>
      <c r="E4549" s="7">
        <v>45656</v>
      </c>
      <c r="F4549" t="s">
        <v>188</v>
      </c>
      <c r="G4549">
        <v>4</v>
      </c>
      <c r="H4549" t="s">
        <v>27</v>
      </c>
      <c r="I4549" t="s">
        <v>16</v>
      </c>
      <c r="J4549" t="s">
        <v>16</v>
      </c>
      <c r="K4549" t="s">
        <v>2047</v>
      </c>
      <c r="L4549">
        <v>0</v>
      </c>
      <c r="M4549">
        <f t="shared" ref="M4549:M4550" si="635">DAY(E4549)</f>
        <v>30</v>
      </c>
      <c r="N4549" t="str">
        <f>TEXT(MTDRejection[[#This Row],[RejectionDate]],"dddd")</f>
        <v>Monday</v>
      </c>
    </row>
    <row r="4550" spans="1:14">
      <c r="A4550" t="s">
        <v>1204</v>
      </c>
      <c r="B4550" t="s">
        <v>6578</v>
      </c>
      <c r="C4550" t="s">
        <v>12</v>
      </c>
      <c r="D4550" t="s">
        <v>26</v>
      </c>
      <c r="E4550" s="7">
        <v>45656</v>
      </c>
      <c r="F4550" t="s">
        <v>311</v>
      </c>
      <c r="G4550">
        <v>4</v>
      </c>
      <c r="H4550" t="s">
        <v>27</v>
      </c>
      <c r="I4550" t="s">
        <v>16</v>
      </c>
      <c r="J4550" t="s">
        <v>16</v>
      </c>
      <c r="K4550" t="s">
        <v>2046</v>
      </c>
      <c r="L4550">
        <v>0</v>
      </c>
      <c r="M4550">
        <f t="shared" si="635"/>
        <v>30</v>
      </c>
      <c r="N4550" t="str">
        <f>TEXT(MTDRejection[[#This Row],[RejectionDate]],"dddd")</f>
        <v>Monday</v>
      </c>
    </row>
    <row r="4551" spans="1:14">
      <c r="A4551" t="s">
        <v>228</v>
      </c>
      <c r="B4551" t="s">
        <v>6579</v>
      </c>
      <c r="C4551" t="s">
        <v>36</v>
      </c>
      <c r="D4551" t="s">
        <v>26</v>
      </c>
      <c r="E4551" s="7">
        <v>45656</v>
      </c>
      <c r="F4551" t="s">
        <v>675</v>
      </c>
      <c r="G4551">
        <v>5</v>
      </c>
      <c r="H4551" t="s">
        <v>95</v>
      </c>
      <c r="I4551" t="s">
        <v>16</v>
      </c>
      <c r="J4551" t="s">
        <v>16</v>
      </c>
      <c r="K4551" t="s">
        <v>2046</v>
      </c>
      <c r="L4551">
        <v>0</v>
      </c>
      <c r="M4551">
        <f>DAY(E4551)</f>
        <v>30</v>
      </c>
      <c r="N4551" t="str">
        <f>TEXT(MTDRejection[[#This Row],[RejectionDate]],"dddd")</f>
        <v>Monday</v>
      </c>
    </row>
    <row r="4552" spans="1:14">
      <c r="A4552" t="s">
        <v>465</v>
      </c>
      <c r="B4552" t="s">
        <v>6580</v>
      </c>
      <c r="C4552" t="s">
        <v>54</v>
      </c>
      <c r="D4552" t="s">
        <v>26</v>
      </c>
      <c r="E4552" s="7">
        <v>45656</v>
      </c>
      <c r="F4552" t="s">
        <v>535</v>
      </c>
      <c r="G4552">
        <v>5</v>
      </c>
      <c r="H4552" t="s">
        <v>95</v>
      </c>
      <c r="I4552" t="s">
        <v>16</v>
      </c>
      <c r="J4552" t="s">
        <v>16</v>
      </c>
      <c r="K4552" t="s">
        <v>2047</v>
      </c>
      <c r="L4552">
        <v>0</v>
      </c>
      <c r="M4552">
        <f t="shared" ref="M4552:M4553" si="636">DAY(E4552)</f>
        <v>30</v>
      </c>
      <c r="N4552" t="str">
        <f>TEXT(MTDRejection[[#This Row],[RejectionDate]],"dddd")</f>
        <v>Monday</v>
      </c>
    </row>
    <row r="4553" spans="1:14">
      <c r="A4553" t="s">
        <v>84</v>
      </c>
      <c r="B4553" t="s">
        <v>6581</v>
      </c>
      <c r="C4553" t="s">
        <v>25</v>
      </c>
      <c r="D4553" t="s">
        <v>26</v>
      </c>
      <c r="E4553" s="7">
        <v>45656</v>
      </c>
      <c r="F4553" t="s">
        <v>66</v>
      </c>
      <c r="G4553">
        <v>5</v>
      </c>
      <c r="H4553" t="s">
        <v>95</v>
      </c>
      <c r="I4553" t="s">
        <v>16</v>
      </c>
      <c r="J4553" t="s">
        <v>16</v>
      </c>
      <c r="K4553" t="s">
        <v>2045</v>
      </c>
      <c r="L4553">
        <v>0</v>
      </c>
      <c r="M4553">
        <f t="shared" si="636"/>
        <v>30</v>
      </c>
      <c r="N4553" t="str">
        <f>TEXT(MTDRejection[[#This Row],[RejectionDate]],"dddd")</f>
        <v>Monday</v>
      </c>
    </row>
    <row r="4554" spans="1:14">
      <c r="A4554" t="s">
        <v>142</v>
      </c>
      <c r="B4554" t="s">
        <v>6582</v>
      </c>
      <c r="C4554" t="s">
        <v>12</v>
      </c>
      <c r="D4554" t="s">
        <v>26</v>
      </c>
      <c r="E4554" s="7">
        <v>45656</v>
      </c>
      <c r="F4554" t="s">
        <v>2333</v>
      </c>
      <c r="G4554">
        <v>7</v>
      </c>
      <c r="H4554" t="s">
        <v>130</v>
      </c>
      <c r="I4554" t="s">
        <v>16</v>
      </c>
      <c r="J4554" t="s">
        <v>16</v>
      </c>
      <c r="K4554" t="s">
        <v>2046</v>
      </c>
      <c r="L4554">
        <v>0</v>
      </c>
      <c r="M4554">
        <f>DAY(E4554)</f>
        <v>30</v>
      </c>
      <c r="N4554" t="str">
        <f>TEXT(MTDRejection[[#This Row],[RejectionDate]],"dddd")</f>
        <v>Monday</v>
      </c>
    </row>
    <row r="4555" spans="1:14">
      <c r="A4555" t="s">
        <v>419</v>
      </c>
      <c r="B4555" t="s">
        <v>6583</v>
      </c>
      <c r="C4555" t="s">
        <v>54</v>
      </c>
      <c r="D4555" t="s">
        <v>26</v>
      </c>
      <c r="E4555" s="7">
        <v>45656</v>
      </c>
      <c r="F4555" t="s">
        <v>121</v>
      </c>
      <c r="G4555">
        <v>7</v>
      </c>
      <c r="H4555" t="s">
        <v>27</v>
      </c>
      <c r="I4555" t="s">
        <v>16</v>
      </c>
      <c r="J4555" t="s">
        <v>16</v>
      </c>
      <c r="K4555" t="s">
        <v>2047</v>
      </c>
      <c r="L4555">
        <v>0</v>
      </c>
      <c r="M4555">
        <f>DAY(E4555)</f>
        <v>30</v>
      </c>
      <c r="N4555" t="str">
        <f>TEXT(MTDRejection[[#This Row],[RejectionDate]],"dddd")</f>
        <v>Monday</v>
      </c>
    </row>
    <row r="4556" spans="1:14">
      <c r="A4556" t="s">
        <v>883</v>
      </c>
      <c r="B4556" t="s">
        <v>6584</v>
      </c>
      <c r="C4556" t="s">
        <v>36</v>
      </c>
      <c r="D4556" t="s">
        <v>26</v>
      </c>
      <c r="E4556" s="7">
        <v>45656</v>
      </c>
      <c r="F4556" t="s">
        <v>182</v>
      </c>
      <c r="G4556">
        <v>8</v>
      </c>
      <c r="H4556" t="s">
        <v>130</v>
      </c>
      <c r="I4556" t="s">
        <v>16</v>
      </c>
      <c r="J4556" t="s">
        <v>16</v>
      </c>
      <c r="K4556" t="s">
        <v>2046</v>
      </c>
      <c r="L4556">
        <v>0</v>
      </c>
      <c r="M4556">
        <f>DAY(E4556)</f>
        <v>30</v>
      </c>
      <c r="N4556" t="str">
        <f>TEXT(MTDRejection[[#This Row],[RejectionDate]],"dddd")</f>
        <v>Monday</v>
      </c>
    </row>
    <row r="4557" spans="1:14">
      <c r="A4557" t="s">
        <v>456</v>
      </c>
      <c r="B4557" t="s">
        <v>2096</v>
      </c>
      <c r="C4557" t="s">
        <v>1677</v>
      </c>
      <c r="D4557" t="s">
        <v>26</v>
      </c>
      <c r="E4557" s="7">
        <v>45656</v>
      </c>
      <c r="F4557" t="s">
        <v>159</v>
      </c>
      <c r="G4557">
        <v>10</v>
      </c>
      <c r="H4557" t="s">
        <v>27</v>
      </c>
      <c r="I4557" t="s">
        <v>16</v>
      </c>
      <c r="J4557" t="s">
        <v>16</v>
      </c>
      <c r="K4557" t="s">
        <v>2046</v>
      </c>
      <c r="L4557">
        <v>0</v>
      </c>
      <c r="M4557">
        <f>DAY(E4557)</f>
        <v>30</v>
      </c>
      <c r="N4557" t="str">
        <f>TEXT(MTDRejection[[#This Row],[RejectionDate]],"dddd")</f>
        <v>Monday</v>
      </c>
    </row>
    <row r="4558" spans="1:14">
      <c r="A4558" t="s">
        <v>446</v>
      </c>
      <c r="B4558" t="s">
        <v>6585</v>
      </c>
      <c r="C4558" t="s">
        <v>12</v>
      </c>
      <c r="D4558" t="s">
        <v>26</v>
      </c>
      <c r="E4558" s="7">
        <v>45656</v>
      </c>
      <c r="F4558" t="s">
        <v>162</v>
      </c>
      <c r="G4558">
        <v>10</v>
      </c>
      <c r="H4558" t="s">
        <v>27</v>
      </c>
      <c r="I4558" t="s">
        <v>16</v>
      </c>
      <c r="J4558" t="s">
        <v>16</v>
      </c>
      <c r="K4558" t="s">
        <v>2046</v>
      </c>
      <c r="L4558">
        <v>0</v>
      </c>
      <c r="M4558">
        <f>DAY(E4558)</f>
        <v>30</v>
      </c>
      <c r="N4558" t="str">
        <f>TEXT(MTDRejection[[#This Row],[RejectionDate]],"dddd")</f>
        <v>Monday</v>
      </c>
    </row>
    <row r="4559" spans="1:14">
      <c r="A4559" t="s">
        <v>996</v>
      </c>
      <c r="B4559" t="s">
        <v>2803</v>
      </c>
      <c r="C4559" t="s">
        <v>54</v>
      </c>
      <c r="D4559" t="s">
        <v>13</v>
      </c>
      <c r="E4559" s="7">
        <v>45657</v>
      </c>
      <c r="F4559" t="s">
        <v>2326</v>
      </c>
      <c r="G4559">
        <v>0</v>
      </c>
      <c r="H4559" t="s">
        <v>15</v>
      </c>
      <c r="I4559" t="s">
        <v>16</v>
      </c>
      <c r="J4559" t="s">
        <v>16</v>
      </c>
      <c r="K4559" t="s">
        <v>2047</v>
      </c>
      <c r="L4559">
        <v>0</v>
      </c>
      <c r="M4559">
        <f t="shared" ref="M4559:M4571" si="637">DAY(E4559)</f>
        <v>31</v>
      </c>
      <c r="N4559" t="str">
        <f>TEXT(MTDRejection[[#This Row],[RejectionDate]],"dddd")</f>
        <v>Tuesday</v>
      </c>
    </row>
    <row r="4560" spans="1:14">
      <c r="A4560" t="s">
        <v>2062</v>
      </c>
      <c r="B4560" t="s">
        <v>6586</v>
      </c>
      <c r="C4560" t="s">
        <v>36</v>
      </c>
      <c r="D4560" t="s">
        <v>13</v>
      </c>
      <c r="E4560" s="7">
        <v>45657</v>
      </c>
      <c r="F4560" t="s">
        <v>2326</v>
      </c>
      <c r="G4560">
        <v>0</v>
      </c>
      <c r="H4560" t="s">
        <v>15</v>
      </c>
      <c r="I4560" t="s">
        <v>16</v>
      </c>
      <c r="J4560" t="s">
        <v>16</v>
      </c>
      <c r="K4560" t="s">
        <v>2046</v>
      </c>
      <c r="L4560">
        <v>0</v>
      </c>
      <c r="M4560">
        <f t="shared" si="637"/>
        <v>31</v>
      </c>
      <c r="N4560" t="str">
        <f>TEXT(MTDRejection[[#This Row],[RejectionDate]],"dddd")</f>
        <v>Tuesday</v>
      </c>
    </row>
    <row r="4561" spans="1:14">
      <c r="A4561" t="s">
        <v>2062</v>
      </c>
      <c r="B4561" t="s">
        <v>6587</v>
      </c>
      <c r="C4561" t="s">
        <v>125</v>
      </c>
      <c r="D4561" t="s">
        <v>13</v>
      </c>
      <c r="E4561" s="7">
        <v>45657</v>
      </c>
      <c r="F4561" t="s">
        <v>2326</v>
      </c>
      <c r="G4561">
        <v>0</v>
      </c>
      <c r="H4561" t="s">
        <v>15</v>
      </c>
      <c r="I4561" t="s">
        <v>16</v>
      </c>
      <c r="J4561" t="s">
        <v>16</v>
      </c>
      <c r="K4561" t="s">
        <v>2046</v>
      </c>
      <c r="L4561">
        <v>0</v>
      </c>
      <c r="M4561">
        <f t="shared" si="637"/>
        <v>31</v>
      </c>
      <c r="N4561" t="str">
        <f>TEXT(MTDRejection[[#This Row],[RejectionDate]],"dddd")</f>
        <v>Tuesday</v>
      </c>
    </row>
    <row r="4562" spans="1:14">
      <c r="A4562" t="s">
        <v>40</v>
      </c>
      <c r="B4562" t="s">
        <v>6588</v>
      </c>
      <c r="C4562" t="s">
        <v>12</v>
      </c>
      <c r="D4562" t="s">
        <v>13</v>
      </c>
      <c r="E4562" s="7">
        <v>45657</v>
      </c>
      <c r="F4562" t="s">
        <v>2343</v>
      </c>
      <c r="G4562">
        <v>0</v>
      </c>
      <c r="H4562" t="s">
        <v>15</v>
      </c>
      <c r="I4562" t="s">
        <v>16</v>
      </c>
      <c r="J4562" t="s">
        <v>16</v>
      </c>
      <c r="K4562" t="s">
        <v>2046</v>
      </c>
      <c r="L4562">
        <v>0</v>
      </c>
      <c r="M4562">
        <f t="shared" si="637"/>
        <v>31</v>
      </c>
      <c r="N4562" t="str">
        <f>TEXT(MTDRejection[[#This Row],[RejectionDate]],"dddd")</f>
        <v>Tuesday</v>
      </c>
    </row>
    <row r="4563" spans="1:14">
      <c r="A4563" t="s">
        <v>584</v>
      </c>
      <c r="B4563" t="s">
        <v>6589</v>
      </c>
      <c r="C4563" t="s">
        <v>19</v>
      </c>
      <c r="D4563" t="s">
        <v>13</v>
      </c>
      <c r="E4563" s="7">
        <v>45657</v>
      </c>
      <c r="F4563" t="s">
        <v>1310</v>
      </c>
      <c r="G4563">
        <v>0</v>
      </c>
      <c r="H4563" t="s">
        <v>15</v>
      </c>
      <c r="I4563" t="s">
        <v>16</v>
      </c>
      <c r="J4563" t="s">
        <v>16</v>
      </c>
      <c r="K4563" t="s">
        <v>2045</v>
      </c>
      <c r="L4563">
        <v>0</v>
      </c>
      <c r="M4563">
        <f t="shared" si="637"/>
        <v>31</v>
      </c>
      <c r="N4563" t="str">
        <f>TEXT(MTDRejection[[#This Row],[RejectionDate]],"dddd")</f>
        <v>Tuesday</v>
      </c>
    </row>
    <row r="4564" spans="1:14">
      <c r="A4564" t="s">
        <v>133</v>
      </c>
      <c r="B4564" t="s">
        <v>6590</v>
      </c>
      <c r="C4564" t="s">
        <v>49</v>
      </c>
      <c r="D4564" t="s">
        <v>13</v>
      </c>
      <c r="E4564" s="7">
        <v>45657</v>
      </c>
      <c r="F4564" t="s">
        <v>72</v>
      </c>
      <c r="G4564">
        <v>0</v>
      </c>
      <c r="H4564" t="s">
        <v>15</v>
      </c>
      <c r="I4564" t="s">
        <v>16</v>
      </c>
      <c r="J4564" t="s">
        <v>16</v>
      </c>
      <c r="K4564" t="s">
        <v>50</v>
      </c>
      <c r="L4564">
        <v>0</v>
      </c>
      <c r="M4564">
        <f t="shared" si="637"/>
        <v>31</v>
      </c>
      <c r="N4564" t="str">
        <f>TEXT(MTDRejection[[#This Row],[RejectionDate]],"dddd")</f>
        <v>Tuesday</v>
      </c>
    </row>
    <row r="4565" spans="1:14">
      <c r="A4565" t="s">
        <v>133</v>
      </c>
      <c r="B4565" t="s">
        <v>6591</v>
      </c>
      <c r="C4565" t="s">
        <v>71</v>
      </c>
      <c r="D4565" t="s">
        <v>13</v>
      </c>
      <c r="E4565" s="7">
        <v>45657</v>
      </c>
      <c r="F4565" t="s">
        <v>72</v>
      </c>
      <c r="G4565">
        <v>0</v>
      </c>
      <c r="H4565" t="s">
        <v>15</v>
      </c>
      <c r="I4565" t="s">
        <v>16</v>
      </c>
      <c r="J4565" t="s">
        <v>16</v>
      </c>
      <c r="K4565" t="s">
        <v>50</v>
      </c>
      <c r="L4565">
        <v>0</v>
      </c>
      <c r="M4565">
        <f t="shared" si="637"/>
        <v>31</v>
      </c>
      <c r="N4565" t="str">
        <f>TEXT(MTDRejection[[#This Row],[RejectionDate]],"dddd")</f>
        <v>Tuesday</v>
      </c>
    </row>
    <row r="4566" spans="1:14">
      <c r="A4566" t="s">
        <v>45</v>
      </c>
      <c r="B4566" t="s">
        <v>6592</v>
      </c>
      <c r="C4566" t="s">
        <v>36</v>
      </c>
      <c r="D4566" t="s">
        <v>26</v>
      </c>
      <c r="E4566" s="7">
        <v>45657</v>
      </c>
      <c r="F4566" t="s">
        <v>184</v>
      </c>
      <c r="G4566">
        <v>0</v>
      </c>
      <c r="H4566" t="s">
        <v>27</v>
      </c>
      <c r="I4566" t="s">
        <v>16</v>
      </c>
      <c r="J4566" t="s">
        <v>16</v>
      </c>
      <c r="K4566" t="s">
        <v>2046</v>
      </c>
      <c r="L4566">
        <v>0</v>
      </c>
      <c r="M4566">
        <f t="shared" si="637"/>
        <v>31</v>
      </c>
      <c r="N4566" t="str">
        <f>TEXT(MTDRejection[[#This Row],[RejectionDate]],"dddd")</f>
        <v>Tuesday</v>
      </c>
    </row>
    <row r="4567" spans="1:14">
      <c r="A4567" t="s">
        <v>1455</v>
      </c>
      <c r="B4567" t="s">
        <v>6593</v>
      </c>
      <c r="C4567" t="s">
        <v>36</v>
      </c>
      <c r="D4567" t="s">
        <v>26</v>
      </c>
      <c r="E4567" s="7">
        <v>45657</v>
      </c>
      <c r="F4567" t="s">
        <v>311</v>
      </c>
      <c r="G4567">
        <v>0</v>
      </c>
      <c r="H4567" t="s">
        <v>27</v>
      </c>
      <c r="I4567" t="s">
        <v>16</v>
      </c>
      <c r="J4567" t="s">
        <v>16</v>
      </c>
      <c r="K4567" t="s">
        <v>2046</v>
      </c>
      <c r="L4567">
        <v>0</v>
      </c>
      <c r="M4567">
        <f t="shared" si="637"/>
        <v>31</v>
      </c>
      <c r="N4567" t="str">
        <f>TEXT(MTDRejection[[#This Row],[RejectionDate]],"dddd")</f>
        <v>Tuesday</v>
      </c>
    </row>
    <row r="4568" spans="1:14">
      <c r="A4568" t="s">
        <v>142</v>
      </c>
      <c r="B4568" t="s">
        <v>6594</v>
      </c>
      <c r="C4568" t="s">
        <v>12</v>
      </c>
      <c r="D4568" t="s">
        <v>38</v>
      </c>
      <c r="E4568" s="7">
        <v>45657</v>
      </c>
      <c r="F4568" t="s">
        <v>39</v>
      </c>
      <c r="G4568">
        <v>0</v>
      </c>
      <c r="H4568" t="s">
        <v>42</v>
      </c>
      <c r="I4568" t="s">
        <v>16</v>
      </c>
      <c r="J4568" t="s">
        <v>16</v>
      </c>
      <c r="K4568" t="s">
        <v>2046</v>
      </c>
      <c r="L4568">
        <v>0</v>
      </c>
      <c r="M4568">
        <f t="shared" si="637"/>
        <v>31</v>
      </c>
      <c r="N4568" t="str">
        <f>TEXT(MTDRejection[[#This Row],[RejectionDate]],"dddd")</f>
        <v>Tuesday</v>
      </c>
    </row>
    <row r="4569" spans="1:14">
      <c r="A4569" t="s">
        <v>432</v>
      </c>
      <c r="B4569" t="s">
        <v>6595</v>
      </c>
      <c r="C4569" t="s">
        <v>125</v>
      </c>
      <c r="D4569" t="s">
        <v>13</v>
      </c>
      <c r="E4569" s="7">
        <v>45657</v>
      </c>
      <c r="F4569" t="s">
        <v>107</v>
      </c>
      <c r="G4569">
        <v>0</v>
      </c>
      <c r="H4569" t="s">
        <v>15</v>
      </c>
      <c r="I4569" t="s">
        <v>16</v>
      </c>
      <c r="J4569" t="s">
        <v>16</v>
      </c>
      <c r="K4569" t="s">
        <v>2046</v>
      </c>
      <c r="L4569">
        <v>0</v>
      </c>
      <c r="M4569">
        <f t="shared" si="637"/>
        <v>31</v>
      </c>
      <c r="N4569" t="str">
        <f>TEXT(MTDRejection[[#This Row],[RejectionDate]],"dddd")</f>
        <v>Tuesday</v>
      </c>
    </row>
    <row r="4570" spans="1:14">
      <c r="A4570" t="s">
        <v>1204</v>
      </c>
      <c r="B4570" t="s">
        <v>6596</v>
      </c>
      <c r="C4570" t="s">
        <v>12</v>
      </c>
      <c r="D4570" t="s">
        <v>26</v>
      </c>
      <c r="E4570" s="7">
        <v>45657</v>
      </c>
      <c r="F4570" t="s">
        <v>2346</v>
      </c>
      <c r="G4570">
        <v>0</v>
      </c>
      <c r="H4570" t="s">
        <v>27</v>
      </c>
      <c r="I4570" t="s">
        <v>16</v>
      </c>
      <c r="J4570" t="s">
        <v>16</v>
      </c>
      <c r="K4570" t="s">
        <v>2046</v>
      </c>
      <c r="L4570">
        <v>0</v>
      </c>
      <c r="M4570">
        <f t="shared" si="637"/>
        <v>31</v>
      </c>
      <c r="N4570" t="str">
        <f>TEXT(MTDRejection[[#This Row],[RejectionDate]],"dddd")</f>
        <v>Tuesday</v>
      </c>
    </row>
    <row r="4571" spans="1:14">
      <c r="A4571" t="s">
        <v>160</v>
      </c>
      <c r="B4571" t="s">
        <v>6597</v>
      </c>
      <c r="C4571" t="s">
        <v>125</v>
      </c>
      <c r="D4571" t="s">
        <v>26</v>
      </c>
      <c r="E4571" s="7">
        <v>45657</v>
      </c>
      <c r="F4571" t="s">
        <v>115</v>
      </c>
      <c r="G4571">
        <v>0</v>
      </c>
      <c r="H4571" t="s">
        <v>27</v>
      </c>
      <c r="I4571" t="s">
        <v>16</v>
      </c>
      <c r="J4571" t="s">
        <v>16</v>
      </c>
      <c r="K4571" t="s">
        <v>2046</v>
      </c>
      <c r="L4571">
        <v>1</v>
      </c>
      <c r="M4571">
        <f t="shared" si="637"/>
        <v>31</v>
      </c>
      <c r="N4571" t="str">
        <f>TEXT(MTDRejection[[#This Row],[RejectionDate]],"dddd")</f>
        <v>Tuesday</v>
      </c>
    </row>
    <row r="4572" spans="1:14">
      <c r="A4572" t="s">
        <v>360</v>
      </c>
      <c r="B4572" t="s">
        <v>6598</v>
      </c>
      <c r="C4572" t="s">
        <v>467</v>
      </c>
      <c r="D4572" t="s">
        <v>13</v>
      </c>
      <c r="E4572" s="7">
        <v>45657</v>
      </c>
      <c r="F4572" t="s">
        <v>2343</v>
      </c>
      <c r="G4572">
        <v>0</v>
      </c>
      <c r="H4572" t="s">
        <v>15</v>
      </c>
      <c r="I4572" t="s">
        <v>16</v>
      </c>
      <c r="J4572" t="s">
        <v>16</v>
      </c>
      <c r="K4572" t="s">
        <v>57</v>
      </c>
      <c r="L4572">
        <v>0</v>
      </c>
      <c r="M4572">
        <f t="shared" ref="M4572:M4591" si="638">DAY(E4572)</f>
        <v>31</v>
      </c>
      <c r="N4572" t="str">
        <f>TEXT(MTDRejection[[#This Row],[RejectionDate]],"dddd")</f>
        <v>Tuesday</v>
      </c>
    </row>
    <row r="4573" spans="1:14">
      <c r="A4573" t="s">
        <v>584</v>
      </c>
      <c r="B4573" t="s">
        <v>2805</v>
      </c>
      <c r="C4573" t="s">
        <v>19</v>
      </c>
      <c r="D4573" t="s">
        <v>20</v>
      </c>
      <c r="E4573" s="7">
        <v>45657</v>
      </c>
      <c r="F4573" t="s">
        <v>273</v>
      </c>
      <c r="G4573">
        <v>0</v>
      </c>
      <c r="H4573" t="s">
        <v>22</v>
      </c>
      <c r="I4573" t="s">
        <v>16</v>
      </c>
      <c r="J4573" t="s">
        <v>16</v>
      </c>
      <c r="K4573" t="s">
        <v>2045</v>
      </c>
      <c r="L4573">
        <v>0</v>
      </c>
      <c r="M4573">
        <f t="shared" si="638"/>
        <v>31</v>
      </c>
      <c r="N4573" t="str">
        <f>TEXT(MTDRejection[[#This Row],[RejectionDate]],"dddd")</f>
        <v>Tuesday</v>
      </c>
    </row>
    <row r="4574" spans="1:14">
      <c r="A4574" t="s">
        <v>45</v>
      </c>
      <c r="B4574" t="s">
        <v>5306</v>
      </c>
      <c r="C4574" t="s">
        <v>36</v>
      </c>
      <c r="D4574" t="s">
        <v>26</v>
      </c>
      <c r="E4574" s="7">
        <v>45657</v>
      </c>
      <c r="F4574" t="s">
        <v>224</v>
      </c>
      <c r="G4574">
        <v>0</v>
      </c>
      <c r="H4574" t="s">
        <v>22</v>
      </c>
      <c r="I4574" t="s">
        <v>16</v>
      </c>
      <c r="J4574" t="s">
        <v>16</v>
      </c>
      <c r="K4574" t="s">
        <v>2046</v>
      </c>
      <c r="L4574">
        <v>0</v>
      </c>
      <c r="M4574">
        <f t="shared" si="638"/>
        <v>31</v>
      </c>
      <c r="N4574" t="str">
        <f>TEXT(MTDRejection[[#This Row],[RejectionDate]],"dddd")</f>
        <v>Tuesday</v>
      </c>
    </row>
    <row r="4575" spans="1:14">
      <c r="A4575" t="s">
        <v>465</v>
      </c>
      <c r="B4575" t="s">
        <v>6599</v>
      </c>
      <c r="C4575" t="s">
        <v>25</v>
      </c>
      <c r="D4575" t="s">
        <v>26</v>
      </c>
      <c r="E4575" s="7">
        <v>45657</v>
      </c>
      <c r="F4575" t="s">
        <v>66</v>
      </c>
      <c r="G4575">
        <v>0</v>
      </c>
      <c r="H4575" t="s">
        <v>27</v>
      </c>
      <c r="I4575" t="s">
        <v>16</v>
      </c>
      <c r="J4575" t="s">
        <v>16</v>
      </c>
      <c r="K4575" t="s">
        <v>2045</v>
      </c>
      <c r="L4575">
        <v>0</v>
      </c>
      <c r="M4575">
        <f t="shared" si="638"/>
        <v>31</v>
      </c>
      <c r="N4575" t="str">
        <f>TEXT(MTDRejection[[#This Row],[RejectionDate]],"dddd")</f>
        <v>Tuesday</v>
      </c>
    </row>
    <row r="4576" spans="1:14">
      <c r="A4576" t="s">
        <v>362</v>
      </c>
      <c r="B4576" t="s">
        <v>6600</v>
      </c>
      <c r="C4576" t="s">
        <v>25</v>
      </c>
      <c r="D4576" t="s">
        <v>26</v>
      </c>
      <c r="E4576" s="7">
        <v>45657</v>
      </c>
      <c r="F4576" t="s">
        <v>66</v>
      </c>
      <c r="G4576">
        <v>0</v>
      </c>
      <c r="H4576" t="s">
        <v>95</v>
      </c>
      <c r="I4576" t="s">
        <v>16</v>
      </c>
      <c r="J4576" t="s">
        <v>16</v>
      </c>
      <c r="K4576" t="s">
        <v>2045</v>
      </c>
      <c r="L4576">
        <v>0</v>
      </c>
      <c r="M4576">
        <f t="shared" si="638"/>
        <v>31</v>
      </c>
      <c r="N4576" t="str">
        <f>TEXT(MTDRejection[[#This Row],[RejectionDate]],"dddd")</f>
        <v>Tuesday</v>
      </c>
    </row>
    <row r="4577" spans="1:14">
      <c r="A4577" t="s">
        <v>362</v>
      </c>
      <c r="B4577" t="s">
        <v>6601</v>
      </c>
      <c r="C4577" t="s">
        <v>25</v>
      </c>
      <c r="D4577" t="s">
        <v>26</v>
      </c>
      <c r="E4577" s="7">
        <v>45657</v>
      </c>
      <c r="F4577" t="s">
        <v>66</v>
      </c>
      <c r="G4577">
        <v>0</v>
      </c>
      <c r="H4577" t="s">
        <v>15</v>
      </c>
      <c r="I4577" t="s">
        <v>16</v>
      </c>
      <c r="J4577" t="s">
        <v>16</v>
      </c>
      <c r="K4577" t="s">
        <v>2045</v>
      </c>
      <c r="L4577">
        <v>0</v>
      </c>
      <c r="M4577">
        <f t="shared" si="638"/>
        <v>31</v>
      </c>
      <c r="N4577" t="str">
        <f>TEXT(MTDRejection[[#This Row],[RejectionDate]],"dddd")</f>
        <v>Tuesday</v>
      </c>
    </row>
    <row r="4578" spans="1:14">
      <c r="A4578" t="s">
        <v>160</v>
      </c>
      <c r="B4578" t="s">
        <v>6602</v>
      </c>
      <c r="C4578" t="s">
        <v>93</v>
      </c>
      <c r="D4578" t="s">
        <v>26</v>
      </c>
      <c r="E4578" s="7">
        <v>45657</v>
      </c>
      <c r="F4578" t="s">
        <v>63</v>
      </c>
      <c r="G4578">
        <v>0</v>
      </c>
      <c r="H4578" t="s">
        <v>27</v>
      </c>
      <c r="I4578" t="s">
        <v>16</v>
      </c>
      <c r="J4578" t="s">
        <v>16</v>
      </c>
      <c r="K4578" t="s">
        <v>2047</v>
      </c>
      <c r="L4578">
        <v>0</v>
      </c>
      <c r="M4578">
        <f t="shared" si="638"/>
        <v>31</v>
      </c>
      <c r="N4578" t="str">
        <f>TEXT(MTDRejection[[#This Row],[RejectionDate]],"dddd")</f>
        <v>Tuesday</v>
      </c>
    </row>
    <row r="4579" spans="1:14">
      <c r="A4579" t="s">
        <v>45</v>
      </c>
      <c r="B4579" t="s">
        <v>6603</v>
      </c>
      <c r="C4579" t="s">
        <v>54</v>
      </c>
      <c r="D4579" t="s">
        <v>26</v>
      </c>
      <c r="E4579" s="7">
        <v>45657</v>
      </c>
      <c r="F4579" t="s">
        <v>63</v>
      </c>
      <c r="G4579">
        <v>0</v>
      </c>
      <c r="H4579" t="s">
        <v>95</v>
      </c>
      <c r="I4579" t="s">
        <v>16</v>
      </c>
      <c r="J4579" t="s">
        <v>16</v>
      </c>
      <c r="K4579" t="s">
        <v>2047</v>
      </c>
      <c r="L4579">
        <v>0</v>
      </c>
      <c r="M4579">
        <f t="shared" si="638"/>
        <v>31</v>
      </c>
      <c r="N4579" t="str">
        <f>TEXT(MTDRejection[[#This Row],[RejectionDate]],"dddd")</f>
        <v>Tuesday</v>
      </c>
    </row>
    <row r="4580" spans="1:14">
      <c r="A4580" t="s">
        <v>45</v>
      </c>
      <c r="B4580" t="s">
        <v>6604</v>
      </c>
      <c r="C4580" t="s">
        <v>59</v>
      </c>
      <c r="D4580" t="s">
        <v>38</v>
      </c>
      <c r="E4580" s="7">
        <v>45657</v>
      </c>
      <c r="F4580" t="s">
        <v>118</v>
      </c>
      <c r="G4580">
        <v>0</v>
      </c>
      <c r="H4580" t="s">
        <v>22</v>
      </c>
      <c r="I4580" t="s">
        <v>16</v>
      </c>
      <c r="J4580" t="s">
        <v>16</v>
      </c>
      <c r="K4580" t="s">
        <v>57</v>
      </c>
      <c r="L4580">
        <v>0</v>
      </c>
      <c r="M4580">
        <f t="shared" si="638"/>
        <v>31</v>
      </c>
      <c r="N4580" t="str">
        <f>TEXT(MTDRejection[[#This Row],[RejectionDate]],"dddd")</f>
        <v>Tuesday</v>
      </c>
    </row>
    <row r="4581" spans="1:14">
      <c r="A4581" t="s">
        <v>517</v>
      </c>
      <c r="B4581" t="s">
        <v>6605</v>
      </c>
      <c r="C4581" t="s">
        <v>112</v>
      </c>
      <c r="D4581" t="s">
        <v>26</v>
      </c>
      <c r="E4581" s="7">
        <v>45657</v>
      </c>
      <c r="F4581" t="s">
        <v>182</v>
      </c>
      <c r="G4581">
        <v>0</v>
      </c>
      <c r="H4581" t="s">
        <v>27</v>
      </c>
      <c r="I4581" t="s">
        <v>16</v>
      </c>
      <c r="J4581" t="s">
        <v>16</v>
      </c>
      <c r="K4581" t="s">
        <v>2046</v>
      </c>
      <c r="L4581">
        <v>0</v>
      </c>
      <c r="M4581">
        <f t="shared" si="638"/>
        <v>31</v>
      </c>
      <c r="N4581" t="str">
        <f>TEXT(MTDRejection[[#This Row],[RejectionDate]],"dddd")</f>
        <v>Tuesday</v>
      </c>
    </row>
    <row r="4582" spans="1:14">
      <c r="A4582" t="s">
        <v>100</v>
      </c>
      <c r="B4582" t="s">
        <v>6606</v>
      </c>
      <c r="C4582" t="s">
        <v>357</v>
      </c>
      <c r="D4582" t="s">
        <v>26</v>
      </c>
      <c r="E4582" s="7">
        <v>45657</v>
      </c>
      <c r="F4582" t="s">
        <v>380</v>
      </c>
      <c r="G4582">
        <v>0</v>
      </c>
      <c r="H4582" t="s">
        <v>27</v>
      </c>
      <c r="I4582" t="s">
        <v>16</v>
      </c>
      <c r="J4582" t="s">
        <v>16</v>
      </c>
      <c r="K4582" t="s">
        <v>2046</v>
      </c>
      <c r="L4582">
        <v>0</v>
      </c>
      <c r="M4582">
        <f t="shared" si="638"/>
        <v>31</v>
      </c>
      <c r="N4582" t="str">
        <f>TEXT(MTDRejection[[#This Row],[RejectionDate]],"dddd")</f>
        <v>Tuesday</v>
      </c>
    </row>
    <row r="4583" spans="1:14">
      <c r="A4583" t="s">
        <v>274</v>
      </c>
      <c r="B4583" t="s">
        <v>6607</v>
      </c>
      <c r="C4583" t="s">
        <v>54</v>
      </c>
      <c r="D4583" t="s">
        <v>26</v>
      </c>
      <c r="E4583" s="7">
        <v>45657</v>
      </c>
      <c r="F4583" t="s">
        <v>535</v>
      </c>
      <c r="G4583">
        <v>0</v>
      </c>
      <c r="H4583" t="s">
        <v>22</v>
      </c>
      <c r="I4583" t="s">
        <v>16</v>
      </c>
      <c r="J4583" t="s">
        <v>16</v>
      </c>
      <c r="K4583" t="s">
        <v>2047</v>
      </c>
      <c r="L4583">
        <v>0</v>
      </c>
      <c r="M4583">
        <f t="shared" si="638"/>
        <v>31</v>
      </c>
      <c r="N4583" t="str">
        <f>TEXT(MTDRejection[[#This Row],[RejectionDate]],"dddd")</f>
        <v>Tuesday</v>
      </c>
    </row>
    <row r="4584" spans="1:14">
      <c r="A4584" t="s">
        <v>306</v>
      </c>
      <c r="B4584" t="s">
        <v>6608</v>
      </c>
      <c r="C4584" t="s">
        <v>54</v>
      </c>
      <c r="D4584" t="s">
        <v>26</v>
      </c>
      <c r="E4584" s="7">
        <v>45657</v>
      </c>
      <c r="F4584" t="s">
        <v>535</v>
      </c>
      <c r="G4584">
        <v>0</v>
      </c>
      <c r="H4584" t="s">
        <v>27</v>
      </c>
      <c r="I4584" t="s">
        <v>16</v>
      </c>
      <c r="J4584" t="s">
        <v>16</v>
      </c>
      <c r="K4584" t="s">
        <v>2047</v>
      </c>
      <c r="L4584">
        <v>1</v>
      </c>
      <c r="M4584">
        <f t="shared" si="638"/>
        <v>31</v>
      </c>
      <c r="N4584" t="str">
        <f>TEXT(MTDRejection[[#This Row],[RejectionDate]],"dddd")</f>
        <v>Tuesday</v>
      </c>
    </row>
    <row r="4585" spans="1:14">
      <c r="A4585" t="s">
        <v>45</v>
      </c>
      <c r="B4585" t="s">
        <v>2806</v>
      </c>
      <c r="C4585" t="s">
        <v>54</v>
      </c>
      <c r="D4585" t="s">
        <v>13</v>
      </c>
      <c r="E4585" s="7">
        <v>45657</v>
      </c>
      <c r="F4585" t="s">
        <v>98</v>
      </c>
      <c r="G4585">
        <v>0</v>
      </c>
      <c r="H4585" t="s">
        <v>15</v>
      </c>
      <c r="I4585" t="s">
        <v>16</v>
      </c>
      <c r="J4585" t="s">
        <v>16</v>
      </c>
      <c r="K4585" t="s">
        <v>2047</v>
      </c>
      <c r="L4585">
        <v>0</v>
      </c>
      <c r="M4585">
        <f t="shared" si="638"/>
        <v>31</v>
      </c>
      <c r="N4585" t="str">
        <f>TEXT(MTDRejection[[#This Row],[RejectionDate]],"dddd")</f>
        <v>Tuesday</v>
      </c>
    </row>
    <row r="4586" spans="1:14">
      <c r="A4586" t="s">
        <v>100</v>
      </c>
      <c r="B4586" t="s">
        <v>6609</v>
      </c>
      <c r="C4586" t="s">
        <v>102</v>
      </c>
      <c r="D4586" t="s">
        <v>51</v>
      </c>
      <c r="E4586" s="7">
        <v>45657</v>
      </c>
      <c r="F4586" t="s">
        <v>555</v>
      </c>
      <c r="G4586">
        <v>0</v>
      </c>
      <c r="H4586" t="s">
        <v>53</v>
      </c>
      <c r="I4586" t="s">
        <v>16</v>
      </c>
      <c r="J4586" t="s">
        <v>16</v>
      </c>
      <c r="K4586" t="s">
        <v>2047</v>
      </c>
      <c r="L4586">
        <v>0</v>
      </c>
      <c r="M4586">
        <f t="shared" si="638"/>
        <v>31</v>
      </c>
      <c r="N4586" t="str">
        <f>TEXT(MTDRejection[[#This Row],[RejectionDate]],"dddd")</f>
        <v>Tuesday</v>
      </c>
    </row>
    <row r="4587" spans="1:14">
      <c r="A4587" t="s">
        <v>100</v>
      </c>
      <c r="B4587" t="s">
        <v>6610</v>
      </c>
      <c r="C4587" t="s">
        <v>1724</v>
      </c>
      <c r="D4587" t="s">
        <v>38</v>
      </c>
      <c r="E4587" s="7">
        <v>45657</v>
      </c>
      <c r="F4587" t="s">
        <v>118</v>
      </c>
      <c r="G4587">
        <v>0</v>
      </c>
      <c r="H4587" t="s">
        <v>30</v>
      </c>
      <c r="I4587" t="s">
        <v>16</v>
      </c>
      <c r="J4587" t="s">
        <v>16</v>
      </c>
      <c r="K4587" t="s">
        <v>930</v>
      </c>
      <c r="L4587">
        <v>0</v>
      </c>
      <c r="M4587">
        <f t="shared" si="638"/>
        <v>31</v>
      </c>
      <c r="N4587" t="str">
        <f>TEXT(MTDRejection[[#This Row],[RejectionDate]],"dddd")</f>
        <v>Tuesday</v>
      </c>
    </row>
    <row r="4588" spans="1:14">
      <c r="A4588" t="s">
        <v>281</v>
      </c>
      <c r="B4588" t="s">
        <v>2807</v>
      </c>
      <c r="C4588" t="s">
        <v>12</v>
      </c>
      <c r="D4588" t="s">
        <v>26</v>
      </c>
      <c r="E4588" s="7">
        <v>45657</v>
      </c>
      <c r="F4588" t="s">
        <v>115</v>
      </c>
      <c r="G4588">
        <v>0</v>
      </c>
      <c r="H4588" t="s">
        <v>27</v>
      </c>
      <c r="I4588" t="s">
        <v>16</v>
      </c>
      <c r="J4588" t="s">
        <v>16</v>
      </c>
      <c r="K4588" t="s">
        <v>2046</v>
      </c>
      <c r="L4588">
        <v>0</v>
      </c>
      <c r="M4588">
        <f t="shared" si="638"/>
        <v>31</v>
      </c>
      <c r="N4588" t="str">
        <f>TEXT(MTDRejection[[#This Row],[RejectionDate]],"dddd")</f>
        <v>Tuesday</v>
      </c>
    </row>
    <row r="4589" spans="1:14">
      <c r="A4589" t="s">
        <v>142</v>
      </c>
      <c r="B4589" t="s">
        <v>6611</v>
      </c>
      <c r="C4589" t="s">
        <v>36</v>
      </c>
      <c r="D4589" t="s">
        <v>26</v>
      </c>
      <c r="E4589" s="7">
        <v>45657</v>
      </c>
      <c r="F4589" t="s">
        <v>151</v>
      </c>
      <c r="G4589">
        <v>0</v>
      </c>
      <c r="H4589" t="s">
        <v>130</v>
      </c>
      <c r="I4589" t="s">
        <v>16</v>
      </c>
      <c r="J4589" t="s">
        <v>16</v>
      </c>
      <c r="K4589" t="s">
        <v>2046</v>
      </c>
      <c r="L4589">
        <v>0</v>
      </c>
      <c r="M4589">
        <f t="shared" si="638"/>
        <v>31</v>
      </c>
      <c r="N4589" t="str">
        <f>TEXT(MTDRejection[[#This Row],[RejectionDate]],"dddd")</f>
        <v>Tuesday</v>
      </c>
    </row>
    <row r="4590" spans="1:14">
      <c r="A4590" t="s">
        <v>84</v>
      </c>
      <c r="B4590" t="s">
        <v>6612</v>
      </c>
      <c r="C4590" t="s">
        <v>125</v>
      </c>
      <c r="D4590" t="s">
        <v>26</v>
      </c>
      <c r="E4590" s="7">
        <v>45657</v>
      </c>
      <c r="F4590" t="s">
        <v>151</v>
      </c>
      <c r="G4590">
        <v>0</v>
      </c>
      <c r="H4590" t="s">
        <v>27</v>
      </c>
      <c r="I4590" t="s">
        <v>16</v>
      </c>
      <c r="J4590" t="s">
        <v>16</v>
      </c>
      <c r="K4590" t="s">
        <v>2046</v>
      </c>
      <c r="L4590">
        <v>0</v>
      </c>
      <c r="M4590">
        <f t="shared" si="638"/>
        <v>31</v>
      </c>
      <c r="N4590" t="str">
        <f>TEXT(MTDRejection[[#This Row],[RejectionDate]],"dddd")</f>
        <v>Tuesday</v>
      </c>
    </row>
    <row r="4591" spans="1:14">
      <c r="A4591" t="s">
        <v>84</v>
      </c>
      <c r="B4591" t="s">
        <v>6613</v>
      </c>
      <c r="C4591" t="s">
        <v>36</v>
      </c>
      <c r="D4591" t="s">
        <v>26</v>
      </c>
      <c r="E4591" s="7">
        <v>45657</v>
      </c>
      <c r="F4591" t="s">
        <v>151</v>
      </c>
      <c r="G4591">
        <v>0</v>
      </c>
      <c r="H4591" t="s">
        <v>130</v>
      </c>
      <c r="I4591" t="s">
        <v>16</v>
      </c>
      <c r="J4591" t="s">
        <v>16</v>
      </c>
      <c r="K4591" t="s">
        <v>2046</v>
      </c>
      <c r="L4591">
        <v>0</v>
      </c>
      <c r="M4591">
        <f t="shared" si="638"/>
        <v>31</v>
      </c>
      <c r="N4591" t="str">
        <f>TEXT(MTDRejection[[#This Row],[RejectionDate]],"dddd")</f>
        <v>Tuesday</v>
      </c>
    </row>
    <row r="4592" spans="1:14">
      <c r="A4592" t="s">
        <v>81</v>
      </c>
      <c r="B4592" t="s">
        <v>6614</v>
      </c>
      <c r="C4592" t="s">
        <v>54</v>
      </c>
      <c r="D4592" t="s">
        <v>51</v>
      </c>
      <c r="E4592" s="7">
        <v>45657</v>
      </c>
      <c r="F4592" t="s">
        <v>52</v>
      </c>
      <c r="G4592">
        <v>0</v>
      </c>
      <c r="H4592" t="s">
        <v>53</v>
      </c>
      <c r="I4592" t="s">
        <v>16</v>
      </c>
      <c r="J4592" t="s">
        <v>16</v>
      </c>
      <c r="K4592" t="s">
        <v>2047</v>
      </c>
      <c r="L4592">
        <v>0</v>
      </c>
      <c r="M4592">
        <f t="shared" ref="M4592:M4625" si="639">DAY(E4592)</f>
        <v>31</v>
      </c>
      <c r="N4592" t="str">
        <f>TEXT(MTDRejection[[#This Row],[RejectionDate]],"dddd")</f>
        <v>Tuesday</v>
      </c>
    </row>
    <row r="4593" spans="1:14">
      <c r="A4593" t="s">
        <v>100</v>
      </c>
      <c r="B4593" t="s">
        <v>6615</v>
      </c>
      <c r="C4593" t="s">
        <v>775</v>
      </c>
      <c r="D4593" t="s">
        <v>13</v>
      </c>
      <c r="E4593" s="7">
        <v>45657</v>
      </c>
      <c r="F4593" t="s">
        <v>2345</v>
      </c>
      <c r="G4593">
        <v>0</v>
      </c>
      <c r="H4593" t="s">
        <v>15</v>
      </c>
      <c r="I4593" t="s">
        <v>16</v>
      </c>
      <c r="J4593" t="s">
        <v>16</v>
      </c>
      <c r="K4593" t="s">
        <v>2046</v>
      </c>
      <c r="L4593">
        <v>0</v>
      </c>
      <c r="M4593">
        <f t="shared" si="639"/>
        <v>31</v>
      </c>
      <c r="N4593" t="str">
        <f>TEXT(MTDRejection[[#This Row],[RejectionDate]],"dddd")</f>
        <v>Tuesday</v>
      </c>
    </row>
    <row r="4594" spans="1:14">
      <c r="A4594" t="s">
        <v>306</v>
      </c>
      <c r="B4594" t="s">
        <v>6616</v>
      </c>
      <c r="C4594" t="s">
        <v>49</v>
      </c>
      <c r="D4594" t="s">
        <v>13</v>
      </c>
      <c r="E4594" s="7">
        <v>45657</v>
      </c>
      <c r="F4594" t="s">
        <v>844</v>
      </c>
      <c r="G4594">
        <v>0</v>
      </c>
      <c r="H4594" t="s">
        <v>15</v>
      </c>
      <c r="I4594" t="s">
        <v>16</v>
      </c>
      <c r="J4594" t="s">
        <v>16</v>
      </c>
      <c r="K4594" t="s">
        <v>50</v>
      </c>
      <c r="L4594">
        <v>0</v>
      </c>
      <c r="M4594">
        <f t="shared" si="639"/>
        <v>31</v>
      </c>
      <c r="N4594" t="str">
        <f>TEXT(MTDRejection[[#This Row],[RejectionDate]],"dddd")</f>
        <v>Tuesday</v>
      </c>
    </row>
    <row r="4595" spans="1:14">
      <c r="A4595" t="s">
        <v>306</v>
      </c>
      <c r="B4595" t="s">
        <v>6617</v>
      </c>
      <c r="C4595" t="s">
        <v>1103</v>
      </c>
      <c r="D4595" t="s">
        <v>13</v>
      </c>
      <c r="E4595" s="7">
        <v>45657</v>
      </c>
      <c r="F4595" t="s">
        <v>844</v>
      </c>
      <c r="G4595">
        <v>0</v>
      </c>
      <c r="H4595" t="s">
        <v>30</v>
      </c>
      <c r="I4595" t="s">
        <v>16</v>
      </c>
      <c r="J4595" t="s">
        <v>16</v>
      </c>
      <c r="K4595" t="s">
        <v>50</v>
      </c>
      <c r="L4595">
        <v>0</v>
      </c>
      <c r="M4595">
        <f t="shared" si="639"/>
        <v>31</v>
      </c>
      <c r="N4595" t="str">
        <f>TEXT(MTDRejection[[#This Row],[RejectionDate]],"dddd")</f>
        <v>Tuesday</v>
      </c>
    </row>
    <row r="4596" spans="1:14">
      <c r="A4596" t="s">
        <v>306</v>
      </c>
      <c r="B4596" t="s">
        <v>6618</v>
      </c>
      <c r="C4596" t="s">
        <v>19</v>
      </c>
      <c r="D4596" t="s">
        <v>13</v>
      </c>
      <c r="E4596" s="7">
        <v>45657</v>
      </c>
      <c r="F4596" t="s">
        <v>844</v>
      </c>
      <c r="G4596">
        <v>0</v>
      </c>
      <c r="H4596" t="s">
        <v>15</v>
      </c>
      <c r="I4596" t="s">
        <v>16</v>
      </c>
      <c r="J4596" t="s">
        <v>16</v>
      </c>
      <c r="K4596" t="s">
        <v>2045</v>
      </c>
      <c r="L4596">
        <v>0</v>
      </c>
      <c r="M4596">
        <f t="shared" si="639"/>
        <v>31</v>
      </c>
      <c r="N4596" t="str">
        <f>TEXT(MTDRejection[[#This Row],[RejectionDate]],"dddd")</f>
        <v>Tuesday</v>
      </c>
    </row>
    <row r="4597" spans="1:14">
      <c r="A4597" t="s">
        <v>306</v>
      </c>
      <c r="B4597" t="s">
        <v>6619</v>
      </c>
      <c r="C4597" t="s">
        <v>56</v>
      </c>
      <c r="D4597" t="s">
        <v>13</v>
      </c>
      <c r="E4597" s="7">
        <v>45657</v>
      </c>
      <c r="F4597" t="s">
        <v>844</v>
      </c>
      <c r="G4597">
        <v>0</v>
      </c>
      <c r="H4597" t="s">
        <v>15</v>
      </c>
      <c r="I4597" t="s">
        <v>16</v>
      </c>
      <c r="J4597" t="s">
        <v>16</v>
      </c>
      <c r="K4597" t="s">
        <v>57</v>
      </c>
      <c r="L4597">
        <v>0</v>
      </c>
      <c r="M4597">
        <f t="shared" si="639"/>
        <v>31</v>
      </c>
      <c r="N4597" t="str">
        <f>TEXT(MTDRejection[[#This Row],[RejectionDate]],"dddd")</f>
        <v>Tuesday</v>
      </c>
    </row>
    <row r="4598" spans="1:14">
      <c r="A4598" t="s">
        <v>45</v>
      </c>
      <c r="B4598" t="s">
        <v>6620</v>
      </c>
      <c r="C4598" t="s">
        <v>19</v>
      </c>
      <c r="D4598" t="s">
        <v>26</v>
      </c>
      <c r="E4598" s="7">
        <v>45657</v>
      </c>
      <c r="F4598" t="s">
        <v>66</v>
      </c>
      <c r="G4598">
        <v>0</v>
      </c>
      <c r="H4598" t="s">
        <v>15</v>
      </c>
      <c r="I4598" t="s">
        <v>16</v>
      </c>
      <c r="J4598" t="s">
        <v>16</v>
      </c>
      <c r="K4598" t="s">
        <v>2045</v>
      </c>
      <c r="L4598">
        <v>0</v>
      </c>
      <c r="M4598">
        <f t="shared" si="639"/>
        <v>31</v>
      </c>
      <c r="N4598" t="str">
        <f>TEXT(MTDRejection[[#This Row],[RejectionDate]],"dddd")</f>
        <v>Tuesday</v>
      </c>
    </row>
    <row r="4599" spans="1:14">
      <c r="A4599" t="s">
        <v>1110</v>
      </c>
      <c r="B4599" t="s">
        <v>2067</v>
      </c>
      <c r="C4599" t="s">
        <v>965</v>
      </c>
      <c r="D4599" t="s">
        <v>26</v>
      </c>
      <c r="E4599" s="7">
        <v>45657</v>
      </c>
      <c r="F4599" t="s">
        <v>2330</v>
      </c>
      <c r="G4599">
        <v>0</v>
      </c>
      <c r="H4599" t="s">
        <v>27</v>
      </c>
      <c r="I4599" t="s">
        <v>16</v>
      </c>
      <c r="J4599" t="s">
        <v>16</v>
      </c>
      <c r="K4599" t="s">
        <v>2045</v>
      </c>
      <c r="L4599">
        <v>0</v>
      </c>
      <c r="M4599">
        <f t="shared" si="639"/>
        <v>31</v>
      </c>
      <c r="N4599" t="str">
        <f>TEXT(MTDRejection[[#This Row],[RejectionDate]],"dddd")</f>
        <v>Tuesday</v>
      </c>
    </row>
    <row r="4600" spans="1:14">
      <c r="A4600" t="s">
        <v>1110</v>
      </c>
      <c r="B4600" t="s">
        <v>6621</v>
      </c>
      <c r="C4600" t="s">
        <v>965</v>
      </c>
      <c r="D4600" t="s">
        <v>26</v>
      </c>
      <c r="E4600" s="7">
        <v>45657</v>
      </c>
      <c r="F4600" t="s">
        <v>2330</v>
      </c>
      <c r="G4600">
        <v>0</v>
      </c>
      <c r="H4600" t="s">
        <v>27</v>
      </c>
      <c r="I4600" t="s">
        <v>16</v>
      </c>
      <c r="J4600" t="s">
        <v>16</v>
      </c>
      <c r="K4600" t="s">
        <v>2045</v>
      </c>
      <c r="L4600">
        <v>0</v>
      </c>
      <c r="M4600">
        <f t="shared" si="639"/>
        <v>31</v>
      </c>
      <c r="N4600" t="str">
        <f>TEXT(MTDRejection[[#This Row],[RejectionDate]],"dddd")</f>
        <v>Tuesday</v>
      </c>
    </row>
    <row r="4601" spans="1:14">
      <c r="A4601" t="s">
        <v>1110</v>
      </c>
      <c r="B4601" t="s">
        <v>6622</v>
      </c>
      <c r="C4601" t="s">
        <v>965</v>
      </c>
      <c r="D4601" t="s">
        <v>26</v>
      </c>
      <c r="E4601" s="7">
        <v>45657</v>
      </c>
      <c r="F4601" t="s">
        <v>2330</v>
      </c>
      <c r="G4601">
        <v>0</v>
      </c>
      <c r="H4601" t="s">
        <v>27</v>
      </c>
      <c r="I4601" t="s">
        <v>16</v>
      </c>
      <c r="J4601" t="s">
        <v>16</v>
      </c>
      <c r="K4601" t="s">
        <v>2045</v>
      </c>
      <c r="L4601">
        <v>0</v>
      </c>
      <c r="M4601">
        <f t="shared" si="639"/>
        <v>31</v>
      </c>
      <c r="N4601" t="str">
        <f>TEXT(MTDRejection[[#This Row],[RejectionDate]],"dddd")</f>
        <v>Tuesday</v>
      </c>
    </row>
    <row r="4602" spans="1:14">
      <c r="A4602" t="s">
        <v>45</v>
      </c>
      <c r="B4602" t="s">
        <v>2808</v>
      </c>
      <c r="C4602" t="s">
        <v>112</v>
      </c>
      <c r="D4602" t="s">
        <v>26</v>
      </c>
      <c r="E4602" s="7">
        <v>45657</v>
      </c>
      <c r="F4602" t="s">
        <v>224</v>
      </c>
      <c r="G4602">
        <v>0</v>
      </c>
      <c r="H4602" t="s">
        <v>27</v>
      </c>
      <c r="I4602" t="s">
        <v>16</v>
      </c>
      <c r="J4602" t="s">
        <v>16</v>
      </c>
      <c r="K4602" t="s">
        <v>2046</v>
      </c>
      <c r="L4602">
        <v>0</v>
      </c>
      <c r="M4602">
        <f t="shared" si="639"/>
        <v>31</v>
      </c>
      <c r="N4602" t="str">
        <f>TEXT(MTDRejection[[#This Row],[RejectionDate]],"dddd")</f>
        <v>Tuesday</v>
      </c>
    </row>
    <row r="4603" spans="1:14">
      <c r="A4603" t="s">
        <v>160</v>
      </c>
      <c r="B4603" t="s">
        <v>6623</v>
      </c>
      <c r="C4603" t="s">
        <v>36</v>
      </c>
      <c r="D4603" t="s">
        <v>26</v>
      </c>
      <c r="E4603" s="7">
        <v>45657</v>
      </c>
      <c r="F4603" t="s">
        <v>83</v>
      </c>
      <c r="G4603">
        <v>0</v>
      </c>
      <c r="H4603" t="s">
        <v>27</v>
      </c>
      <c r="I4603" t="s">
        <v>16</v>
      </c>
      <c r="J4603" t="s">
        <v>16</v>
      </c>
      <c r="K4603" t="s">
        <v>2046</v>
      </c>
      <c r="L4603">
        <v>0</v>
      </c>
      <c r="M4603">
        <f t="shared" si="639"/>
        <v>31</v>
      </c>
      <c r="N4603" t="str">
        <f>TEXT(MTDRejection[[#This Row],[RejectionDate]],"dddd")</f>
        <v>Tuesday</v>
      </c>
    </row>
    <row r="4604" spans="1:14">
      <c r="A4604" t="s">
        <v>685</v>
      </c>
      <c r="B4604" t="s">
        <v>6624</v>
      </c>
      <c r="C4604" t="s">
        <v>54</v>
      </c>
      <c r="D4604" t="s">
        <v>26</v>
      </c>
      <c r="E4604" s="7">
        <v>45657</v>
      </c>
      <c r="F4604" t="s">
        <v>63</v>
      </c>
      <c r="G4604">
        <v>0</v>
      </c>
      <c r="H4604" t="s">
        <v>95</v>
      </c>
      <c r="I4604" t="s">
        <v>16</v>
      </c>
      <c r="J4604" t="s">
        <v>16</v>
      </c>
      <c r="K4604" t="s">
        <v>2047</v>
      </c>
      <c r="L4604">
        <v>0</v>
      </c>
      <c r="M4604">
        <f t="shared" si="639"/>
        <v>31</v>
      </c>
      <c r="N4604" t="str">
        <f>TEXT(MTDRejection[[#This Row],[RejectionDate]],"dddd")</f>
        <v>Tuesday</v>
      </c>
    </row>
    <row r="4605" spans="1:14">
      <c r="A4605" t="s">
        <v>580</v>
      </c>
      <c r="B4605" t="s">
        <v>6625</v>
      </c>
      <c r="C4605" t="s">
        <v>25</v>
      </c>
      <c r="D4605" t="s">
        <v>20</v>
      </c>
      <c r="E4605" s="7">
        <v>45657</v>
      </c>
      <c r="F4605" t="s">
        <v>273</v>
      </c>
      <c r="G4605">
        <v>0</v>
      </c>
      <c r="H4605" t="s">
        <v>27</v>
      </c>
      <c r="I4605" t="s">
        <v>16</v>
      </c>
      <c r="J4605" t="s">
        <v>16</v>
      </c>
      <c r="K4605" t="s">
        <v>2045</v>
      </c>
      <c r="L4605">
        <v>1</v>
      </c>
      <c r="M4605">
        <f t="shared" si="639"/>
        <v>31</v>
      </c>
      <c r="N4605" t="str">
        <f>TEXT(MTDRejection[[#This Row],[RejectionDate]],"dddd")</f>
        <v>Tuesday</v>
      </c>
    </row>
    <row r="4606" spans="1:14">
      <c r="A4606" t="s">
        <v>452</v>
      </c>
      <c r="B4606" t="s">
        <v>6626</v>
      </c>
      <c r="C4606" t="s">
        <v>19</v>
      </c>
      <c r="D4606" t="s">
        <v>20</v>
      </c>
      <c r="E4606" s="7">
        <v>45657</v>
      </c>
      <c r="F4606" t="s">
        <v>2327</v>
      </c>
      <c r="G4606">
        <v>0</v>
      </c>
      <c r="H4606" t="s">
        <v>22</v>
      </c>
      <c r="I4606" t="s">
        <v>16</v>
      </c>
      <c r="J4606" t="s">
        <v>16</v>
      </c>
      <c r="K4606" t="s">
        <v>2045</v>
      </c>
      <c r="L4606">
        <v>1</v>
      </c>
      <c r="M4606">
        <f t="shared" si="639"/>
        <v>31</v>
      </c>
      <c r="N4606" t="str">
        <f>TEXT(MTDRejection[[#This Row],[RejectionDate]],"dddd")</f>
        <v>Tuesday</v>
      </c>
    </row>
    <row r="4607" spans="1:14">
      <c r="A4607" t="s">
        <v>1271</v>
      </c>
      <c r="B4607" t="s">
        <v>6627</v>
      </c>
      <c r="C4607" t="s">
        <v>54</v>
      </c>
      <c r="D4607" t="s">
        <v>26</v>
      </c>
      <c r="E4607" s="7">
        <v>45657</v>
      </c>
      <c r="F4607" t="s">
        <v>1825</v>
      </c>
      <c r="G4607">
        <v>0</v>
      </c>
      <c r="H4607" t="s">
        <v>27</v>
      </c>
      <c r="I4607" t="s">
        <v>16</v>
      </c>
      <c r="J4607" t="s">
        <v>16</v>
      </c>
      <c r="K4607" t="s">
        <v>2047</v>
      </c>
      <c r="L4607">
        <v>0</v>
      </c>
      <c r="M4607">
        <f t="shared" si="639"/>
        <v>31</v>
      </c>
      <c r="N4607" t="str">
        <f>TEXT(MTDRejection[[#This Row],[RejectionDate]],"dddd")</f>
        <v>Tuesday</v>
      </c>
    </row>
    <row r="4608" spans="1:14">
      <c r="A4608" t="s">
        <v>1271</v>
      </c>
      <c r="B4608" t="s">
        <v>6628</v>
      </c>
      <c r="C4608" t="s">
        <v>54</v>
      </c>
      <c r="D4608" t="s">
        <v>26</v>
      </c>
      <c r="E4608" s="7">
        <v>45657</v>
      </c>
      <c r="F4608" t="s">
        <v>535</v>
      </c>
      <c r="G4608">
        <v>0</v>
      </c>
      <c r="H4608" t="s">
        <v>130</v>
      </c>
      <c r="I4608" t="s">
        <v>16</v>
      </c>
      <c r="J4608" t="s">
        <v>16</v>
      </c>
      <c r="K4608" t="s">
        <v>2047</v>
      </c>
      <c r="L4608">
        <v>0</v>
      </c>
      <c r="M4608">
        <f t="shared" si="639"/>
        <v>31</v>
      </c>
      <c r="N4608" t="str">
        <f>TEXT(MTDRejection[[#This Row],[RejectionDate]],"dddd")</f>
        <v>Tuesday</v>
      </c>
    </row>
    <row r="4609" spans="1:14">
      <c r="A4609" t="s">
        <v>402</v>
      </c>
      <c r="B4609" t="s">
        <v>2809</v>
      </c>
      <c r="C4609" t="s">
        <v>54</v>
      </c>
      <c r="D4609" t="s">
        <v>26</v>
      </c>
      <c r="E4609" s="7">
        <v>45657</v>
      </c>
      <c r="F4609" t="s">
        <v>535</v>
      </c>
      <c r="G4609">
        <v>0</v>
      </c>
      <c r="H4609" t="s">
        <v>27</v>
      </c>
      <c r="I4609" t="s">
        <v>16</v>
      </c>
      <c r="J4609" t="s">
        <v>16</v>
      </c>
      <c r="K4609" t="s">
        <v>2047</v>
      </c>
      <c r="L4609">
        <v>0</v>
      </c>
      <c r="M4609">
        <f t="shared" si="639"/>
        <v>31</v>
      </c>
      <c r="N4609" t="str">
        <f>TEXT(MTDRejection[[#This Row],[RejectionDate]],"dddd")</f>
        <v>Tuesday</v>
      </c>
    </row>
    <row r="4610" spans="1:14">
      <c r="A4610" t="s">
        <v>1811</v>
      </c>
      <c r="B4610" t="s">
        <v>6629</v>
      </c>
      <c r="C4610" t="s">
        <v>54</v>
      </c>
      <c r="D4610" t="s">
        <v>26</v>
      </c>
      <c r="E4610" s="7">
        <v>45657</v>
      </c>
      <c r="F4610" t="s">
        <v>535</v>
      </c>
      <c r="G4610">
        <v>0</v>
      </c>
      <c r="H4610" t="s">
        <v>27</v>
      </c>
      <c r="I4610" t="s">
        <v>16</v>
      </c>
      <c r="J4610" t="s">
        <v>16</v>
      </c>
      <c r="K4610" t="s">
        <v>2047</v>
      </c>
      <c r="L4610">
        <v>0</v>
      </c>
      <c r="M4610">
        <f t="shared" si="639"/>
        <v>31</v>
      </c>
      <c r="N4610" t="str">
        <f>TEXT(MTDRejection[[#This Row],[RejectionDate]],"dddd")</f>
        <v>Tuesday</v>
      </c>
    </row>
    <row r="4611" spans="1:14">
      <c r="A4611" t="s">
        <v>81</v>
      </c>
      <c r="B4611" t="s">
        <v>6630</v>
      </c>
      <c r="C4611" t="s">
        <v>54</v>
      </c>
      <c r="D4611" t="s">
        <v>26</v>
      </c>
      <c r="E4611" s="7">
        <v>45657</v>
      </c>
      <c r="F4611" t="s">
        <v>535</v>
      </c>
      <c r="G4611">
        <v>0</v>
      </c>
      <c r="H4611" t="s">
        <v>27</v>
      </c>
      <c r="I4611" t="s">
        <v>16</v>
      </c>
      <c r="J4611" t="s">
        <v>16</v>
      </c>
      <c r="K4611" t="s">
        <v>2047</v>
      </c>
      <c r="L4611">
        <v>0</v>
      </c>
      <c r="M4611">
        <f t="shared" si="639"/>
        <v>31</v>
      </c>
      <c r="N4611" t="str">
        <f>TEXT(MTDRejection[[#This Row],[RejectionDate]],"dddd")</f>
        <v>Tuesday</v>
      </c>
    </row>
    <row r="4612" spans="1:14">
      <c r="A4612" t="s">
        <v>465</v>
      </c>
      <c r="B4612" t="s">
        <v>6631</v>
      </c>
      <c r="C4612" t="s">
        <v>54</v>
      </c>
      <c r="D4612" t="s">
        <v>26</v>
      </c>
      <c r="E4612" s="7">
        <v>45657</v>
      </c>
      <c r="F4612" t="s">
        <v>535</v>
      </c>
      <c r="G4612">
        <v>0</v>
      </c>
      <c r="H4612" t="s">
        <v>27</v>
      </c>
      <c r="I4612" t="s">
        <v>16</v>
      </c>
      <c r="J4612" t="s">
        <v>16</v>
      </c>
      <c r="K4612" t="s">
        <v>2047</v>
      </c>
      <c r="L4612">
        <v>0</v>
      </c>
      <c r="M4612">
        <f t="shared" si="639"/>
        <v>31</v>
      </c>
      <c r="N4612" t="str">
        <f>TEXT(MTDRejection[[#This Row],[RejectionDate]],"dddd")</f>
        <v>Tuesday</v>
      </c>
    </row>
    <row r="4613" spans="1:14">
      <c r="A4613" t="s">
        <v>1548</v>
      </c>
      <c r="B4613" t="s">
        <v>6632</v>
      </c>
      <c r="C4613" t="s">
        <v>54</v>
      </c>
      <c r="D4613" t="s">
        <v>26</v>
      </c>
      <c r="E4613" s="7">
        <v>45657</v>
      </c>
      <c r="F4613" t="s">
        <v>535</v>
      </c>
      <c r="G4613">
        <v>0</v>
      </c>
      <c r="H4613" t="s">
        <v>130</v>
      </c>
      <c r="I4613" t="s">
        <v>16</v>
      </c>
      <c r="J4613" t="s">
        <v>16</v>
      </c>
      <c r="K4613" t="s">
        <v>2047</v>
      </c>
      <c r="L4613">
        <v>0</v>
      </c>
      <c r="M4613">
        <f t="shared" si="639"/>
        <v>31</v>
      </c>
      <c r="N4613" t="str">
        <f>TEXT(MTDRejection[[#This Row],[RejectionDate]],"dddd")</f>
        <v>Tuesday</v>
      </c>
    </row>
    <row r="4614" spans="1:14">
      <c r="A4614" t="s">
        <v>337</v>
      </c>
      <c r="B4614" t="s">
        <v>6633</v>
      </c>
      <c r="C4614" t="s">
        <v>93</v>
      </c>
      <c r="D4614" t="s">
        <v>26</v>
      </c>
      <c r="E4614" s="7">
        <v>45657</v>
      </c>
      <c r="F4614" t="s">
        <v>535</v>
      </c>
      <c r="G4614">
        <v>0</v>
      </c>
      <c r="H4614" t="s">
        <v>95</v>
      </c>
      <c r="I4614" t="s">
        <v>16</v>
      </c>
      <c r="J4614" t="s">
        <v>16</v>
      </c>
      <c r="K4614" t="s">
        <v>2047</v>
      </c>
      <c r="L4614">
        <v>0</v>
      </c>
      <c r="M4614">
        <f t="shared" si="639"/>
        <v>31</v>
      </c>
      <c r="N4614" t="str">
        <f>TEXT(MTDRejection[[#This Row],[RejectionDate]],"dddd")</f>
        <v>Tuesday</v>
      </c>
    </row>
    <row r="4615" spans="1:14">
      <c r="A4615" t="s">
        <v>1306</v>
      </c>
      <c r="B4615" t="s">
        <v>6634</v>
      </c>
      <c r="C4615" t="s">
        <v>54</v>
      </c>
      <c r="D4615" t="s">
        <v>26</v>
      </c>
      <c r="E4615" s="7">
        <v>45657</v>
      </c>
      <c r="F4615" t="s">
        <v>535</v>
      </c>
      <c r="G4615">
        <v>0</v>
      </c>
      <c r="H4615" t="s">
        <v>27</v>
      </c>
      <c r="I4615" t="s">
        <v>16</v>
      </c>
      <c r="J4615" t="s">
        <v>16</v>
      </c>
      <c r="K4615" t="s">
        <v>2047</v>
      </c>
      <c r="L4615">
        <v>0</v>
      </c>
      <c r="M4615">
        <f t="shared" si="639"/>
        <v>31</v>
      </c>
      <c r="N4615" t="str">
        <f>TEXT(MTDRejection[[#This Row],[RejectionDate]],"dddd")</f>
        <v>Tuesday</v>
      </c>
    </row>
    <row r="4616" spans="1:14">
      <c r="A4616" t="s">
        <v>1892</v>
      </c>
      <c r="B4616" t="s">
        <v>6635</v>
      </c>
      <c r="C4616" t="s">
        <v>54</v>
      </c>
      <c r="D4616" t="s">
        <v>26</v>
      </c>
      <c r="E4616" s="7">
        <v>45657</v>
      </c>
      <c r="F4616" t="s">
        <v>535</v>
      </c>
      <c r="G4616">
        <v>0</v>
      </c>
      <c r="H4616" t="s">
        <v>27</v>
      </c>
      <c r="I4616" t="s">
        <v>16</v>
      </c>
      <c r="J4616" t="s">
        <v>16</v>
      </c>
      <c r="K4616" t="s">
        <v>2047</v>
      </c>
      <c r="L4616">
        <v>0</v>
      </c>
      <c r="M4616">
        <f t="shared" si="639"/>
        <v>31</v>
      </c>
      <c r="N4616" t="str">
        <f>TEXT(MTDRejection[[#This Row],[RejectionDate]],"dddd")</f>
        <v>Tuesday</v>
      </c>
    </row>
    <row r="4617" spans="1:14">
      <c r="A4617" t="s">
        <v>1886</v>
      </c>
      <c r="B4617" t="s">
        <v>6636</v>
      </c>
      <c r="C4617" t="s">
        <v>54</v>
      </c>
      <c r="D4617" t="s">
        <v>26</v>
      </c>
      <c r="E4617" s="7">
        <v>45657</v>
      </c>
      <c r="F4617" t="s">
        <v>535</v>
      </c>
      <c r="G4617">
        <v>0</v>
      </c>
      <c r="H4617" t="s">
        <v>27</v>
      </c>
      <c r="I4617" t="s">
        <v>16</v>
      </c>
      <c r="J4617" t="s">
        <v>16</v>
      </c>
      <c r="K4617" t="s">
        <v>2047</v>
      </c>
      <c r="L4617">
        <v>0</v>
      </c>
      <c r="M4617">
        <f t="shared" si="639"/>
        <v>31</v>
      </c>
      <c r="N4617" t="str">
        <f>TEXT(MTDRejection[[#This Row],[RejectionDate]],"dddd")</f>
        <v>Tuesday</v>
      </c>
    </row>
    <row r="4618" spans="1:14">
      <c r="A4618" t="s">
        <v>519</v>
      </c>
      <c r="B4618" t="s">
        <v>5733</v>
      </c>
      <c r="C4618" t="s">
        <v>1293</v>
      </c>
      <c r="D4618" t="s">
        <v>26</v>
      </c>
      <c r="E4618" s="7">
        <v>45657</v>
      </c>
      <c r="F4618" t="s">
        <v>535</v>
      </c>
      <c r="G4618">
        <v>0</v>
      </c>
      <c r="H4618" t="s">
        <v>27</v>
      </c>
      <c r="I4618" t="s">
        <v>16</v>
      </c>
      <c r="J4618" t="s">
        <v>16</v>
      </c>
      <c r="K4618" t="s">
        <v>2047</v>
      </c>
      <c r="L4618">
        <v>0</v>
      </c>
      <c r="M4618">
        <f t="shared" si="639"/>
        <v>31</v>
      </c>
      <c r="N4618" t="str">
        <f>TEXT(MTDRejection[[#This Row],[RejectionDate]],"dddd")</f>
        <v>Tuesday</v>
      </c>
    </row>
    <row r="4619" spans="1:14">
      <c r="A4619" t="s">
        <v>73</v>
      </c>
      <c r="B4619" t="s">
        <v>6637</v>
      </c>
      <c r="C4619" t="s">
        <v>54</v>
      </c>
      <c r="D4619" t="s">
        <v>26</v>
      </c>
      <c r="E4619" s="7">
        <v>45657</v>
      </c>
      <c r="F4619" t="s">
        <v>1304</v>
      </c>
      <c r="G4619">
        <v>0</v>
      </c>
      <c r="H4619" t="s">
        <v>22</v>
      </c>
      <c r="I4619" t="s">
        <v>16</v>
      </c>
      <c r="J4619" t="s">
        <v>16</v>
      </c>
      <c r="K4619" t="s">
        <v>2047</v>
      </c>
      <c r="L4619">
        <v>0</v>
      </c>
      <c r="M4619">
        <f t="shared" si="639"/>
        <v>31</v>
      </c>
      <c r="N4619" t="str">
        <f>TEXT(MTDRejection[[#This Row],[RejectionDate]],"dddd")</f>
        <v>Tuesday</v>
      </c>
    </row>
    <row r="4620" spans="1:14">
      <c r="A4620" t="s">
        <v>40</v>
      </c>
      <c r="B4620" t="s">
        <v>6638</v>
      </c>
      <c r="C4620" t="s">
        <v>12</v>
      </c>
      <c r="D4620" t="s">
        <v>26</v>
      </c>
      <c r="E4620" s="7">
        <v>45657</v>
      </c>
      <c r="F4620" t="s">
        <v>2337</v>
      </c>
      <c r="G4620">
        <v>0</v>
      </c>
      <c r="H4620" t="s">
        <v>27</v>
      </c>
      <c r="I4620" t="s">
        <v>16</v>
      </c>
      <c r="J4620" t="s">
        <v>16</v>
      </c>
      <c r="K4620" t="s">
        <v>2046</v>
      </c>
      <c r="L4620">
        <v>0</v>
      </c>
      <c r="M4620">
        <f t="shared" si="639"/>
        <v>31</v>
      </c>
      <c r="N4620" t="str">
        <f>TEXT(MTDRejection[[#This Row],[RejectionDate]],"dddd")</f>
        <v>Tuesday</v>
      </c>
    </row>
    <row r="4621" spans="1:14">
      <c r="A4621" t="s">
        <v>1573</v>
      </c>
      <c r="B4621" t="s">
        <v>6639</v>
      </c>
      <c r="C4621" t="s">
        <v>54</v>
      </c>
      <c r="D4621" t="s">
        <v>26</v>
      </c>
      <c r="E4621" s="7">
        <v>45657</v>
      </c>
      <c r="F4621" t="s">
        <v>2344</v>
      </c>
      <c r="G4621">
        <v>0</v>
      </c>
      <c r="H4621" t="s">
        <v>30</v>
      </c>
      <c r="I4621" t="s">
        <v>16</v>
      </c>
      <c r="J4621" t="s">
        <v>16</v>
      </c>
      <c r="K4621" t="s">
        <v>2047</v>
      </c>
      <c r="L4621">
        <v>0</v>
      </c>
      <c r="M4621">
        <f t="shared" si="639"/>
        <v>31</v>
      </c>
      <c r="N4621" t="str">
        <f>TEXT(MTDRejection[[#This Row],[RejectionDate]],"dddd")</f>
        <v>Tuesday</v>
      </c>
    </row>
    <row r="4622" spans="1:14">
      <c r="A4622" t="s">
        <v>45</v>
      </c>
      <c r="B4622" t="s">
        <v>6640</v>
      </c>
      <c r="C4622" t="s">
        <v>36</v>
      </c>
      <c r="D4622" t="s">
        <v>26</v>
      </c>
      <c r="E4622" s="7">
        <v>45657</v>
      </c>
      <c r="F4622" t="s">
        <v>179</v>
      </c>
      <c r="G4622">
        <v>0</v>
      </c>
      <c r="H4622" t="s">
        <v>27</v>
      </c>
      <c r="I4622" t="s">
        <v>16</v>
      </c>
      <c r="J4622" t="s">
        <v>16</v>
      </c>
      <c r="K4622" t="s">
        <v>2046</v>
      </c>
      <c r="L4622">
        <v>0</v>
      </c>
      <c r="M4622">
        <f t="shared" si="639"/>
        <v>31</v>
      </c>
      <c r="N4622" t="str">
        <f>TEXT(MTDRejection[[#This Row],[RejectionDate]],"dddd")</f>
        <v>Tuesday</v>
      </c>
    </row>
    <row r="4623" spans="1:14">
      <c r="A4623" t="s">
        <v>1204</v>
      </c>
      <c r="B4623" t="s">
        <v>1205</v>
      </c>
      <c r="C4623" t="s">
        <v>533</v>
      </c>
      <c r="D4623" t="s">
        <v>38</v>
      </c>
      <c r="E4623" s="7">
        <v>45657</v>
      </c>
      <c r="F4623" t="s">
        <v>118</v>
      </c>
      <c r="G4623">
        <v>0</v>
      </c>
      <c r="H4623" t="s">
        <v>42</v>
      </c>
      <c r="I4623" t="s">
        <v>16</v>
      </c>
      <c r="J4623" t="s">
        <v>16</v>
      </c>
      <c r="K4623" t="s">
        <v>50</v>
      </c>
      <c r="L4623">
        <v>0</v>
      </c>
      <c r="M4623">
        <f t="shared" si="639"/>
        <v>31</v>
      </c>
      <c r="N4623" t="str">
        <f>TEXT(MTDRejection[[#This Row],[RejectionDate]],"dddd")</f>
        <v>Tuesday</v>
      </c>
    </row>
    <row r="4624" spans="1:14">
      <c r="A4624" t="s">
        <v>10</v>
      </c>
      <c r="B4624" t="s">
        <v>6641</v>
      </c>
      <c r="C4624" t="s">
        <v>467</v>
      </c>
      <c r="D4624" t="s">
        <v>38</v>
      </c>
      <c r="E4624" s="7">
        <v>45657</v>
      </c>
      <c r="F4624" t="s">
        <v>118</v>
      </c>
      <c r="G4624">
        <v>0</v>
      </c>
      <c r="H4624" t="s">
        <v>42</v>
      </c>
      <c r="I4624" t="s">
        <v>16</v>
      </c>
      <c r="J4624" t="s">
        <v>16</v>
      </c>
      <c r="K4624" t="s">
        <v>57</v>
      </c>
      <c r="L4624">
        <v>1</v>
      </c>
      <c r="M4624">
        <f t="shared" si="639"/>
        <v>31</v>
      </c>
      <c r="N4624" t="str">
        <f>TEXT(MTDRejection[[#This Row],[RejectionDate]],"dddd")</f>
        <v>Tuesday</v>
      </c>
    </row>
    <row r="4625" spans="1:14">
      <c r="A4625" t="s">
        <v>45</v>
      </c>
      <c r="B4625" t="s">
        <v>4673</v>
      </c>
      <c r="C4625" t="s">
        <v>59</v>
      </c>
      <c r="D4625" t="s">
        <v>38</v>
      </c>
      <c r="E4625" s="7">
        <v>45657</v>
      </c>
      <c r="F4625" t="s">
        <v>118</v>
      </c>
      <c r="G4625">
        <v>0</v>
      </c>
      <c r="H4625" t="s">
        <v>22</v>
      </c>
      <c r="I4625" t="s">
        <v>16</v>
      </c>
      <c r="J4625" t="s">
        <v>16</v>
      </c>
      <c r="K4625" t="s">
        <v>57</v>
      </c>
      <c r="L4625">
        <v>0</v>
      </c>
      <c r="M4625">
        <f t="shared" si="639"/>
        <v>31</v>
      </c>
      <c r="N4625" t="str">
        <f>TEXT(MTDRejection[[#This Row],[RejectionDate]],"dddd")</f>
        <v>Tuesday</v>
      </c>
    </row>
    <row r="4626" spans="1:14">
      <c r="A4626" t="s">
        <v>419</v>
      </c>
      <c r="B4626" t="s">
        <v>6642</v>
      </c>
      <c r="C4626" t="s">
        <v>220</v>
      </c>
      <c r="D4626" t="s">
        <v>38</v>
      </c>
      <c r="E4626" s="7">
        <v>45657</v>
      </c>
      <c r="F4626" t="s">
        <v>39</v>
      </c>
      <c r="G4626">
        <v>2</v>
      </c>
      <c r="H4626" t="s">
        <v>42</v>
      </c>
      <c r="I4626" t="s">
        <v>16</v>
      </c>
      <c r="J4626" t="s">
        <v>16</v>
      </c>
      <c r="K4626" t="s">
        <v>2048</v>
      </c>
      <c r="L4626">
        <v>0</v>
      </c>
      <c r="M4626">
        <f t="shared" ref="M4626:M4649" si="640">DAY(E4626)</f>
        <v>31</v>
      </c>
      <c r="N4626" t="str">
        <f>TEXT(MTDRejection[[#This Row],[RejectionDate]],"dddd")</f>
        <v>Tuesday</v>
      </c>
    </row>
    <row r="4627" spans="1:14">
      <c r="A4627" t="s">
        <v>306</v>
      </c>
      <c r="B4627" t="s">
        <v>6643</v>
      </c>
      <c r="C4627" t="s">
        <v>106</v>
      </c>
      <c r="D4627" t="s">
        <v>38</v>
      </c>
      <c r="E4627" s="7">
        <v>45657</v>
      </c>
      <c r="F4627" t="s">
        <v>39</v>
      </c>
      <c r="G4627">
        <v>2</v>
      </c>
      <c r="H4627" t="s">
        <v>42</v>
      </c>
      <c r="I4627" t="s">
        <v>16</v>
      </c>
      <c r="J4627" t="s">
        <v>16</v>
      </c>
      <c r="K4627" t="s">
        <v>2048</v>
      </c>
      <c r="L4627">
        <v>0</v>
      </c>
      <c r="M4627">
        <f t="shared" si="640"/>
        <v>31</v>
      </c>
      <c r="N4627" t="str">
        <f>TEXT(MTDRejection[[#This Row],[RejectionDate]],"dddd")</f>
        <v>Tuesday</v>
      </c>
    </row>
    <row r="4628" spans="1:14">
      <c r="A4628" t="s">
        <v>263</v>
      </c>
      <c r="B4628" t="s">
        <v>6644</v>
      </c>
      <c r="C4628" t="s">
        <v>25</v>
      </c>
      <c r="D4628" t="s">
        <v>20</v>
      </c>
      <c r="E4628" s="7">
        <v>45657</v>
      </c>
      <c r="F4628" t="s">
        <v>2327</v>
      </c>
      <c r="G4628">
        <v>2</v>
      </c>
      <c r="H4628" t="s">
        <v>22</v>
      </c>
      <c r="I4628" t="s">
        <v>16</v>
      </c>
      <c r="J4628" t="s">
        <v>16</v>
      </c>
      <c r="K4628" t="s">
        <v>2045</v>
      </c>
      <c r="L4628">
        <v>1</v>
      </c>
      <c r="M4628">
        <f t="shared" si="640"/>
        <v>31</v>
      </c>
      <c r="N4628" t="str">
        <f>TEXT(MTDRejection[[#This Row],[RejectionDate]],"dddd")</f>
        <v>Tuesday</v>
      </c>
    </row>
    <row r="4629" spans="1:14">
      <c r="A4629" t="s">
        <v>469</v>
      </c>
      <c r="B4629" t="s">
        <v>6645</v>
      </c>
      <c r="C4629" t="s">
        <v>12</v>
      </c>
      <c r="D4629" t="s">
        <v>26</v>
      </c>
      <c r="E4629" s="7">
        <v>45657</v>
      </c>
      <c r="F4629" t="s">
        <v>325</v>
      </c>
      <c r="G4629">
        <v>2</v>
      </c>
      <c r="H4629" t="s">
        <v>27</v>
      </c>
      <c r="I4629" t="s">
        <v>16</v>
      </c>
      <c r="J4629" t="s">
        <v>16</v>
      </c>
      <c r="K4629" t="s">
        <v>2046</v>
      </c>
      <c r="L4629">
        <v>0</v>
      </c>
      <c r="M4629">
        <f t="shared" si="640"/>
        <v>31</v>
      </c>
      <c r="N4629" t="str">
        <f>TEXT(MTDRejection[[#This Row],[RejectionDate]],"dddd")</f>
        <v>Tuesday</v>
      </c>
    </row>
    <row r="4630" spans="1:14">
      <c r="A4630" t="s">
        <v>306</v>
      </c>
      <c r="B4630" t="s">
        <v>6646</v>
      </c>
      <c r="C4630" t="s">
        <v>25</v>
      </c>
      <c r="D4630" t="s">
        <v>26</v>
      </c>
      <c r="E4630" s="7">
        <v>45657</v>
      </c>
      <c r="F4630" t="s">
        <v>66</v>
      </c>
      <c r="G4630">
        <v>2</v>
      </c>
      <c r="H4630" t="s">
        <v>566</v>
      </c>
      <c r="I4630" t="s">
        <v>16</v>
      </c>
      <c r="J4630" t="s">
        <v>16</v>
      </c>
      <c r="K4630" t="s">
        <v>2045</v>
      </c>
      <c r="L4630">
        <v>0</v>
      </c>
      <c r="M4630">
        <f t="shared" si="640"/>
        <v>31</v>
      </c>
      <c r="N4630" t="str">
        <f>TEXT(MTDRejection[[#This Row],[RejectionDate]],"dddd")</f>
        <v>Tuesday</v>
      </c>
    </row>
    <row r="4631" spans="1:14">
      <c r="A4631" t="s">
        <v>1110</v>
      </c>
      <c r="B4631" t="s">
        <v>6647</v>
      </c>
      <c r="C4631" t="s">
        <v>965</v>
      </c>
      <c r="D4631" t="s">
        <v>20</v>
      </c>
      <c r="E4631" s="7">
        <v>45657</v>
      </c>
      <c r="F4631" t="s">
        <v>2330</v>
      </c>
      <c r="G4631">
        <v>2</v>
      </c>
      <c r="H4631" t="s">
        <v>22</v>
      </c>
      <c r="I4631" t="s">
        <v>16</v>
      </c>
      <c r="J4631" t="s">
        <v>16</v>
      </c>
      <c r="K4631" t="s">
        <v>2045</v>
      </c>
      <c r="L4631">
        <v>0</v>
      </c>
      <c r="M4631">
        <f t="shared" si="640"/>
        <v>31</v>
      </c>
      <c r="N4631" t="str">
        <f>TEXT(MTDRejection[[#This Row],[RejectionDate]],"dddd")</f>
        <v>Tuesday</v>
      </c>
    </row>
    <row r="4632" spans="1:14">
      <c r="A4632" t="s">
        <v>1110</v>
      </c>
      <c r="B4632" t="s">
        <v>6648</v>
      </c>
      <c r="C4632" t="s">
        <v>965</v>
      </c>
      <c r="D4632" t="s">
        <v>26</v>
      </c>
      <c r="E4632" s="7">
        <v>45657</v>
      </c>
      <c r="F4632" t="s">
        <v>2330</v>
      </c>
      <c r="G4632">
        <v>2</v>
      </c>
      <c r="H4632" t="s">
        <v>27</v>
      </c>
      <c r="I4632" t="s">
        <v>16</v>
      </c>
      <c r="J4632" t="s">
        <v>16</v>
      </c>
      <c r="K4632" t="s">
        <v>2045</v>
      </c>
      <c r="L4632">
        <v>0</v>
      </c>
      <c r="M4632">
        <f t="shared" si="640"/>
        <v>31</v>
      </c>
      <c r="N4632" t="str">
        <f>TEXT(MTDRejection[[#This Row],[RejectionDate]],"dddd")</f>
        <v>Tuesday</v>
      </c>
    </row>
    <row r="4633" spans="1:14">
      <c r="A4633" t="s">
        <v>306</v>
      </c>
      <c r="B4633" t="s">
        <v>6649</v>
      </c>
      <c r="C4633" t="s">
        <v>25</v>
      </c>
      <c r="D4633" t="s">
        <v>26</v>
      </c>
      <c r="E4633" s="7">
        <v>45657</v>
      </c>
      <c r="F4633" t="s">
        <v>66</v>
      </c>
      <c r="G4633">
        <v>2</v>
      </c>
      <c r="H4633" t="s">
        <v>30</v>
      </c>
      <c r="I4633" t="s">
        <v>16</v>
      </c>
      <c r="J4633" t="s">
        <v>16</v>
      </c>
      <c r="K4633" t="s">
        <v>2045</v>
      </c>
      <c r="L4633">
        <v>0</v>
      </c>
      <c r="M4633">
        <f t="shared" si="640"/>
        <v>31</v>
      </c>
      <c r="N4633" t="str">
        <f>TEXT(MTDRejection[[#This Row],[RejectionDate]],"dddd")</f>
        <v>Tuesday</v>
      </c>
    </row>
    <row r="4634" spans="1:14">
      <c r="A4634" t="s">
        <v>119</v>
      </c>
      <c r="B4634" t="s">
        <v>6650</v>
      </c>
      <c r="C4634" t="s">
        <v>25</v>
      </c>
      <c r="D4634" t="s">
        <v>20</v>
      </c>
      <c r="E4634" s="7">
        <v>45657</v>
      </c>
      <c r="F4634" t="s">
        <v>2330</v>
      </c>
      <c r="G4634">
        <v>2</v>
      </c>
      <c r="H4634" t="s">
        <v>27</v>
      </c>
      <c r="I4634" t="s">
        <v>16</v>
      </c>
      <c r="J4634" t="s">
        <v>16</v>
      </c>
      <c r="K4634" t="s">
        <v>2045</v>
      </c>
      <c r="L4634">
        <v>1</v>
      </c>
      <c r="M4634">
        <f t="shared" si="640"/>
        <v>31</v>
      </c>
      <c r="N4634" t="str">
        <f>TEXT(MTDRejection[[#This Row],[RejectionDate]],"dddd")</f>
        <v>Tuesday</v>
      </c>
    </row>
    <row r="4635" spans="1:14">
      <c r="A4635" t="s">
        <v>1564</v>
      </c>
      <c r="B4635" t="s">
        <v>6651</v>
      </c>
      <c r="C4635" t="s">
        <v>25</v>
      </c>
      <c r="D4635" t="s">
        <v>20</v>
      </c>
      <c r="E4635" s="7">
        <v>45657</v>
      </c>
      <c r="F4635" t="s">
        <v>2330</v>
      </c>
      <c r="G4635">
        <v>2</v>
      </c>
      <c r="H4635" t="s">
        <v>22</v>
      </c>
      <c r="I4635" t="s">
        <v>16</v>
      </c>
      <c r="J4635" t="s">
        <v>16</v>
      </c>
      <c r="K4635" t="s">
        <v>2045</v>
      </c>
      <c r="L4635">
        <v>1</v>
      </c>
      <c r="M4635">
        <f t="shared" si="640"/>
        <v>31</v>
      </c>
      <c r="N4635" t="str">
        <f>TEXT(MTDRejection[[#This Row],[RejectionDate]],"dddd")</f>
        <v>Tuesday</v>
      </c>
    </row>
    <row r="4636" spans="1:14">
      <c r="A4636" t="s">
        <v>306</v>
      </c>
      <c r="B4636" t="s">
        <v>6652</v>
      </c>
      <c r="C4636" t="s">
        <v>56</v>
      </c>
      <c r="D4636" t="s">
        <v>13</v>
      </c>
      <c r="E4636" s="7">
        <v>45657</v>
      </c>
      <c r="F4636" t="s">
        <v>844</v>
      </c>
      <c r="G4636">
        <v>2</v>
      </c>
      <c r="H4636" t="s">
        <v>15</v>
      </c>
      <c r="I4636" t="s">
        <v>16</v>
      </c>
      <c r="J4636" t="s">
        <v>16</v>
      </c>
      <c r="K4636" t="s">
        <v>57</v>
      </c>
      <c r="L4636">
        <v>0</v>
      </c>
      <c r="M4636">
        <f t="shared" si="640"/>
        <v>31</v>
      </c>
      <c r="N4636" t="str">
        <f>TEXT(MTDRejection[[#This Row],[RejectionDate]],"dddd")</f>
        <v>Tuesday</v>
      </c>
    </row>
    <row r="4637" spans="1:14">
      <c r="A4637" t="s">
        <v>306</v>
      </c>
      <c r="B4637" t="s">
        <v>5775</v>
      </c>
      <c r="C4637" t="s">
        <v>12</v>
      </c>
      <c r="D4637" t="s">
        <v>51</v>
      </c>
      <c r="E4637" s="7">
        <v>45657</v>
      </c>
      <c r="F4637" t="s">
        <v>2349</v>
      </c>
      <c r="G4637">
        <v>2</v>
      </c>
      <c r="H4637" t="s">
        <v>53</v>
      </c>
      <c r="I4637" t="s">
        <v>16</v>
      </c>
      <c r="J4637" t="s">
        <v>16</v>
      </c>
      <c r="K4637" t="s">
        <v>2046</v>
      </c>
      <c r="L4637">
        <v>0</v>
      </c>
      <c r="M4637">
        <f t="shared" si="640"/>
        <v>31</v>
      </c>
      <c r="N4637" t="str">
        <f>TEXT(MTDRejection[[#This Row],[RejectionDate]],"dddd")</f>
        <v>Tuesday</v>
      </c>
    </row>
    <row r="4638" spans="1:14">
      <c r="A4638" t="s">
        <v>1204</v>
      </c>
      <c r="B4638" t="s">
        <v>1791</v>
      </c>
      <c r="C4638" t="s">
        <v>12</v>
      </c>
      <c r="D4638" t="s">
        <v>26</v>
      </c>
      <c r="E4638" s="7">
        <v>45657</v>
      </c>
      <c r="F4638" t="s">
        <v>179</v>
      </c>
      <c r="G4638">
        <v>2</v>
      </c>
      <c r="H4638" t="s">
        <v>27</v>
      </c>
      <c r="I4638" t="s">
        <v>16</v>
      </c>
      <c r="J4638" t="s">
        <v>16</v>
      </c>
      <c r="K4638" t="s">
        <v>2046</v>
      </c>
      <c r="L4638">
        <v>0</v>
      </c>
      <c r="M4638">
        <f t="shared" si="640"/>
        <v>31</v>
      </c>
      <c r="N4638" t="str">
        <f>TEXT(MTDRejection[[#This Row],[RejectionDate]],"dddd")</f>
        <v>Tuesday</v>
      </c>
    </row>
    <row r="4639" spans="1:14">
      <c r="A4639" t="s">
        <v>845</v>
      </c>
      <c r="B4639" t="s">
        <v>6653</v>
      </c>
      <c r="C4639" t="s">
        <v>125</v>
      </c>
      <c r="D4639" t="s">
        <v>26</v>
      </c>
      <c r="E4639" s="7">
        <v>45657</v>
      </c>
      <c r="F4639" t="s">
        <v>2347</v>
      </c>
      <c r="G4639">
        <v>2</v>
      </c>
      <c r="H4639" t="s">
        <v>27</v>
      </c>
      <c r="I4639" t="s">
        <v>16</v>
      </c>
      <c r="J4639" t="s">
        <v>16</v>
      </c>
      <c r="K4639" t="s">
        <v>2046</v>
      </c>
      <c r="L4639">
        <v>0</v>
      </c>
      <c r="M4639">
        <f t="shared" si="640"/>
        <v>31</v>
      </c>
      <c r="N4639" t="str">
        <f>TEXT(MTDRejection[[#This Row],[RejectionDate]],"dddd")</f>
        <v>Tuesday</v>
      </c>
    </row>
    <row r="4640" spans="1:14">
      <c r="A4640" t="s">
        <v>845</v>
      </c>
      <c r="B4640" t="s">
        <v>2810</v>
      </c>
      <c r="C4640" t="s">
        <v>36</v>
      </c>
      <c r="D4640" t="s">
        <v>26</v>
      </c>
      <c r="E4640" s="7">
        <v>45657</v>
      </c>
      <c r="F4640" t="s">
        <v>2347</v>
      </c>
      <c r="G4640">
        <v>2</v>
      </c>
      <c r="H4640" t="s">
        <v>27</v>
      </c>
      <c r="I4640" t="s">
        <v>16</v>
      </c>
      <c r="J4640" t="s">
        <v>16</v>
      </c>
      <c r="K4640" t="s">
        <v>2046</v>
      </c>
      <c r="L4640">
        <v>0</v>
      </c>
      <c r="M4640">
        <f t="shared" si="640"/>
        <v>31</v>
      </c>
      <c r="N4640" t="str">
        <f>TEXT(MTDRejection[[#This Row],[RejectionDate]],"dddd")</f>
        <v>Tuesday</v>
      </c>
    </row>
    <row r="4641" spans="1:14">
      <c r="A4641" t="s">
        <v>160</v>
      </c>
      <c r="B4641" t="s">
        <v>6654</v>
      </c>
      <c r="C4641" t="s">
        <v>36</v>
      </c>
      <c r="D4641" t="s">
        <v>26</v>
      </c>
      <c r="E4641" s="7">
        <v>45657</v>
      </c>
      <c r="F4641" t="s">
        <v>2354</v>
      </c>
      <c r="G4641">
        <v>2</v>
      </c>
      <c r="H4641" t="s">
        <v>27</v>
      </c>
      <c r="I4641" t="s">
        <v>16</v>
      </c>
      <c r="J4641" t="s">
        <v>16</v>
      </c>
      <c r="K4641" t="s">
        <v>2046</v>
      </c>
      <c r="L4641">
        <v>0</v>
      </c>
      <c r="M4641">
        <f t="shared" si="640"/>
        <v>31</v>
      </c>
      <c r="N4641" t="str">
        <f>TEXT(MTDRejection[[#This Row],[RejectionDate]],"dddd")</f>
        <v>Tuesday</v>
      </c>
    </row>
    <row r="4642" spans="1:14">
      <c r="A4642" t="s">
        <v>131</v>
      </c>
      <c r="B4642" t="s">
        <v>6655</v>
      </c>
      <c r="C4642" t="s">
        <v>54</v>
      </c>
      <c r="D4642" t="s">
        <v>51</v>
      </c>
      <c r="E4642" s="7">
        <v>45657</v>
      </c>
      <c r="F4642" t="s">
        <v>2331</v>
      </c>
      <c r="G4642">
        <v>2</v>
      </c>
      <c r="H4642" t="s">
        <v>53</v>
      </c>
      <c r="I4642" t="s">
        <v>16</v>
      </c>
      <c r="J4642" t="s">
        <v>16</v>
      </c>
      <c r="K4642" t="s">
        <v>2047</v>
      </c>
      <c r="L4642">
        <v>0</v>
      </c>
      <c r="M4642">
        <f t="shared" si="640"/>
        <v>31</v>
      </c>
      <c r="N4642" t="str">
        <f>TEXT(MTDRejection[[#This Row],[RejectionDate]],"dddd")</f>
        <v>Tuesday</v>
      </c>
    </row>
    <row r="4643" spans="1:14">
      <c r="A4643" t="s">
        <v>160</v>
      </c>
      <c r="B4643" t="s">
        <v>6656</v>
      </c>
      <c r="C4643" t="s">
        <v>125</v>
      </c>
      <c r="D4643" t="s">
        <v>26</v>
      </c>
      <c r="E4643" s="7">
        <v>45657</v>
      </c>
      <c r="F4643" t="s">
        <v>2354</v>
      </c>
      <c r="G4643">
        <v>2</v>
      </c>
      <c r="H4643" t="s">
        <v>27</v>
      </c>
      <c r="I4643" t="s">
        <v>16</v>
      </c>
      <c r="J4643" t="s">
        <v>16</v>
      </c>
      <c r="K4643" t="s">
        <v>2046</v>
      </c>
      <c r="L4643">
        <v>0</v>
      </c>
      <c r="M4643">
        <f t="shared" si="640"/>
        <v>31</v>
      </c>
      <c r="N4643" t="str">
        <f>TEXT(MTDRejection[[#This Row],[RejectionDate]],"dddd")</f>
        <v>Tuesday</v>
      </c>
    </row>
    <row r="4644" spans="1:14">
      <c r="A4644" t="s">
        <v>84</v>
      </c>
      <c r="B4644" t="s">
        <v>6657</v>
      </c>
      <c r="C4644" t="s">
        <v>36</v>
      </c>
      <c r="D4644" t="s">
        <v>26</v>
      </c>
      <c r="E4644" s="7">
        <v>45657</v>
      </c>
      <c r="F4644" t="s">
        <v>151</v>
      </c>
      <c r="G4644">
        <v>2</v>
      </c>
      <c r="H4644" t="s">
        <v>27</v>
      </c>
      <c r="I4644" t="s">
        <v>16</v>
      </c>
      <c r="J4644" t="s">
        <v>16</v>
      </c>
      <c r="K4644" t="s">
        <v>2046</v>
      </c>
      <c r="L4644">
        <v>1</v>
      </c>
      <c r="M4644">
        <f t="shared" si="640"/>
        <v>31</v>
      </c>
      <c r="N4644" t="str">
        <f>TEXT(MTDRejection[[#This Row],[RejectionDate]],"dddd")</f>
        <v>Tuesday</v>
      </c>
    </row>
    <row r="4645" spans="1:14">
      <c r="A4645" t="s">
        <v>285</v>
      </c>
      <c r="B4645" t="s">
        <v>6658</v>
      </c>
      <c r="C4645" t="s">
        <v>36</v>
      </c>
      <c r="D4645" t="s">
        <v>26</v>
      </c>
      <c r="E4645" s="7">
        <v>45657</v>
      </c>
      <c r="F4645" t="s">
        <v>2337</v>
      </c>
      <c r="G4645">
        <v>2</v>
      </c>
      <c r="H4645" t="s">
        <v>27</v>
      </c>
      <c r="I4645" t="s">
        <v>16</v>
      </c>
      <c r="J4645" t="s">
        <v>16</v>
      </c>
      <c r="K4645" t="s">
        <v>2046</v>
      </c>
      <c r="L4645">
        <v>0</v>
      </c>
      <c r="M4645">
        <f t="shared" si="640"/>
        <v>31</v>
      </c>
      <c r="N4645" t="str">
        <f>TEXT(MTDRejection[[#This Row],[RejectionDate]],"dddd")</f>
        <v>Tuesday</v>
      </c>
    </row>
    <row r="4646" spans="1:14">
      <c r="A4646" t="s">
        <v>285</v>
      </c>
      <c r="B4646" t="s">
        <v>2811</v>
      </c>
      <c r="C4646" t="s">
        <v>12</v>
      </c>
      <c r="D4646" t="s">
        <v>26</v>
      </c>
      <c r="E4646" s="7">
        <v>45657</v>
      </c>
      <c r="F4646" t="s">
        <v>2337</v>
      </c>
      <c r="G4646">
        <v>2</v>
      </c>
      <c r="H4646" t="s">
        <v>27</v>
      </c>
      <c r="I4646" t="s">
        <v>16</v>
      </c>
      <c r="J4646" t="s">
        <v>16</v>
      </c>
      <c r="K4646" t="s">
        <v>2046</v>
      </c>
      <c r="L4646">
        <v>1</v>
      </c>
      <c r="M4646">
        <f t="shared" si="640"/>
        <v>31</v>
      </c>
      <c r="N4646" t="str">
        <f>TEXT(MTDRejection[[#This Row],[RejectionDate]],"dddd")</f>
        <v>Tuesday</v>
      </c>
    </row>
    <row r="4647" spans="1:14">
      <c r="A4647" t="s">
        <v>160</v>
      </c>
      <c r="B4647" t="s">
        <v>6659</v>
      </c>
      <c r="C4647" t="s">
        <v>19</v>
      </c>
      <c r="D4647" t="s">
        <v>20</v>
      </c>
      <c r="E4647" s="7">
        <v>45657</v>
      </c>
      <c r="F4647" t="s">
        <v>129</v>
      </c>
      <c r="G4647">
        <v>2</v>
      </c>
      <c r="H4647" t="s">
        <v>22</v>
      </c>
      <c r="I4647" t="s">
        <v>16</v>
      </c>
      <c r="J4647" t="s">
        <v>16</v>
      </c>
      <c r="K4647" t="s">
        <v>2045</v>
      </c>
      <c r="L4647">
        <v>1</v>
      </c>
      <c r="M4647">
        <f t="shared" si="640"/>
        <v>31</v>
      </c>
      <c r="N4647" t="str">
        <f>TEXT(MTDRejection[[#This Row],[RejectionDate]],"dddd")</f>
        <v>Tuesday</v>
      </c>
    </row>
    <row r="4648" spans="1:14">
      <c r="A4648" t="s">
        <v>469</v>
      </c>
      <c r="B4648" t="s">
        <v>6660</v>
      </c>
      <c r="C4648" t="s">
        <v>36</v>
      </c>
      <c r="D4648" t="s">
        <v>26</v>
      </c>
      <c r="E4648" s="7">
        <v>45657</v>
      </c>
      <c r="F4648" t="s">
        <v>2333</v>
      </c>
      <c r="G4648">
        <v>2</v>
      </c>
      <c r="H4648" t="s">
        <v>22</v>
      </c>
      <c r="I4648" t="s">
        <v>16</v>
      </c>
      <c r="J4648" t="s">
        <v>16</v>
      </c>
      <c r="K4648" t="s">
        <v>2046</v>
      </c>
      <c r="L4648">
        <v>0</v>
      </c>
      <c r="M4648">
        <f t="shared" si="640"/>
        <v>31</v>
      </c>
      <c r="N4648" t="str">
        <f>TEXT(MTDRejection[[#This Row],[RejectionDate]],"dddd")</f>
        <v>Tuesday</v>
      </c>
    </row>
    <row r="4649" spans="1:14">
      <c r="A4649" t="s">
        <v>176</v>
      </c>
      <c r="B4649" t="s">
        <v>6661</v>
      </c>
      <c r="C4649" t="s">
        <v>106</v>
      </c>
      <c r="D4649" t="s">
        <v>26</v>
      </c>
      <c r="E4649" s="7">
        <v>45657</v>
      </c>
      <c r="F4649" t="s">
        <v>294</v>
      </c>
      <c r="G4649">
        <v>2</v>
      </c>
      <c r="H4649" t="s">
        <v>95</v>
      </c>
      <c r="I4649" t="s">
        <v>16</v>
      </c>
      <c r="J4649" t="s">
        <v>16</v>
      </c>
      <c r="K4649" t="s">
        <v>2048</v>
      </c>
      <c r="L4649">
        <v>0</v>
      </c>
      <c r="M4649">
        <f t="shared" si="640"/>
        <v>31</v>
      </c>
      <c r="N4649" t="str">
        <f>TEXT(MTDRejection[[#This Row],[RejectionDate]],"dddd")</f>
        <v>Tuesday</v>
      </c>
    </row>
    <row r="4650" spans="1:14">
      <c r="A4650" t="s">
        <v>91</v>
      </c>
      <c r="B4650" t="s">
        <v>6662</v>
      </c>
      <c r="C4650" t="s">
        <v>93</v>
      </c>
      <c r="D4650" t="s">
        <v>26</v>
      </c>
      <c r="E4650" s="7">
        <v>45657</v>
      </c>
      <c r="F4650" t="s">
        <v>458</v>
      </c>
      <c r="G4650">
        <v>2</v>
      </c>
      <c r="H4650" t="s">
        <v>27</v>
      </c>
      <c r="I4650" t="s">
        <v>16</v>
      </c>
      <c r="J4650" t="s">
        <v>16</v>
      </c>
      <c r="K4650" t="s">
        <v>2047</v>
      </c>
      <c r="L4650">
        <v>0</v>
      </c>
      <c r="M4650">
        <f t="shared" ref="M4650:M4651" si="641">DAY(E4650)</f>
        <v>31</v>
      </c>
      <c r="N4650" t="str">
        <f>TEXT(MTDRejection[[#This Row],[RejectionDate]],"dddd")</f>
        <v>Tuesday</v>
      </c>
    </row>
    <row r="4651" spans="1:14">
      <c r="A4651" t="s">
        <v>45</v>
      </c>
      <c r="B4651" t="s">
        <v>6663</v>
      </c>
      <c r="C4651" t="s">
        <v>36</v>
      </c>
      <c r="D4651" t="s">
        <v>26</v>
      </c>
      <c r="E4651" s="7">
        <v>45657</v>
      </c>
      <c r="F4651" t="s">
        <v>2355</v>
      </c>
      <c r="G4651">
        <v>2</v>
      </c>
      <c r="H4651" t="s">
        <v>27</v>
      </c>
      <c r="I4651" t="s">
        <v>16</v>
      </c>
      <c r="J4651" t="s">
        <v>16</v>
      </c>
      <c r="K4651" t="s">
        <v>2046</v>
      </c>
      <c r="L4651">
        <v>1</v>
      </c>
      <c r="M4651">
        <f t="shared" si="641"/>
        <v>31</v>
      </c>
      <c r="N4651" t="str">
        <f>TEXT(MTDRejection[[#This Row],[RejectionDate]],"dddd")</f>
        <v>Tuesday</v>
      </c>
    </row>
  </sheetData>
  <conditionalFormatting sqref="B1:B4651">
    <cfRule type="duplicateValues" dxfId="2" priority="35"/>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M1272"/>
  <sheetViews>
    <sheetView workbookViewId="0">
      <pane ySplit="1" topLeftCell="A2" activePane="bottomLeft" state="frozen"/>
      <selection pane="bottomLeft" activeCell="G22" sqref="G22"/>
    </sheetView>
  </sheetViews>
  <sheetFormatPr defaultRowHeight="14.25"/>
  <cols>
    <col min="5" max="5" width="9.5" bestFit="1" customWidth="1"/>
  </cols>
  <sheetData>
    <row r="1" spans="1:13">
      <c r="A1" t="s">
        <v>0</v>
      </c>
      <c r="B1" t="s">
        <v>1</v>
      </c>
      <c r="C1" t="s">
        <v>2</v>
      </c>
      <c r="D1" t="s">
        <v>3</v>
      </c>
      <c r="E1" s="7" t="s">
        <v>4</v>
      </c>
      <c r="F1" t="s">
        <v>5</v>
      </c>
      <c r="G1" t="s">
        <v>6</v>
      </c>
      <c r="H1" t="s">
        <v>7</v>
      </c>
      <c r="I1" t="s">
        <v>8</v>
      </c>
      <c r="J1" t="s">
        <v>9</v>
      </c>
      <c r="K1" t="s">
        <v>1742</v>
      </c>
      <c r="L1" t="s">
        <v>1743</v>
      </c>
      <c r="M1" t="s">
        <v>1744</v>
      </c>
    </row>
    <row r="2" spans="1:13">
      <c r="A2" t="s">
        <v>10</v>
      </c>
      <c r="B2" t="s">
        <v>11</v>
      </c>
      <c r="C2" t="s">
        <v>12</v>
      </c>
      <c r="D2" t="s">
        <v>13</v>
      </c>
      <c r="E2" s="7">
        <v>45622</v>
      </c>
      <c r="F2" t="s">
        <v>14</v>
      </c>
      <c r="G2">
        <v>0</v>
      </c>
      <c r="H2" t="s">
        <v>15</v>
      </c>
      <c r="I2" t="s">
        <v>16</v>
      </c>
      <c r="J2" t="s">
        <v>16</v>
      </c>
      <c r="K2" t="str">
        <f>VLOOKUP(C2,CheckName!A:B,2,0)</f>
        <v>Emp</v>
      </c>
      <c r="M2">
        <f>DAY(RejectionData[[#This Row],[RejectionDate]])</f>
        <v>26</v>
      </c>
    </row>
    <row r="3" spans="1:13">
      <c r="A3" t="s">
        <v>17</v>
      </c>
      <c r="B3" t="s">
        <v>18</v>
      </c>
      <c r="C3" t="s">
        <v>19</v>
      </c>
      <c r="D3" t="s">
        <v>20</v>
      </c>
      <c r="E3" s="7">
        <v>45622</v>
      </c>
      <c r="F3" t="s">
        <v>21</v>
      </c>
      <c r="G3">
        <v>0</v>
      </c>
      <c r="H3" t="s">
        <v>22</v>
      </c>
      <c r="I3" t="s">
        <v>16</v>
      </c>
      <c r="J3" t="s">
        <v>16</v>
      </c>
      <c r="K3" t="str">
        <f>VLOOKUP(C3,CheckName!A:B,2,0)</f>
        <v>Add</v>
      </c>
      <c r="M3">
        <f>DAY(RejectionData[[#This Row],[RejectionDate]])</f>
        <v>26</v>
      </c>
    </row>
    <row r="4" spans="1:13">
      <c r="A4" t="s">
        <v>23</v>
      </c>
      <c r="B4" t="s">
        <v>24</v>
      </c>
      <c r="C4" t="s">
        <v>25</v>
      </c>
      <c r="D4" t="s">
        <v>26</v>
      </c>
      <c r="E4" s="7">
        <v>45622</v>
      </c>
      <c r="F4" t="s">
        <v>21</v>
      </c>
      <c r="G4">
        <v>0</v>
      </c>
      <c r="H4" t="s">
        <v>27</v>
      </c>
      <c r="I4" t="s">
        <v>16</v>
      </c>
      <c r="J4" t="s">
        <v>16</v>
      </c>
      <c r="K4" t="str">
        <f>VLOOKUP(C4,CheckName!A:B,2,0)</f>
        <v>Add</v>
      </c>
      <c r="M4">
        <f>DAY(RejectionData[[#This Row],[RejectionDate]])</f>
        <v>26</v>
      </c>
    </row>
    <row r="5" spans="1:13">
      <c r="A5" t="s">
        <v>28</v>
      </c>
      <c r="B5" t="s">
        <v>29</v>
      </c>
      <c r="C5" t="s">
        <v>19</v>
      </c>
      <c r="D5" t="s">
        <v>26</v>
      </c>
      <c r="E5" s="7">
        <v>45622</v>
      </c>
      <c r="F5" t="s">
        <v>21</v>
      </c>
      <c r="G5">
        <v>0</v>
      </c>
      <c r="H5" t="s">
        <v>30</v>
      </c>
      <c r="I5" t="s">
        <v>16</v>
      </c>
      <c r="J5" t="s">
        <v>16</v>
      </c>
      <c r="K5" t="str">
        <f>VLOOKUP(C5,CheckName!A:B,2,0)</f>
        <v>Add</v>
      </c>
      <c r="M5">
        <f>DAY(RejectionData[[#This Row],[RejectionDate]])</f>
        <v>26</v>
      </c>
    </row>
    <row r="6" spans="1:13">
      <c r="A6" t="s">
        <v>31</v>
      </c>
      <c r="B6" t="s">
        <v>32</v>
      </c>
      <c r="C6" t="s">
        <v>12</v>
      </c>
      <c r="D6" t="s">
        <v>13</v>
      </c>
      <c r="E6" s="7">
        <v>45622</v>
      </c>
      <c r="F6" t="s">
        <v>33</v>
      </c>
      <c r="G6">
        <v>0</v>
      </c>
      <c r="H6" t="s">
        <v>30</v>
      </c>
      <c r="I6" t="s">
        <v>16</v>
      </c>
      <c r="J6" t="s">
        <v>16</v>
      </c>
      <c r="K6" t="str">
        <f>VLOOKUP(C6,CheckName!A:B,2,0)</f>
        <v>Emp</v>
      </c>
      <c r="M6">
        <f>DAY(RejectionData[[#This Row],[RejectionDate]])</f>
        <v>26</v>
      </c>
    </row>
    <row r="7" spans="1:13">
      <c r="A7" t="s">
        <v>34</v>
      </c>
      <c r="B7" t="s">
        <v>35</v>
      </c>
      <c r="C7" t="s">
        <v>36</v>
      </c>
      <c r="D7" t="s">
        <v>26</v>
      </c>
      <c r="E7" s="7">
        <v>45622</v>
      </c>
      <c r="F7" t="s">
        <v>37</v>
      </c>
      <c r="G7">
        <v>0</v>
      </c>
      <c r="H7" t="s">
        <v>27</v>
      </c>
      <c r="I7" t="s">
        <v>16</v>
      </c>
      <c r="J7" t="s">
        <v>16</v>
      </c>
      <c r="K7" t="str">
        <f>VLOOKUP(C7,CheckName!A:B,2,0)</f>
        <v>Emp</v>
      </c>
      <c r="M7">
        <f>DAY(RejectionData[[#This Row],[RejectionDate]])</f>
        <v>26</v>
      </c>
    </row>
    <row r="8" spans="1:13">
      <c r="A8" t="s">
        <v>23</v>
      </c>
      <c r="B8" t="s">
        <v>24</v>
      </c>
      <c r="C8" t="s">
        <v>12</v>
      </c>
      <c r="D8" t="s">
        <v>38</v>
      </c>
      <c r="E8" s="7">
        <v>45622</v>
      </c>
      <c r="F8" t="s">
        <v>39</v>
      </c>
      <c r="G8">
        <v>0</v>
      </c>
      <c r="H8" t="s">
        <v>27</v>
      </c>
      <c r="I8" t="s">
        <v>16</v>
      </c>
      <c r="J8" t="s">
        <v>16</v>
      </c>
      <c r="K8" t="str">
        <f>VLOOKUP(C8,CheckName!A:B,2,0)</f>
        <v>Emp</v>
      </c>
      <c r="M8">
        <f>DAY(RejectionData[[#This Row],[RejectionDate]])</f>
        <v>26</v>
      </c>
    </row>
    <row r="9" spans="1:13">
      <c r="A9" t="s">
        <v>40</v>
      </c>
      <c r="B9" t="s">
        <v>41</v>
      </c>
      <c r="C9" t="s">
        <v>12</v>
      </c>
      <c r="D9" t="s">
        <v>38</v>
      </c>
      <c r="E9" s="7">
        <v>45622</v>
      </c>
      <c r="F9" t="s">
        <v>39</v>
      </c>
      <c r="G9">
        <v>0</v>
      </c>
      <c r="H9" t="s">
        <v>42</v>
      </c>
      <c r="I9" t="s">
        <v>16</v>
      </c>
      <c r="J9" t="s">
        <v>16</v>
      </c>
      <c r="K9" t="str">
        <f>VLOOKUP(C9,CheckName!A:B,2,0)</f>
        <v>Emp</v>
      </c>
      <c r="M9">
        <f>DAY(RejectionData[[#This Row],[RejectionDate]])</f>
        <v>26</v>
      </c>
    </row>
    <row r="10" spans="1:13">
      <c r="A10" t="s">
        <v>43</v>
      </c>
      <c r="B10" t="s">
        <v>44</v>
      </c>
      <c r="C10" t="s">
        <v>12</v>
      </c>
      <c r="D10" t="s">
        <v>38</v>
      </c>
      <c r="E10" s="7">
        <v>45622</v>
      </c>
      <c r="F10" t="s">
        <v>39</v>
      </c>
      <c r="G10">
        <v>0</v>
      </c>
      <c r="H10" t="s">
        <v>42</v>
      </c>
      <c r="I10" t="s">
        <v>16</v>
      </c>
      <c r="J10" t="s">
        <v>16</v>
      </c>
      <c r="K10" t="str">
        <f>VLOOKUP(C10,CheckName!A:B,2,0)</f>
        <v>Emp</v>
      </c>
      <c r="M10">
        <f>DAY(RejectionData[[#This Row],[RejectionDate]])</f>
        <v>26</v>
      </c>
    </row>
    <row r="11" spans="1:13">
      <c r="A11" t="s">
        <v>45</v>
      </c>
      <c r="B11" t="s">
        <v>46</v>
      </c>
      <c r="C11" t="s">
        <v>12</v>
      </c>
      <c r="D11" t="s">
        <v>38</v>
      </c>
      <c r="E11" s="7">
        <v>45622</v>
      </c>
      <c r="F11" t="s">
        <v>39</v>
      </c>
      <c r="G11">
        <v>0</v>
      </c>
      <c r="H11" t="s">
        <v>42</v>
      </c>
      <c r="I11" t="s">
        <v>16</v>
      </c>
      <c r="J11" t="s">
        <v>16</v>
      </c>
      <c r="K11" t="str">
        <f>VLOOKUP(C11,CheckName!A:B,2,0)</f>
        <v>Emp</v>
      </c>
      <c r="M11">
        <f>DAY(RejectionData[[#This Row],[RejectionDate]])</f>
        <v>26</v>
      </c>
    </row>
    <row r="12" spans="1:13">
      <c r="A12" t="s">
        <v>47</v>
      </c>
      <c r="B12" t="s">
        <v>48</v>
      </c>
      <c r="C12" t="s">
        <v>49</v>
      </c>
      <c r="D12" t="s">
        <v>51</v>
      </c>
      <c r="E12" s="7">
        <v>45622</v>
      </c>
      <c r="F12" t="s">
        <v>52</v>
      </c>
      <c r="G12">
        <v>0</v>
      </c>
      <c r="H12" t="s">
        <v>53</v>
      </c>
      <c r="I12" t="s">
        <v>16</v>
      </c>
      <c r="J12" t="s">
        <v>16</v>
      </c>
      <c r="K12" t="str">
        <f>VLOOKUP(C12,CheckName!A:B,2,0)</f>
        <v>CRC</v>
      </c>
      <c r="M12">
        <f>DAY(RejectionData[[#This Row],[RejectionDate]])</f>
        <v>26</v>
      </c>
    </row>
    <row r="13" spans="1:13">
      <c r="A13" t="s">
        <v>47</v>
      </c>
      <c r="B13" t="s">
        <v>48</v>
      </c>
      <c r="C13" t="s">
        <v>54</v>
      </c>
      <c r="D13" t="s">
        <v>51</v>
      </c>
      <c r="E13" s="7">
        <v>45622</v>
      </c>
      <c r="F13" t="s">
        <v>52</v>
      </c>
      <c r="G13">
        <v>0</v>
      </c>
      <c r="H13" t="s">
        <v>53</v>
      </c>
      <c r="I13" t="s">
        <v>16</v>
      </c>
      <c r="J13" t="s">
        <v>16</v>
      </c>
      <c r="K13" t="str">
        <f>VLOOKUP(C13,CheckName!A:B,2,0)</f>
        <v>Edu</v>
      </c>
      <c r="M13">
        <f>DAY(RejectionData[[#This Row],[RejectionDate]])</f>
        <v>26</v>
      </c>
    </row>
    <row r="14" spans="1:13">
      <c r="A14" t="s">
        <v>47</v>
      </c>
      <c r="B14" t="s">
        <v>48</v>
      </c>
      <c r="C14" t="s">
        <v>25</v>
      </c>
      <c r="D14" t="s">
        <v>51</v>
      </c>
      <c r="E14" s="7">
        <v>45622</v>
      </c>
      <c r="F14" t="s">
        <v>52</v>
      </c>
      <c r="G14">
        <v>0</v>
      </c>
      <c r="H14" t="s">
        <v>53</v>
      </c>
      <c r="I14" t="s">
        <v>16</v>
      </c>
      <c r="J14" t="s">
        <v>16</v>
      </c>
      <c r="K14" t="str">
        <f>VLOOKUP(C14,CheckName!A:B,2,0)</f>
        <v>Add</v>
      </c>
      <c r="M14">
        <f>DAY(RejectionData[[#This Row],[RejectionDate]])</f>
        <v>26</v>
      </c>
    </row>
    <row r="15" spans="1:13">
      <c r="A15" t="s">
        <v>47</v>
      </c>
      <c r="B15" t="s">
        <v>48</v>
      </c>
      <c r="C15" t="s">
        <v>56</v>
      </c>
      <c r="D15" t="s">
        <v>51</v>
      </c>
      <c r="E15" s="7">
        <v>45622</v>
      </c>
      <c r="F15" t="s">
        <v>52</v>
      </c>
      <c r="G15">
        <v>0</v>
      </c>
      <c r="H15" t="s">
        <v>53</v>
      </c>
      <c r="I15" t="s">
        <v>16</v>
      </c>
      <c r="J15" t="s">
        <v>16</v>
      </c>
      <c r="K15" t="str">
        <f>VLOOKUP(C15,CheckName!A:B,2,0)</f>
        <v>Special Check</v>
      </c>
      <c r="M15">
        <f>DAY(RejectionData[[#This Row],[RejectionDate]])</f>
        <v>26</v>
      </c>
    </row>
    <row r="16" spans="1:13">
      <c r="A16" t="s">
        <v>40</v>
      </c>
      <c r="B16" t="s">
        <v>58</v>
      </c>
      <c r="C16" t="s">
        <v>59</v>
      </c>
      <c r="D16" t="s">
        <v>51</v>
      </c>
      <c r="E16" s="7">
        <v>45622</v>
      </c>
      <c r="F16" t="s">
        <v>52</v>
      </c>
      <c r="G16">
        <v>0</v>
      </c>
      <c r="H16" t="s">
        <v>53</v>
      </c>
      <c r="I16" t="s">
        <v>16</v>
      </c>
      <c r="J16" t="s">
        <v>16</v>
      </c>
      <c r="K16" t="str">
        <f>VLOOKUP(C16,CheckName!A:B,2,0)</f>
        <v>Special Check</v>
      </c>
      <c r="M16">
        <f>DAY(RejectionData[[#This Row],[RejectionDate]])</f>
        <v>26</v>
      </c>
    </row>
    <row r="17" spans="1:13">
      <c r="A17" t="s">
        <v>60</v>
      </c>
      <c r="B17" t="s">
        <v>61</v>
      </c>
      <c r="C17" t="s">
        <v>19</v>
      </c>
      <c r="D17" t="s">
        <v>20</v>
      </c>
      <c r="E17" s="7">
        <v>45622</v>
      </c>
      <c r="F17" t="s">
        <v>62</v>
      </c>
      <c r="G17">
        <v>0</v>
      </c>
      <c r="H17" t="s">
        <v>27</v>
      </c>
      <c r="I17" t="s">
        <v>16</v>
      </c>
      <c r="J17" t="s">
        <v>16</v>
      </c>
      <c r="K17" t="str">
        <f>VLOOKUP(C17,CheckName!A:B,2,0)</f>
        <v>Add</v>
      </c>
      <c r="M17">
        <f>DAY(RejectionData[[#This Row],[RejectionDate]])</f>
        <v>26</v>
      </c>
    </row>
    <row r="18" spans="1:13">
      <c r="A18" t="s">
        <v>23</v>
      </c>
      <c r="B18" t="s">
        <v>24</v>
      </c>
      <c r="C18" t="s">
        <v>54</v>
      </c>
      <c r="D18" t="s">
        <v>26</v>
      </c>
      <c r="E18" s="7">
        <v>45622</v>
      </c>
      <c r="F18" t="s">
        <v>63</v>
      </c>
      <c r="G18">
        <v>0</v>
      </c>
      <c r="H18" t="s">
        <v>27</v>
      </c>
      <c r="I18" t="s">
        <v>16</v>
      </c>
      <c r="J18" t="s">
        <v>16</v>
      </c>
      <c r="K18" t="str">
        <f>VLOOKUP(C18,CheckName!A:B,2,0)</f>
        <v>Edu</v>
      </c>
      <c r="M18">
        <f>DAY(RejectionData[[#This Row],[RejectionDate]])</f>
        <v>26</v>
      </c>
    </row>
    <row r="19" spans="1:13">
      <c r="A19" t="s">
        <v>64</v>
      </c>
      <c r="B19" t="s">
        <v>65</v>
      </c>
      <c r="C19" t="s">
        <v>25</v>
      </c>
      <c r="D19" t="s">
        <v>26</v>
      </c>
      <c r="E19" s="7">
        <v>45622</v>
      </c>
      <c r="F19" t="s">
        <v>66</v>
      </c>
      <c r="G19">
        <v>0</v>
      </c>
      <c r="H19" t="s">
        <v>27</v>
      </c>
      <c r="I19" t="s">
        <v>16</v>
      </c>
      <c r="J19" t="s">
        <v>16</v>
      </c>
      <c r="K19" t="str">
        <f>VLOOKUP(C19,CheckName!A:B,2,0)</f>
        <v>Add</v>
      </c>
      <c r="M19">
        <f>DAY(RejectionData[[#This Row],[RejectionDate]])</f>
        <v>26</v>
      </c>
    </row>
    <row r="20" spans="1:13">
      <c r="A20" t="s">
        <v>67</v>
      </c>
      <c r="B20" t="s">
        <v>68</v>
      </c>
      <c r="C20" t="s">
        <v>25</v>
      </c>
      <c r="D20" t="s">
        <v>26</v>
      </c>
      <c r="E20" s="7">
        <v>45622</v>
      </c>
      <c r="F20" t="s">
        <v>62</v>
      </c>
      <c r="G20">
        <v>0</v>
      </c>
      <c r="H20" t="s">
        <v>27</v>
      </c>
      <c r="I20" t="s">
        <v>16</v>
      </c>
      <c r="J20" t="s">
        <v>16</v>
      </c>
      <c r="K20" t="str">
        <f>VLOOKUP(C20,CheckName!A:B,2,0)</f>
        <v>Add</v>
      </c>
      <c r="M20">
        <f>DAY(RejectionData[[#This Row],[RejectionDate]])</f>
        <v>26</v>
      </c>
    </row>
    <row r="21" spans="1:13">
      <c r="A21" t="s">
        <v>69</v>
      </c>
      <c r="B21" t="s">
        <v>70</v>
      </c>
      <c r="C21" t="s">
        <v>71</v>
      </c>
      <c r="D21" t="s">
        <v>13</v>
      </c>
      <c r="E21" s="7">
        <v>45622</v>
      </c>
      <c r="F21" t="s">
        <v>72</v>
      </c>
      <c r="G21">
        <v>0</v>
      </c>
      <c r="H21" t="s">
        <v>15</v>
      </c>
      <c r="I21" t="s">
        <v>16</v>
      </c>
      <c r="J21" t="s">
        <v>16</v>
      </c>
      <c r="K21" t="str">
        <f>VLOOKUP(C21,CheckName!A:B,2,0)</f>
        <v>CRC</v>
      </c>
      <c r="M21">
        <f>DAY(RejectionData[[#This Row],[RejectionDate]])</f>
        <v>26</v>
      </c>
    </row>
    <row r="22" spans="1:13">
      <c r="A22" t="s">
        <v>73</v>
      </c>
      <c r="B22" t="s">
        <v>74</v>
      </c>
      <c r="C22" t="s">
        <v>54</v>
      </c>
      <c r="D22" t="s">
        <v>13</v>
      </c>
      <c r="E22" s="7">
        <v>45622</v>
      </c>
      <c r="F22" t="s">
        <v>72</v>
      </c>
      <c r="G22">
        <v>0</v>
      </c>
      <c r="H22" t="s">
        <v>15</v>
      </c>
      <c r="I22" t="s">
        <v>16</v>
      </c>
      <c r="J22" t="s">
        <v>16</v>
      </c>
      <c r="K22" t="str">
        <f>VLOOKUP(C22,CheckName!A:B,2,0)</f>
        <v>Edu</v>
      </c>
      <c r="M22">
        <f>DAY(RejectionData[[#This Row],[RejectionDate]])</f>
        <v>26</v>
      </c>
    </row>
    <row r="23" spans="1:13">
      <c r="A23" t="s">
        <v>45</v>
      </c>
      <c r="B23" t="s">
        <v>75</v>
      </c>
      <c r="C23" t="s">
        <v>19</v>
      </c>
      <c r="D23" t="s">
        <v>20</v>
      </c>
      <c r="E23" s="7">
        <v>45622</v>
      </c>
      <c r="F23" t="s">
        <v>76</v>
      </c>
      <c r="G23">
        <v>0</v>
      </c>
      <c r="H23" t="s">
        <v>22</v>
      </c>
      <c r="I23" t="s">
        <v>16</v>
      </c>
      <c r="J23" t="s">
        <v>16</v>
      </c>
      <c r="K23" t="str">
        <f>VLOOKUP(C23,CheckName!A:B,2,0)</f>
        <v>Add</v>
      </c>
      <c r="M23">
        <f>DAY(RejectionData[[#This Row],[RejectionDate]])</f>
        <v>26</v>
      </c>
    </row>
    <row r="24" spans="1:13">
      <c r="A24" t="s">
        <v>45</v>
      </c>
      <c r="B24" t="s">
        <v>77</v>
      </c>
      <c r="C24" t="s">
        <v>19</v>
      </c>
      <c r="D24" t="s">
        <v>20</v>
      </c>
      <c r="E24" s="7">
        <v>45622</v>
      </c>
      <c r="F24" t="s">
        <v>76</v>
      </c>
      <c r="G24">
        <v>0</v>
      </c>
      <c r="H24" t="s">
        <v>22</v>
      </c>
      <c r="I24" t="s">
        <v>16</v>
      </c>
      <c r="J24" t="s">
        <v>16</v>
      </c>
      <c r="K24" t="str">
        <f>VLOOKUP(C24,CheckName!A:B,2,0)</f>
        <v>Add</v>
      </c>
      <c r="M24">
        <f>DAY(RejectionData[[#This Row],[RejectionDate]])</f>
        <v>26</v>
      </c>
    </row>
    <row r="25" spans="1:13">
      <c r="A25" t="s">
        <v>78</v>
      </c>
      <c r="B25" t="s">
        <v>79</v>
      </c>
      <c r="C25" t="s">
        <v>12</v>
      </c>
      <c r="D25" t="s">
        <v>26</v>
      </c>
      <c r="E25" s="7">
        <v>45622</v>
      </c>
      <c r="F25" t="s">
        <v>80</v>
      </c>
      <c r="G25">
        <v>0</v>
      </c>
      <c r="H25" t="s">
        <v>27</v>
      </c>
      <c r="I25" t="s">
        <v>16</v>
      </c>
      <c r="J25" t="s">
        <v>16</v>
      </c>
      <c r="K25" t="str">
        <f>VLOOKUP(C25,CheckName!A:B,2,0)</f>
        <v>Emp</v>
      </c>
      <c r="M25">
        <f>DAY(RejectionData[[#This Row],[RejectionDate]])</f>
        <v>26</v>
      </c>
    </row>
    <row r="26" spans="1:13">
      <c r="A26" t="s">
        <v>81</v>
      </c>
      <c r="B26" t="s">
        <v>82</v>
      </c>
      <c r="C26" t="s">
        <v>12</v>
      </c>
      <c r="D26" t="s">
        <v>26</v>
      </c>
      <c r="E26" s="7">
        <v>45622</v>
      </c>
      <c r="F26" t="s">
        <v>83</v>
      </c>
      <c r="G26">
        <v>0</v>
      </c>
      <c r="H26" t="s">
        <v>27</v>
      </c>
      <c r="I26" t="s">
        <v>16</v>
      </c>
      <c r="J26" t="s">
        <v>16</v>
      </c>
      <c r="K26" t="str">
        <f>VLOOKUP(C26,CheckName!A:B,2,0)</f>
        <v>Emp</v>
      </c>
      <c r="M26">
        <f>DAY(RejectionData[[#This Row],[RejectionDate]])</f>
        <v>26</v>
      </c>
    </row>
    <row r="27" spans="1:13">
      <c r="A27" t="s">
        <v>84</v>
      </c>
      <c r="B27" t="s">
        <v>85</v>
      </c>
      <c r="C27" t="s">
        <v>12</v>
      </c>
      <c r="D27" t="s">
        <v>26</v>
      </c>
      <c r="E27" s="7">
        <v>45622</v>
      </c>
      <c r="F27" t="s">
        <v>83</v>
      </c>
      <c r="G27">
        <v>0</v>
      </c>
      <c r="H27" t="s">
        <v>27</v>
      </c>
      <c r="I27" t="s">
        <v>16</v>
      </c>
      <c r="J27" t="s">
        <v>16</v>
      </c>
      <c r="K27" t="str">
        <f>VLOOKUP(C27,CheckName!A:B,2,0)</f>
        <v>Emp</v>
      </c>
      <c r="M27">
        <f>DAY(RejectionData[[#This Row],[RejectionDate]])</f>
        <v>26</v>
      </c>
    </row>
    <row r="28" spans="1:13">
      <c r="A28" t="s">
        <v>86</v>
      </c>
      <c r="B28" t="s">
        <v>87</v>
      </c>
      <c r="C28" t="s">
        <v>36</v>
      </c>
      <c r="D28" t="s">
        <v>26</v>
      </c>
      <c r="E28" s="7">
        <v>45622</v>
      </c>
      <c r="F28" t="s">
        <v>83</v>
      </c>
      <c r="G28">
        <v>0</v>
      </c>
      <c r="H28" t="s">
        <v>22</v>
      </c>
      <c r="I28" t="s">
        <v>16</v>
      </c>
      <c r="J28" t="s">
        <v>16</v>
      </c>
      <c r="K28" t="str">
        <f>VLOOKUP(C28,CheckName!A:B,2,0)</f>
        <v>Emp</v>
      </c>
      <c r="M28">
        <f>DAY(RejectionData[[#This Row],[RejectionDate]])</f>
        <v>26</v>
      </c>
    </row>
    <row r="29" spans="1:13">
      <c r="A29" t="s">
        <v>88</v>
      </c>
      <c r="B29" t="s">
        <v>89</v>
      </c>
      <c r="C29" t="s">
        <v>36</v>
      </c>
      <c r="D29" t="s">
        <v>13</v>
      </c>
      <c r="E29" s="7">
        <v>45622</v>
      </c>
      <c r="F29" t="s">
        <v>90</v>
      </c>
      <c r="G29">
        <v>0</v>
      </c>
      <c r="H29" t="s">
        <v>15</v>
      </c>
      <c r="I29" t="s">
        <v>16</v>
      </c>
      <c r="J29" t="s">
        <v>16</v>
      </c>
      <c r="K29" t="str">
        <f>VLOOKUP(C29,CheckName!A:B,2,0)</f>
        <v>Emp</v>
      </c>
      <c r="M29">
        <f>DAY(RejectionData[[#This Row],[RejectionDate]])</f>
        <v>26</v>
      </c>
    </row>
    <row r="30" spans="1:13">
      <c r="A30" t="s">
        <v>91</v>
      </c>
      <c r="B30" t="s">
        <v>92</v>
      </c>
      <c r="C30" t="s">
        <v>93</v>
      </c>
      <c r="D30" t="s">
        <v>26</v>
      </c>
      <c r="E30" s="7">
        <v>45622</v>
      </c>
      <c r="F30" t="s">
        <v>94</v>
      </c>
      <c r="G30">
        <v>0</v>
      </c>
      <c r="H30" t="s">
        <v>95</v>
      </c>
      <c r="I30" t="s">
        <v>16</v>
      </c>
      <c r="J30" t="s">
        <v>16</v>
      </c>
      <c r="K30" t="str">
        <f>VLOOKUP(C30,CheckName!A:B,2,0)</f>
        <v>Edu</v>
      </c>
      <c r="M30">
        <f>DAY(RejectionData[[#This Row],[RejectionDate]])</f>
        <v>26</v>
      </c>
    </row>
    <row r="31" spans="1:13">
      <c r="A31" t="s">
        <v>96</v>
      </c>
      <c r="B31" t="s">
        <v>97</v>
      </c>
      <c r="C31" t="s">
        <v>59</v>
      </c>
      <c r="D31" t="s">
        <v>13</v>
      </c>
      <c r="E31" s="7">
        <v>45622</v>
      </c>
      <c r="F31" t="s">
        <v>98</v>
      </c>
      <c r="G31">
        <v>0</v>
      </c>
      <c r="H31" t="s">
        <v>15</v>
      </c>
      <c r="I31" t="s">
        <v>16</v>
      </c>
      <c r="J31" t="s">
        <v>16</v>
      </c>
      <c r="K31" t="str">
        <f>VLOOKUP(C31,CheckName!A:B,2,0)</f>
        <v>Special Check</v>
      </c>
      <c r="M31">
        <f>DAY(RejectionData[[#This Row],[RejectionDate]])</f>
        <v>26</v>
      </c>
    </row>
    <row r="32" spans="1:13">
      <c r="A32" t="s">
        <v>96</v>
      </c>
      <c r="B32" t="s">
        <v>99</v>
      </c>
      <c r="C32" t="s">
        <v>59</v>
      </c>
      <c r="D32" t="s">
        <v>13</v>
      </c>
      <c r="E32" s="7">
        <v>45622</v>
      </c>
      <c r="F32" t="s">
        <v>98</v>
      </c>
      <c r="G32">
        <v>0</v>
      </c>
      <c r="H32" t="s">
        <v>15</v>
      </c>
      <c r="I32" t="s">
        <v>16</v>
      </c>
      <c r="J32" t="s">
        <v>16</v>
      </c>
      <c r="K32" t="str">
        <f>VLOOKUP(C32,CheckName!A:B,2,0)</f>
        <v>Special Check</v>
      </c>
      <c r="M32">
        <f>DAY(RejectionData[[#This Row],[RejectionDate]])</f>
        <v>26</v>
      </c>
    </row>
    <row r="33" spans="1:13">
      <c r="A33" t="s">
        <v>100</v>
      </c>
      <c r="B33" t="s">
        <v>101</v>
      </c>
      <c r="C33" t="s">
        <v>102</v>
      </c>
      <c r="D33" t="s">
        <v>26</v>
      </c>
      <c r="E33" s="7">
        <v>45622</v>
      </c>
      <c r="F33" t="s">
        <v>103</v>
      </c>
      <c r="G33">
        <v>0</v>
      </c>
      <c r="H33" t="s">
        <v>27</v>
      </c>
      <c r="I33" t="s">
        <v>16</v>
      </c>
      <c r="J33" t="s">
        <v>16</v>
      </c>
      <c r="K33" t="str">
        <f>VLOOKUP(C33,CheckName!A:B,2,0)</f>
        <v>Edu</v>
      </c>
      <c r="M33">
        <f>DAY(RejectionData[[#This Row],[RejectionDate]])</f>
        <v>26</v>
      </c>
    </row>
    <row r="34" spans="1:13">
      <c r="A34" t="s">
        <v>104</v>
      </c>
      <c r="B34" t="s">
        <v>105</v>
      </c>
      <c r="C34" t="s">
        <v>106</v>
      </c>
      <c r="D34" t="s">
        <v>13</v>
      </c>
      <c r="E34" s="7">
        <v>45622</v>
      </c>
      <c r="F34" t="s">
        <v>107</v>
      </c>
      <c r="G34">
        <v>0</v>
      </c>
      <c r="H34" t="s">
        <v>53</v>
      </c>
      <c r="I34" t="s">
        <v>16</v>
      </c>
      <c r="J34" t="s">
        <v>16</v>
      </c>
      <c r="K34" t="str">
        <f>VLOOKUP(C34,CheckName!A:B,2,0)</f>
        <v>Ref</v>
      </c>
      <c r="M34">
        <f>DAY(RejectionData[[#This Row],[RejectionDate]])</f>
        <v>26</v>
      </c>
    </row>
    <row r="35" spans="1:13">
      <c r="A35" t="s">
        <v>23</v>
      </c>
      <c r="B35" t="s">
        <v>24</v>
      </c>
      <c r="C35" t="s">
        <v>71</v>
      </c>
      <c r="D35" t="s">
        <v>38</v>
      </c>
      <c r="E35" s="7">
        <v>45622</v>
      </c>
      <c r="F35" t="s">
        <v>108</v>
      </c>
      <c r="G35">
        <v>0</v>
      </c>
      <c r="H35" t="s">
        <v>27</v>
      </c>
      <c r="I35" t="s">
        <v>16</v>
      </c>
      <c r="J35" t="s">
        <v>16</v>
      </c>
      <c r="K35" t="str">
        <f>VLOOKUP(C35,CheckName!A:B,2,0)</f>
        <v>CRC</v>
      </c>
      <c r="M35">
        <f>DAY(RejectionData[[#This Row],[RejectionDate]])</f>
        <v>26</v>
      </c>
    </row>
    <row r="36" spans="1:13">
      <c r="A36" t="s">
        <v>84</v>
      </c>
      <c r="B36" t="s">
        <v>109</v>
      </c>
      <c r="C36" t="s">
        <v>12</v>
      </c>
      <c r="D36" t="s">
        <v>26</v>
      </c>
      <c r="E36" s="7">
        <v>45622</v>
      </c>
      <c r="F36" t="s">
        <v>110</v>
      </c>
      <c r="G36">
        <v>0</v>
      </c>
      <c r="H36" t="s">
        <v>27</v>
      </c>
      <c r="I36" t="s">
        <v>16</v>
      </c>
      <c r="J36" t="s">
        <v>16</v>
      </c>
      <c r="K36" t="str">
        <f>VLOOKUP(C36,CheckName!A:B,2,0)</f>
        <v>Emp</v>
      </c>
      <c r="M36">
        <f>DAY(RejectionData[[#This Row],[RejectionDate]])</f>
        <v>26</v>
      </c>
    </row>
    <row r="37" spans="1:13">
      <c r="A37" t="s">
        <v>84</v>
      </c>
      <c r="B37" t="s">
        <v>111</v>
      </c>
      <c r="C37" t="s">
        <v>112</v>
      </c>
      <c r="D37" t="s">
        <v>26</v>
      </c>
      <c r="E37" s="7">
        <v>45622</v>
      </c>
      <c r="F37" t="s">
        <v>110</v>
      </c>
      <c r="G37">
        <v>0</v>
      </c>
      <c r="H37" t="s">
        <v>22</v>
      </c>
      <c r="I37" t="s">
        <v>16</v>
      </c>
      <c r="J37" t="s">
        <v>16</v>
      </c>
      <c r="K37" t="str">
        <f>VLOOKUP(C37,CheckName!A:B,2,0)</f>
        <v>Emp</v>
      </c>
      <c r="M37">
        <f>DAY(RejectionData[[#This Row],[RejectionDate]])</f>
        <v>26</v>
      </c>
    </row>
    <row r="38" spans="1:13">
      <c r="A38" t="s">
        <v>113</v>
      </c>
      <c r="B38" t="s">
        <v>114</v>
      </c>
      <c r="C38" t="s">
        <v>36</v>
      </c>
      <c r="D38" t="s">
        <v>26</v>
      </c>
      <c r="E38" s="7">
        <v>45622</v>
      </c>
      <c r="F38" t="s">
        <v>115</v>
      </c>
      <c r="G38">
        <v>0</v>
      </c>
      <c r="H38" t="s">
        <v>27</v>
      </c>
      <c r="I38" t="s">
        <v>16</v>
      </c>
      <c r="J38" t="s">
        <v>16</v>
      </c>
      <c r="K38" t="str">
        <f>VLOOKUP(C38,CheckName!A:B,2,0)</f>
        <v>Emp</v>
      </c>
      <c r="M38">
        <f>DAY(RejectionData[[#This Row],[RejectionDate]])</f>
        <v>26</v>
      </c>
    </row>
    <row r="39" spans="1:13">
      <c r="A39" t="s">
        <v>116</v>
      </c>
      <c r="B39" t="s">
        <v>117</v>
      </c>
      <c r="C39" t="s">
        <v>49</v>
      </c>
      <c r="D39" t="s">
        <v>26</v>
      </c>
      <c r="E39" s="7">
        <v>45622</v>
      </c>
      <c r="F39" t="s">
        <v>118</v>
      </c>
      <c r="G39">
        <v>0</v>
      </c>
      <c r="H39" t="s">
        <v>27</v>
      </c>
      <c r="I39" t="s">
        <v>16</v>
      </c>
      <c r="J39" t="s">
        <v>16</v>
      </c>
      <c r="K39" t="str">
        <f>VLOOKUP(C39,CheckName!A:B,2,0)</f>
        <v>CRC</v>
      </c>
      <c r="M39">
        <f>DAY(RejectionData[[#This Row],[RejectionDate]])</f>
        <v>26</v>
      </c>
    </row>
    <row r="40" spans="1:13">
      <c r="A40" t="s">
        <v>119</v>
      </c>
      <c r="B40" t="s">
        <v>120</v>
      </c>
      <c r="C40" t="s">
        <v>54</v>
      </c>
      <c r="D40" t="s">
        <v>26</v>
      </c>
      <c r="E40" s="7">
        <v>45622</v>
      </c>
      <c r="F40" t="s">
        <v>121</v>
      </c>
      <c r="G40">
        <v>0</v>
      </c>
      <c r="H40" t="s">
        <v>27</v>
      </c>
      <c r="I40" t="s">
        <v>16</v>
      </c>
      <c r="J40" t="s">
        <v>16</v>
      </c>
      <c r="K40" t="str">
        <f>VLOOKUP(C40,CheckName!A:B,2,0)</f>
        <v>Edu</v>
      </c>
      <c r="M40">
        <f>DAY(RejectionData[[#This Row],[RejectionDate]])</f>
        <v>26</v>
      </c>
    </row>
    <row r="41" spans="1:13">
      <c r="A41" t="s">
        <v>23</v>
      </c>
      <c r="B41" t="s">
        <v>24</v>
      </c>
      <c r="C41" t="s">
        <v>122</v>
      </c>
      <c r="D41" t="s">
        <v>38</v>
      </c>
      <c r="E41" s="7">
        <v>45622</v>
      </c>
      <c r="F41" t="s">
        <v>118</v>
      </c>
      <c r="G41">
        <v>0</v>
      </c>
      <c r="H41" t="s">
        <v>27</v>
      </c>
      <c r="I41" t="s">
        <v>16</v>
      </c>
      <c r="J41" t="s">
        <v>16</v>
      </c>
      <c r="K41" t="str">
        <f>VLOOKUP(C41,CheckName!A:B,2,0)</f>
        <v>Special Check</v>
      </c>
      <c r="M41">
        <f>DAY(RejectionData[[#This Row],[RejectionDate]])</f>
        <v>26</v>
      </c>
    </row>
    <row r="42" spans="1:13">
      <c r="A42" t="s">
        <v>23</v>
      </c>
      <c r="B42" t="s">
        <v>24</v>
      </c>
      <c r="C42" t="s">
        <v>123</v>
      </c>
      <c r="D42" t="s">
        <v>38</v>
      </c>
      <c r="E42" s="7">
        <v>45622</v>
      </c>
      <c r="F42" t="s">
        <v>118</v>
      </c>
      <c r="G42">
        <v>0</v>
      </c>
      <c r="H42" t="s">
        <v>27</v>
      </c>
      <c r="I42" t="s">
        <v>16</v>
      </c>
      <c r="J42" t="s">
        <v>16</v>
      </c>
      <c r="K42" t="str">
        <f>VLOOKUP(C42,CheckName!A:B,2,0)</f>
        <v>Special Check</v>
      </c>
      <c r="M42">
        <f>DAY(RejectionData[[#This Row],[RejectionDate]])</f>
        <v>26</v>
      </c>
    </row>
    <row r="43" spans="1:13">
      <c r="A43" t="s">
        <v>45</v>
      </c>
      <c r="B43" t="s">
        <v>124</v>
      </c>
      <c r="C43" t="s">
        <v>125</v>
      </c>
      <c r="D43" t="s">
        <v>26</v>
      </c>
      <c r="E43" s="7">
        <v>45622</v>
      </c>
      <c r="F43" t="s">
        <v>126</v>
      </c>
      <c r="G43">
        <v>0</v>
      </c>
      <c r="H43" t="s">
        <v>22</v>
      </c>
      <c r="I43" t="s">
        <v>16</v>
      </c>
      <c r="J43" t="s">
        <v>16</v>
      </c>
      <c r="K43" t="str">
        <f>VLOOKUP(C43,CheckName!A:B,2,0)</f>
        <v>Emp</v>
      </c>
      <c r="M43">
        <f>DAY(RejectionData[[#This Row],[RejectionDate]])</f>
        <v>26</v>
      </c>
    </row>
    <row r="44" spans="1:13">
      <c r="A44" t="s">
        <v>127</v>
      </c>
      <c r="B44" t="s">
        <v>128</v>
      </c>
      <c r="C44" t="s">
        <v>19</v>
      </c>
      <c r="D44" t="s">
        <v>20</v>
      </c>
      <c r="E44" s="7">
        <v>45621</v>
      </c>
      <c r="F44" t="s">
        <v>129</v>
      </c>
      <c r="G44">
        <v>1</v>
      </c>
      <c r="H44" t="s">
        <v>130</v>
      </c>
      <c r="I44" t="s">
        <v>16</v>
      </c>
      <c r="J44" t="s">
        <v>16</v>
      </c>
      <c r="K44" t="str">
        <f>VLOOKUP(C44,CheckName!A:B,2,0)</f>
        <v>Add</v>
      </c>
      <c r="M44">
        <f>DAY(RejectionData[[#This Row],[RejectionDate]])</f>
        <v>25</v>
      </c>
    </row>
    <row r="45" spans="1:13">
      <c r="A45" t="s">
        <v>131</v>
      </c>
      <c r="B45" t="s">
        <v>132</v>
      </c>
      <c r="C45" t="s">
        <v>19</v>
      </c>
      <c r="D45" t="s">
        <v>26</v>
      </c>
      <c r="E45" s="7">
        <v>45621</v>
      </c>
      <c r="F45" t="s">
        <v>129</v>
      </c>
      <c r="G45">
        <v>1</v>
      </c>
      <c r="H45" t="s">
        <v>27</v>
      </c>
      <c r="I45" t="s">
        <v>16</v>
      </c>
      <c r="J45" t="s">
        <v>16</v>
      </c>
      <c r="K45" t="str">
        <f>VLOOKUP(C45,CheckName!A:B,2,0)</f>
        <v>Add</v>
      </c>
      <c r="M45">
        <f>DAY(RejectionData[[#This Row],[RejectionDate]])</f>
        <v>25</v>
      </c>
    </row>
    <row r="46" spans="1:13">
      <c r="A46" t="s">
        <v>133</v>
      </c>
      <c r="B46" t="s">
        <v>134</v>
      </c>
      <c r="C46" t="s">
        <v>25</v>
      </c>
      <c r="D46" t="s">
        <v>26</v>
      </c>
      <c r="E46" s="7">
        <v>45621</v>
      </c>
      <c r="F46" t="s">
        <v>129</v>
      </c>
      <c r="G46">
        <v>1</v>
      </c>
      <c r="H46" t="s">
        <v>27</v>
      </c>
      <c r="I46" t="s">
        <v>16</v>
      </c>
      <c r="J46" t="s">
        <v>16</v>
      </c>
      <c r="K46" t="str">
        <f>VLOOKUP(C46,CheckName!A:B,2,0)</f>
        <v>Add</v>
      </c>
      <c r="M46">
        <f>DAY(RejectionData[[#This Row],[RejectionDate]])</f>
        <v>25</v>
      </c>
    </row>
    <row r="47" spans="1:13">
      <c r="A47" t="s">
        <v>133</v>
      </c>
      <c r="B47" t="s">
        <v>135</v>
      </c>
      <c r="C47" t="s">
        <v>25</v>
      </c>
      <c r="D47" t="s">
        <v>20</v>
      </c>
      <c r="E47" s="7">
        <v>45621</v>
      </c>
      <c r="F47" t="s">
        <v>129</v>
      </c>
      <c r="G47">
        <v>1</v>
      </c>
      <c r="H47" t="s">
        <v>22</v>
      </c>
      <c r="I47" t="s">
        <v>16</v>
      </c>
      <c r="J47" t="s">
        <v>16</v>
      </c>
      <c r="K47" t="str">
        <f>VLOOKUP(C47,CheckName!A:B,2,0)</f>
        <v>Add</v>
      </c>
      <c r="M47">
        <f>DAY(RejectionData[[#This Row],[RejectionDate]])</f>
        <v>25</v>
      </c>
    </row>
    <row r="48" spans="1:13">
      <c r="A48" t="s">
        <v>133</v>
      </c>
      <c r="B48" t="s">
        <v>136</v>
      </c>
      <c r="C48" t="s">
        <v>19</v>
      </c>
      <c r="D48" t="s">
        <v>20</v>
      </c>
      <c r="E48" s="7">
        <v>45621</v>
      </c>
      <c r="F48" t="s">
        <v>129</v>
      </c>
      <c r="G48">
        <v>1</v>
      </c>
      <c r="H48" t="s">
        <v>22</v>
      </c>
      <c r="I48" t="s">
        <v>16</v>
      </c>
      <c r="J48" t="s">
        <v>16</v>
      </c>
      <c r="K48" t="str">
        <f>VLOOKUP(C48,CheckName!A:B,2,0)</f>
        <v>Add</v>
      </c>
      <c r="M48">
        <f>DAY(RejectionData[[#This Row],[RejectionDate]])</f>
        <v>25</v>
      </c>
    </row>
    <row r="49" spans="1:13">
      <c r="A49" t="s">
        <v>137</v>
      </c>
      <c r="B49" t="s">
        <v>138</v>
      </c>
      <c r="C49" t="s">
        <v>25</v>
      </c>
      <c r="D49" t="s">
        <v>20</v>
      </c>
      <c r="E49" s="7">
        <v>45621</v>
      </c>
      <c r="F49" t="s">
        <v>129</v>
      </c>
      <c r="G49">
        <v>1</v>
      </c>
      <c r="H49" t="s">
        <v>22</v>
      </c>
      <c r="I49" t="s">
        <v>16</v>
      </c>
      <c r="J49" t="s">
        <v>16</v>
      </c>
      <c r="K49" t="str">
        <f>VLOOKUP(C49,CheckName!A:B,2,0)</f>
        <v>Add</v>
      </c>
      <c r="M49">
        <f>DAY(RejectionData[[#This Row],[RejectionDate]])</f>
        <v>25</v>
      </c>
    </row>
    <row r="50" spans="1:13">
      <c r="A50" t="s">
        <v>139</v>
      </c>
      <c r="B50" t="s">
        <v>140</v>
      </c>
      <c r="C50" t="s">
        <v>12</v>
      </c>
      <c r="D50" t="s">
        <v>26</v>
      </c>
      <c r="E50" s="7">
        <v>45621</v>
      </c>
      <c r="F50" t="s">
        <v>141</v>
      </c>
      <c r="G50">
        <v>1</v>
      </c>
      <c r="H50" t="s">
        <v>27</v>
      </c>
      <c r="I50" t="s">
        <v>16</v>
      </c>
      <c r="J50" t="s">
        <v>16</v>
      </c>
      <c r="K50" t="str">
        <f>VLOOKUP(C50,CheckName!A:B,2,0)</f>
        <v>Emp</v>
      </c>
      <c r="M50">
        <f>DAY(RejectionData[[#This Row],[RejectionDate]])</f>
        <v>25</v>
      </c>
    </row>
    <row r="51" spans="1:13">
      <c r="A51" t="s">
        <v>142</v>
      </c>
      <c r="B51" t="s">
        <v>143</v>
      </c>
      <c r="C51" t="s">
        <v>36</v>
      </c>
      <c r="D51" t="s">
        <v>26</v>
      </c>
      <c r="E51" s="7">
        <v>45621</v>
      </c>
      <c r="F51" t="s">
        <v>115</v>
      </c>
      <c r="G51">
        <v>1</v>
      </c>
      <c r="H51" t="s">
        <v>130</v>
      </c>
      <c r="I51" t="s">
        <v>16</v>
      </c>
      <c r="J51" t="s">
        <v>16</v>
      </c>
      <c r="K51" t="str">
        <f>VLOOKUP(C51,CheckName!A:B,2,0)</f>
        <v>Emp</v>
      </c>
      <c r="M51">
        <f>DAY(RejectionData[[#This Row],[RejectionDate]])</f>
        <v>25</v>
      </c>
    </row>
    <row r="52" spans="1:13">
      <c r="A52" t="s">
        <v>144</v>
      </c>
      <c r="B52" t="s">
        <v>145</v>
      </c>
      <c r="C52" t="s">
        <v>36</v>
      </c>
      <c r="D52" t="s">
        <v>26</v>
      </c>
      <c r="E52" s="7">
        <v>45621</v>
      </c>
      <c r="F52" t="s">
        <v>115</v>
      </c>
      <c r="G52">
        <v>1</v>
      </c>
      <c r="H52" t="s">
        <v>27</v>
      </c>
      <c r="I52" t="s">
        <v>16</v>
      </c>
      <c r="J52" t="s">
        <v>16</v>
      </c>
      <c r="K52" t="str">
        <f>VLOOKUP(C52,CheckName!A:B,2,0)</f>
        <v>Emp</v>
      </c>
      <c r="M52">
        <f>DAY(RejectionData[[#This Row],[RejectionDate]])</f>
        <v>25</v>
      </c>
    </row>
    <row r="53" spans="1:13">
      <c r="A53" t="s">
        <v>146</v>
      </c>
      <c r="B53" t="s">
        <v>147</v>
      </c>
      <c r="C53" t="s">
        <v>36</v>
      </c>
      <c r="D53" t="s">
        <v>26</v>
      </c>
      <c r="E53" s="7">
        <v>45621</v>
      </c>
      <c r="F53" t="s">
        <v>148</v>
      </c>
      <c r="G53">
        <v>1</v>
      </c>
      <c r="H53" t="s">
        <v>27</v>
      </c>
      <c r="I53" t="s">
        <v>16</v>
      </c>
      <c r="J53" t="s">
        <v>16</v>
      </c>
      <c r="K53" t="str">
        <f>VLOOKUP(C53,CheckName!A:B,2,0)</f>
        <v>Emp</v>
      </c>
      <c r="M53">
        <f>DAY(RejectionData[[#This Row],[RejectionDate]])</f>
        <v>25</v>
      </c>
    </row>
    <row r="54" spans="1:13">
      <c r="A54" t="s">
        <v>40</v>
      </c>
      <c r="B54" t="s">
        <v>149</v>
      </c>
      <c r="C54" t="s">
        <v>12</v>
      </c>
      <c r="D54" t="s">
        <v>26</v>
      </c>
      <c r="E54" s="7">
        <v>45621</v>
      </c>
      <c r="F54" t="s">
        <v>148</v>
      </c>
      <c r="G54">
        <v>1</v>
      </c>
      <c r="H54" t="s">
        <v>27</v>
      </c>
      <c r="I54" t="s">
        <v>16</v>
      </c>
      <c r="J54" t="s">
        <v>16</v>
      </c>
      <c r="K54" t="str">
        <f>VLOOKUP(C54,CheckName!A:B,2,0)</f>
        <v>Emp</v>
      </c>
      <c r="M54">
        <f>DAY(RejectionData[[#This Row],[RejectionDate]])</f>
        <v>25</v>
      </c>
    </row>
    <row r="55" spans="1:13">
      <c r="A55" t="s">
        <v>84</v>
      </c>
      <c r="B55" t="s">
        <v>150</v>
      </c>
      <c r="C55" t="s">
        <v>12</v>
      </c>
      <c r="D55" t="s">
        <v>26</v>
      </c>
      <c r="E55" s="7">
        <v>45621</v>
      </c>
      <c r="F55" t="s">
        <v>151</v>
      </c>
      <c r="G55">
        <v>1</v>
      </c>
      <c r="H55" t="s">
        <v>27</v>
      </c>
      <c r="I55" t="s">
        <v>16</v>
      </c>
      <c r="J55" t="s">
        <v>16</v>
      </c>
      <c r="K55" t="str">
        <f>VLOOKUP(C55,CheckName!A:B,2,0)</f>
        <v>Emp</v>
      </c>
      <c r="M55">
        <f>DAY(RejectionData[[#This Row],[RejectionDate]])</f>
        <v>25</v>
      </c>
    </row>
    <row r="56" spans="1:13">
      <c r="A56" t="s">
        <v>84</v>
      </c>
      <c r="B56" t="s">
        <v>152</v>
      </c>
      <c r="C56" t="s">
        <v>12</v>
      </c>
      <c r="D56" t="s">
        <v>26</v>
      </c>
      <c r="E56" s="7">
        <v>45621</v>
      </c>
      <c r="F56" t="s">
        <v>151</v>
      </c>
      <c r="G56">
        <v>1</v>
      </c>
      <c r="H56" t="s">
        <v>27</v>
      </c>
      <c r="I56" t="s">
        <v>16</v>
      </c>
      <c r="J56" t="s">
        <v>16</v>
      </c>
      <c r="K56" t="str">
        <f>VLOOKUP(C56,CheckName!A:B,2,0)</f>
        <v>Emp</v>
      </c>
      <c r="M56">
        <f>DAY(RejectionData[[#This Row],[RejectionDate]])</f>
        <v>25</v>
      </c>
    </row>
    <row r="57" spans="1:13">
      <c r="A57" t="s">
        <v>84</v>
      </c>
      <c r="B57" t="s">
        <v>153</v>
      </c>
      <c r="C57" t="s">
        <v>12</v>
      </c>
      <c r="D57" t="s">
        <v>26</v>
      </c>
      <c r="E57" s="7">
        <v>45621</v>
      </c>
      <c r="F57" t="s">
        <v>110</v>
      </c>
      <c r="G57">
        <v>1</v>
      </c>
      <c r="H57" t="s">
        <v>130</v>
      </c>
      <c r="I57" t="s">
        <v>16</v>
      </c>
      <c r="J57" t="s">
        <v>16</v>
      </c>
      <c r="K57" t="str">
        <f>VLOOKUP(C57,CheckName!A:B,2,0)</f>
        <v>Emp</v>
      </c>
      <c r="M57">
        <f>DAY(RejectionData[[#This Row],[RejectionDate]])</f>
        <v>25</v>
      </c>
    </row>
    <row r="58" spans="1:13">
      <c r="A58" t="s">
        <v>154</v>
      </c>
      <c r="B58" t="s">
        <v>155</v>
      </c>
      <c r="C58" t="s">
        <v>12</v>
      </c>
      <c r="D58" t="s">
        <v>13</v>
      </c>
      <c r="E58" s="7">
        <v>45621</v>
      </c>
      <c r="F58" t="s">
        <v>156</v>
      </c>
      <c r="G58">
        <v>1</v>
      </c>
      <c r="H58" t="s">
        <v>15</v>
      </c>
      <c r="I58" t="s">
        <v>16</v>
      </c>
      <c r="J58" t="s">
        <v>16</v>
      </c>
      <c r="K58" t="str">
        <f>VLOOKUP(C58,CheckName!A:B,2,0)</f>
        <v>Emp</v>
      </c>
      <c r="M58">
        <f>DAY(RejectionData[[#This Row],[RejectionDate]])</f>
        <v>25</v>
      </c>
    </row>
    <row r="59" spans="1:13">
      <c r="A59" t="s">
        <v>157</v>
      </c>
      <c r="B59" t="s">
        <v>158</v>
      </c>
      <c r="C59" t="s">
        <v>12</v>
      </c>
      <c r="D59" t="s">
        <v>26</v>
      </c>
      <c r="E59" s="7">
        <v>45621</v>
      </c>
      <c r="F59" t="s">
        <v>159</v>
      </c>
      <c r="G59">
        <v>1</v>
      </c>
      <c r="H59" t="s">
        <v>27</v>
      </c>
      <c r="I59" t="s">
        <v>16</v>
      </c>
      <c r="J59" t="s">
        <v>16</v>
      </c>
      <c r="K59" t="str">
        <f>VLOOKUP(C59,CheckName!A:B,2,0)</f>
        <v>Emp</v>
      </c>
      <c r="M59">
        <f>DAY(RejectionData[[#This Row],[RejectionDate]])</f>
        <v>25</v>
      </c>
    </row>
    <row r="60" spans="1:13">
      <c r="A60" t="s">
        <v>160</v>
      </c>
      <c r="B60" t="s">
        <v>161</v>
      </c>
      <c r="C60" t="s">
        <v>36</v>
      </c>
      <c r="D60" t="s">
        <v>26</v>
      </c>
      <c r="E60" s="7">
        <v>45621</v>
      </c>
      <c r="F60" t="s">
        <v>162</v>
      </c>
      <c r="G60">
        <v>1</v>
      </c>
      <c r="H60" t="s">
        <v>27</v>
      </c>
      <c r="I60" t="s">
        <v>16</v>
      </c>
      <c r="J60" t="s">
        <v>16</v>
      </c>
      <c r="K60" t="str">
        <f>VLOOKUP(C60,CheckName!A:B,2,0)</f>
        <v>Emp</v>
      </c>
      <c r="M60">
        <f>DAY(RejectionData[[#This Row],[RejectionDate]])</f>
        <v>25</v>
      </c>
    </row>
    <row r="61" spans="1:13">
      <c r="A61" t="s">
        <v>163</v>
      </c>
      <c r="B61" t="s">
        <v>164</v>
      </c>
      <c r="C61" t="s">
        <v>12</v>
      </c>
      <c r="D61" t="s">
        <v>26</v>
      </c>
      <c r="E61" s="7">
        <v>45621</v>
      </c>
      <c r="F61" t="s">
        <v>162</v>
      </c>
      <c r="G61">
        <v>1</v>
      </c>
      <c r="H61" t="s">
        <v>27</v>
      </c>
      <c r="I61" t="s">
        <v>16</v>
      </c>
      <c r="J61" t="s">
        <v>16</v>
      </c>
      <c r="K61" t="str">
        <f>VLOOKUP(C61,CheckName!A:B,2,0)</f>
        <v>Emp</v>
      </c>
      <c r="M61">
        <f>DAY(RejectionData[[#This Row],[RejectionDate]])</f>
        <v>25</v>
      </c>
    </row>
    <row r="62" spans="1:13">
      <c r="A62" t="s">
        <v>165</v>
      </c>
      <c r="B62" t="s">
        <v>166</v>
      </c>
      <c r="C62" t="s">
        <v>54</v>
      </c>
      <c r="D62" t="s">
        <v>26</v>
      </c>
      <c r="E62" s="7">
        <v>45621</v>
      </c>
      <c r="F62" t="s">
        <v>167</v>
      </c>
      <c r="G62">
        <v>1</v>
      </c>
      <c r="H62" t="s">
        <v>27</v>
      </c>
      <c r="I62" t="s">
        <v>16</v>
      </c>
      <c r="J62" t="s">
        <v>16</v>
      </c>
      <c r="K62" t="str">
        <f>VLOOKUP(C62,CheckName!A:B,2,0)</f>
        <v>Edu</v>
      </c>
      <c r="M62">
        <f>DAY(RejectionData[[#This Row],[RejectionDate]])</f>
        <v>25</v>
      </c>
    </row>
    <row r="63" spans="1:13">
      <c r="A63" t="s">
        <v>23</v>
      </c>
      <c r="B63" t="s">
        <v>168</v>
      </c>
      <c r="C63" t="s">
        <v>12</v>
      </c>
      <c r="D63" t="s">
        <v>26</v>
      </c>
      <c r="E63" s="7">
        <v>45621</v>
      </c>
      <c r="F63" t="s">
        <v>169</v>
      </c>
      <c r="G63">
        <v>1</v>
      </c>
      <c r="H63" t="s">
        <v>27</v>
      </c>
      <c r="I63" t="s">
        <v>16</v>
      </c>
      <c r="J63" t="s">
        <v>16</v>
      </c>
      <c r="K63" t="str">
        <f>VLOOKUP(C63,CheckName!A:B,2,0)</f>
        <v>Emp</v>
      </c>
      <c r="M63">
        <f>DAY(RejectionData[[#This Row],[RejectionDate]])</f>
        <v>25</v>
      </c>
    </row>
    <row r="64" spans="1:13">
      <c r="A64" t="s">
        <v>170</v>
      </c>
      <c r="B64" t="s">
        <v>171</v>
      </c>
      <c r="C64" t="s">
        <v>12</v>
      </c>
      <c r="D64" t="s">
        <v>26</v>
      </c>
      <c r="E64" s="7">
        <v>45621</v>
      </c>
      <c r="F64" t="s">
        <v>169</v>
      </c>
      <c r="G64">
        <v>1</v>
      </c>
      <c r="H64" t="s">
        <v>27</v>
      </c>
      <c r="I64" t="s">
        <v>16</v>
      </c>
      <c r="J64" t="s">
        <v>16</v>
      </c>
      <c r="K64" t="str">
        <f>VLOOKUP(C64,CheckName!A:B,2,0)</f>
        <v>Emp</v>
      </c>
      <c r="M64">
        <f>DAY(RejectionData[[#This Row],[RejectionDate]])</f>
        <v>25</v>
      </c>
    </row>
    <row r="65" spans="1:13">
      <c r="A65" t="s">
        <v>172</v>
      </c>
      <c r="B65" t="s">
        <v>173</v>
      </c>
      <c r="C65" t="s">
        <v>93</v>
      </c>
      <c r="D65" t="s">
        <v>26</v>
      </c>
      <c r="E65" s="7">
        <v>45621</v>
      </c>
      <c r="F65" t="s">
        <v>103</v>
      </c>
      <c r="G65">
        <v>1</v>
      </c>
      <c r="H65" t="s">
        <v>27</v>
      </c>
      <c r="I65" t="s">
        <v>16</v>
      </c>
      <c r="J65" t="s">
        <v>16</v>
      </c>
      <c r="K65" t="str">
        <f>VLOOKUP(C65,CheckName!A:B,2,0)</f>
        <v>Edu</v>
      </c>
      <c r="M65">
        <f>DAY(RejectionData[[#This Row],[RejectionDate]])</f>
        <v>25</v>
      </c>
    </row>
    <row r="66" spans="1:13">
      <c r="A66" t="s">
        <v>69</v>
      </c>
      <c r="B66" t="s">
        <v>174</v>
      </c>
      <c r="C66" t="s">
        <v>12</v>
      </c>
      <c r="D66" t="s">
        <v>26</v>
      </c>
      <c r="E66" s="7">
        <v>45621</v>
      </c>
      <c r="F66" t="s">
        <v>175</v>
      </c>
      <c r="G66">
        <v>1</v>
      </c>
      <c r="H66" t="s">
        <v>27</v>
      </c>
      <c r="I66" t="s">
        <v>16</v>
      </c>
      <c r="J66" t="s">
        <v>16</v>
      </c>
      <c r="K66" t="str">
        <f>VLOOKUP(C66,CheckName!A:B,2,0)</f>
        <v>Emp</v>
      </c>
      <c r="M66">
        <f>DAY(RejectionData[[#This Row],[RejectionDate]])</f>
        <v>25</v>
      </c>
    </row>
    <row r="67" spans="1:13">
      <c r="A67" t="s">
        <v>176</v>
      </c>
      <c r="B67" t="s">
        <v>177</v>
      </c>
      <c r="C67" t="s">
        <v>36</v>
      </c>
      <c r="D67" t="s">
        <v>26</v>
      </c>
      <c r="E67" s="7">
        <v>45621</v>
      </c>
      <c r="F67" t="s">
        <v>175</v>
      </c>
      <c r="G67">
        <v>1</v>
      </c>
      <c r="H67" t="s">
        <v>27</v>
      </c>
      <c r="I67" t="s">
        <v>16</v>
      </c>
      <c r="J67" t="s">
        <v>16</v>
      </c>
      <c r="K67" t="str">
        <f>VLOOKUP(C67,CheckName!A:B,2,0)</f>
        <v>Emp</v>
      </c>
      <c r="M67">
        <f>DAY(RejectionData[[#This Row],[RejectionDate]])</f>
        <v>25</v>
      </c>
    </row>
    <row r="68" spans="1:13">
      <c r="A68" t="s">
        <v>45</v>
      </c>
      <c r="B68" t="s">
        <v>178</v>
      </c>
      <c r="C68" t="s">
        <v>36</v>
      </c>
      <c r="D68" t="s">
        <v>26</v>
      </c>
      <c r="E68" s="7">
        <v>45621</v>
      </c>
      <c r="F68" t="s">
        <v>179</v>
      </c>
      <c r="G68">
        <v>1</v>
      </c>
      <c r="H68" t="s">
        <v>130</v>
      </c>
      <c r="I68" t="s">
        <v>16</v>
      </c>
      <c r="J68" t="s">
        <v>16</v>
      </c>
      <c r="K68" t="str">
        <f>VLOOKUP(C68,CheckName!A:B,2,0)</f>
        <v>Emp</v>
      </c>
      <c r="M68">
        <f>DAY(RejectionData[[#This Row],[RejectionDate]])</f>
        <v>25</v>
      </c>
    </row>
    <row r="69" spans="1:13">
      <c r="A69" t="s">
        <v>180</v>
      </c>
      <c r="B69" t="s">
        <v>181</v>
      </c>
      <c r="C69" t="s">
        <v>12</v>
      </c>
      <c r="D69" t="s">
        <v>26</v>
      </c>
      <c r="E69" s="7">
        <v>45621</v>
      </c>
      <c r="F69" t="s">
        <v>182</v>
      </c>
      <c r="G69">
        <v>1</v>
      </c>
      <c r="H69" t="s">
        <v>27</v>
      </c>
      <c r="I69" t="s">
        <v>16</v>
      </c>
      <c r="J69" t="s">
        <v>16</v>
      </c>
      <c r="K69" t="str">
        <f>VLOOKUP(C69,CheckName!A:B,2,0)</f>
        <v>Emp</v>
      </c>
      <c r="M69">
        <f>DAY(RejectionData[[#This Row],[RejectionDate]])</f>
        <v>25</v>
      </c>
    </row>
    <row r="70" spans="1:13">
      <c r="A70" t="s">
        <v>84</v>
      </c>
      <c r="B70" t="s">
        <v>183</v>
      </c>
      <c r="C70" t="s">
        <v>12</v>
      </c>
      <c r="D70" t="s">
        <v>26</v>
      </c>
      <c r="E70" s="7">
        <v>45621</v>
      </c>
      <c r="F70" t="s">
        <v>184</v>
      </c>
      <c r="G70">
        <v>1</v>
      </c>
      <c r="H70" t="s">
        <v>27</v>
      </c>
      <c r="I70" t="s">
        <v>16</v>
      </c>
      <c r="J70" t="s">
        <v>16</v>
      </c>
      <c r="K70" t="str">
        <f>VLOOKUP(C70,CheckName!A:B,2,0)</f>
        <v>Emp</v>
      </c>
      <c r="M70">
        <f>DAY(RejectionData[[#This Row],[RejectionDate]])</f>
        <v>25</v>
      </c>
    </row>
    <row r="71" spans="1:13">
      <c r="A71" t="s">
        <v>40</v>
      </c>
      <c r="B71" t="s">
        <v>185</v>
      </c>
      <c r="C71" t="s">
        <v>12</v>
      </c>
      <c r="D71" t="s">
        <v>26</v>
      </c>
      <c r="E71" s="7">
        <v>45621</v>
      </c>
      <c r="F71" t="s">
        <v>83</v>
      </c>
      <c r="G71">
        <v>1</v>
      </c>
      <c r="H71" t="s">
        <v>27</v>
      </c>
      <c r="I71" t="s">
        <v>16</v>
      </c>
      <c r="J71" t="s">
        <v>16</v>
      </c>
      <c r="K71" t="str">
        <f>VLOOKUP(C71,CheckName!A:B,2,0)</f>
        <v>Emp</v>
      </c>
      <c r="M71">
        <f>DAY(RejectionData[[#This Row],[RejectionDate]])</f>
        <v>25</v>
      </c>
    </row>
    <row r="72" spans="1:13">
      <c r="A72" t="s">
        <v>186</v>
      </c>
      <c r="B72" t="s">
        <v>187</v>
      </c>
      <c r="C72" t="s">
        <v>54</v>
      </c>
      <c r="D72" t="s">
        <v>26</v>
      </c>
      <c r="E72" s="7">
        <v>45621</v>
      </c>
      <c r="F72" t="s">
        <v>188</v>
      </c>
      <c r="G72">
        <v>1</v>
      </c>
      <c r="H72" t="s">
        <v>27</v>
      </c>
      <c r="I72" t="s">
        <v>16</v>
      </c>
      <c r="J72" t="s">
        <v>16</v>
      </c>
      <c r="K72" t="str">
        <f>VLOOKUP(C72,CheckName!A:B,2,0)</f>
        <v>Edu</v>
      </c>
      <c r="M72">
        <f>DAY(RejectionData[[#This Row],[RejectionDate]])</f>
        <v>25</v>
      </c>
    </row>
    <row r="73" spans="1:13">
      <c r="A73" t="s">
        <v>189</v>
      </c>
      <c r="B73" t="s">
        <v>190</v>
      </c>
      <c r="C73" t="s">
        <v>36</v>
      </c>
      <c r="D73" t="s">
        <v>26</v>
      </c>
      <c r="E73" s="7">
        <v>45621</v>
      </c>
      <c r="F73" t="s">
        <v>191</v>
      </c>
      <c r="G73">
        <v>1</v>
      </c>
      <c r="H73" t="s">
        <v>27</v>
      </c>
      <c r="I73" t="s">
        <v>16</v>
      </c>
      <c r="J73" t="s">
        <v>16</v>
      </c>
      <c r="K73" t="str">
        <f>VLOOKUP(C73,CheckName!A:B,2,0)</f>
        <v>Emp</v>
      </c>
      <c r="M73">
        <f>DAY(RejectionData[[#This Row],[RejectionDate]])</f>
        <v>25</v>
      </c>
    </row>
    <row r="74" spans="1:13">
      <c r="A74" t="s">
        <v>192</v>
      </c>
      <c r="B74" t="s">
        <v>193</v>
      </c>
      <c r="C74" t="s">
        <v>36</v>
      </c>
      <c r="D74" t="s">
        <v>51</v>
      </c>
      <c r="E74" s="7">
        <v>45621</v>
      </c>
      <c r="F74" t="s">
        <v>194</v>
      </c>
      <c r="G74">
        <v>1</v>
      </c>
      <c r="H74" t="s">
        <v>53</v>
      </c>
      <c r="I74" t="s">
        <v>16</v>
      </c>
      <c r="J74" t="s">
        <v>16</v>
      </c>
      <c r="K74" t="str">
        <f>VLOOKUP(C74,CheckName!A:B,2,0)</f>
        <v>Emp</v>
      </c>
      <c r="M74">
        <f>DAY(RejectionData[[#This Row],[RejectionDate]])</f>
        <v>25</v>
      </c>
    </row>
    <row r="75" spans="1:13">
      <c r="A75" t="s">
        <v>157</v>
      </c>
      <c r="B75" t="s">
        <v>195</v>
      </c>
      <c r="C75" t="s">
        <v>12</v>
      </c>
      <c r="D75" t="s">
        <v>26</v>
      </c>
      <c r="E75" s="7">
        <v>45621</v>
      </c>
      <c r="F75" t="s">
        <v>196</v>
      </c>
      <c r="G75">
        <v>1</v>
      </c>
      <c r="H75" t="s">
        <v>27</v>
      </c>
      <c r="I75" t="s">
        <v>16</v>
      </c>
      <c r="J75" t="s">
        <v>16</v>
      </c>
      <c r="K75" t="str">
        <f>VLOOKUP(C75,CheckName!A:B,2,0)</f>
        <v>Emp</v>
      </c>
      <c r="M75">
        <f>DAY(RejectionData[[#This Row],[RejectionDate]])</f>
        <v>25</v>
      </c>
    </row>
    <row r="76" spans="1:13">
      <c r="A76" t="s">
        <v>40</v>
      </c>
      <c r="B76" t="s">
        <v>197</v>
      </c>
      <c r="C76" t="s">
        <v>12</v>
      </c>
      <c r="D76" t="s">
        <v>26</v>
      </c>
      <c r="E76" s="7">
        <v>45621</v>
      </c>
      <c r="F76" t="s">
        <v>191</v>
      </c>
      <c r="G76">
        <v>1</v>
      </c>
      <c r="H76" t="s">
        <v>27</v>
      </c>
      <c r="I76" t="s">
        <v>16</v>
      </c>
      <c r="J76" t="s">
        <v>16</v>
      </c>
      <c r="K76" t="str">
        <f>VLOOKUP(C76,CheckName!A:B,2,0)</f>
        <v>Emp</v>
      </c>
      <c r="M76">
        <f>DAY(RejectionData[[#This Row],[RejectionDate]])</f>
        <v>25</v>
      </c>
    </row>
    <row r="77" spans="1:13">
      <c r="A77" t="s">
        <v>40</v>
      </c>
      <c r="B77" t="s">
        <v>198</v>
      </c>
      <c r="C77" t="s">
        <v>12</v>
      </c>
      <c r="D77" t="s">
        <v>26</v>
      </c>
      <c r="E77" s="7">
        <v>45621</v>
      </c>
      <c r="F77" t="s">
        <v>80</v>
      </c>
      <c r="G77">
        <v>1</v>
      </c>
      <c r="H77" t="s">
        <v>27</v>
      </c>
      <c r="I77" t="s">
        <v>16</v>
      </c>
      <c r="J77" t="s">
        <v>16</v>
      </c>
      <c r="K77" t="str">
        <f>VLOOKUP(C77,CheckName!A:B,2,0)</f>
        <v>Emp</v>
      </c>
      <c r="M77">
        <f>DAY(RejectionData[[#This Row],[RejectionDate]])</f>
        <v>25</v>
      </c>
    </row>
    <row r="78" spans="1:13">
      <c r="A78" t="s">
        <v>45</v>
      </c>
      <c r="B78" t="s">
        <v>199</v>
      </c>
      <c r="C78" t="s">
        <v>19</v>
      </c>
      <c r="D78" t="s">
        <v>20</v>
      </c>
      <c r="E78" s="7">
        <v>45621</v>
      </c>
      <c r="F78" t="s">
        <v>76</v>
      </c>
      <c r="G78">
        <v>1</v>
      </c>
      <c r="H78" t="s">
        <v>22</v>
      </c>
      <c r="I78" t="s">
        <v>16</v>
      </c>
      <c r="J78" t="s">
        <v>16</v>
      </c>
      <c r="K78" t="str">
        <f>VLOOKUP(C78,CheckName!A:B,2,0)</f>
        <v>Add</v>
      </c>
      <c r="M78">
        <f>DAY(RejectionData[[#This Row],[RejectionDate]])</f>
        <v>25</v>
      </c>
    </row>
    <row r="79" spans="1:13">
      <c r="A79" t="s">
        <v>200</v>
      </c>
      <c r="B79" t="s">
        <v>201</v>
      </c>
      <c r="C79" t="s">
        <v>25</v>
      </c>
      <c r="D79" t="s">
        <v>20</v>
      </c>
      <c r="E79" s="7">
        <v>45621</v>
      </c>
      <c r="F79" t="s">
        <v>62</v>
      </c>
      <c r="G79">
        <v>1</v>
      </c>
      <c r="H79" t="s">
        <v>22</v>
      </c>
      <c r="I79" t="s">
        <v>16</v>
      </c>
      <c r="J79" t="s">
        <v>16</v>
      </c>
      <c r="K79" t="str">
        <f>VLOOKUP(C79,CheckName!A:B,2,0)</f>
        <v>Add</v>
      </c>
      <c r="M79">
        <f>DAY(RejectionData[[#This Row],[RejectionDate]])</f>
        <v>25</v>
      </c>
    </row>
    <row r="80" spans="1:13">
      <c r="A80" t="s">
        <v>64</v>
      </c>
      <c r="B80" t="s">
        <v>202</v>
      </c>
      <c r="C80" t="s">
        <v>25</v>
      </c>
      <c r="D80" t="s">
        <v>26</v>
      </c>
      <c r="E80" s="7">
        <v>45621</v>
      </c>
      <c r="F80" t="s">
        <v>66</v>
      </c>
      <c r="G80">
        <v>1</v>
      </c>
      <c r="H80" t="s">
        <v>27</v>
      </c>
      <c r="I80" t="s">
        <v>16</v>
      </c>
      <c r="J80" t="s">
        <v>16</v>
      </c>
      <c r="K80" t="str">
        <f>VLOOKUP(C80,CheckName!A:B,2,0)</f>
        <v>Add</v>
      </c>
      <c r="M80">
        <f>DAY(RejectionData[[#This Row],[RejectionDate]])</f>
        <v>25</v>
      </c>
    </row>
    <row r="81" spans="1:13">
      <c r="A81" t="s">
        <v>203</v>
      </c>
      <c r="B81" t="s">
        <v>204</v>
      </c>
      <c r="C81" t="s">
        <v>19</v>
      </c>
      <c r="D81" t="s">
        <v>20</v>
      </c>
      <c r="E81" s="7">
        <v>45621</v>
      </c>
      <c r="F81" t="s">
        <v>62</v>
      </c>
      <c r="G81">
        <v>1</v>
      </c>
      <c r="H81" t="s">
        <v>22</v>
      </c>
      <c r="I81" t="s">
        <v>16</v>
      </c>
      <c r="J81" t="s">
        <v>16</v>
      </c>
      <c r="K81" t="str">
        <f>VLOOKUP(C81,CheckName!A:B,2,0)</f>
        <v>Add</v>
      </c>
      <c r="M81">
        <f>DAY(RejectionData[[#This Row],[RejectionDate]])</f>
        <v>25</v>
      </c>
    </row>
    <row r="82" spans="1:13">
      <c r="A82" t="s">
        <v>205</v>
      </c>
      <c r="B82" t="s">
        <v>206</v>
      </c>
      <c r="C82" t="s">
        <v>19</v>
      </c>
      <c r="D82" t="s">
        <v>20</v>
      </c>
      <c r="E82" s="7">
        <v>45621</v>
      </c>
      <c r="F82" t="s">
        <v>62</v>
      </c>
      <c r="G82">
        <v>1</v>
      </c>
      <c r="H82" t="s">
        <v>27</v>
      </c>
      <c r="I82" t="s">
        <v>16</v>
      </c>
      <c r="J82" t="s">
        <v>16</v>
      </c>
      <c r="K82" t="str">
        <f>VLOOKUP(C82,CheckName!A:B,2,0)</f>
        <v>Add</v>
      </c>
      <c r="M82">
        <f>DAY(RejectionData[[#This Row],[RejectionDate]])</f>
        <v>25</v>
      </c>
    </row>
    <row r="83" spans="1:13">
      <c r="A83" t="s">
        <v>207</v>
      </c>
      <c r="B83" t="s">
        <v>208</v>
      </c>
      <c r="C83" t="s">
        <v>19</v>
      </c>
      <c r="D83" t="s">
        <v>20</v>
      </c>
      <c r="E83" s="7">
        <v>45621</v>
      </c>
      <c r="F83" t="s">
        <v>66</v>
      </c>
      <c r="G83">
        <v>1</v>
      </c>
      <c r="H83" t="s">
        <v>22</v>
      </c>
      <c r="I83" t="s">
        <v>16</v>
      </c>
      <c r="J83" t="s">
        <v>16</v>
      </c>
      <c r="K83" t="str">
        <f>VLOOKUP(C83,CheckName!A:B,2,0)</f>
        <v>Add</v>
      </c>
      <c r="M83">
        <f>DAY(RejectionData[[#This Row],[RejectionDate]])</f>
        <v>25</v>
      </c>
    </row>
    <row r="84" spans="1:13">
      <c r="A84" t="s">
        <v>84</v>
      </c>
      <c r="B84" t="s">
        <v>209</v>
      </c>
      <c r="C84" t="s">
        <v>54</v>
      </c>
      <c r="D84" t="s">
        <v>26</v>
      </c>
      <c r="E84" s="7">
        <v>45621</v>
      </c>
      <c r="F84" t="s">
        <v>210</v>
      </c>
      <c r="G84">
        <v>1</v>
      </c>
      <c r="H84" t="s">
        <v>27</v>
      </c>
      <c r="I84" t="s">
        <v>16</v>
      </c>
      <c r="J84" t="s">
        <v>16</v>
      </c>
      <c r="K84" t="str">
        <f>VLOOKUP(C84,CheckName!A:B,2,0)</f>
        <v>Edu</v>
      </c>
      <c r="M84">
        <f>DAY(RejectionData[[#This Row],[RejectionDate]])</f>
        <v>25</v>
      </c>
    </row>
    <row r="85" spans="1:13">
      <c r="A85" t="s">
        <v>211</v>
      </c>
      <c r="B85" t="s">
        <v>212</v>
      </c>
      <c r="C85" t="s">
        <v>54</v>
      </c>
      <c r="D85" t="s">
        <v>26</v>
      </c>
      <c r="E85" s="7">
        <v>45621</v>
      </c>
      <c r="F85" t="s">
        <v>63</v>
      </c>
      <c r="G85">
        <v>1</v>
      </c>
      <c r="H85" t="s">
        <v>27</v>
      </c>
      <c r="I85" t="s">
        <v>16</v>
      </c>
      <c r="J85" t="s">
        <v>16</v>
      </c>
      <c r="K85" t="str">
        <f>VLOOKUP(C85,CheckName!A:B,2,0)</f>
        <v>Edu</v>
      </c>
      <c r="M85">
        <f>DAY(RejectionData[[#This Row],[RejectionDate]])</f>
        <v>25</v>
      </c>
    </row>
    <row r="86" spans="1:13">
      <c r="A86" t="s">
        <v>100</v>
      </c>
      <c r="B86" t="s">
        <v>213</v>
      </c>
      <c r="C86" t="s">
        <v>102</v>
      </c>
      <c r="D86" t="s">
        <v>26</v>
      </c>
      <c r="E86" s="7">
        <v>45621</v>
      </c>
      <c r="F86" t="s">
        <v>210</v>
      </c>
      <c r="G86">
        <v>1</v>
      </c>
      <c r="H86" t="s">
        <v>30</v>
      </c>
      <c r="I86" t="s">
        <v>16</v>
      </c>
      <c r="J86" t="s">
        <v>16</v>
      </c>
      <c r="K86" t="str">
        <f>VLOOKUP(C86,CheckName!A:B,2,0)</f>
        <v>Edu</v>
      </c>
      <c r="M86">
        <f>DAY(RejectionData[[#This Row],[RejectionDate]])</f>
        <v>25</v>
      </c>
    </row>
    <row r="87" spans="1:13">
      <c r="A87" t="s">
        <v>81</v>
      </c>
      <c r="B87" t="s">
        <v>214</v>
      </c>
      <c r="C87" t="s">
        <v>54</v>
      </c>
      <c r="D87" t="s">
        <v>26</v>
      </c>
      <c r="E87" s="7">
        <v>45621</v>
      </c>
      <c r="F87" t="s">
        <v>215</v>
      </c>
      <c r="G87">
        <v>1</v>
      </c>
      <c r="H87" t="s">
        <v>27</v>
      </c>
      <c r="I87" t="s">
        <v>16</v>
      </c>
      <c r="J87" t="s">
        <v>16</v>
      </c>
      <c r="K87" t="str">
        <f>VLOOKUP(C87,CheckName!A:B,2,0)</f>
        <v>Edu</v>
      </c>
      <c r="M87">
        <f>DAY(RejectionData[[#This Row],[RejectionDate]])</f>
        <v>25</v>
      </c>
    </row>
    <row r="88" spans="1:13">
      <c r="A88" t="s">
        <v>216</v>
      </c>
      <c r="B88" t="s">
        <v>217</v>
      </c>
      <c r="C88" t="s">
        <v>54</v>
      </c>
      <c r="D88" t="s">
        <v>26</v>
      </c>
      <c r="E88" s="7">
        <v>45621</v>
      </c>
      <c r="F88" t="s">
        <v>63</v>
      </c>
      <c r="G88">
        <v>1</v>
      </c>
      <c r="H88" t="s">
        <v>27</v>
      </c>
      <c r="I88" t="s">
        <v>16</v>
      </c>
      <c r="J88" t="s">
        <v>16</v>
      </c>
      <c r="K88" t="str">
        <f>VLOOKUP(C88,CheckName!A:B,2,0)</f>
        <v>Edu</v>
      </c>
      <c r="M88">
        <f>DAY(RejectionData[[#This Row],[RejectionDate]])</f>
        <v>25</v>
      </c>
    </row>
    <row r="89" spans="1:13">
      <c r="A89" t="s">
        <v>192</v>
      </c>
      <c r="B89" t="s">
        <v>218</v>
      </c>
      <c r="C89" t="s">
        <v>25</v>
      </c>
      <c r="D89" t="s">
        <v>20</v>
      </c>
      <c r="E89" s="7">
        <v>45621</v>
      </c>
      <c r="F89" t="s">
        <v>62</v>
      </c>
      <c r="G89">
        <v>1</v>
      </c>
      <c r="H89" t="s">
        <v>22</v>
      </c>
      <c r="I89" t="s">
        <v>16</v>
      </c>
      <c r="J89" t="s">
        <v>16</v>
      </c>
      <c r="K89" t="str">
        <f>VLOOKUP(C89,CheckName!A:B,2,0)</f>
        <v>Add</v>
      </c>
      <c r="M89">
        <f>DAY(RejectionData[[#This Row],[RejectionDate]])</f>
        <v>25</v>
      </c>
    </row>
    <row r="90" spans="1:13">
      <c r="A90" t="s">
        <v>211</v>
      </c>
      <c r="B90" t="s">
        <v>219</v>
      </c>
      <c r="C90" t="s">
        <v>25</v>
      </c>
      <c r="D90" t="s">
        <v>26</v>
      </c>
      <c r="E90" s="7">
        <v>45621</v>
      </c>
      <c r="F90" t="s">
        <v>66</v>
      </c>
      <c r="G90">
        <v>1</v>
      </c>
      <c r="H90" t="s">
        <v>27</v>
      </c>
      <c r="I90" t="s">
        <v>16</v>
      </c>
      <c r="J90" t="s">
        <v>16</v>
      </c>
      <c r="K90" t="str">
        <f>VLOOKUP(C90,CheckName!A:B,2,0)</f>
        <v>Add</v>
      </c>
      <c r="M90">
        <f>DAY(RejectionData[[#This Row],[RejectionDate]])</f>
        <v>25</v>
      </c>
    </row>
    <row r="91" spans="1:13">
      <c r="A91" t="s">
        <v>104</v>
      </c>
      <c r="B91" t="s">
        <v>105</v>
      </c>
      <c r="C91" t="s">
        <v>54</v>
      </c>
      <c r="D91" t="s">
        <v>51</v>
      </c>
      <c r="E91" s="7">
        <v>45621</v>
      </c>
      <c r="F91" t="s">
        <v>52</v>
      </c>
      <c r="G91">
        <v>1</v>
      </c>
      <c r="H91" t="s">
        <v>53</v>
      </c>
      <c r="I91" t="s">
        <v>16</v>
      </c>
      <c r="J91" t="s">
        <v>16</v>
      </c>
      <c r="K91" t="str">
        <f>VLOOKUP(C91,CheckName!A:B,2,0)</f>
        <v>Edu</v>
      </c>
      <c r="M91">
        <f>DAY(RejectionData[[#This Row],[RejectionDate]])</f>
        <v>25</v>
      </c>
    </row>
    <row r="92" spans="1:13">
      <c r="A92" t="s">
        <v>104</v>
      </c>
      <c r="B92" t="s">
        <v>105</v>
      </c>
      <c r="C92" t="s">
        <v>12</v>
      </c>
      <c r="D92" t="s">
        <v>51</v>
      </c>
      <c r="E92" s="7">
        <v>45621</v>
      </c>
      <c r="F92" t="s">
        <v>52</v>
      </c>
      <c r="G92">
        <v>1</v>
      </c>
      <c r="H92" t="s">
        <v>53</v>
      </c>
      <c r="I92" t="s">
        <v>16</v>
      </c>
      <c r="J92" t="s">
        <v>16</v>
      </c>
      <c r="K92" t="str">
        <f>VLOOKUP(C92,CheckName!A:B,2,0)</f>
        <v>Emp</v>
      </c>
      <c r="M92">
        <f>DAY(RejectionData[[#This Row],[RejectionDate]])</f>
        <v>25</v>
      </c>
    </row>
    <row r="93" spans="1:13">
      <c r="A93" t="s">
        <v>104</v>
      </c>
      <c r="B93" t="s">
        <v>105</v>
      </c>
      <c r="C93" t="s">
        <v>220</v>
      </c>
      <c r="D93" t="s">
        <v>51</v>
      </c>
      <c r="E93" s="7">
        <v>45621</v>
      </c>
      <c r="F93" t="s">
        <v>52</v>
      </c>
      <c r="G93">
        <v>1</v>
      </c>
      <c r="H93" t="s">
        <v>53</v>
      </c>
      <c r="I93" t="s">
        <v>16</v>
      </c>
      <c r="J93" t="s">
        <v>16</v>
      </c>
      <c r="K93" t="str">
        <f>VLOOKUP(C93,CheckName!A:B,2,0)</f>
        <v>Ref</v>
      </c>
      <c r="M93">
        <f>DAY(RejectionData[[#This Row],[RejectionDate]])</f>
        <v>25</v>
      </c>
    </row>
    <row r="94" spans="1:13">
      <c r="A94" t="s">
        <v>104</v>
      </c>
      <c r="B94" t="s">
        <v>105</v>
      </c>
      <c r="C94" t="s">
        <v>36</v>
      </c>
      <c r="D94" t="s">
        <v>51</v>
      </c>
      <c r="E94" s="7">
        <v>45621</v>
      </c>
      <c r="F94" t="s">
        <v>52</v>
      </c>
      <c r="G94">
        <v>1</v>
      </c>
      <c r="H94" t="s">
        <v>53</v>
      </c>
      <c r="I94" t="s">
        <v>16</v>
      </c>
      <c r="J94" t="s">
        <v>16</v>
      </c>
      <c r="K94" t="str">
        <f>VLOOKUP(C94,CheckName!A:B,2,0)</f>
        <v>Emp</v>
      </c>
      <c r="M94">
        <f>DAY(RejectionData[[#This Row],[RejectionDate]])</f>
        <v>25</v>
      </c>
    </row>
    <row r="95" spans="1:13">
      <c r="A95" t="s">
        <v>160</v>
      </c>
      <c r="B95" t="s">
        <v>221</v>
      </c>
      <c r="C95" t="s">
        <v>36</v>
      </c>
      <c r="D95" t="s">
        <v>26</v>
      </c>
      <c r="E95" s="7">
        <v>45621</v>
      </c>
      <c r="F95" t="s">
        <v>222</v>
      </c>
      <c r="G95">
        <v>1</v>
      </c>
      <c r="H95" t="s">
        <v>22</v>
      </c>
      <c r="I95" t="s">
        <v>16</v>
      </c>
      <c r="J95" t="s">
        <v>16</v>
      </c>
      <c r="K95" t="str">
        <f>VLOOKUP(C95,CheckName!A:B,2,0)</f>
        <v>Emp</v>
      </c>
      <c r="M95">
        <f>DAY(RejectionData[[#This Row],[RejectionDate]])</f>
        <v>25</v>
      </c>
    </row>
    <row r="96" spans="1:13">
      <c r="A96" t="s">
        <v>45</v>
      </c>
      <c r="B96" t="s">
        <v>223</v>
      </c>
      <c r="C96" t="s">
        <v>12</v>
      </c>
      <c r="D96" t="s">
        <v>26</v>
      </c>
      <c r="E96" s="7">
        <v>45621</v>
      </c>
      <c r="F96" t="s">
        <v>224</v>
      </c>
      <c r="G96">
        <v>1</v>
      </c>
      <c r="H96" t="s">
        <v>22</v>
      </c>
      <c r="I96" t="s">
        <v>16</v>
      </c>
      <c r="J96" t="s">
        <v>16</v>
      </c>
      <c r="K96" t="str">
        <f>VLOOKUP(C96,CheckName!A:B,2,0)</f>
        <v>Emp</v>
      </c>
      <c r="M96">
        <f>DAY(RejectionData[[#This Row],[RejectionDate]])</f>
        <v>25</v>
      </c>
    </row>
    <row r="97" spans="1:13">
      <c r="A97" t="s">
        <v>45</v>
      </c>
      <c r="B97" t="s">
        <v>225</v>
      </c>
      <c r="C97" t="s">
        <v>36</v>
      </c>
      <c r="D97" t="s">
        <v>26</v>
      </c>
      <c r="E97" s="7">
        <v>45621</v>
      </c>
      <c r="F97" t="s">
        <v>222</v>
      </c>
      <c r="G97">
        <v>1</v>
      </c>
      <c r="H97" t="s">
        <v>22</v>
      </c>
      <c r="I97" t="s">
        <v>16</v>
      </c>
      <c r="J97" t="s">
        <v>16</v>
      </c>
      <c r="K97" t="str">
        <f>VLOOKUP(C97,CheckName!A:B,2,0)</f>
        <v>Emp</v>
      </c>
      <c r="M97">
        <f>DAY(RejectionData[[#This Row],[RejectionDate]])</f>
        <v>25</v>
      </c>
    </row>
    <row r="98" spans="1:13">
      <c r="A98" t="s">
        <v>180</v>
      </c>
      <c r="B98" t="s">
        <v>226</v>
      </c>
      <c r="C98" t="s">
        <v>36</v>
      </c>
      <c r="D98" t="s">
        <v>26</v>
      </c>
      <c r="E98" s="7">
        <v>45621</v>
      </c>
      <c r="F98" t="s">
        <v>222</v>
      </c>
      <c r="G98">
        <v>1</v>
      </c>
      <c r="H98" t="s">
        <v>130</v>
      </c>
      <c r="I98" t="s">
        <v>16</v>
      </c>
      <c r="J98" t="s">
        <v>16</v>
      </c>
      <c r="K98" t="str">
        <f>VLOOKUP(C98,CheckName!A:B,2,0)</f>
        <v>Emp</v>
      </c>
      <c r="M98">
        <f>DAY(RejectionData[[#This Row],[RejectionDate]])</f>
        <v>25</v>
      </c>
    </row>
    <row r="99" spans="1:13">
      <c r="A99" t="s">
        <v>84</v>
      </c>
      <c r="B99" t="s">
        <v>227</v>
      </c>
      <c r="C99" t="s">
        <v>12</v>
      </c>
      <c r="D99" t="s">
        <v>38</v>
      </c>
      <c r="E99" s="7">
        <v>45621</v>
      </c>
      <c r="F99" t="s">
        <v>39</v>
      </c>
      <c r="G99">
        <v>1</v>
      </c>
      <c r="H99" t="s">
        <v>42</v>
      </c>
      <c r="I99" t="s">
        <v>16</v>
      </c>
      <c r="J99" t="s">
        <v>16</v>
      </c>
      <c r="K99" t="str">
        <f>VLOOKUP(C99,CheckName!A:B,2,0)</f>
        <v>Emp</v>
      </c>
      <c r="M99">
        <f>DAY(RejectionData[[#This Row],[RejectionDate]])</f>
        <v>25</v>
      </c>
    </row>
    <row r="100" spans="1:13">
      <c r="A100" t="s">
        <v>228</v>
      </c>
      <c r="B100" t="s">
        <v>229</v>
      </c>
      <c r="C100" t="s">
        <v>59</v>
      </c>
      <c r="D100" t="s">
        <v>13</v>
      </c>
      <c r="E100" s="7">
        <v>45621</v>
      </c>
      <c r="F100" t="s">
        <v>230</v>
      </c>
      <c r="G100">
        <v>1</v>
      </c>
      <c r="H100" t="s">
        <v>15</v>
      </c>
      <c r="I100" t="s">
        <v>16</v>
      </c>
      <c r="J100" t="s">
        <v>16</v>
      </c>
      <c r="K100" t="str">
        <f>VLOOKUP(C100,CheckName!A:B,2,0)</f>
        <v>Special Check</v>
      </c>
      <c r="M100">
        <f>DAY(RejectionData[[#This Row],[RejectionDate]])</f>
        <v>25</v>
      </c>
    </row>
    <row r="101" spans="1:13">
      <c r="A101" t="s">
        <v>231</v>
      </c>
      <c r="B101" t="s">
        <v>232</v>
      </c>
      <c r="C101" t="s">
        <v>12</v>
      </c>
      <c r="D101" t="s">
        <v>38</v>
      </c>
      <c r="E101" s="7">
        <v>45621</v>
      </c>
      <c r="F101" t="s">
        <v>39</v>
      </c>
      <c r="G101">
        <v>1</v>
      </c>
      <c r="H101" t="s">
        <v>42</v>
      </c>
      <c r="I101" t="s">
        <v>16</v>
      </c>
      <c r="J101" t="s">
        <v>16</v>
      </c>
      <c r="K101" t="str">
        <f>VLOOKUP(C101,CheckName!A:B,2,0)</f>
        <v>Emp</v>
      </c>
      <c r="M101">
        <f>DAY(RejectionData[[#This Row],[RejectionDate]])</f>
        <v>25</v>
      </c>
    </row>
    <row r="102" spans="1:13">
      <c r="A102" t="s">
        <v>64</v>
      </c>
      <c r="B102" t="s">
        <v>233</v>
      </c>
      <c r="C102" t="s">
        <v>19</v>
      </c>
      <c r="D102" t="s">
        <v>20</v>
      </c>
      <c r="E102" s="7">
        <v>45621</v>
      </c>
      <c r="F102" t="s">
        <v>21</v>
      </c>
      <c r="G102">
        <v>1</v>
      </c>
      <c r="H102" t="s">
        <v>22</v>
      </c>
      <c r="I102" t="s">
        <v>16</v>
      </c>
      <c r="J102" t="s">
        <v>16</v>
      </c>
      <c r="K102" t="str">
        <f>VLOOKUP(C102,CheckName!A:B,2,0)</f>
        <v>Add</v>
      </c>
      <c r="M102">
        <f>DAY(RejectionData[[#This Row],[RejectionDate]])</f>
        <v>25</v>
      </c>
    </row>
    <row r="103" spans="1:13">
      <c r="A103" t="s">
        <v>100</v>
      </c>
      <c r="B103" t="s">
        <v>234</v>
      </c>
      <c r="C103" t="s">
        <v>235</v>
      </c>
      <c r="D103" t="s">
        <v>26</v>
      </c>
      <c r="E103" s="7">
        <v>45621</v>
      </c>
      <c r="F103" t="s">
        <v>236</v>
      </c>
      <c r="G103">
        <v>1</v>
      </c>
      <c r="H103" t="s">
        <v>27</v>
      </c>
      <c r="I103" t="s">
        <v>16</v>
      </c>
      <c r="J103" t="s">
        <v>16</v>
      </c>
      <c r="K103" t="str">
        <f>VLOOKUP(C103,CheckName!A:B,2,0)</f>
        <v>Special Check</v>
      </c>
      <c r="M103">
        <f>DAY(RejectionData[[#This Row],[RejectionDate]])</f>
        <v>25</v>
      </c>
    </row>
    <row r="104" spans="1:13">
      <c r="A104" t="s">
        <v>237</v>
      </c>
      <c r="B104" t="s">
        <v>238</v>
      </c>
      <c r="C104" t="s">
        <v>25</v>
      </c>
      <c r="D104" t="s">
        <v>20</v>
      </c>
      <c r="E104" s="7">
        <v>45621</v>
      </c>
      <c r="F104" t="s">
        <v>21</v>
      </c>
      <c r="G104">
        <v>1</v>
      </c>
      <c r="H104" t="s">
        <v>22</v>
      </c>
      <c r="I104" t="s">
        <v>16</v>
      </c>
      <c r="J104" t="s">
        <v>16</v>
      </c>
      <c r="K104" t="str">
        <f>VLOOKUP(C104,CheckName!A:B,2,0)</f>
        <v>Add</v>
      </c>
      <c r="M104">
        <f>DAY(RejectionData[[#This Row],[RejectionDate]])</f>
        <v>25</v>
      </c>
    </row>
    <row r="105" spans="1:13">
      <c r="A105" t="s">
        <v>239</v>
      </c>
      <c r="B105" t="s">
        <v>240</v>
      </c>
      <c r="C105" t="s">
        <v>19</v>
      </c>
      <c r="D105" t="s">
        <v>20</v>
      </c>
      <c r="E105" s="7">
        <v>45621</v>
      </c>
      <c r="F105" t="s">
        <v>21</v>
      </c>
      <c r="G105">
        <v>1</v>
      </c>
      <c r="H105" t="s">
        <v>22</v>
      </c>
      <c r="I105" t="s">
        <v>16</v>
      </c>
      <c r="J105" t="s">
        <v>16</v>
      </c>
      <c r="K105" t="str">
        <f>VLOOKUP(C105,CheckName!A:B,2,0)</f>
        <v>Add</v>
      </c>
      <c r="M105">
        <f>DAY(RejectionData[[#This Row],[RejectionDate]])</f>
        <v>25</v>
      </c>
    </row>
    <row r="106" spans="1:13">
      <c r="A106" t="s">
        <v>119</v>
      </c>
      <c r="B106" t="s">
        <v>241</v>
      </c>
      <c r="C106" t="s">
        <v>19</v>
      </c>
      <c r="D106" t="s">
        <v>20</v>
      </c>
      <c r="E106" s="7">
        <v>45621</v>
      </c>
      <c r="F106" t="s">
        <v>21</v>
      </c>
      <c r="G106">
        <v>1</v>
      </c>
      <c r="H106" t="s">
        <v>27</v>
      </c>
      <c r="I106" t="s">
        <v>16</v>
      </c>
      <c r="J106" t="s">
        <v>16</v>
      </c>
      <c r="K106" t="str">
        <f>VLOOKUP(C106,CheckName!A:B,2,0)</f>
        <v>Add</v>
      </c>
      <c r="M106">
        <f>DAY(RejectionData[[#This Row],[RejectionDate]])</f>
        <v>25</v>
      </c>
    </row>
    <row r="107" spans="1:13">
      <c r="A107" t="s">
        <v>242</v>
      </c>
      <c r="B107" t="s">
        <v>243</v>
      </c>
      <c r="C107" t="s">
        <v>25</v>
      </c>
      <c r="D107" t="s">
        <v>20</v>
      </c>
      <c r="E107" s="7">
        <v>45621</v>
      </c>
      <c r="F107" t="s">
        <v>21</v>
      </c>
      <c r="G107">
        <v>1</v>
      </c>
      <c r="H107" t="s">
        <v>22</v>
      </c>
      <c r="I107" t="s">
        <v>16</v>
      </c>
      <c r="J107" t="s">
        <v>16</v>
      </c>
      <c r="K107" t="str">
        <f>VLOOKUP(C107,CheckName!A:B,2,0)</f>
        <v>Add</v>
      </c>
      <c r="M107">
        <f>DAY(RejectionData[[#This Row],[RejectionDate]])</f>
        <v>25</v>
      </c>
    </row>
    <row r="108" spans="1:13">
      <c r="A108" t="s">
        <v>242</v>
      </c>
      <c r="B108" t="s">
        <v>244</v>
      </c>
      <c r="C108" t="s">
        <v>19</v>
      </c>
      <c r="D108" t="s">
        <v>20</v>
      </c>
      <c r="E108" s="7">
        <v>45621</v>
      </c>
      <c r="F108" t="s">
        <v>21</v>
      </c>
      <c r="G108">
        <v>1</v>
      </c>
      <c r="H108" t="s">
        <v>22</v>
      </c>
      <c r="I108" t="s">
        <v>16</v>
      </c>
      <c r="J108" t="s">
        <v>16</v>
      </c>
      <c r="K108" t="str">
        <f>VLOOKUP(C108,CheckName!A:B,2,0)</f>
        <v>Add</v>
      </c>
      <c r="M108">
        <f>DAY(RejectionData[[#This Row],[RejectionDate]])</f>
        <v>25</v>
      </c>
    </row>
    <row r="109" spans="1:13">
      <c r="A109" t="s">
        <v>245</v>
      </c>
      <c r="B109" t="s">
        <v>246</v>
      </c>
      <c r="C109" t="s">
        <v>19</v>
      </c>
      <c r="D109" t="s">
        <v>20</v>
      </c>
      <c r="E109" s="7">
        <v>45621</v>
      </c>
      <c r="F109" t="s">
        <v>21</v>
      </c>
      <c r="G109">
        <v>1</v>
      </c>
      <c r="H109" t="s">
        <v>22</v>
      </c>
      <c r="I109" t="s">
        <v>16</v>
      </c>
      <c r="J109" t="s">
        <v>16</v>
      </c>
      <c r="K109" t="str">
        <f>VLOOKUP(C109,CheckName!A:B,2,0)</f>
        <v>Add</v>
      </c>
      <c r="M109">
        <f>DAY(RejectionData[[#This Row],[RejectionDate]])</f>
        <v>25</v>
      </c>
    </row>
    <row r="110" spans="1:13">
      <c r="A110" t="s">
        <v>17</v>
      </c>
      <c r="B110" t="s">
        <v>247</v>
      </c>
      <c r="C110" t="s">
        <v>19</v>
      </c>
      <c r="D110" t="s">
        <v>20</v>
      </c>
      <c r="E110" s="7">
        <v>45621</v>
      </c>
      <c r="F110" t="s">
        <v>21</v>
      </c>
      <c r="G110">
        <v>1</v>
      </c>
      <c r="H110" t="s">
        <v>22</v>
      </c>
      <c r="I110" t="s">
        <v>16</v>
      </c>
      <c r="J110" t="s">
        <v>16</v>
      </c>
      <c r="K110" t="str">
        <f>VLOOKUP(C110,CheckName!A:B,2,0)</f>
        <v>Add</v>
      </c>
      <c r="M110">
        <f>DAY(RejectionData[[#This Row],[RejectionDate]])</f>
        <v>25</v>
      </c>
    </row>
    <row r="111" spans="1:13">
      <c r="A111" t="s">
        <v>160</v>
      </c>
      <c r="B111" t="s">
        <v>248</v>
      </c>
      <c r="C111" t="s">
        <v>125</v>
      </c>
      <c r="D111" t="s">
        <v>13</v>
      </c>
      <c r="E111" s="7">
        <v>45621</v>
      </c>
      <c r="F111" t="s">
        <v>249</v>
      </c>
      <c r="G111">
        <v>1</v>
      </c>
      <c r="H111" t="s">
        <v>15</v>
      </c>
      <c r="I111" t="s">
        <v>16</v>
      </c>
      <c r="J111" t="s">
        <v>16</v>
      </c>
      <c r="K111" t="str">
        <f>VLOOKUP(C111,CheckName!A:B,2,0)</f>
        <v>Emp</v>
      </c>
      <c r="M111">
        <f>DAY(RejectionData[[#This Row],[RejectionDate]])</f>
        <v>25</v>
      </c>
    </row>
    <row r="112" spans="1:13">
      <c r="A112" t="s">
        <v>250</v>
      </c>
      <c r="B112" t="s">
        <v>251</v>
      </c>
      <c r="C112" t="s">
        <v>25</v>
      </c>
      <c r="D112" t="s">
        <v>20</v>
      </c>
      <c r="E112" s="7">
        <v>45621</v>
      </c>
      <c r="F112" t="s">
        <v>21</v>
      </c>
      <c r="G112">
        <v>1</v>
      </c>
      <c r="H112" t="s">
        <v>130</v>
      </c>
      <c r="I112" t="s">
        <v>16</v>
      </c>
      <c r="J112" t="s">
        <v>16</v>
      </c>
      <c r="K112" t="str">
        <f>VLOOKUP(C112,CheckName!A:B,2,0)</f>
        <v>Add</v>
      </c>
      <c r="M112">
        <f>DAY(RejectionData[[#This Row],[RejectionDate]])</f>
        <v>25</v>
      </c>
    </row>
    <row r="113" spans="1:13">
      <c r="A113" t="s">
        <v>211</v>
      </c>
      <c r="B113" t="s">
        <v>252</v>
      </c>
      <c r="C113" t="s">
        <v>253</v>
      </c>
      <c r="D113" t="s">
        <v>26</v>
      </c>
      <c r="E113" s="7">
        <v>45621</v>
      </c>
      <c r="F113" t="s">
        <v>236</v>
      </c>
      <c r="G113">
        <v>1</v>
      </c>
      <c r="H113" t="s">
        <v>27</v>
      </c>
      <c r="I113" t="s">
        <v>16</v>
      </c>
      <c r="J113" t="s">
        <v>16</v>
      </c>
      <c r="K113" t="str">
        <f>VLOOKUP(C113,CheckName!A:B,2,0)</f>
        <v>Special Check</v>
      </c>
      <c r="M113">
        <f>DAY(RejectionData[[#This Row],[RejectionDate]])</f>
        <v>25</v>
      </c>
    </row>
    <row r="114" spans="1:13">
      <c r="A114" t="s">
        <v>64</v>
      </c>
      <c r="B114" t="s">
        <v>254</v>
      </c>
      <c r="C114" t="s">
        <v>25</v>
      </c>
      <c r="D114" t="s">
        <v>20</v>
      </c>
      <c r="E114" s="7">
        <v>45621</v>
      </c>
      <c r="F114" t="s">
        <v>21</v>
      </c>
      <c r="G114">
        <v>1</v>
      </c>
      <c r="H114" t="s">
        <v>130</v>
      </c>
      <c r="I114" t="s">
        <v>16</v>
      </c>
      <c r="J114" t="s">
        <v>16</v>
      </c>
      <c r="K114" t="str">
        <f>VLOOKUP(C114,CheckName!A:B,2,0)</f>
        <v>Add</v>
      </c>
      <c r="M114">
        <f>DAY(RejectionData[[#This Row],[RejectionDate]])</f>
        <v>25</v>
      </c>
    </row>
    <row r="115" spans="1:13">
      <c r="A115" t="s">
        <v>100</v>
      </c>
      <c r="B115" t="s">
        <v>234</v>
      </c>
      <c r="C115" t="s">
        <v>255</v>
      </c>
      <c r="D115" t="s">
        <v>26</v>
      </c>
      <c r="E115" s="7">
        <v>45621</v>
      </c>
      <c r="F115" t="s">
        <v>236</v>
      </c>
      <c r="G115">
        <v>1</v>
      </c>
      <c r="H115" t="s">
        <v>27</v>
      </c>
      <c r="I115" t="s">
        <v>16</v>
      </c>
      <c r="J115" t="s">
        <v>16</v>
      </c>
      <c r="K115" t="str">
        <f>VLOOKUP(C115,CheckName!A:B,2,0)</f>
        <v>Special Check</v>
      </c>
      <c r="M115">
        <f>DAY(RejectionData[[#This Row],[RejectionDate]])</f>
        <v>25</v>
      </c>
    </row>
    <row r="116" spans="1:13">
      <c r="A116" t="s">
        <v>45</v>
      </c>
      <c r="B116" t="s">
        <v>256</v>
      </c>
      <c r="C116" t="s">
        <v>12</v>
      </c>
      <c r="D116" t="s">
        <v>26</v>
      </c>
      <c r="E116" s="7">
        <v>45620</v>
      </c>
      <c r="F116" t="s">
        <v>191</v>
      </c>
      <c r="G116">
        <v>2</v>
      </c>
      <c r="H116" t="s">
        <v>27</v>
      </c>
      <c r="I116" t="s">
        <v>16</v>
      </c>
      <c r="J116" t="s">
        <v>16</v>
      </c>
      <c r="K116" t="str">
        <f>VLOOKUP(C116,CheckName!A:B,2,0)</f>
        <v>Emp</v>
      </c>
      <c r="M116">
        <f>DAY(RejectionData[[#This Row],[RejectionDate]])</f>
        <v>24</v>
      </c>
    </row>
    <row r="117" spans="1:13">
      <c r="A117" t="s">
        <v>84</v>
      </c>
      <c r="B117" t="s">
        <v>257</v>
      </c>
      <c r="C117" t="s">
        <v>12</v>
      </c>
      <c r="D117" t="s">
        <v>38</v>
      </c>
      <c r="E117" s="7">
        <v>45620</v>
      </c>
      <c r="G117">
        <v>2</v>
      </c>
      <c r="H117" t="s">
        <v>42</v>
      </c>
      <c r="I117" t="s">
        <v>16</v>
      </c>
      <c r="J117" t="s">
        <v>16</v>
      </c>
      <c r="K117" t="str">
        <f>VLOOKUP(C117,CheckName!A:B,2,0)</f>
        <v>Emp</v>
      </c>
      <c r="M117">
        <f>DAY(RejectionData[[#This Row],[RejectionDate]])</f>
        <v>24</v>
      </c>
    </row>
    <row r="118" spans="1:13">
      <c r="A118" t="s">
        <v>45</v>
      </c>
      <c r="B118" t="s">
        <v>258</v>
      </c>
      <c r="C118" t="s">
        <v>259</v>
      </c>
      <c r="D118" t="s">
        <v>26</v>
      </c>
      <c r="E118" s="7">
        <v>45619</v>
      </c>
      <c r="F118" t="s">
        <v>83</v>
      </c>
      <c r="G118">
        <v>3</v>
      </c>
      <c r="H118" t="s">
        <v>22</v>
      </c>
      <c r="I118" t="s">
        <v>16</v>
      </c>
      <c r="J118" t="s">
        <v>16</v>
      </c>
      <c r="K118" t="str">
        <f>VLOOKUP(C118,CheckName!A:B,2,0)</f>
        <v>Emp</v>
      </c>
      <c r="M118">
        <f>DAY(RejectionData[[#This Row],[RejectionDate]])</f>
        <v>23</v>
      </c>
    </row>
    <row r="119" spans="1:13">
      <c r="A119" t="s">
        <v>84</v>
      </c>
      <c r="B119" t="s">
        <v>260</v>
      </c>
      <c r="C119" t="s">
        <v>25</v>
      </c>
      <c r="D119" t="s">
        <v>26</v>
      </c>
      <c r="E119" s="7">
        <v>45619</v>
      </c>
      <c r="F119" t="s">
        <v>66</v>
      </c>
      <c r="G119">
        <v>3</v>
      </c>
      <c r="H119" t="s">
        <v>22</v>
      </c>
      <c r="I119" t="s">
        <v>16</v>
      </c>
      <c r="J119" t="s">
        <v>16</v>
      </c>
      <c r="K119" t="str">
        <f>VLOOKUP(C119,CheckName!A:B,2,0)</f>
        <v>Add</v>
      </c>
      <c r="M119">
        <f>DAY(RejectionData[[#This Row],[RejectionDate]])</f>
        <v>23</v>
      </c>
    </row>
    <row r="120" spans="1:13">
      <c r="A120" t="s">
        <v>186</v>
      </c>
      <c r="B120" t="s">
        <v>261</v>
      </c>
      <c r="C120" t="s">
        <v>54</v>
      </c>
      <c r="D120" t="s">
        <v>26</v>
      </c>
      <c r="E120" s="7">
        <v>45618</v>
      </c>
      <c r="F120" t="s">
        <v>63</v>
      </c>
      <c r="G120">
        <v>4</v>
      </c>
      <c r="H120" t="s">
        <v>27</v>
      </c>
      <c r="I120" t="s">
        <v>16</v>
      </c>
      <c r="J120" t="s">
        <v>16</v>
      </c>
      <c r="K120" t="str">
        <f>VLOOKUP(C120,CheckName!A:B,2,0)</f>
        <v>Edu</v>
      </c>
      <c r="M120">
        <f>DAY(RejectionData[[#This Row],[RejectionDate]])</f>
        <v>22</v>
      </c>
    </row>
    <row r="121" spans="1:13">
      <c r="A121" t="s">
        <v>45</v>
      </c>
      <c r="B121" t="s">
        <v>262</v>
      </c>
      <c r="C121" t="s">
        <v>19</v>
      </c>
      <c r="D121" t="s">
        <v>26</v>
      </c>
      <c r="E121" s="7">
        <v>45618</v>
      </c>
      <c r="F121" t="s">
        <v>66</v>
      </c>
      <c r="G121">
        <v>4</v>
      </c>
      <c r="H121" t="s">
        <v>27</v>
      </c>
      <c r="I121" t="s">
        <v>16</v>
      </c>
      <c r="J121" t="s">
        <v>16</v>
      </c>
      <c r="K121" t="str">
        <f>VLOOKUP(C121,CheckName!A:B,2,0)</f>
        <v>Add</v>
      </c>
      <c r="M121">
        <f>DAY(RejectionData[[#This Row],[RejectionDate]])</f>
        <v>22</v>
      </c>
    </row>
    <row r="122" spans="1:13">
      <c r="A122" t="s">
        <v>263</v>
      </c>
      <c r="B122" t="s">
        <v>264</v>
      </c>
      <c r="C122" t="s">
        <v>19</v>
      </c>
      <c r="D122" t="s">
        <v>20</v>
      </c>
      <c r="E122" s="7">
        <v>45618</v>
      </c>
      <c r="F122" t="s">
        <v>62</v>
      </c>
      <c r="G122">
        <v>4</v>
      </c>
      <c r="H122" t="s">
        <v>22</v>
      </c>
      <c r="I122" t="s">
        <v>16</v>
      </c>
      <c r="J122" t="s">
        <v>16</v>
      </c>
      <c r="K122" t="str">
        <f>VLOOKUP(C122,CheckName!A:B,2,0)</f>
        <v>Add</v>
      </c>
      <c r="M122">
        <f>DAY(RejectionData[[#This Row],[RejectionDate]])</f>
        <v>22</v>
      </c>
    </row>
    <row r="123" spans="1:13">
      <c r="A123" t="s">
        <v>45</v>
      </c>
      <c r="B123" t="s">
        <v>265</v>
      </c>
      <c r="C123" t="s">
        <v>36</v>
      </c>
      <c r="D123" t="s">
        <v>26</v>
      </c>
      <c r="E123" s="7">
        <v>45618</v>
      </c>
      <c r="F123" t="s">
        <v>224</v>
      </c>
      <c r="G123">
        <v>4</v>
      </c>
      <c r="H123" t="s">
        <v>27</v>
      </c>
      <c r="I123" t="s">
        <v>16</v>
      </c>
      <c r="J123" t="s">
        <v>16</v>
      </c>
      <c r="K123" t="str">
        <f>VLOOKUP(C123,CheckName!A:B,2,0)</f>
        <v>Emp</v>
      </c>
      <c r="M123">
        <f>DAY(RejectionData[[#This Row],[RejectionDate]])</f>
        <v>22</v>
      </c>
    </row>
    <row r="124" spans="1:13">
      <c r="A124" t="s">
        <v>266</v>
      </c>
      <c r="B124" t="s">
        <v>267</v>
      </c>
      <c r="C124" t="s">
        <v>54</v>
      </c>
      <c r="D124" t="s">
        <v>51</v>
      </c>
      <c r="E124" s="7">
        <v>45618</v>
      </c>
      <c r="F124" t="s">
        <v>52</v>
      </c>
      <c r="G124">
        <v>4</v>
      </c>
      <c r="H124" t="s">
        <v>53</v>
      </c>
      <c r="I124" t="s">
        <v>16</v>
      </c>
      <c r="J124" t="s">
        <v>16</v>
      </c>
      <c r="K124" t="str">
        <f>VLOOKUP(C124,CheckName!A:B,2,0)</f>
        <v>Edu</v>
      </c>
      <c r="M124">
        <f>DAY(RejectionData[[#This Row],[RejectionDate]])</f>
        <v>22</v>
      </c>
    </row>
    <row r="125" spans="1:13">
      <c r="A125" t="s">
        <v>131</v>
      </c>
      <c r="B125" t="s">
        <v>268</v>
      </c>
      <c r="C125" t="s">
        <v>269</v>
      </c>
      <c r="D125" t="s">
        <v>26</v>
      </c>
      <c r="E125" s="7">
        <v>45618</v>
      </c>
      <c r="F125" t="s">
        <v>236</v>
      </c>
      <c r="G125">
        <v>4</v>
      </c>
      <c r="H125" t="s">
        <v>27</v>
      </c>
      <c r="I125" t="s">
        <v>16</v>
      </c>
      <c r="J125" t="s">
        <v>16</v>
      </c>
      <c r="K125" t="str">
        <f>VLOOKUP(C125,CheckName!A:B,2,0)</f>
        <v>Emp</v>
      </c>
      <c r="M125">
        <f>DAY(RejectionData[[#This Row],[RejectionDate]])</f>
        <v>22</v>
      </c>
    </row>
    <row r="126" spans="1:13">
      <c r="A126" t="s">
        <v>131</v>
      </c>
      <c r="B126" t="s">
        <v>270</v>
      </c>
      <c r="C126" t="s">
        <v>269</v>
      </c>
      <c r="D126" t="s">
        <v>26</v>
      </c>
      <c r="E126" s="7">
        <v>45618</v>
      </c>
      <c r="F126" t="s">
        <v>236</v>
      </c>
      <c r="G126">
        <v>4</v>
      </c>
      <c r="H126" t="s">
        <v>27</v>
      </c>
      <c r="I126" t="s">
        <v>16</v>
      </c>
      <c r="J126" t="s">
        <v>16</v>
      </c>
      <c r="K126" t="str">
        <f>VLOOKUP(C126,CheckName!A:B,2,0)</f>
        <v>Emp</v>
      </c>
      <c r="M126">
        <f>DAY(RejectionData[[#This Row],[RejectionDate]])</f>
        <v>22</v>
      </c>
    </row>
    <row r="127" spans="1:13">
      <c r="A127" t="s">
        <v>245</v>
      </c>
      <c r="B127" t="s">
        <v>271</v>
      </c>
      <c r="C127" t="s">
        <v>123</v>
      </c>
      <c r="D127" t="s">
        <v>26</v>
      </c>
      <c r="E127" s="7">
        <v>45618</v>
      </c>
      <c r="F127" t="s">
        <v>236</v>
      </c>
      <c r="G127">
        <v>4</v>
      </c>
      <c r="H127" t="s">
        <v>27</v>
      </c>
      <c r="I127" t="s">
        <v>16</v>
      </c>
      <c r="J127" t="s">
        <v>16</v>
      </c>
      <c r="K127" t="str">
        <f>VLOOKUP(C127,CheckName!A:B,2,0)</f>
        <v>Special Check</v>
      </c>
      <c r="M127">
        <f>DAY(RejectionData[[#This Row],[RejectionDate]])</f>
        <v>22</v>
      </c>
    </row>
    <row r="128" spans="1:13">
      <c r="A128" t="s">
        <v>242</v>
      </c>
      <c r="B128" t="s">
        <v>272</v>
      </c>
      <c r="C128" t="s">
        <v>25</v>
      </c>
      <c r="D128" t="s">
        <v>20</v>
      </c>
      <c r="E128" s="7">
        <v>45618</v>
      </c>
      <c r="F128" t="s">
        <v>273</v>
      </c>
      <c r="G128">
        <v>4</v>
      </c>
      <c r="H128" t="s">
        <v>130</v>
      </c>
      <c r="I128" t="s">
        <v>16</v>
      </c>
      <c r="J128" t="s">
        <v>16</v>
      </c>
      <c r="K128" t="str">
        <f>VLOOKUP(C128,CheckName!A:B,2,0)</f>
        <v>Add</v>
      </c>
      <c r="M128">
        <f>DAY(RejectionData[[#This Row],[RejectionDate]])</f>
        <v>22</v>
      </c>
    </row>
    <row r="129" spans="1:13">
      <c r="A129" t="s">
        <v>274</v>
      </c>
      <c r="B129" t="s">
        <v>275</v>
      </c>
      <c r="C129" t="s">
        <v>25</v>
      </c>
      <c r="D129" t="s">
        <v>26</v>
      </c>
      <c r="E129" s="7">
        <v>45618</v>
      </c>
      <c r="F129" t="s">
        <v>21</v>
      </c>
      <c r="G129">
        <v>4</v>
      </c>
      <c r="H129" t="s">
        <v>27</v>
      </c>
      <c r="I129" t="s">
        <v>16</v>
      </c>
      <c r="J129" t="s">
        <v>16</v>
      </c>
      <c r="K129" t="str">
        <f>VLOOKUP(C129,CheckName!A:B,2,0)</f>
        <v>Add</v>
      </c>
      <c r="M129">
        <f>DAY(RejectionData[[#This Row],[RejectionDate]])</f>
        <v>22</v>
      </c>
    </row>
    <row r="130" spans="1:13">
      <c r="A130" t="s">
        <v>81</v>
      </c>
      <c r="B130" t="s">
        <v>276</v>
      </c>
      <c r="C130" t="s">
        <v>12</v>
      </c>
      <c r="D130" t="s">
        <v>26</v>
      </c>
      <c r="E130" s="7">
        <v>45618</v>
      </c>
      <c r="F130" t="s">
        <v>277</v>
      </c>
      <c r="G130">
        <v>4</v>
      </c>
      <c r="H130" t="s">
        <v>22</v>
      </c>
      <c r="I130" t="s">
        <v>16</v>
      </c>
      <c r="J130" t="s">
        <v>16</v>
      </c>
      <c r="K130" t="str">
        <f>VLOOKUP(C130,CheckName!A:B,2,0)</f>
        <v>Emp</v>
      </c>
      <c r="M130">
        <f>DAY(RejectionData[[#This Row],[RejectionDate]])</f>
        <v>22</v>
      </c>
    </row>
    <row r="131" spans="1:13">
      <c r="A131" t="s">
        <v>45</v>
      </c>
      <c r="B131" t="s">
        <v>278</v>
      </c>
      <c r="C131" t="s">
        <v>25</v>
      </c>
      <c r="D131" t="s">
        <v>20</v>
      </c>
      <c r="E131" s="7">
        <v>45618</v>
      </c>
      <c r="F131" t="s">
        <v>76</v>
      </c>
      <c r="G131">
        <v>4</v>
      </c>
      <c r="H131" t="s">
        <v>22</v>
      </c>
      <c r="I131" t="s">
        <v>16</v>
      </c>
      <c r="J131" t="s">
        <v>16</v>
      </c>
      <c r="K131" t="str">
        <f>VLOOKUP(C131,CheckName!A:B,2,0)</f>
        <v>Add</v>
      </c>
      <c r="M131">
        <f>DAY(RejectionData[[#This Row],[RejectionDate]])</f>
        <v>22</v>
      </c>
    </row>
    <row r="132" spans="1:13">
      <c r="A132" t="s">
        <v>45</v>
      </c>
      <c r="B132" t="s">
        <v>279</v>
      </c>
      <c r="C132" t="s">
        <v>12</v>
      </c>
      <c r="D132" t="s">
        <v>26</v>
      </c>
      <c r="E132" s="7">
        <v>45618</v>
      </c>
      <c r="F132" t="s">
        <v>280</v>
      </c>
      <c r="G132">
        <v>4</v>
      </c>
      <c r="H132" t="s">
        <v>27</v>
      </c>
      <c r="I132" t="s">
        <v>16</v>
      </c>
      <c r="J132" t="s">
        <v>16</v>
      </c>
      <c r="K132" t="str">
        <f>VLOOKUP(C132,CheckName!A:B,2,0)</f>
        <v>Emp</v>
      </c>
      <c r="M132">
        <f>DAY(RejectionData[[#This Row],[RejectionDate]])</f>
        <v>22</v>
      </c>
    </row>
    <row r="133" spans="1:13">
      <c r="A133" t="s">
        <v>281</v>
      </c>
      <c r="B133" t="s">
        <v>282</v>
      </c>
      <c r="C133" t="s">
        <v>12</v>
      </c>
      <c r="D133" t="s">
        <v>26</v>
      </c>
      <c r="E133" s="7">
        <v>45618</v>
      </c>
      <c r="F133" t="s">
        <v>169</v>
      </c>
      <c r="G133">
        <v>4</v>
      </c>
      <c r="H133" t="s">
        <v>27</v>
      </c>
      <c r="I133" t="s">
        <v>16</v>
      </c>
      <c r="J133" t="s">
        <v>16</v>
      </c>
      <c r="K133" t="str">
        <f>VLOOKUP(C133,CheckName!A:B,2,0)</f>
        <v>Emp</v>
      </c>
      <c r="M133">
        <f>DAY(RejectionData[[#This Row],[RejectionDate]])</f>
        <v>22</v>
      </c>
    </row>
    <row r="134" spans="1:13">
      <c r="A134" t="s">
        <v>283</v>
      </c>
      <c r="B134" t="s">
        <v>284</v>
      </c>
      <c r="C134" t="s">
        <v>12</v>
      </c>
      <c r="D134" t="s">
        <v>26</v>
      </c>
      <c r="E134" s="7">
        <v>45618</v>
      </c>
      <c r="F134" t="s">
        <v>169</v>
      </c>
      <c r="G134">
        <v>4</v>
      </c>
      <c r="H134" t="s">
        <v>27</v>
      </c>
      <c r="I134" t="s">
        <v>16</v>
      </c>
      <c r="J134" t="s">
        <v>16</v>
      </c>
      <c r="K134" t="str">
        <f>VLOOKUP(C134,CheckName!A:B,2,0)</f>
        <v>Emp</v>
      </c>
      <c r="M134">
        <f>DAY(RejectionData[[#This Row],[RejectionDate]])</f>
        <v>22</v>
      </c>
    </row>
    <row r="135" spans="1:13">
      <c r="A135" t="s">
        <v>285</v>
      </c>
      <c r="B135" t="s">
        <v>286</v>
      </c>
      <c r="C135" t="s">
        <v>25</v>
      </c>
      <c r="D135" t="s">
        <v>20</v>
      </c>
      <c r="E135" s="7">
        <v>45618</v>
      </c>
      <c r="F135" t="s">
        <v>129</v>
      </c>
      <c r="G135">
        <v>4</v>
      </c>
      <c r="H135" t="s">
        <v>22</v>
      </c>
      <c r="I135" t="s">
        <v>16</v>
      </c>
      <c r="J135" t="s">
        <v>16</v>
      </c>
      <c r="K135" t="str">
        <f>VLOOKUP(C135,CheckName!A:B,2,0)</f>
        <v>Add</v>
      </c>
      <c r="M135">
        <f>DAY(RejectionData[[#This Row],[RejectionDate]])</f>
        <v>22</v>
      </c>
    </row>
    <row r="136" spans="1:13">
      <c r="A136" t="s">
        <v>45</v>
      </c>
      <c r="B136" t="s">
        <v>287</v>
      </c>
      <c r="C136" t="s">
        <v>12</v>
      </c>
      <c r="D136" t="s">
        <v>26</v>
      </c>
      <c r="E136" s="7">
        <v>45618</v>
      </c>
      <c r="F136" t="s">
        <v>126</v>
      </c>
      <c r="G136">
        <v>4</v>
      </c>
      <c r="H136" t="s">
        <v>22</v>
      </c>
      <c r="I136" t="s">
        <v>16</v>
      </c>
      <c r="J136" t="s">
        <v>16</v>
      </c>
      <c r="K136" t="str">
        <f>VLOOKUP(C136,CheckName!A:B,2,0)</f>
        <v>Emp</v>
      </c>
      <c r="M136">
        <f>DAY(RejectionData[[#This Row],[RejectionDate]])</f>
        <v>22</v>
      </c>
    </row>
    <row r="137" spans="1:13">
      <c r="A137" t="s">
        <v>45</v>
      </c>
      <c r="B137" t="s">
        <v>258</v>
      </c>
      <c r="C137" t="s">
        <v>36</v>
      </c>
      <c r="D137" t="s">
        <v>26</v>
      </c>
      <c r="E137" s="7">
        <v>45618</v>
      </c>
      <c r="F137" t="s">
        <v>126</v>
      </c>
      <c r="G137">
        <v>4</v>
      </c>
      <c r="H137" t="s">
        <v>22</v>
      </c>
      <c r="I137" t="s">
        <v>16</v>
      </c>
      <c r="J137" t="s">
        <v>16</v>
      </c>
      <c r="K137" t="str">
        <f>VLOOKUP(C137,CheckName!A:B,2,0)</f>
        <v>Emp</v>
      </c>
      <c r="M137">
        <f>DAY(RejectionData[[#This Row],[RejectionDate]])</f>
        <v>22</v>
      </c>
    </row>
    <row r="138" spans="1:13">
      <c r="A138" t="s">
        <v>288</v>
      </c>
      <c r="B138" t="s">
        <v>289</v>
      </c>
      <c r="C138" t="s">
        <v>12</v>
      </c>
      <c r="D138" t="s">
        <v>26</v>
      </c>
      <c r="E138" s="7">
        <v>45618</v>
      </c>
      <c r="F138" t="s">
        <v>141</v>
      </c>
      <c r="G138">
        <v>4</v>
      </c>
      <c r="H138" t="s">
        <v>290</v>
      </c>
      <c r="I138" t="s">
        <v>16</v>
      </c>
      <c r="J138" t="s">
        <v>16</v>
      </c>
      <c r="K138" t="str">
        <f>VLOOKUP(C138,CheckName!A:B,2,0)</f>
        <v>Emp</v>
      </c>
      <c r="M138">
        <f>DAY(RejectionData[[#This Row],[RejectionDate]])</f>
        <v>22</v>
      </c>
    </row>
    <row r="139" spans="1:13">
      <c r="A139" t="s">
        <v>186</v>
      </c>
      <c r="B139" t="s">
        <v>291</v>
      </c>
      <c r="C139" t="s">
        <v>12</v>
      </c>
      <c r="D139" t="s">
        <v>26</v>
      </c>
      <c r="E139" s="7">
        <v>45618</v>
      </c>
      <c r="F139" t="s">
        <v>115</v>
      </c>
      <c r="G139">
        <v>4</v>
      </c>
      <c r="H139" t="s">
        <v>27</v>
      </c>
      <c r="I139" t="s">
        <v>16</v>
      </c>
      <c r="J139" t="s">
        <v>16</v>
      </c>
      <c r="K139" t="str">
        <f>VLOOKUP(C139,CheckName!A:B,2,0)</f>
        <v>Emp</v>
      </c>
      <c r="M139">
        <f>DAY(RejectionData[[#This Row],[RejectionDate]])</f>
        <v>22</v>
      </c>
    </row>
    <row r="140" spans="1:13">
      <c r="A140" t="s">
        <v>292</v>
      </c>
      <c r="B140" t="s">
        <v>293</v>
      </c>
      <c r="C140" t="s">
        <v>220</v>
      </c>
      <c r="D140" t="s">
        <v>26</v>
      </c>
      <c r="E140" s="7">
        <v>45618</v>
      </c>
      <c r="F140" t="s">
        <v>294</v>
      </c>
      <c r="G140">
        <v>4</v>
      </c>
      <c r="H140" t="s">
        <v>130</v>
      </c>
      <c r="I140" t="s">
        <v>16</v>
      </c>
      <c r="J140" t="s">
        <v>16</v>
      </c>
      <c r="K140" t="str">
        <f>VLOOKUP(C140,CheckName!A:B,2,0)</f>
        <v>Ref</v>
      </c>
      <c r="M140">
        <f>DAY(RejectionData[[#This Row],[RejectionDate]])</f>
        <v>22</v>
      </c>
    </row>
    <row r="141" spans="1:13">
      <c r="A141" t="s">
        <v>295</v>
      </c>
      <c r="B141" t="s">
        <v>296</v>
      </c>
      <c r="C141" t="s">
        <v>54</v>
      </c>
      <c r="D141" t="s">
        <v>26</v>
      </c>
      <c r="E141" s="7">
        <v>45617</v>
      </c>
      <c r="F141" t="s">
        <v>297</v>
      </c>
      <c r="G141">
        <v>5</v>
      </c>
      <c r="H141" t="s">
        <v>27</v>
      </c>
      <c r="I141" t="s">
        <v>16</v>
      </c>
      <c r="J141" t="s">
        <v>16</v>
      </c>
      <c r="K141" t="str">
        <f>VLOOKUP(C141,CheckName!A:B,2,0)</f>
        <v>Edu</v>
      </c>
      <c r="M141">
        <f>DAY(RejectionData[[#This Row],[RejectionDate]])</f>
        <v>21</v>
      </c>
    </row>
    <row r="142" spans="1:13">
      <c r="A142" t="s">
        <v>91</v>
      </c>
      <c r="B142" t="s">
        <v>298</v>
      </c>
      <c r="C142" t="s">
        <v>93</v>
      </c>
      <c r="D142" t="s">
        <v>26</v>
      </c>
      <c r="E142" s="7">
        <v>45617</v>
      </c>
      <c r="F142" t="s">
        <v>297</v>
      </c>
      <c r="G142">
        <v>5</v>
      </c>
      <c r="H142" t="s">
        <v>27</v>
      </c>
      <c r="I142" t="s">
        <v>16</v>
      </c>
      <c r="J142" t="s">
        <v>16</v>
      </c>
      <c r="K142" t="str">
        <f>VLOOKUP(C142,CheckName!A:B,2,0)</f>
        <v>Edu</v>
      </c>
      <c r="M142">
        <f>DAY(RejectionData[[#This Row],[RejectionDate]])</f>
        <v>21</v>
      </c>
    </row>
    <row r="143" spans="1:13">
      <c r="A143" t="s">
        <v>299</v>
      </c>
      <c r="B143" t="s">
        <v>300</v>
      </c>
      <c r="C143" t="s">
        <v>12</v>
      </c>
      <c r="D143" t="s">
        <v>26</v>
      </c>
      <c r="E143" s="7">
        <v>45617</v>
      </c>
      <c r="F143" t="s">
        <v>301</v>
      </c>
      <c r="G143">
        <v>5</v>
      </c>
      <c r="H143" t="s">
        <v>30</v>
      </c>
      <c r="I143" t="s">
        <v>16</v>
      </c>
      <c r="J143" t="s">
        <v>16</v>
      </c>
      <c r="K143" t="str">
        <f>VLOOKUP(C143,CheckName!A:B,2,0)</f>
        <v>Emp</v>
      </c>
      <c r="M143">
        <f>DAY(RejectionData[[#This Row],[RejectionDate]])</f>
        <v>21</v>
      </c>
    </row>
    <row r="144" spans="1:13">
      <c r="A144" t="s">
        <v>45</v>
      </c>
      <c r="B144" t="s">
        <v>302</v>
      </c>
      <c r="C144" t="s">
        <v>36</v>
      </c>
      <c r="D144" t="s">
        <v>26</v>
      </c>
      <c r="E144" s="7">
        <v>45617</v>
      </c>
      <c r="F144" t="s">
        <v>115</v>
      </c>
      <c r="G144">
        <v>5</v>
      </c>
      <c r="H144" t="s">
        <v>27</v>
      </c>
      <c r="I144" t="s">
        <v>16</v>
      </c>
      <c r="J144" t="s">
        <v>16</v>
      </c>
      <c r="K144" t="str">
        <f>VLOOKUP(C144,CheckName!A:B,2,0)</f>
        <v>Emp</v>
      </c>
      <c r="M144">
        <f>DAY(RejectionData[[#This Row],[RejectionDate]])</f>
        <v>21</v>
      </c>
    </row>
    <row r="145" spans="1:13">
      <c r="A145" t="s">
        <v>299</v>
      </c>
      <c r="B145" t="s">
        <v>303</v>
      </c>
      <c r="C145" t="s">
        <v>54</v>
      </c>
      <c r="D145" t="s">
        <v>26</v>
      </c>
      <c r="E145" s="7">
        <v>45617</v>
      </c>
      <c r="F145" t="s">
        <v>121</v>
      </c>
      <c r="G145">
        <v>5</v>
      </c>
      <c r="H145" t="s">
        <v>22</v>
      </c>
      <c r="I145" t="s">
        <v>16</v>
      </c>
      <c r="J145" t="s">
        <v>16</v>
      </c>
      <c r="K145" t="str">
        <f>VLOOKUP(C145,CheckName!A:B,2,0)</f>
        <v>Edu</v>
      </c>
      <c r="M145">
        <f>DAY(RejectionData[[#This Row],[RejectionDate]])</f>
        <v>21</v>
      </c>
    </row>
    <row r="146" spans="1:13">
      <c r="A146" t="s">
        <v>304</v>
      </c>
      <c r="B146" t="s">
        <v>305</v>
      </c>
      <c r="C146" t="s">
        <v>125</v>
      </c>
      <c r="D146" t="s">
        <v>26</v>
      </c>
      <c r="E146" s="7">
        <v>45617</v>
      </c>
      <c r="F146" t="s">
        <v>151</v>
      </c>
      <c r="G146">
        <v>5</v>
      </c>
      <c r="H146" t="s">
        <v>27</v>
      </c>
      <c r="I146" t="s">
        <v>16</v>
      </c>
      <c r="J146" t="s">
        <v>16</v>
      </c>
      <c r="K146" t="str">
        <f>VLOOKUP(C146,CheckName!A:B,2,0)</f>
        <v>Emp</v>
      </c>
      <c r="M146">
        <f>DAY(RejectionData[[#This Row],[RejectionDate]])</f>
        <v>21</v>
      </c>
    </row>
    <row r="147" spans="1:13">
      <c r="A147" t="s">
        <v>306</v>
      </c>
      <c r="B147" t="s">
        <v>307</v>
      </c>
      <c r="C147" t="s">
        <v>308</v>
      </c>
      <c r="D147" t="s">
        <v>26</v>
      </c>
      <c r="E147" s="7">
        <v>45617</v>
      </c>
      <c r="F147" t="s">
        <v>309</v>
      </c>
      <c r="G147">
        <v>5</v>
      </c>
      <c r="H147" t="s">
        <v>27</v>
      </c>
      <c r="I147" t="s">
        <v>16</v>
      </c>
      <c r="J147" t="s">
        <v>16</v>
      </c>
      <c r="K147" t="str">
        <f>VLOOKUP(C147,CheckName!A:B,2,0)</f>
        <v>Edu</v>
      </c>
      <c r="M147">
        <f>DAY(RejectionData[[#This Row],[RejectionDate]])</f>
        <v>21</v>
      </c>
    </row>
    <row r="148" spans="1:13">
      <c r="A148" t="s">
        <v>45</v>
      </c>
      <c r="B148" t="s">
        <v>310</v>
      </c>
      <c r="C148" t="s">
        <v>12</v>
      </c>
      <c r="D148" t="s">
        <v>26</v>
      </c>
      <c r="E148" s="7">
        <v>45617</v>
      </c>
      <c r="F148" t="s">
        <v>311</v>
      </c>
      <c r="G148">
        <v>5</v>
      </c>
      <c r="H148" t="s">
        <v>27</v>
      </c>
      <c r="I148" t="s">
        <v>16</v>
      </c>
      <c r="J148" t="s">
        <v>16</v>
      </c>
      <c r="K148" t="str">
        <f>VLOOKUP(C148,CheckName!A:B,2,0)</f>
        <v>Emp</v>
      </c>
      <c r="M148">
        <f>DAY(RejectionData[[#This Row],[RejectionDate]])</f>
        <v>21</v>
      </c>
    </row>
    <row r="149" spans="1:13">
      <c r="A149" t="s">
        <v>312</v>
      </c>
      <c r="B149" t="s">
        <v>313</v>
      </c>
      <c r="C149" t="s">
        <v>36</v>
      </c>
      <c r="D149" t="s">
        <v>26</v>
      </c>
      <c r="E149" s="7">
        <v>45617</v>
      </c>
      <c r="F149" t="s">
        <v>37</v>
      </c>
      <c r="G149">
        <v>5</v>
      </c>
      <c r="H149" t="s">
        <v>27</v>
      </c>
      <c r="I149" t="s">
        <v>16</v>
      </c>
      <c r="J149" t="s">
        <v>16</v>
      </c>
      <c r="K149" t="str">
        <f>VLOOKUP(C149,CheckName!A:B,2,0)</f>
        <v>Emp</v>
      </c>
      <c r="M149">
        <f>DAY(RejectionData[[#This Row],[RejectionDate]])</f>
        <v>21</v>
      </c>
    </row>
    <row r="150" spans="1:13">
      <c r="A150" t="s">
        <v>176</v>
      </c>
      <c r="B150" t="s">
        <v>314</v>
      </c>
      <c r="C150" t="s">
        <v>36</v>
      </c>
      <c r="D150" t="s">
        <v>26</v>
      </c>
      <c r="E150" s="7">
        <v>45617</v>
      </c>
      <c r="F150" t="s">
        <v>222</v>
      </c>
      <c r="G150">
        <v>5</v>
      </c>
      <c r="H150" t="s">
        <v>22</v>
      </c>
      <c r="I150" t="s">
        <v>16</v>
      </c>
      <c r="J150" t="s">
        <v>16</v>
      </c>
      <c r="K150" t="str">
        <f>VLOOKUP(C150,CheckName!A:B,2,0)</f>
        <v>Emp</v>
      </c>
      <c r="M150">
        <f>DAY(RejectionData[[#This Row],[RejectionDate]])</f>
        <v>21</v>
      </c>
    </row>
    <row r="151" spans="1:13">
      <c r="A151" t="s">
        <v>45</v>
      </c>
      <c r="B151" t="s">
        <v>315</v>
      </c>
      <c r="C151" t="s">
        <v>125</v>
      </c>
      <c r="D151" t="s">
        <v>26</v>
      </c>
      <c r="E151" s="7">
        <v>45617</v>
      </c>
      <c r="F151" t="s">
        <v>224</v>
      </c>
      <c r="G151">
        <v>5</v>
      </c>
      <c r="H151" t="s">
        <v>27</v>
      </c>
      <c r="I151" t="s">
        <v>16</v>
      </c>
      <c r="J151" t="s">
        <v>16</v>
      </c>
      <c r="K151" t="str">
        <f>VLOOKUP(C151,CheckName!A:B,2,0)</f>
        <v>Emp</v>
      </c>
      <c r="M151">
        <f>DAY(RejectionData[[#This Row],[RejectionDate]])</f>
        <v>21</v>
      </c>
    </row>
    <row r="152" spans="1:13">
      <c r="A152" t="s">
        <v>45</v>
      </c>
      <c r="B152" t="s">
        <v>316</v>
      </c>
      <c r="C152" t="s">
        <v>19</v>
      </c>
      <c r="D152" t="s">
        <v>26</v>
      </c>
      <c r="E152" s="7">
        <v>45617</v>
      </c>
      <c r="F152" t="s">
        <v>66</v>
      </c>
      <c r="G152">
        <v>5</v>
      </c>
      <c r="H152" t="s">
        <v>27</v>
      </c>
      <c r="I152" t="s">
        <v>16</v>
      </c>
      <c r="J152" t="s">
        <v>16</v>
      </c>
      <c r="K152" t="str">
        <f>VLOOKUP(C152,CheckName!A:B,2,0)</f>
        <v>Add</v>
      </c>
      <c r="M152">
        <f>DAY(RejectionData[[#This Row],[RejectionDate]])</f>
        <v>21</v>
      </c>
    </row>
    <row r="153" spans="1:13">
      <c r="A153" t="s">
        <v>317</v>
      </c>
      <c r="B153" t="s">
        <v>318</v>
      </c>
      <c r="C153" t="s">
        <v>19</v>
      </c>
      <c r="D153" t="s">
        <v>20</v>
      </c>
      <c r="E153" s="7">
        <v>45617</v>
      </c>
      <c r="F153" t="s">
        <v>62</v>
      </c>
      <c r="G153">
        <v>5</v>
      </c>
      <c r="H153" t="s">
        <v>22</v>
      </c>
      <c r="I153" t="s">
        <v>16</v>
      </c>
      <c r="J153" t="s">
        <v>16</v>
      </c>
      <c r="K153" t="str">
        <f>VLOOKUP(C153,CheckName!A:B,2,0)</f>
        <v>Add</v>
      </c>
      <c r="M153">
        <f>DAY(RejectionData[[#This Row],[RejectionDate]])</f>
        <v>21</v>
      </c>
    </row>
    <row r="154" spans="1:13">
      <c r="A154" t="s">
        <v>45</v>
      </c>
      <c r="B154" t="s">
        <v>319</v>
      </c>
      <c r="C154" t="s">
        <v>25</v>
      </c>
      <c r="D154" t="s">
        <v>20</v>
      </c>
      <c r="E154" s="7">
        <v>45616</v>
      </c>
      <c r="F154" t="s">
        <v>62</v>
      </c>
      <c r="G154">
        <v>6</v>
      </c>
      <c r="H154" t="s">
        <v>22</v>
      </c>
      <c r="I154" t="s">
        <v>16</v>
      </c>
      <c r="J154" t="s">
        <v>16</v>
      </c>
      <c r="K154" t="str">
        <f>VLOOKUP(C154,CheckName!A:B,2,0)</f>
        <v>Add</v>
      </c>
      <c r="M154">
        <f>DAY(RejectionData[[#This Row],[RejectionDate]])</f>
        <v>20</v>
      </c>
    </row>
    <row r="155" spans="1:13">
      <c r="A155" t="s">
        <v>320</v>
      </c>
      <c r="B155" t="s">
        <v>321</v>
      </c>
      <c r="C155" t="s">
        <v>322</v>
      </c>
      <c r="D155" t="s">
        <v>20</v>
      </c>
      <c r="E155" s="7">
        <v>45616</v>
      </c>
      <c r="F155" t="s">
        <v>66</v>
      </c>
      <c r="G155">
        <v>6</v>
      </c>
      <c r="H155" t="s">
        <v>22</v>
      </c>
      <c r="I155" t="s">
        <v>16</v>
      </c>
      <c r="J155" t="s">
        <v>16</v>
      </c>
      <c r="K155" t="str">
        <f>VLOOKUP(C155,CheckName!A:B,2,0)</f>
        <v>Add</v>
      </c>
      <c r="M155">
        <f>DAY(RejectionData[[#This Row],[RejectionDate]])</f>
        <v>20</v>
      </c>
    </row>
    <row r="156" spans="1:13">
      <c r="A156" t="s">
        <v>320</v>
      </c>
      <c r="B156" t="s">
        <v>323</v>
      </c>
      <c r="C156" t="s">
        <v>324</v>
      </c>
      <c r="D156" t="s">
        <v>26</v>
      </c>
      <c r="E156" s="7">
        <v>45616</v>
      </c>
      <c r="F156" t="s">
        <v>325</v>
      </c>
      <c r="G156">
        <v>6</v>
      </c>
      <c r="H156" t="s">
        <v>27</v>
      </c>
      <c r="I156" t="s">
        <v>16</v>
      </c>
      <c r="J156" t="s">
        <v>16</v>
      </c>
      <c r="K156" t="str">
        <f>VLOOKUP(C156,CheckName!A:B,2,0)</f>
        <v>Emp</v>
      </c>
      <c r="M156">
        <f>DAY(RejectionData[[#This Row],[RejectionDate]])</f>
        <v>20</v>
      </c>
    </row>
    <row r="157" spans="1:13">
      <c r="A157" t="s">
        <v>326</v>
      </c>
      <c r="B157" t="s">
        <v>327</v>
      </c>
      <c r="C157" t="s">
        <v>54</v>
      </c>
      <c r="D157" t="s">
        <v>26</v>
      </c>
      <c r="E157" s="7">
        <v>45616</v>
      </c>
      <c r="F157" t="s">
        <v>94</v>
      </c>
      <c r="G157">
        <v>6</v>
      </c>
      <c r="H157" t="s">
        <v>27</v>
      </c>
      <c r="I157" t="s">
        <v>16</v>
      </c>
      <c r="J157" t="s">
        <v>16</v>
      </c>
      <c r="K157" t="str">
        <f>VLOOKUP(C157,CheckName!A:B,2,0)</f>
        <v>Edu</v>
      </c>
      <c r="M157">
        <f>DAY(RejectionData[[#This Row],[RejectionDate]])</f>
        <v>20</v>
      </c>
    </row>
    <row r="158" spans="1:13">
      <c r="A158" t="s">
        <v>45</v>
      </c>
      <c r="B158" t="s">
        <v>328</v>
      </c>
      <c r="C158" t="s">
        <v>54</v>
      </c>
      <c r="D158" t="s">
        <v>26</v>
      </c>
      <c r="E158" s="7">
        <v>45616</v>
      </c>
      <c r="F158" t="s">
        <v>103</v>
      </c>
      <c r="G158">
        <v>6</v>
      </c>
      <c r="H158" t="s">
        <v>27</v>
      </c>
      <c r="I158" t="s">
        <v>16</v>
      </c>
      <c r="J158" t="s">
        <v>16</v>
      </c>
      <c r="K158" t="str">
        <f>VLOOKUP(C158,CheckName!A:B,2,0)</f>
        <v>Edu</v>
      </c>
      <c r="M158">
        <f>DAY(RejectionData[[#This Row],[RejectionDate]])</f>
        <v>20</v>
      </c>
    </row>
    <row r="159" spans="1:13">
      <c r="A159" t="s">
        <v>160</v>
      </c>
      <c r="B159" t="s">
        <v>329</v>
      </c>
      <c r="C159" t="s">
        <v>220</v>
      </c>
      <c r="D159" t="s">
        <v>26</v>
      </c>
      <c r="E159" s="7">
        <v>45616</v>
      </c>
      <c r="F159" t="s">
        <v>330</v>
      </c>
      <c r="G159">
        <v>6</v>
      </c>
      <c r="H159" t="s">
        <v>27</v>
      </c>
      <c r="I159" t="s">
        <v>16</v>
      </c>
      <c r="J159" t="s">
        <v>16</v>
      </c>
      <c r="K159" t="str">
        <f>VLOOKUP(C159,CheckName!A:B,2,0)</f>
        <v>Ref</v>
      </c>
      <c r="M159">
        <f>DAY(RejectionData[[#This Row],[RejectionDate]])</f>
        <v>20</v>
      </c>
    </row>
    <row r="160" spans="1:13">
      <c r="A160" t="s">
        <v>331</v>
      </c>
      <c r="B160" t="s">
        <v>332</v>
      </c>
      <c r="C160" t="s">
        <v>25</v>
      </c>
      <c r="D160" t="s">
        <v>20</v>
      </c>
      <c r="E160" s="7">
        <v>45616</v>
      </c>
      <c r="F160" t="s">
        <v>129</v>
      </c>
      <c r="G160">
        <v>6</v>
      </c>
      <c r="H160" t="s">
        <v>22</v>
      </c>
      <c r="I160" t="s">
        <v>16</v>
      </c>
      <c r="J160" t="s">
        <v>16</v>
      </c>
      <c r="K160" t="str">
        <f>VLOOKUP(C160,CheckName!A:B,2,0)</f>
        <v>Add</v>
      </c>
      <c r="M160">
        <f>DAY(RejectionData[[#This Row],[RejectionDate]])</f>
        <v>20</v>
      </c>
    </row>
    <row r="161" spans="1:13">
      <c r="A161" t="s">
        <v>333</v>
      </c>
      <c r="B161" t="s">
        <v>334</v>
      </c>
      <c r="C161" t="s">
        <v>12</v>
      </c>
      <c r="D161" t="s">
        <v>26</v>
      </c>
      <c r="E161" s="7">
        <v>45616</v>
      </c>
      <c r="F161" t="s">
        <v>301</v>
      </c>
      <c r="G161">
        <v>6</v>
      </c>
      <c r="H161" t="s">
        <v>130</v>
      </c>
      <c r="I161" t="s">
        <v>16</v>
      </c>
      <c r="J161" t="s">
        <v>16</v>
      </c>
      <c r="K161" t="str">
        <f>VLOOKUP(C161,CheckName!A:B,2,0)</f>
        <v>Emp</v>
      </c>
      <c r="M161">
        <f>DAY(RejectionData[[#This Row],[RejectionDate]])</f>
        <v>20</v>
      </c>
    </row>
    <row r="162" spans="1:13">
      <c r="A162" t="s">
        <v>84</v>
      </c>
      <c r="B162" t="s">
        <v>335</v>
      </c>
      <c r="C162" t="s">
        <v>125</v>
      </c>
      <c r="D162" t="s">
        <v>26</v>
      </c>
      <c r="E162" s="7">
        <v>45616</v>
      </c>
      <c r="F162" t="s">
        <v>110</v>
      </c>
      <c r="G162">
        <v>6</v>
      </c>
      <c r="H162" t="s">
        <v>130</v>
      </c>
      <c r="I162" t="s">
        <v>16</v>
      </c>
      <c r="J162" t="s">
        <v>16</v>
      </c>
      <c r="K162" t="str">
        <f>VLOOKUP(C162,CheckName!A:B,2,0)</f>
        <v>Emp</v>
      </c>
      <c r="M162">
        <f>DAY(RejectionData[[#This Row],[RejectionDate]])</f>
        <v>20</v>
      </c>
    </row>
    <row r="163" spans="1:13">
      <c r="A163" t="s">
        <v>281</v>
      </c>
      <c r="B163" t="s">
        <v>336</v>
      </c>
      <c r="C163" t="s">
        <v>12</v>
      </c>
      <c r="D163" t="s">
        <v>26</v>
      </c>
      <c r="E163" s="7">
        <v>45615</v>
      </c>
      <c r="F163" t="s">
        <v>126</v>
      </c>
      <c r="G163">
        <v>7</v>
      </c>
      <c r="H163" t="s">
        <v>27</v>
      </c>
      <c r="I163" t="s">
        <v>16</v>
      </c>
      <c r="J163" t="s">
        <v>16</v>
      </c>
      <c r="K163" t="str">
        <f>VLOOKUP(C163,CheckName!A:B,2,0)</f>
        <v>Emp</v>
      </c>
      <c r="M163">
        <f>DAY(RejectionData[[#This Row],[RejectionDate]])</f>
        <v>19</v>
      </c>
    </row>
    <row r="164" spans="1:13">
      <c r="A164" t="s">
        <v>337</v>
      </c>
      <c r="B164" t="s">
        <v>338</v>
      </c>
      <c r="C164" t="s">
        <v>12</v>
      </c>
      <c r="D164" t="s">
        <v>26</v>
      </c>
      <c r="E164" s="7">
        <v>45615</v>
      </c>
      <c r="F164" t="s">
        <v>339</v>
      </c>
      <c r="G164">
        <v>7</v>
      </c>
      <c r="H164" t="s">
        <v>27</v>
      </c>
      <c r="I164" t="s">
        <v>16</v>
      </c>
      <c r="J164" t="s">
        <v>16</v>
      </c>
      <c r="K164" t="str">
        <f>VLOOKUP(C164,CheckName!A:B,2,0)</f>
        <v>Emp</v>
      </c>
      <c r="M164">
        <f>DAY(RejectionData[[#This Row],[RejectionDate]])</f>
        <v>19</v>
      </c>
    </row>
    <row r="165" spans="1:13">
      <c r="A165" t="s">
        <v>242</v>
      </c>
      <c r="B165" t="s">
        <v>340</v>
      </c>
      <c r="C165" t="s">
        <v>12</v>
      </c>
      <c r="D165" t="s">
        <v>26</v>
      </c>
      <c r="E165" s="7">
        <v>45615</v>
      </c>
      <c r="F165" t="s">
        <v>339</v>
      </c>
      <c r="G165">
        <v>7</v>
      </c>
      <c r="H165" t="s">
        <v>27</v>
      </c>
      <c r="I165" t="s">
        <v>16</v>
      </c>
      <c r="J165" t="s">
        <v>16</v>
      </c>
      <c r="K165" t="str">
        <f>VLOOKUP(C165,CheckName!A:B,2,0)</f>
        <v>Emp</v>
      </c>
      <c r="M165">
        <f>DAY(RejectionData[[#This Row],[RejectionDate]])</f>
        <v>19</v>
      </c>
    </row>
    <row r="166" spans="1:13">
      <c r="A166" t="s">
        <v>45</v>
      </c>
      <c r="B166" t="s">
        <v>341</v>
      </c>
      <c r="C166" t="s">
        <v>36</v>
      </c>
      <c r="D166" t="s">
        <v>26</v>
      </c>
      <c r="E166" s="7">
        <v>45615</v>
      </c>
      <c r="F166" t="s">
        <v>339</v>
      </c>
      <c r="G166">
        <v>7</v>
      </c>
      <c r="H166" t="s">
        <v>30</v>
      </c>
      <c r="I166" t="s">
        <v>16</v>
      </c>
      <c r="J166" t="s">
        <v>16</v>
      </c>
      <c r="K166" t="str">
        <f>VLOOKUP(C166,CheckName!A:B,2,0)</f>
        <v>Emp</v>
      </c>
      <c r="M166">
        <f>DAY(RejectionData[[#This Row],[RejectionDate]])</f>
        <v>19</v>
      </c>
    </row>
    <row r="167" spans="1:13">
      <c r="A167" t="s">
        <v>239</v>
      </c>
      <c r="B167" t="s">
        <v>342</v>
      </c>
      <c r="C167" t="s">
        <v>19</v>
      </c>
      <c r="D167" t="s">
        <v>20</v>
      </c>
      <c r="E167" s="7">
        <v>45615</v>
      </c>
      <c r="F167" t="s">
        <v>273</v>
      </c>
      <c r="G167">
        <v>7</v>
      </c>
      <c r="H167" t="s">
        <v>27</v>
      </c>
      <c r="I167" t="s">
        <v>16</v>
      </c>
      <c r="J167" t="s">
        <v>16</v>
      </c>
      <c r="K167" t="str">
        <f>VLOOKUP(C167,CheckName!A:B,2,0)</f>
        <v>Add</v>
      </c>
      <c r="M167">
        <f>DAY(RejectionData[[#This Row],[RejectionDate]])</f>
        <v>19</v>
      </c>
    </row>
    <row r="168" spans="1:13">
      <c r="A168" t="s">
        <v>343</v>
      </c>
      <c r="B168" t="s">
        <v>344</v>
      </c>
      <c r="C168" t="s">
        <v>19</v>
      </c>
      <c r="D168" t="s">
        <v>20</v>
      </c>
      <c r="E168" s="7">
        <v>45615</v>
      </c>
      <c r="F168" t="s">
        <v>273</v>
      </c>
      <c r="G168">
        <v>7</v>
      </c>
      <c r="H168" t="s">
        <v>27</v>
      </c>
      <c r="I168" t="s">
        <v>16</v>
      </c>
      <c r="J168" t="s">
        <v>16</v>
      </c>
      <c r="K168" t="str">
        <f>VLOOKUP(C168,CheckName!A:B,2,0)</f>
        <v>Add</v>
      </c>
      <c r="M168">
        <f>DAY(RejectionData[[#This Row],[RejectionDate]])</f>
        <v>19</v>
      </c>
    </row>
    <row r="169" spans="1:13">
      <c r="A169" t="s">
        <v>242</v>
      </c>
      <c r="B169" t="s">
        <v>345</v>
      </c>
      <c r="C169" t="s">
        <v>25</v>
      </c>
      <c r="D169" t="s">
        <v>20</v>
      </c>
      <c r="E169" s="7">
        <v>45615</v>
      </c>
      <c r="F169" t="s">
        <v>21</v>
      </c>
      <c r="G169">
        <v>7</v>
      </c>
      <c r="H169" t="s">
        <v>22</v>
      </c>
      <c r="I169" t="s">
        <v>16</v>
      </c>
      <c r="J169" t="s">
        <v>16</v>
      </c>
      <c r="K169" t="str">
        <f>VLOOKUP(C169,CheckName!A:B,2,0)</f>
        <v>Add</v>
      </c>
      <c r="M169">
        <f>DAY(RejectionData[[#This Row],[RejectionDate]])</f>
        <v>19</v>
      </c>
    </row>
    <row r="170" spans="1:13">
      <c r="A170" t="s">
        <v>263</v>
      </c>
      <c r="B170" t="s">
        <v>346</v>
      </c>
      <c r="C170" t="s">
        <v>36</v>
      </c>
      <c r="D170" t="s">
        <v>26</v>
      </c>
      <c r="E170" s="7">
        <v>45614</v>
      </c>
      <c r="F170" t="s">
        <v>222</v>
      </c>
      <c r="G170">
        <v>8</v>
      </c>
      <c r="H170" t="s">
        <v>27</v>
      </c>
      <c r="I170" t="s">
        <v>16</v>
      </c>
      <c r="J170" t="s">
        <v>16</v>
      </c>
      <c r="K170" t="str">
        <f>VLOOKUP(C170,CheckName!A:B,2,0)</f>
        <v>Emp</v>
      </c>
      <c r="M170">
        <f>DAY(RejectionData[[#This Row],[RejectionDate]])</f>
        <v>18</v>
      </c>
    </row>
    <row r="171" spans="1:13">
      <c r="A171" t="s">
        <v>84</v>
      </c>
      <c r="B171" t="s">
        <v>347</v>
      </c>
      <c r="C171" t="s">
        <v>12</v>
      </c>
      <c r="D171" t="s">
        <v>26</v>
      </c>
      <c r="E171" s="7">
        <v>45614</v>
      </c>
      <c r="F171" t="s">
        <v>222</v>
      </c>
      <c r="G171">
        <v>8</v>
      </c>
      <c r="H171" t="s">
        <v>22</v>
      </c>
      <c r="I171" t="s">
        <v>16</v>
      </c>
      <c r="J171" t="s">
        <v>16</v>
      </c>
      <c r="K171" t="str">
        <f>VLOOKUP(C171,CheckName!A:B,2,0)</f>
        <v>Emp</v>
      </c>
      <c r="M171">
        <f>DAY(RejectionData[[#This Row],[RejectionDate]])</f>
        <v>18</v>
      </c>
    </row>
    <row r="172" spans="1:13">
      <c r="A172" t="s">
        <v>84</v>
      </c>
      <c r="B172" t="s">
        <v>348</v>
      </c>
      <c r="C172" t="s">
        <v>54</v>
      </c>
      <c r="D172" t="s">
        <v>26</v>
      </c>
      <c r="E172" s="7">
        <v>45614</v>
      </c>
      <c r="F172" t="s">
        <v>188</v>
      </c>
      <c r="G172">
        <v>8</v>
      </c>
      <c r="H172" t="s">
        <v>27</v>
      </c>
      <c r="I172" t="s">
        <v>16</v>
      </c>
      <c r="J172" t="s">
        <v>16</v>
      </c>
      <c r="K172" t="str">
        <f>VLOOKUP(C172,CheckName!A:B,2,0)</f>
        <v>Edu</v>
      </c>
      <c r="M172">
        <f>DAY(RejectionData[[#This Row],[RejectionDate]])</f>
        <v>18</v>
      </c>
    </row>
    <row r="173" spans="1:13">
      <c r="A173" t="s">
        <v>349</v>
      </c>
      <c r="B173" t="s">
        <v>350</v>
      </c>
      <c r="C173" t="s">
        <v>54</v>
      </c>
      <c r="D173" t="s">
        <v>26</v>
      </c>
      <c r="E173" s="7">
        <v>45614</v>
      </c>
      <c r="F173" t="s">
        <v>351</v>
      </c>
      <c r="G173">
        <v>8</v>
      </c>
      <c r="H173" t="s">
        <v>95</v>
      </c>
      <c r="I173" t="s">
        <v>16</v>
      </c>
      <c r="J173" t="s">
        <v>16</v>
      </c>
      <c r="K173" t="str">
        <f>VLOOKUP(C173,CheckName!A:B,2,0)</f>
        <v>Edu</v>
      </c>
      <c r="M173">
        <f>DAY(RejectionData[[#This Row],[RejectionDate]])</f>
        <v>18</v>
      </c>
    </row>
    <row r="174" spans="1:13">
      <c r="A174" t="s">
        <v>299</v>
      </c>
      <c r="B174" t="s">
        <v>352</v>
      </c>
      <c r="C174" t="s">
        <v>12</v>
      </c>
      <c r="D174" t="s">
        <v>26</v>
      </c>
      <c r="E174" s="7">
        <v>45614</v>
      </c>
      <c r="F174" t="s">
        <v>182</v>
      </c>
      <c r="G174">
        <v>8</v>
      </c>
      <c r="H174" t="s">
        <v>27</v>
      </c>
      <c r="I174" t="s">
        <v>16</v>
      </c>
      <c r="J174" t="s">
        <v>16</v>
      </c>
      <c r="K174" t="str">
        <f>VLOOKUP(C174,CheckName!A:B,2,0)</f>
        <v>Emp</v>
      </c>
      <c r="M174">
        <f>DAY(RejectionData[[#This Row],[RejectionDate]])</f>
        <v>18</v>
      </c>
    </row>
    <row r="175" spans="1:13">
      <c r="A175" t="s">
        <v>353</v>
      </c>
      <c r="B175" t="s">
        <v>354</v>
      </c>
      <c r="C175" t="s">
        <v>36</v>
      </c>
      <c r="D175" t="s">
        <v>26</v>
      </c>
      <c r="E175" s="7">
        <v>45614</v>
      </c>
      <c r="F175" t="s">
        <v>355</v>
      </c>
      <c r="G175">
        <v>8</v>
      </c>
      <c r="H175" t="s">
        <v>27</v>
      </c>
      <c r="I175" t="s">
        <v>16</v>
      </c>
      <c r="J175" t="s">
        <v>16</v>
      </c>
      <c r="K175" t="str">
        <f>VLOOKUP(C175,CheckName!A:B,2,0)</f>
        <v>Emp</v>
      </c>
      <c r="M175">
        <f>DAY(RejectionData[[#This Row],[RejectionDate]])</f>
        <v>18</v>
      </c>
    </row>
    <row r="176" spans="1:13">
      <c r="A176" t="s">
        <v>100</v>
      </c>
      <c r="B176" t="s">
        <v>356</v>
      </c>
      <c r="C176" t="s">
        <v>357</v>
      </c>
      <c r="D176" t="s">
        <v>26</v>
      </c>
      <c r="E176" s="7">
        <v>45612</v>
      </c>
      <c r="F176" t="s">
        <v>126</v>
      </c>
      <c r="G176">
        <v>10</v>
      </c>
      <c r="H176" t="s">
        <v>27</v>
      </c>
      <c r="I176" t="s">
        <v>16</v>
      </c>
      <c r="J176" t="s">
        <v>16</v>
      </c>
      <c r="K176" t="str">
        <f>VLOOKUP(C176,CheckName!A:B,2,0)</f>
        <v>Emp</v>
      </c>
      <c r="M176">
        <f>DAY(RejectionData[[#This Row],[RejectionDate]])</f>
        <v>16</v>
      </c>
    </row>
    <row r="177" spans="1:13">
      <c r="A177" t="s">
        <v>100</v>
      </c>
      <c r="B177" t="s">
        <v>358</v>
      </c>
      <c r="C177" t="s">
        <v>359</v>
      </c>
      <c r="D177" t="s">
        <v>26</v>
      </c>
      <c r="E177" s="7">
        <v>45611</v>
      </c>
      <c r="F177" t="s">
        <v>184</v>
      </c>
      <c r="G177">
        <v>11</v>
      </c>
      <c r="H177" t="s">
        <v>27</v>
      </c>
      <c r="I177" t="s">
        <v>16</v>
      </c>
      <c r="J177" t="s">
        <v>16</v>
      </c>
      <c r="K177" t="str">
        <f>VLOOKUP(C177,CheckName!A:B,2,0)</f>
        <v>Emp</v>
      </c>
      <c r="M177">
        <f>DAY(RejectionData[[#This Row],[RejectionDate]])</f>
        <v>15</v>
      </c>
    </row>
    <row r="178" spans="1:13">
      <c r="A178" t="s">
        <v>360</v>
      </c>
      <c r="B178" t="s">
        <v>361</v>
      </c>
      <c r="C178" t="s">
        <v>36</v>
      </c>
      <c r="D178" t="s">
        <v>26</v>
      </c>
      <c r="E178" s="7">
        <v>45611</v>
      </c>
      <c r="F178" t="s">
        <v>325</v>
      </c>
      <c r="G178">
        <v>11</v>
      </c>
      <c r="H178" t="s">
        <v>27</v>
      </c>
      <c r="I178" t="s">
        <v>16</v>
      </c>
      <c r="J178" t="s">
        <v>16</v>
      </c>
      <c r="K178" t="str">
        <f>VLOOKUP(C178,CheckName!A:B,2,0)</f>
        <v>Emp</v>
      </c>
      <c r="M178">
        <f>DAY(RejectionData[[#This Row],[RejectionDate]])</f>
        <v>15</v>
      </c>
    </row>
    <row r="179" spans="1:13">
      <c r="A179" t="s">
        <v>362</v>
      </c>
      <c r="B179" t="s">
        <v>363</v>
      </c>
      <c r="C179" t="s">
        <v>12</v>
      </c>
      <c r="D179" t="s">
        <v>38</v>
      </c>
      <c r="E179" s="7">
        <v>45611</v>
      </c>
      <c r="F179" t="s">
        <v>39</v>
      </c>
      <c r="G179">
        <v>11</v>
      </c>
      <c r="H179" t="s">
        <v>42</v>
      </c>
      <c r="I179" t="s">
        <v>16</v>
      </c>
      <c r="J179" t="s">
        <v>16</v>
      </c>
      <c r="K179" t="str">
        <f>VLOOKUP(C179,CheckName!A:B,2,0)</f>
        <v>Emp</v>
      </c>
      <c r="M179">
        <f>DAY(RejectionData[[#This Row],[RejectionDate]])</f>
        <v>15</v>
      </c>
    </row>
    <row r="180" spans="1:13">
      <c r="A180" t="s">
        <v>131</v>
      </c>
      <c r="B180" t="s">
        <v>364</v>
      </c>
      <c r="C180" t="s">
        <v>19</v>
      </c>
      <c r="D180" t="s">
        <v>20</v>
      </c>
      <c r="E180" s="7">
        <v>45610</v>
      </c>
      <c r="F180" t="s">
        <v>273</v>
      </c>
      <c r="G180">
        <v>12</v>
      </c>
      <c r="H180" t="s">
        <v>22</v>
      </c>
      <c r="I180" t="s">
        <v>16</v>
      </c>
      <c r="J180" t="s">
        <v>16</v>
      </c>
      <c r="K180" t="str">
        <f>VLOOKUP(C180,CheckName!A:B,2,0)</f>
        <v>Add</v>
      </c>
      <c r="M180">
        <f>DAY(RejectionData[[#This Row],[RejectionDate]])</f>
        <v>14</v>
      </c>
    </row>
    <row r="181" spans="1:13">
      <c r="A181" t="s">
        <v>365</v>
      </c>
      <c r="B181" t="s">
        <v>366</v>
      </c>
      <c r="C181" t="s">
        <v>36</v>
      </c>
      <c r="D181" t="s">
        <v>26</v>
      </c>
      <c r="E181" s="7">
        <v>45610</v>
      </c>
      <c r="F181" t="s">
        <v>148</v>
      </c>
      <c r="G181">
        <v>12</v>
      </c>
      <c r="H181" t="s">
        <v>27</v>
      </c>
      <c r="I181" t="s">
        <v>16</v>
      </c>
      <c r="J181" t="s">
        <v>16</v>
      </c>
      <c r="K181" t="str">
        <f>VLOOKUP(C181,CheckName!A:B,2,0)</f>
        <v>Emp</v>
      </c>
      <c r="M181">
        <f>DAY(RejectionData[[#This Row],[RejectionDate]])</f>
        <v>14</v>
      </c>
    </row>
    <row r="182" spans="1:13">
      <c r="A182" t="s">
        <v>367</v>
      </c>
      <c r="B182" t="s">
        <v>368</v>
      </c>
      <c r="C182" t="s">
        <v>36</v>
      </c>
      <c r="D182" t="s">
        <v>26</v>
      </c>
      <c r="E182" s="7">
        <v>45609</v>
      </c>
      <c r="F182" t="s">
        <v>301</v>
      </c>
      <c r="G182">
        <v>13</v>
      </c>
      <c r="H182" t="s">
        <v>27</v>
      </c>
      <c r="I182" t="s">
        <v>16</v>
      </c>
      <c r="J182" t="s">
        <v>16</v>
      </c>
      <c r="K182" t="str">
        <f>VLOOKUP(C182,CheckName!A:B,2,0)</f>
        <v>Emp</v>
      </c>
      <c r="M182">
        <f>DAY(RejectionData[[#This Row],[RejectionDate]])</f>
        <v>13</v>
      </c>
    </row>
    <row r="183" spans="1:13">
      <c r="A183" t="s">
        <v>45</v>
      </c>
      <c r="B183" t="s">
        <v>369</v>
      </c>
      <c r="C183" t="s">
        <v>36</v>
      </c>
      <c r="D183" t="s">
        <v>26</v>
      </c>
      <c r="E183" s="7">
        <v>45609</v>
      </c>
      <c r="F183" t="s">
        <v>222</v>
      </c>
      <c r="G183">
        <v>13</v>
      </c>
      <c r="H183" t="s">
        <v>27</v>
      </c>
      <c r="I183" t="s">
        <v>16</v>
      </c>
      <c r="J183" t="s">
        <v>16</v>
      </c>
      <c r="K183" t="str">
        <f>VLOOKUP(C183,CheckName!A:B,2,0)</f>
        <v>Emp</v>
      </c>
      <c r="M183">
        <f>DAY(RejectionData[[#This Row],[RejectionDate]])</f>
        <v>13</v>
      </c>
    </row>
    <row r="184" spans="1:13">
      <c r="A184" t="s">
        <v>84</v>
      </c>
      <c r="B184" t="s">
        <v>370</v>
      </c>
      <c r="C184" t="s">
        <v>54</v>
      </c>
      <c r="D184" t="s">
        <v>26</v>
      </c>
      <c r="E184" s="7">
        <v>45608</v>
      </c>
      <c r="F184" t="s">
        <v>371</v>
      </c>
      <c r="G184">
        <v>14</v>
      </c>
      <c r="H184" t="s">
        <v>27</v>
      </c>
      <c r="I184" t="s">
        <v>16</v>
      </c>
      <c r="J184" t="s">
        <v>16</v>
      </c>
      <c r="K184" t="str">
        <f>VLOOKUP(C184,CheckName!A:B,2,0)</f>
        <v>Edu</v>
      </c>
      <c r="M184">
        <f>DAY(RejectionData[[#This Row],[RejectionDate]])</f>
        <v>12</v>
      </c>
    </row>
    <row r="185" spans="1:13">
      <c r="A185" t="s">
        <v>203</v>
      </c>
      <c r="B185" t="s">
        <v>372</v>
      </c>
      <c r="C185" t="s">
        <v>36</v>
      </c>
      <c r="D185" t="s">
        <v>26</v>
      </c>
      <c r="E185" s="7">
        <v>45607</v>
      </c>
      <c r="F185" t="s">
        <v>151</v>
      </c>
      <c r="G185">
        <v>15</v>
      </c>
      <c r="H185" t="s">
        <v>22</v>
      </c>
      <c r="I185" t="s">
        <v>16</v>
      </c>
      <c r="J185" t="s">
        <v>16</v>
      </c>
      <c r="K185" t="str">
        <f>VLOOKUP(C185,CheckName!A:B,2,0)</f>
        <v>Emp</v>
      </c>
      <c r="M185">
        <f>DAY(RejectionData[[#This Row],[RejectionDate]])</f>
        <v>11</v>
      </c>
    </row>
    <row r="186" spans="1:13">
      <c r="A186" t="s">
        <v>84</v>
      </c>
      <c r="B186" t="s">
        <v>373</v>
      </c>
      <c r="C186" t="s">
        <v>12</v>
      </c>
      <c r="D186" t="s">
        <v>26</v>
      </c>
      <c r="E186" s="7">
        <v>45607</v>
      </c>
      <c r="F186" t="s">
        <v>110</v>
      </c>
      <c r="G186">
        <v>15</v>
      </c>
      <c r="H186" t="s">
        <v>130</v>
      </c>
      <c r="I186" t="s">
        <v>16</v>
      </c>
      <c r="J186" t="s">
        <v>16</v>
      </c>
      <c r="K186" t="str">
        <f>VLOOKUP(C186,CheckName!A:B,2,0)</f>
        <v>Emp</v>
      </c>
      <c r="M186">
        <f>DAY(RejectionData[[#This Row],[RejectionDate]])</f>
        <v>11</v>
      </c>
    </row>
    <row r="187" spans="1:13">
      <c r="A187" t="s">
        <v>374</v>
      </c>
      <c r="B187" t="s">
        <v>375</v>
      </c>
      <c r="C187" t="s">
        <v>36</v>
      </c>
      <c r="D187" t="s">
        <v>26</v>
      </c>
      <c r="E187" s="7">
        <v>45607</v>
      </c>
      <c r="F187" t="s">
        <v>159</v>
      </c>
      <c r="G187">
        <v>15</v>
      </c>
      <c r="H187" t="s">
        <v>27</v>
      </c>
      <c r="I187" t="s">
        <v>16</v>
      </c>
      <c r="J187" t="s">
        <v>16</v>
      </c>
      <c r="K187" t="str">
        <f>VLOOKUP(C187,CheckName!A:B,2,0)</f>
        <v>Emp</v>
      </c>
      <c r="M187">
        <f>DAY(RejectionData[[#This Row],[RejectionDate]])</f>
        <v>11</v>
      </c>
    </row>
    <row r="188" spans="1:13">
      <c r="A188" t="s">
        <v>84</v>
      </c>
      <c r="B188" t="s">
        <v>376</v>
      </c>
      <c r="C188" t="s">
        <v>19</v>
      </c>
      <c r="D188" t="s">
        <v>26</v>
      </c>
      <c r="E188" s="7">
        <v>45607</v>
      </c>
      <c r="F188" t="s">
        <v>66</v>
      </c>
      <c r="G188">
        <v>15</v>
      </c>
      <c r="H188" t="s">
        <v>27</v>
      </c>
      <c r="I188" t="s">
        <v>16</v>
      </c>
      <c r="J188" t="s">
        <v>16</v>
      </c>
      <c r="K188" t="str">
        <f>VLOOKUP(C188,CheckName!A:B,2,0)</f>
        <v>Add</v>
      </c>
      <c r="M188">
        <f>DAY(RejectionData[[#This Row],[RejectionDate]])</f>
        <v>11</v>
      </c>
    </row>
    <row r="189" spans="1:13">
      <c r="A189" t="s">
        <v>137</v>
      </c>
      <c r="B189" t="s">
        <v>377</v>
      </c>
      <c r="C189" t="s">
        <v>25</v>
      </c>
      <c r="D189" t="s">
        <v>20</v>
      </c>
      <c r="E189" s="7">
        <v>45607</v>
      </c>
      <c r="F189" t="s">
        <v>273</v>
      </c>
      <c r="G189">
        <v>15</v>
      </c>
      <c r="H189" t="s">
        <v>22</v>
      </c>
      <c r="I189" t="s">
        <v>16</v>
      </c>
      <c r="J189" t="s">
        <v>16</v>
      </c>
      <c r="K189" t="str">
        <f>VLOOKUP(C189,CheckName!A:B,2,0)</f>
        <v>Add</v>
      </c>
      <c r="M189">
        <f>DAY(RejectionData[[#This Row],[RejectionDate]])</f>
        <v>11</v>
      </c>
    </row>
    <row r="190" spans="1:13">
      <c r="A190" t="s">
        <v>45</v>
      </c>
      <c r="B190" t="s">
        <v>378</v>
      </c>
      <c r="C190" t="s">
        <v>125</v>
      </c>
      <c r="D190" t="s">
        <v>26</v>
      </c>
      <c r="E190" s="7">
        <v>45607</v>
      </c>
      <c r="F190" t="s">
        <v>311</v>
      </c>
      <c r="G190">
        <v>15</v>
      </c>
      <c r="H190" t="s">
        <v>27</v>
      </c>
      <c r="I190" t="s">
        <v>16</v>
      </c>
      <c r="J190" t="s">
        <v>16</v>
      </c>
      <c r="K190" t="str">
        <f>VLOOKUP(C190,CheckName!A:B,2,0)</f>
        <v>Emp</v>
      </c>
      <c r="M190">
        <f>DAY(RejectionData[[#This Row],[RejectionDate]])</f>
        <v>11</v>
      </c>
    </row>
    <row r="191" spans="1:13">
      <c r="A191" t="s">
        <v>100</v>
      </c>
      <c r="B191" t="s">
        <v>379</v>
      </c>
      <c r="C191" t="s">
        <v>359</v>
      </c>
      <c r="D191" t="s">
        <v>26</v>
      </c>
      <c r="E191" s="7">
        <v>45604</v>
      </c>
      <c r="F191" t="s">
        <v>380</v>
      </c>
      <c r="G191">
        <v>18</v>
      </c>
      <c r="H191" t="s">
        <v>27</v>
      </c>
      <c r="I191" t="s">
        <v>16</v>
      </c>
      <c r="J191" t="s">
        <v>16</v>
      </c>
      <c r="K191" t="str">
        <f>VLOOKUP(C191,CheckName!A:B,2,0)</f>
        <v>Emp</v>
      </c>
      <c r="M191">
        <f>DAY(RejectionData[[#This Row],[RejectionDate]])</f>
        <v>8</v>
      </c>
    </row>
    <row r="192" spans="1:13">
      <c r="A192" t="s">
        <v>23</v>
      </c>
      <c r="B192" t="s">
        <v>381</v>
      </c>
      <c r="C192" t="s">
        <v>25</v>
      </c>
      <c r="D192" t="s">
        <v>20</v>
      </c>
      <c r="E192" s="7">
        <v>45604</v>
      </c>
      <c r="F192" t="s">
        <v>21</v>
      </c>
      <c r="G192">
        <v>18</v>
      </c>
      <c r="H192" t="s">
        <v>22</v>
      </c>
      <c r="I192" t="s">
        <v>16</v>
      </c>
      <c r="J192" t="s">
        <v>16</v>
      </c>
      <c r="K192" t="str">
        <f>VLOOKUP(C192,CheckName!A:B,2,0)</f>
        <v>Add</v>
      </c>
      <c r="M192">
        <f>DAY(RejectionData[[#This Row],[RejectionDate]])</f>
        <v>8</v>
      </c>
    </row>
    <row r="193" spans="1:13">
      <c r="A193" t="s">
        <v>45</v>
      </c>
      <c r="B193" t="s">
        <v>382</v>
      </c>
      <c r="C193" t="s">
        <v>12</v>
      </c>
      <c r="D193" t="s">
        <v>26</v>
      </c>
      <c r="E193" s="7">
        <v>45604</v>
      </c>
      <c r="F193" t="s">
        <v>224</v>
      </c>
      <c r="G193">
        <v>18</v>
      </c>
      <c r="H193" t="s">
        <v>27</v>
      </c>
      <c r="I193" t="s">
        <v>16</v>
      </c>
      <c r="J193" t="s">
        <v>16</v>
      </c>
      <c r="K193" t="str">
        <f>VLOOKUP(C193,CheckName!A:B,2,0)</f>
        <v>Emp</v>
      </c>
      <c r="M193">
        <f>DAY(RejectionData[[#This Row],[RejectionDate]])</f>
        <v>8</v>
      </c>
    </row>
    <row r="194" spans="1:13">
      <c r="A194" t="s">
        <v>383</v>
      </c>
      <c r="B194" t="s">
        <v>384</v>
      </c>
      <c r="C194" t="s">
        <v>12</v>
      </c>
      <c r="D194" t="s">
        <v>38</v>
      </c>
      <c r="E194" s="7">
        <v>45603</v>
      </c>
      <c r="F194" t="s">
        <v>39</v>
      </c>
      <c r="G194">
        <v>19</v>
      </c>
      <c r="H194" t="s">
        <v>42</v>
      </c>
      <c r="I194" t="s">
        <v>16</v>
      </c>
      <c r="J194" t="s">
        <v>16</v>
      </c>
      <c r="K194" t="str">
        <f>VLOOKUP(C194,CheckName!A:B,2,0)</f>
        <v>Emp</v>
      </c>
      <c r="M194">
        <f>DAY(RejectionData[[#This Row],[RejectionDate]])</f>
        <v>7</v>
      </c>
    </row>
    <row r="195" spans="1:13">
      <c r="A195" t="s">
        <v>385</v>
      </c>
      <c r="B195" t="s">
        <v>386</v>
      </c>
      <c r="C195" t="s">
        <v>387</v>
      </c>
      <c r="D195" t="s">
        <v>26</v>
      </c>
      <c r="E195" s="7">
        <v>45603</v>
      </c>
      <c r="F195" t="s">
        <v>294</v>
      </c>
      <c r="G195">
        <v>19</v>
      </c>
      <c r="H195" t="s">
        <v>27</v>
      </c>
      <c r="I195" t="s">
        <v>16</v>
      </c>
      <c r="J195" t="s">
        <v>16</v>
      </c>
      <c r="K195" t="str">
        <f>VLOOKUP(C195,CheckName!A:B,2,0)</f>
        <v>Ref</v>
      </c>
      <c r="M195">
        <f>DAY(RejectionData[[#This Row],[RejectionDate]])</f>
        <v>7</v>
      </c>
    </row>
    <row r="196" spans="1:13">
      <c r="A196" t="s">
        <v>170</v>
      </c>
      <c r="B196" t="s">
        <v>388</v>
      </c>
      <c r="C196" t="s">
        <v>220</v>
      </c>
      <c r="D196" t="s">
        <v>26</v>
      </c>
      <c r="E196" s="7">
        <v>45603</v>
      </c>
      <c r="F196" t="s">
        <v>294</v>
      </c>
      <c r="G196">
        <v>19</v>
      </c>
      <c r="H196" t="s">
        <v>27</v>
      </c>
      <c r="I196" t="s">
        <v>16</v>
      </c>
      <c r="J196" t="s">
        <v>16</v>
      </c>
      <c r="K196" t="str">
        <f>VLOOKUP(C196,CheckName!A:B,2,0)</f>
        <v>Ref</v>
      </c>
      <c r="M196">
        <f>DAY(RejectionData[[#This Row],[RejectionDate]])</f>
        <v>7</v>
      </c>
    </row>
    <row r="197" spans="1:13">
      <c r="A197" t="s">
        <v>389</v>
      </c>
      <c r="B197" t="s">
        <v>390</v>
      </c>
      <c r="C197" t="s">
        <v>12</v>
      </c>
      <c r="D197" t="s">
        <v>26</v>
      </c>
      <c r="E197" s="7">
        <v>45600</v>
      </c>
      <c r="F197" t="s">
        <v>110</v>
      </c>
      <c r="G197">
        <v>22</v>
      </c>
      <c r="H197" t="s">
        <v>27</v>
      </c>
      <c r="I197" t="s">
        <v>16</v>
      </c>
      <c r="J197" t="s">
        <v>16</v>
      </c>
      <c r="K197" t="str">
        <f>VLOOKUP(C197,CheckName!A:B,2,0)</f>
        <v>Emp</v>
      </c>
      <c r="M197">
        <f>DAY(RejectionData[[#This Row],[RejectionDate]])</f>
        <v>4</v>
      </c>
    </row>
    <row r="198" spans="1:13">
      <c r="A198" t="s">
        <v>391</v>
      </c>
      <c r="B198" t="s">
        <v>392</v>
      </c>
      <c r="C198" t="s">
        <v>36</v>
      </c>
      <c r="D198" t="s">
        <v>26</v>
      </c>
      <c r="E198" s="7">
        <v>45600</v>
      </c>
      <c r="F198" t="s">
        <v>393</v>
      </c>
      <c r="G198">
        <v>22</v>
      </c>
      <c r="H198" t="s">
        <v>27</v>
      </c>
      <c r="I198" t="s">
        <v>16</v>
      </c>
      <c r="J198" t="s">
        <v>16</v>
      </c>
      <c r="K198" t="str">
        <f>VLOOKUP(C198,CheckName!A:B,2,0)</f>
        <v>Emp</v>
      </c>
      <c r="M198">
        <f>DAY(RejectionData[[#This Row],[RejectionDate]])</f>
        <v>4</v>
      </c>
    </row>
    <row r="199" spans="1:13">
      <c r="A199" t="s">
        <v>394</v>
      </c>
      <c r="B199" t="s">
        <v>395</v>
      </c>
      <c r="C199" t="s">
        <v>12</v>
      </c>
      <c r="D199" t="s">
        <v>26</v>
      </c>
      <c r="E199" s="7">
        <v>45597</v>
      </c>
      <c r="F199" t="s">
        <v>148</v>
      </c>
      <c r="G199">
        <v>25</v>
      </c>
      <c r="H199" t="s">
        <v>27</v>
      </c>
      <c r="I199" t="s">
        <v>16</v>
      </c>
      <c r="J199" t="s">
        <v>16</v>
      </c>
      <c r="K199" t="str">
        <f>VLOOKUP(C199,CheckName!A:B,2,0)</f>
        <v>Emp</v>
      </c>
      <c r="M199">
        <f>DAY(RejectionData[[#This Row],[RejectionDate]])</f>
        <v>1</v>
      </c>
    </row>
    <row r="200" spans="1:13">
      <c r="A200" t="s">
        <v>396</v>
      </c>
      <c r="B200" t="s">
        <v>397</v>
      </c>
      <c r="C200" t="s">
        <v>36</v>
      </c>
      <c r="D200" t="s">
        <v>26</v>
      </c>
      <c r="E200" s="7">
        <v>45622</v>
      </c>
      <c r="F200" t="s">
        <v>126</v>
      </c>
      <c r="G200">
        <v>1</v>
      </c>
      <c r="H200" t="s">
        <v>27</v>
      </c>
      <c r="I200" t="s">
        <v>16</v>
      </c>
      <c r="J200" t="s">
        <v>16</v>
      </c>
      <c r="K200" t="str">
        <f>VLOOKUP(C200,CheckName!A:B,2,0)</f>
        <v>Emp</v>
      </c>
      <c r="M200">
        <f>DAY(RejectionData[[#This Row],[RejectionDate]])</f>
        <v>26</v>
      </c>
    </row>
    <row r="201" spans="1:13">
      <c r="A201" t="s">
        <v>306</v>
      </c>
      <c r="B201" t="s">
        <v>398</v>
      </c>
      <c r="C201" t="s">
        <v>54</v>
      </c>
      <c r="D201" t="s">
        <v>26</v>
      </c>
      <c r="E201" s="7">
        <v>45622</v>
      </c>
      <c r="F201" t="s">
        <v>309</v>
      </c>
      <c r="G201">
        <v>1</v>
      </c>
      <c r="H201" t="s">
        <v>27</v>
      </c>
      <c r="I201" t="s">
        <v>16</v>
      </c>
      <c r="J201" t="s">
        <v>16</v>
      </c>
      <c r="K201" t="str">
        <f>VLOOKUP(C201,CheckName!A:B,2,0)</f>
        <v>Edu</v>
      </c>
      <c r="M201">
        <f>DAY(RejectionData[[#This Row],[RejectionDate]])</f>
        <v>26</v>
      </c>
    </row>
    <row r="202" spans="1:13">
      <c r="A202" t="s">
        <v>306</v>
      </c>
      <c r="B202" t="s">
        <v>399</v>
      </c>
      <c r="C202" t="s">
        <v>36</v>
      </c>
      <c r="D202" t="s">
        <v>26</v>
      </c>
      <c r="E202" s="7">
        <v>45622</v>
      </c>
      <c r="F202" t="s">
        <v>126</v>
      </c>
      <c r="G202">
        <v>1</v>
      </c>
      <c r="H202" t="s">
        <v>27</v>
      </c>
      <c r="I202" t="s">
        <v>16</v>
      </c>
      <c r="J202" t="s">
        <v>16</v>
      </c>
      <c r="K202" t="str">
        <f>VLOOKUP(C202,CheckName!A:B,2,0)</f>
        <v>Emp</v>
      </c>
      <c r="M202">
        <f>DAY(RejectionData[[#This Row],[RejectionDate]])</f>
        <v>26</v>
      </c>
    </row>
    <row r="203" spans="1:13">
      <c r="A203" t="s">
        <v>200</v>
      </c>
      <c r="B203" t="s">
        <v>400</v>
      </c>
      <c r="C203" t="s">
        <v>25</v>
      </c>
      <c r="D203" t="s">
        <v>20</v>
      </c>
      <c r="E203" s="7">
        <v>45622</v>
      </c>
      <c r="F203" t="s">
        <v>129</v>
      </c>
      <c r="G203">
        <v>1</v>
      </c>
      <c r="H203" t="s">
        <v>22</v>
      </c>
      <c r="I203" t="s">
        <v>16</v>
      </c>
      <c r="J203" t="s">
        <v>16</v>
      </c>
      <c r="K203" t="str">
        <f>VLOOKUP(C203,CheckName!A:B,2,0)</f>
        <v>Add</v>
      </c>
      <c r="M203">
        <f>DAY(RejectionData[[#This Row],[RejectionDate]])</f>
        <v>26</v>
      </c>
    </row>
    <row r="204" spans="1:13">
      <c r="A204" t="s">
        <v>200</v>
      </c>
      <c r="B204" t="s">
        <v>401</v>
      </c>
      <c r="C204" t="s">
        <v>19</v>
      </c>
      <c r="D204" t="s">
        <v>20</v>
      </c>
      <c r="E204" s="7">
        <v>45622</v>
      </c>
      <c r="F204" t="s">
        <v>129</v>
      </c>
      <c r="G204">
        <v>1</v>
      </c>
      <c r="H204" t="s">
        <v>22</v>
      </c>
      <c r="I204" t="s">
        <v>16</v>
      </c>
      <c r="J204" t="s">
        <v>16</v>
      </c>
      <c r="K204" t="str">
        <f>VLOOKUP(C204,CheckName!A:B,2,0)</f>
        <v>Add</v>
      </c>
      <c r="M204">
        <f>DAY(RejectionData[[#This Row],[RejectionDate]])</f>
        <v>26</v>
      </c>
    </row>
    <row r="205" spans="1:13">
      <c r="A205" t="s">
        <v>402</v>
      </c>
      <c r="B205" t="s">
        <v>403</v>
      </c>
      <c r="C205" t="s">
        <v>36</v>
      </c>
      <c r="D205" t="s">
        <v>26</v>
      </c>
      <c r="E205" s="7">
        <v>45622</v>
      </c>
      <c r="F205" t="s">
        <v>141</v>
      </c>
      <c r="G205">
        <v>1</v>
      </c>
      <c r="H205" t="s">
        <v>27</v>
      </c>
      <c r="I205" t="s">
        <v>16</v>
      </c>
      <c r="J205" t="s">
        <v>16</v>
      </c>
      <c r="K205" t="str">
        <f>VLOOKUP(C205,CheckName!A:B,2,0)</f>
        <v>Emp</v>
      </c>
      <c r="M205">
        <f>DAY(RejectionData[[#This Row],[RejectionDate]])</f>
        <v>26</v>
      </c>
    </row>
    <row r="206" spans="1:13">
      <c r="A206" t="s">
        <v>404</v>
      </c>
      <c r="B206" t="s">
        <v>405</v>
      </c>
      <c r="C206" t="s">
        <v>12</v>
      </c>
      <c r="D206" t="s">
        <v>26</v>
      </c>
      <c r="E206" s="7">
        <v>45622</v>
      </c>
      <c r="F206" t="s">
        <v>115</v>
      </c>
      <c r="G206">
        <v>1</v>
      </c>
      <c r="H206" t="s">
        <v>27</v>
      </c>
      <c r="I206" t="s">
        <v>16</v>
      </c>
      <c r="J206" t="s">
        <v>16</v>
      </c>
      <c r="K206" t="str">
        <f>VLOOKUP(C206,CheckName!A:B,2,0)</f>
        <v>Emp</v>
      </c>
      <c r="M206">
        <f>DAY(RejectionData[[#This Row],[RejectionDate]])</f>
        <v>26</v>
      </c>
    </row>
    <row r="207" spans="1:13">
      <c r="A207" t="s">
        <v>404</v>
      </c>
      <c r="B207" t="s">
        <v>406</v>
      </c>
      <c r="C207" t="s">
        <v>12</v>
      </c>
      <c r="D207" t="s">
        <v>26</v>
      </c>
      <c r="E207" s="7">
        <v>45622</v>
      </c>
      <c r="F207" t="s">
        <v>115</v>
      </c>
      <c r="G207">
        <v>1</v>
      </c>
      <c r="H207" t="s">
        <v>27</v>
      </c>
      <c r="I207" t="s">
        <v>16</v>
      </c>
      <c r="J207" t="s">
        <v>16</v>
      </c>
      <c r="K207" t="str">
        <f>VLOOKUP(C207,CheckName!A:B,2,0)</f>
        <v>Emp</v>
      </c>
      <c r="M207">
        <f>DAY(RejectionData[[#This Row],[RejectionDate]])</f>
        <v>26</v>
      </c>
    </row>
    <row r="208" spans="1:13">
      <c r="A208" t="s">
        <v>407</v>
      </c>
      <c r="B208" t="s">
        <v>408</v>
      </c>
      <c r="C208" t="s">
        <v>12</v>
      </c>
      <c r="D208" t="s">
        <v>26</v>
      </c>
      <c r="E208" s="7">
        <v>45622</v>
      </c>
      <c r="F208" t="s">
        <v>148</v>
      </c>
      <c r="G208">
        <v>1</v>
      </c>
      <c r="H208" t="s">
        <v>27</v>
      </c>
      <c r="I208" t="s">
        <v>16</v>
      </c>
      <c r="J208" t="s">
        <v>16</v>
      </c>
      <c r="K208" t="str">
        <f>VLOOKUP(C208,CheckName!A:B,2,0)</f>
        <v>Emp</v>
      </c>
      <c r="M208">
        <f>DAY(RejectionData[[#This Row],[RejectionDate]])</f>
        <v>26</v>
      </c>
    </row>
    <row r="209" spans="1:13">
      <c r="A209" t="s">
        <v>306</v>
      </c>
      <c r="B209" t="s">
        <v>409</v>
      </c>
      <c r="C209" t="s">
        <v>71</v>
      </c>
      <c r="D209" t="s">
        <v>26</v>
      </c>
      <c r="E209" s="7">
        <v>45622</v>
      </c>
      <c r="F209" t="s">
        <v>118</v>
      </c>
      <c r="G209">
        <v>1</v>
      </c>
      <c r="H209" t="s">
        <v>27</v>
      </c>
      <c r="I209" t="s">
        <v>16</v>
      </c>
      <c r="J209" t="s">
        <v>16</v>
      </c>
      <c r="K209" t="str">
        <f>VLOOKUP(C209,CheckName!A:B,2,0)</f>
        <v>CRC</v>
      </c>
      <c r="M209">
        <f>DAY(RejectionData[[#This Row],[RejectionDate]])</f>
        <v>26</v>
      </c>
    </row>
    <row r="210" spans="1:13">
      <c r="A210" t="s">
        <v>186</v>
      </c>
      <c r="B210" t="s">
        <v>410</v>
      </c>
      <c r="C210" t="s">
        <v>12</v>
      </c>
      <c r="D210" t="s">
        <v>26</v>
      </c>
      <c r="E210" s="7">
        <v>45622</v>
      </c>
      <c r="F210" t="s">
        <v>115</v>
      </c>
      <c r="G210">
        <v>1</v>
      </c>
      <c r="H210" t="s">
        <v>95</v>
      </c>
      <c r="I210" t="s">
        <v>16</v>
      </c>
      <c r="J210" t="s">
        <v>16</v>
      </c>
      <c r="K210" t="str">
        <f>VLOOKUP(C210,CheckName!A:B,2,0)</f>
        <v>Emp</v>
      </c>
      <c r="M210">
        <f>DAY(RejectionData[[#This Row],[RejectionDate]])</f>
        <v>26</v>
      </c>
    </row>
    <row r="211" spans="1:13">
      <c r="A211" t="s">
        <v>47</v>
      </c>
      <c r="B211" t="s">
        <v>411</v>
      </c>
      <c r="C211" t="s">
        <v>56</v>
      </c>
      <c r="D211" t="s">
        <v>13</v>
      </c>
      <c r="E211" s="7">
        <v>45622</v>
      </c>
      <c r="F211" t="s">
        <v>412</v>
      </c>
      <c r="G211">
        <v>1</v>
      </c>
      <c r="H211" t="s">
        <v>15</v>
      </c>
      <c r="I211" t="s">
        <v>16</v>
      </c>
      <c r="J211" t="s">
        <v>16</v>
      </c>
      <c r="K211" t="str">
        <f>VLOOKUP(C211,CheckName!A:B,2,0)</f>
        <v>Special Check</v>
      </c>
      <c r="M211">
        <f>DAY(RejectionData[[#This Row],[RejectionDate]])</f>
        <v>26</v>
      </c>
    </row>
    <row r="212" spans="1:13">
      <c r="A212" t="s">
        <v>413</v>
      </c>
      <c r="B212" t="s">
        <v>414</v>
      </c>
      <c r="C212" t="s">
        <v>12</v>
      </c>
      <c r="D212" t="s">
        <v>26</v>
      </c>
      <c r="E212" s="7">
        <v>45622</v>
      </c>
      <c r="F212" t="s">
        <v>301</v>
      </c>
      <c r="G212">
        <v>1</v>
      </c>
      <c r="H212" t="s">
        <v>22</v>
      </c>
      <c r="I212" t="s">
        <v>16</v>
      </c>
      <c r="J212" t="s">
        <v>16</v>
      </c>
      <c r="K212" t="str">
        <f>VLOOKUP(C212,CheckName!A:B,2,0)</f>
        <v>Emp</v>
      </c>
      <c r="M212">
        <f>DAY(RejectionData[[#This Row],[RejectionDate]])</f>
        <v>26</v>
      </c>
    </row>
    <row r="213" spans="1:13">
      <c r="A213" t="s">
        <v>415</v>
      </c>
      <c r="B213" t="s">
        <v>416</v>
      </c>
      <c r="C213" t="s">
        <v>12</v>
      </c>
      <c r="D213" t="s">
        <v>26</v>
      </c>
      <c r="E213" s="7">
        <v>45622</v>
      </c>
      <c r="F213" t="s">
        <v>110</v>
      </c>
      <c r="G213">
        <v>1</v>
      </c>
      <c r="H213" t="s">
        <v>27</v>
      </c>
      <c r="I213" t="s">
        <v>16</v>
      </c>
      <c r="J213" t="s">
        <v>16</v>
      </c>
      <c r="K213" t="str">
        <f>VLOOKUP(C213,CheckName!A:B,2,0)</f>
        <v>Emp</v>
      </c>
      <c r="M213">
        <f>DAY(RejectionData[[#This Row],[RejectionDate]])</f>
        <v>26</v>
      </c>
    </row>
    <row r="214" spans="1:13">
      <c r="A214" t="s">
        <v>176</v>
      </c>
      <c r="B214" t="s">
        <v>417</v>
      </c>
      <c r="C214" t="s">
        <v>418</v>
      </c>
      <c r="D214" t="s">
        <v>26</v>
      </c>
      <c r="E214" s="7">
        <v>45622</v>
      </c>
      <c r="F214" t="s">
        <v>330</v>
      </c>
      <c r="G214">
        <v>1</v>
      </c>
      <c r="H214" t="s">
        <v>27</v>
      </c>
      <c r="I214" t="s">
        <v>16</v>
      </c>
      <c r="J214" t="s">
        <v>16</v>
      </c>
      <c r="K214" t="str">
        <f>VLOOKUP(C214,CheckName!A:B,2,0)</f>
        <v>Ref</v>
      </c>
      <c r="M214">
        <f>DAY(RejectionData[[#This Row],[RejectionDate]])</f>
        <v>26</v>
      </c>
    </row>
    <row r="215" spans="1:13">
      <c r="A215" t="s">
        <v>419</v>
      </c>
      <c r="B215" t="s">
        <v>420</v>
      </c>
      <c r="C215" t="s">
        <v>106</v>
      </c>
      <c r="D215" t="s">
        <v>26</v>
      </c>
      <c r="E215" s="7">
        <v>45622</v>
      </c>
      <c r="F215" t="s">
        <v>330</v>
      </c>
      <c r="G215">
        <v>1</v>
      </c>
      <c r="H215" t="s">
        <v>27</v>
      </c>
      <c r="I215" t="s">
        <v>16</v>
      </c>
      <c r="J215" t="s">
        <v>16</v>
      </c>
      <c r="K215" t="str">
        <f>VLOOKUP(C215,CheckName!A:B,2,0)</f>
        <v>Ref</v>
      </c>
      <c r="M215">
        <f>DAY(RejectionData[[#This Row],[RejectionDate]])</f>
        <v>26</v>
      </c>
    </row>
    <row r="216" spans="1:13">
      <c r="A216" t="s">
        <v>343</v>
      </c>
      <c r="B216" t="s">
        <v>421</v>
      </c>
      <c r="C216" t="s">
        <v>422</v>
      </c>
      <c r="D216" t="s">
        <v>26</v>
      </c>
      <c r="E216" s="7">
        <v>45622</v>
      </c>
      <c r="F216" t="s">
        <v>330</v>
      </c>
      <c r="G216">
        <v>1</v>
      </c>
      <c r="H216" t="s">
        <v>27</v>
      </c>
      <c r="I216" t="s">
        <v>16</v>
      </c>
      <c r="J216" t="s">
        <v>16</v>
      </c>
      <c r="K216" t="str">
        <f>VLOOKUP(C216,CheckName!A:B,2,0)</f>
        <v>Ref</v>
      </c>
      <c r="M216">
        <f>DAY(RejectionData[[#This Row],[RejectionDate]])</f>
        <v>26</v>
      </c>
    </row>
    <row r="217" spans="1:13">
      <c r="A217" t="s">
        <v>60</v>
      </c>
      <c r="B217" t="s">
        <v>423</v>
      </c>
      <c r="C217" t="s">
        <v>54</v>
      </c>
      <c r="D217" t="s">
        <v>26</v>
      </c>
      <c r="E217" s="7">
        <v>45622</v>
      </c>
      <c r="F217" t="s">
        <v>94</v>
      </c>
      <c r="G217">
        <v>1</v>
      </c>
      <c r="H217" t="s">
        <v>27</v>
      </c>
      <c r="I217" t="s">
        <v>16</v>
      </c>
      <c r="J217" t="s">
        <v>16</v>
      </c>
      <c r="K217" t="str">
        <f>VLOOKUP(C217,CheckName!A:B,2,0)</f>
        <v>Edu</v>
      </c>
      <c r="M217">
        <f>DAY(RejectionData[[#This Row],[RejectionDate]])</f>
        <v>26</v>
      </c>
    </row>
    <row r="218" spans="1:13">
      <c r="A218" t="s">
        <v>211</v>
      </c>
      <c r="B218" t="s">
        <v>424</v>
      </c>
      <c r="C218" t="s">
        <v>12</v>
      </c>
      <c r="D218" t="s">
        <v>26</v>
      </c>
      <c r="E218" s="7">
        <v>45622</v>
      </c>
      <c r="F218" t="s">
        <v>311</v>
      </c>
      <c r="G218">
        <v>1</v>
      </c>
      <c r="H218" t="s">
        <v>425</v>
      </c>
      <c r="I218" t="s">
        <v>16</v>
      </c>
      <c r="J218" t="s">
        <v>16</v>
      </c>
      <c r="K218" t="str">
        <f>VLOOKUP(C218,CheckName!A:B,2,0)</f>
        <v>Emp</v>
      </c>
      <c r="M218">
        <f>DAY(RejectionData[[#This Row],[RejectionDate]])</f>
        <v>26</v>
      </c>
    </row>
    <row r="219" spans="1:13">
      <c r="A219" t="s">
        <v>306</v>
      </c>
      <c r="B219" t="s">
        <v>426</v>
      </c>
      <c r="C219" t="s">
        <v>71</v>
      </c>
      <c r="D219" t="s">
        <v>13</v>
      </c>
      <c r="E219" s="7">
        <v>45622</v>
      </c>
      <c r="F219" t="s">
        <v>427</v>
      </c>
      <c r="G219">
        <v>1</v>
      </c>
      <c r="H219" t="s">
        <v>15</v>
      </c>
      <c r="I219" t="s">
        <v>16</v>
      </c>
      <c r="J219" t="s">
        <v>16</v>
      </c>
      <c r="K219" t="str">
        <f>VLOOKUP(C219,CheckName!A:B,2,0)</f>
        <v>CRC</v>
      </c>
      <c r="M219">
        <f>DAY(RejectionData[[#This Row],[RejectionDate]])</f>
        <v>26</v>
      </c>
    </row>
    <row r="220" spans="1:13">
      <c r="A220" t="s">
        <v>333</v>
      </c>
      <c r="B220" t="s">
        <v>428</v>
      </c>
      <c r="C220" t="s">
        <v>36</v>
      </c>
      <c r="D220" t="s">
        <v>26</v>
      </c>
      <c r="E220" s="7">
        <v>45622</v>
      </c>
      <c r="F220" t="s">
        <v>182</v>
      </c>
      <c r="G220">
        <v>1</v>
      </c>
      <c r="H220" t="s">
        <v>30</v>
      </c>
      <c r="I220" t="s">
        <v>16</v>
      </c>
      <c r="J220" t="s">
        <v>16</v>
      </c>
      <c r="K220" t="str">
        <f>VLOOKUP(C220,CheckName!A:B,2,0)</f>
        <v>Emp</v>
      </c>
      <c r="M220">
        <f>DAY(RejectionData[[#This Row],[RejectionDate]])</f>
        <v>26</v>
      </c>
    </row>
    <row r="221" spans="1:13">
      <c r="A221" t="s">
        <v>429</v>
      </c>
      <c r="B221" t="s">
        <v>430</v>
      </c>
      <c r="C221" t="s">
        <v>36</v>
      </c>
      <c r="D221" t="s">
        <v>26</v>
      </c>
      <c r="E221" s="7">
        <v>45622</v>
      </c>
      <c r="F221" t="s">
        <v>431</v>
      </c>
      <c r="G221">
        <v>1</v>
      </c>
      <c r="H221" t="s">
        <v>27</v>
      </c>
      <c r="I221" t="s">
        <v>16</v>
      </c>
      <c r="J221" t="s">
        <v>16</v>
      </c>
      <c r="K221" t="str">
        <f>VLOOKUP(C221,CheckName!A:B,2,0)</f>
        <v>Emp</v>
      </c>
      <c r="M221">
        <f>DAY(RejectionData[[#This Row],[RejectionDate]])</f>
        <v>26</v>
      </c>
    </row>
    <row r="222" spans="1:13">
      <c r="A222" t="s">
        <v>432</v>
      </c>
      <c r="B222" t="s">
        <v>433</v>
      </c>
      <c r="C222" t="s">
        <v>36</v>
      </c>
      <c r="D222" t="s">
        <v>26</v>
      </c>
      <c r="E222" s="7">
        <v>45622</v>
      </c>
      <c r="F222" t="s">
        <v>83</v>
      </c>
      <c r="G222">
        <v>1</v>
      </c>
      <c r="H222" t="s">
        <v>27</v>
      </c>
      <c r="I222" t="s">
        <v>16</v>
      </c>
      <c r="J222" t="s">
        <v>16</v>
      </c>
      <c r="K222" t="str">
        <f>VLOOKUP(C222,CheckName!A:B,2,0)</f>
        <v>Emp</v>
      </c>
      <c r="M222">
        <f>DAY(RejectionData[[#This Row],[RejectionDate]])</f>
        <v>26</v>
      </c>
    </row>
    <row r="223" spans="1:13">
      <c r="A223" t="s">
        <v>40</v>
      </c>
      <c r="B223" t="s">
        <v>434</v>
      </c>
      <c r="C223" t="s">
        <v>12</v>
      </c>
      <c r="D223" t="s">
        <v>26</v>
      </c>
      <c r="E223" s="7">
        <v>45622</v>
      </c>
      <c r="F223" t="s">
        <v>431</v>
      </c>
      <c r="G223">
        <v>1</v>
      </c>
      <c r="H223" t="s">
        <v>27</v>
      </c>
      <c r="I223" t="s">
        <v>16</v>
      </c>
      <c r="J223" t="s">
        <v>16</v>
      </c>
      <c r="K223" t="str">
        <f>VLOOKUP(C223,CheckName!A:B,2,0)</f>
        <v>Emp</v>
      </c>
      <c r="M223">
        <f>DAY(RejectionData[[#This Row],[RejectionDate]])</f>
        <v>26</v>
      </c>
    </row>
    <row r="224" spans="1:13">
      <c r="A224" t="s">
        <v>299</v>
      </c>
      <c r="B224" t="s">
        <v>435</v>
      </c>
      <c r="C224" t="s">
        <v>12</v>
      </c>
      <c r="D224" t="s">
        <v>26</v>
      </c>
      <c r="E224" s="7">
        <v>45622</v>
      </c>
      <c r="F224" t="s">
        <v>277</v>
      </c>
      <c r="G224">
        <v>1</v>
      </c>
      <c r="H224" t="s">
        <v>22</v>
      </c>
      <c r="I224" t="s">
        <v>16</v>
      </c>
      <c r="J224" t="s">
        <v>16</v>
      </c>
      <c r="K224" t="str">
        <f>VLOOKUP(C224,CheckName!A:B,2,0)</f>
        <v>Emp</v>
      </c>
      <c r="M224">
        <f>DAY(RejectionData[[#This Row],[RejectionDate]])</f>
        <v>26</v>
      </c>
    </row>
    <row r="225" spans="1:13">
      <c r="A225" t="s">
        <v>40</v>
      </c>
      <c r="B225" t="s">
        <v>436</v>
      </c>
      <c r="C225" t="s">
        <v>12</v>
      </c>
      <c r="D225" t="s">
        <v>26</v>
      </c>
      <c r="E225" s="7">
        <v>45622</v>
      </c>
      <c r="F225" t="s">
        <v>431</v>
      </c>
      <c r="G225">
        <v>1</v>
      </c>
      <c r="H225" t="s">
        <v>27</v>
      </c>
      <c r="I225" t="s">
        <v>16</v>
      </c>
      <c r="J225" t="s">
        <v>16</v>
      </c>
      <c r="K225" t="str">
        <f>VLOOKUP(C225,CheckName!A:B,2,0)</f>
        <v>Emp</v>
      </c>
      <c r="M225">
        <f>DAY(RejectionData[[#This Row],[RejectionDate]])</f>
        <v>26</v>
      </c>
    </row>
    <row r="226" spans="1:13">
      <c r="A226" t="s">
        <v>73</v>
      </c>
      <c r="B226" t="s">
        <v>437</v>
      </c>
      <c r="C226" t="s">
        <v>12</v>
      </c>
      <c r="D226" t="s">
        <v>26</v>
      </c>
      <c r="E226" s="7">
        <v>45622</v>
      </c>
      <c r="F226" t="s">
        <v>196</v>
      </c>
      <c r="G226">
        <v>1</v>
      </c>
      <c r="H226" t="s">
        <v>27</v>
      </c>
      <c r="I226" t="s">
        <v>16</v>
      </c>
      <c r="J226" t="s">
        <v>16</v>
      </c>
      <c r="K226" t="str">
        <f>VLOOKUP(C226,CheckName!A:B,2,0)</f>
        <v>Emp</v>
      </c>
      <c r="M226">
        <f>DAY(RejectionData[[#This Row],[RejectionDate]])</f>
        <v>26</v>
      </c>
    </row>
    <row r="227" spans="1:13">
      <c r="A227" t="s">
        <v>292</v>
      </c>
      <c r="B227" t="s">
        <v>438</v>
      </c>
      <c r="C227" t="s">
        <v>439</v>
      </c>
      <c r="D227" t="s">
        <v>26</v>
      </c>
      <c r="E227" s="7">
        <v>45622</v>
      </c>
      <c r="F227" t="s">
        <v>188</v>
      </c>
      <c r="G227">
        <v>1</v>
      </c>
      <c r="H227" t="s">
        <v>27</v>
      </c>
      <c r="I227" t="s">
        <v>16</v>
      </c>
      <c r="J227" t="s">
        <v>16</v>
      </c>
      <c r="K227" t="str">
        <f>VLOOKUP(C227,CheckName!A:B,2,0)</f>
        <v>Edu</v>
      </c>
      <c r="M227">
        <f>DAY(RejectionData[[#This Row],[RejectionDate]])</f>
        <v>26</v>
      </c>
    </row>
    <row r="228" spans="1:13">
      <c r="A228" t="s">
        <v>142</v>
      </c>
      <c r="B228" t="s">
        <v>440</v>
      </c>
      <c r="C228" t="s">
        <v>12</v>
      </c>
      <c r="D228" t="s">
        <v>26</v>
      </c>
      <c r="E228" s="7">
        <v>45622</v>
      </c>
      <c r="F228" t="s">
        <v>191</v>
      </c>
      <c r="G228">
        <v>1</v>
      </c>
      <c r="H228" t="s">
        <v>27</v>
      </c>
      <c r="I228" t="s">
        <v>16</v>
      </c>
      <c r="J228" t="s">
        <v>16</v>
      </c>
      <c r="K228" t="str">
        <f>VLOOKUP(C228,CheckName!A:B,2,0)</f>
        <v>Emp</v>
      </c>
      <c r="M228">
        <f>DAY(RejectionData[[#This Row],[RejectionDate]])</f>
        <v>26</v>
      </c>
    </row>
    <row r="229" spans="1:13">
      <c r="A229" t="s">
        <v>139</v>
      </c>
      <c r="B229" t="s">
        <v>441</v>
      </c>
      <c r="C229" t="s">
        <v>54</v>
      </c>
      <c r="D229" t="s">
        <v>13</v>
      </c>
      <c r="E229" s="7">
        <v>45622</v>
      </c>
      <c r="F229" t="s">
        <v>72</v>
      </c>
      <c r="G229">
        <v>1</v>
      </c>
      <c r="H229" t="s">
        <v>15</v>
      </c>
      <c r="I229" t="s">
        <v>16</v>
      </c>
      <c r="J229" t="s">
        <v>16</v>
      </c>
      <c r="K229" t="str">
        <f>VLOOKUP(C229,CheckName!A:B,2,0)</f>
        <v>Edu</v>
      </c>
      <c r="M229">
        <f>DAY(RejectionData[[#This Row],[RejectionDate]])</f>
        <v>26</v>
      </c>
    </row>
    <row r="230" spans="1:13">
      <c r="A230" t="s">
        <v>45</v>
      </c>
      <c r="B230" t="s">
        <v>442</v>
      </c>
      <c r="C230" t="s">
        <v>19</v>
      </c>
      <c r="D230" t="s">
        <v>20</v>
      </c>
      <c r="E230" s="7">
        <v>45622</v>
      </c>
      <c r="F230" t="s">
        <v>62</v>
      </c>
      <c r="G230">
        <v>1</v>
      </c>
      <c r="H230" t="s">
        <v>22</v>
      </c>
      <c r="I230" t="s">
        <v>16</v>
      </c>
      <c r="J230" t="s">
        <v>16</v>
      </c>
      <c r="K230" t="str">
        <f>VLOOKUP(C230,CheckName!A:B,2,0)</f>
        <v>Add</v>
      </c>
      <c r="M230">
        <f>DAY(RejectionData[[#This Row],[RejectionDate]])</f>
        <v>26</v>
      </c>
    </row>
    <row r="231" spans="1:13">
      <c r="A231" t="s">
        <v>84</v>
      </c>
      <c r="B231" t="s">
        <v>443</v>
      </c>
      <c r="C231" t="s">
        <v>54</v>
      </c>
      <c r="D231" t="s">
        <v>26</v>
      </c>
      <c r="E231" s="7">
        <v>45622</v>
      </c>
      <c r="F231" t="s">
        <v>444</v>
      </c>
      <c r="G231">
        <v>1</v>
      </c>
      <c r="H231" t="s">
        <v>27</v>
      </c>
      <c r="I231" t="s">
        <v>16</v>
      </c>
      <c r="J231" t="s">
        <v>16</v>
      </c>
      <c r="K231" t="str">
        <f>VLOOKUP(C231,CheckName!A:B,2,0)</f>
        <v>Edu</v>
      </c>
      <c r="M231">
        <f>DAY(RejectionData[[#This Row],[RejectionDate]])</f>
        <v>26</v>
      </c>
    </row>
    <row r="232" spans="1:13">
      <c r="A232" t="s">
        <v>45</v>
      </c>
      <c r="B232" t="s">
        <v>445</v>
      </c>
      <c r="C232" t="s">
        <v>19</v>
      </c>
      <c r="D232" t="s">
        <v>26</v>
      </c>
      <c r="E232" s="7">
        <v>45622</v>
      </c>
      <c r="F232" t="s">
        <v>66</v>
      </c>
      <c r="G232">
        <v>1</v>
      </c>
      <c r="H232" t="s">
        <v>27</v>
      </c>
      <c r="I232" t="s">
        <v>16</v>
      </c>
      <c r="J232" t="s">
        <v>16</v>
      </c>
      <c r="K232" t="str">
        <f>VLOOKUP(C232,CheckName!A:B,2,0)</f>
        <v>Add</v>
      </c>
      <c r="M232">
        <f>DAY(RejectionData[[#This Row],[RejectionDate]])</f>
        <v>26</v>
      </c>
    </row>
    <row r="233" spans="1:13">
      <c r="A233" t="s">
        <v>446</v>
      </c>
      <c r="B233" t="s">
        <v>447</v>
      </c>
      <c r="C233" t="s">
        <v>19</v>
      </c>
      <c r="D233" t="s">
        <v>20</v>
      </c>
      <c r="E233" s="7">
        <v>45622</v>
      </c>
      <c r="F233" t="s">
        <v>62</v>
      </c>
      <c r="G233">
        <v>1</v>
      </c>
      <c r="H233" t="s">
        <v>22</v>
      </c>
      <c r="I233" t="s">
        <v>16</v>
      </c>
      <c r="J233" t="s">
        <v>16</v>
      </c>
      <c r="K233" t="str">
        <f>VLOOKUP(C233,CheckName!A:B,2,0)</f>
        <v>Add</v>
      </c>
      <c r="M233">
        <f>DAY(RejectionData[[#This Row],[RejectionDate]])</f>
        <v>26</v>
      </c>
    </row>
    <row r="234" spans="1:13">
      <c r="A234" t="s">
        <v>228</v>
      </c>
      <c r="B234" t="s">
        <v>448</v>
      </c>
      <c r="C234" t="s">
        <v>19</v>
      </c>
      <c r="D234" t="s">
        <v>26</v>
      </c>
      <c r="E234" s="7">
        <v>45622</v>
      </c>
      <c r="F234" t="s">
        <v>66</v>
      </c>
      <c r="G234">
        <v>1</v>
      </c>
      <c r="H234" t="s">
        <v>27</v>
      </c>
      <c r="I234" t="s">
        <v>16</v>
      </c>
      <c r="J234" t="s">
        <v>16</v>
      </c>
      <c r="K234" t="str">
        <f>VLOOKUP(C234,CheckName!A:B,2,0)</f>
        <v>Add</v>
      </c>
      <c r="M234">
        <f>DAY(RejectionData[[#This Row],[RejectionDate]])</f>
        <v>26</v>
      </c>
    </row>
    <row r="235" spans="1:13">
      <c r="A235" t="s">
        <v>200</v>
      </c>
      <c r="B235" t="s">
        <v>449</v>
      </c>
      <c r="C235" t="s">
        <v>25</v>
      </c>
      <c r="D235" t="s">
        <v>20</v>
      </c>
      <c r="E235" s="7">
        <v>45622</v>
      </c>
      <c r="F235" t="s">
        <v>62</v>
      </c>
      <c r="G235">
        <v>1</v>
      </c>
      <c r="H235" t="s">
        <v>22</v>
      </c>
      <c r="I235" t="s">
        <v>16</v>
      </c>
      <c r="J235" t="s">
        <v>16</v>
      </c>
      <c r="K235" t="str">
        <f>VLOOKUP(C235,CheckName!A:B,2,0)</f>
        <v>Add</v>
      </c>
      <c r="M235">
        <f>DAY(RejectionData[[#This Row],[RejectionDate]])</f>
        <v>26</v>
      </c>
    </row>
    <row r="236" spans="1:13">
      <c r="A236" t="s">
        <v>200</v>
      </c>
      <c r="B236" t="s">
        <v>450</v>
      </c>
      <c r="C236" t="s">
        <v>25</v>
      </c>
      <c r="D236" t="s">
        <v>20</v>
      </c>
      <c r="E236" s="7">
        <v>45622</v>
      </c>
      <c r="F236" t="s">
        <v>62</v>
      </c>
      <c r="G236">
        <v>1</v>
      </c>
      <c r="H236" t="s">
        <v>22</v>
      </c>
      <c r="I236" t="s">
        <v>16</v>
      </c>
      <c r="J236" t="s">
        <v>16</v>
      </c>
      <c r="K236" t="str">
        <f>VLOOKUP(C236,CheckName!A:B,2,0)</f>
        <v>Add</v>
      </c>
      <c r="M236">
        <f>DAY(RejectionData[[#This Row],[RejectionDate]])</f>
        <v>26</v>
      </c>
    </row>
    <row r="237" spans="1:13">
      <c r="A237" t="s">
        <v>165</v>
      </c>
      <c r="B237" t="s">
        <v>451</v>
      </c>
      <c r="C237" t="s">
        <v>19</v>
      </c>
      <c r="D237" t="s">
        <v>20</v>
      </c>
      <c r="E237" s="7">
        <v>45622</v>
      </c>
      <c r="F237" t="s">
        <v>62</v>
      </c>
      <c r="G237">
        <v>1</v>
      </c>
      <c r="H237" t="s">
        <v>22</v>
      </c>
      <c r="I237" t="s">
        <v>16</v>
      </c>
      <c r="J237" t="s">
        <v>16</v>
      </c>
      <c r="K237" t="str">
        <f>VLOOKUP(C237,CheckName!A:B,2,0)</f>
        <v>Add</v>
      </c>
      <c r="M237">
        <f>DAY(RejectionData[[#This Row],[RejectionDate]])</f>
        <v>26</v>
      </c>
    </row>
    <row r="238" spans="1:13">
      <c r="A238" t="s">
        <v>452</v>
      </c>
      <c r="B238" t="s">
        <v>453</v>
      </c>
      <c r="C238" t="s">
        <v>25</v>
      </c>
      <c r="D238" t="s">
        <v>20</v>
      </c>
      <c r="E238" s="7">
        <v>45622</v>
      </c>
      <c r="F238" t="s">
        <v>62</v>
      </c>
      <c r="G238">
        <v>1</v>
      </c>
      <c r="H238" t="s">
        <v>22</v>
      </c>
      <c r="I238" t="s">
        <v>16</v>
      </c>
      <c r="J238" t="s">
        <v>16</v>
      </c>
      <c r="K238" t="str">
        <f>VLOOKUP(C238,CheckName!A:B,2,0)</f>
        <v>Add</v>
      </c>
      <c r="M238">
        <f>DAY(RejectionData[[#This Row],[RejectionDate]])</f>
        <v>26</v>
      </c>
    </row>
    <row r="239" spans="1:13">
      <c r="A239" t="s">
        <v>245</v>
      </c>
      <c r="B239" t="s">
        <v>454</v>
      </c>
      <c r="C239" t="s">
        <v>54</v>
      </c>
      <c r="D239" t="s">
        <v>26</v>
      </c>
      <c r="E239" s="7">
        <v>45622</v>
      </c>
      <c r="F239" t="s">
        <v>63</v>
      </c>
      <c r="G239">
        <v>1</v>
      </c>
      <c r="H239" t="s">
        <v>22</v>
      </c>
      <c r="I239" t="s">
        <v>16</v>
      </c>
      <c r="J239" t="s">
        <v>16</v>
      </c>
      <c r="K239" t="str">
        <f>VLOOKUP(C239,CheckName!A:B,2,0)</f>
        <v>Edu</v>
      </c>
      <c r="M239">
        <f>DAY(RejectionData[[#This Row],[RejectionDate]])</f>
        <v>26</v>
      </c>
    </row>
    <row r="240" spans="1:13">
      <c r="A240" t="s">
        <v>86</v>
      </c>
      <c r="B240" t="s">
        <v>455</v>
      </c>
      <c r="C240" t="s">
        <v>36</v>
      </c>
      <c r="D240" t="s">
        <v>26</v>
      </c>
      <c r="E240" s="7">
        <v>45622</v>
      </c>
      <c r="F240" t="s">
        <v>222</v>
      </c>
      <c r="G240">
        <v>1</v>
      </c>
      <c r="H240" t="s">
        <v>27</v>
      </c>
      <c r="I240" t="s">
        <v>16</v>
      </c>
      <c r="J240" t="s">
        <v>16</v>
      </c>
      <c r="K240" t="str">
        <f>VLOOKUP(C240,CheckName!A:B,2,0)</f>
        <v>Emp</v>
      </c>
      <c r="M240">
        <f>DAY(RejectionData[[#This Row],[RejectionDate]])</f>
        <v>26</v>
      </c>
    </row>
    <row r="241" spans="1:13">
      <c r="A241" t="s">
        <v>456</v>
      </c>
      <c r="B241" t="s">
        <v>457</v>
      </c>
      <c r="C241" t="s">
        <v>54</v>
      </c>
      <c r="D241" t="s">
        <v>26</v>
      </c>
      <c r="E241" s="7">
        <v>45622</v>
      </c>
      <c r="F241" t="s">
        <v>458</v>
      </c>
      <c r="G241">
        <v>1</v>
      </c>
      <c r="H241" t="s">
        <v>130</v>
      </c>
      <c r="I241" t="s">
        <v>16</v>
      </c>
      <c r="J241" t="s">
        <v>16</v>
      </c>
      <c r="K241" t="str">
        <f>VLOOKUP(C241,CheckName!A:B,2,0)</f>
        <v>Edu</v>
      </c>
      <c r="M241">
        <f>DAY(RejectionData[[#This Row],[RejectionDate]])</f>
        <v>26</v>
      </c>
    </row>
    <row r="242" spans="1:13">
      <c r="A242" t="s">
        <v>459</v>
      </c>
      <c r="B242" t="s">
        <v>460</v>
      </c>
      <c r="C242" t="s">
        <v>54</v>
      </c>
      <c r="D242" t="s">
        <v>26</v>
      </c>
      <c r="E242" s="7">
        <v>45622</v>
      </c>
      <c r="F242" t="s">
        <v>458</v>
      </c>
      <c r="G242">
        <v>1</v>
      </c>
      <c r="H242" t="s">
        <v>27</v>
      </c>
      <c r="I242" t="s">
        <v>16</v>
      </c>
      <c r="J242" t="s">
        <v>16</v>
      </c>
      <c r="K242" t="str">
        <f>VLOOKUP(C242,CheckName!A:B,2,0)</f>
        <v>Edu</v>
      </c>
      <c r="M242">
        <f>DAY(RejectionData[[#This Row],[RejectionDate]])</f>
        <v>26</v>
      </c>
    </row>
    <row r="243" spans="1:13">
      <c r="A243" t="s">
        <v>461</v>
      </c>
      <c r="B243" t="s">
        <v>462</v>
      </c>
      <c r="C243" t="s">
        <v>19</v>
      </c>
      <c r="D243" t="s">
        <v>20</v>
      </c>
      <c r="E243" s="7">
        <v>45622</v>
      </c>
      <c r="F243" t="s">
        <v>21</v>
      </c>
      <c r="G243">
        <v>1</v>
      </c>
      <c r="H243" t="s">
        <v>27</v>
      </c>
      <c r="I243" t="s">
        <v>16</v>
      </c>
      <c r="J243" t="s">
        <v>16</v>
      </c>
      <c r="K243" t="str">
        <f>VLOOKUP(C243,CheckName!A:B,2,0)</f>
        <v>Add</v>
      </c>
      <c r="M243">
        <f>DAY(RejectionData[[#This Row],[RejectionDate]])</f>
        <v>26</v>
      </c>
    </row>
    <row r="244" spans="1:13">
      <c r="A244" t="s">
        <v>165</v>
      </c>
      <c r="B244" t="s">
        <v>463</v>
      </c>
      <c r="C244" t="s">
        <v>19</v>
      </c>
      <c r="D244" t="s">
        <v>20</v>
      </c>
      <c r="E244" s="7">
        <v>45622</v>
      </c>
      <c r="F244" t="s">
        <v>21</v>
      </c>
      <c r="G244">
        <v>1</v>
      </c>
      <c r="H244" t="s">
        <v>22</v>
      </c>
      <c r="I244" t="s">
        <v>16</v>
      </c>
      <c r="J244" t="s">
        <v>16</v>
      </c>
      <c r="K244" t="str">
        <f>VLOOKUP(C244,CheckName!A:B,2,0)</f>
        <v>Add</v>
      </c>
      <c r="M244">
        <f>DAY(RejectionData[[#This Row],[RejectionDate]])</f>
        <v>26</v>
      </c>
    </row>
    <row r="245" spans="1:13">
      <c r="A245" t="s">
        <v>160</v>
      </c>
      <c r="B245" t="s">
        <v>464</v>
      </c>
      <c r="C245" t="s">
        <v>19</v>
      </c>
      <c r="D245" t="s">
        <v>20</v>
      </c>
      <c r="E245" s="7">
        <v>45622</v>
      </c>
      <c r="F245" t="s">
        <v>21</v>
      </c>
      <c r="G245">
        <v>1</v>
      </c>
      <c r="H245" t="s">
        <v>130</v>
      </c>
      <c r="I245" t="s">
        <v>16</v>
      </c>
      <c r="J245" t="s">
        <v>16</v>
      </c>
      <c r="K245" t="str">
        <f>VLOOKUP(C245,CheckName!A:B,2,0)</f>
        <v>Add</v>
      </c>
      <c r="M245">
        <f>DAY(RejectionData[[#This Row],[RejectionDate]])</f>
        <v>26</v>
      </c>
    </row>
    <row r="246" spans="1:13">
      <c r="A246" t="s">
        <v>465</v>
      </c>
      <c r="B246" t="s">
        <v>466</v>
      </c>
      <c r="C246" t="s">
        <v>467</v>
      </c>
      <c r="D246" t="s">
        <v>26</v>
      </c>
      <c r="E246" s="7">
        <v>45622</v>
      </c>
      <c r="F246" t="s">
        <v>236</v>
      </c>
      <c r="G246">
        <v>1</v>
      </c>
      <c r="H246" t="s">
        <v>27</v>
      </c>
      <c r="I246" t="s">
        <v>16</v>
      </c>
      <c r="J246" t="s">
        <v>16</v>
      </c>
      <c r="K246" t="str">
        <f>VLOOKUP(C246,CheckName!A:B,2,0)</f>
        <v>Special Check</v>
      </c>
      <c r="M246">
        <f>DAY(RejectionData[[#This Row],[RejectionDate]])</f>
        <v>26</v>
      </c>
    </row>
    <row r="247" spans="1:13">
      <c r="A247" t="s">
        <v>160</v>
      </c>
      <c r="B247" t="s">
        <v>468</v>
      </c>
      <c r="C247" t="s">
        <v>19</v>
      </c>
      <c r="D247" t="s">
        <v>26</v>
      </c>
      <c r="E247" s="7">
        <v>45622</v>
      </c>
      <c r="F247" t="s">
        <v>273</v>
      </c>
      <c r="G247">
        <v>1</v>
      </c>
      <c r="H247" t="s">
        <v>27</v>
      </c>
      <c r="I247" t="s">
        <v>16</v>
      </c>
      <c r="J247" t="s">
        <v>16</v>
      </c>
      <c r="K247" t="str">
        <f>VLOOKUP(C247,CheckName!A:B,2,0)</f>
        <v>Add</v>
      </c>
      <c r="M247">
        <f>DAY(RejectionData[[#This Row],[RejectionDate]])</f>
        <v>26</v>
      </c>
    </row>
    <row r="248" spans="1:13">
      <c r="A248" t="s">
        <v>469</v>
      </c>
      <c r="B248" t="s">
        <v>470</v>
      </c>
      <c r="C248" t="s">
        <v>12</v>
      </c>
      <c r="D248" t="s">
        <v>13</v>
      </c>
      <c r="E248" s="7">
        <v>45623</v>
      </c>
      <c r="F248" t="s">
        <v>14</v>
      </c>
      <c r="G248">
        <v>0</v>
      </c>
      <c r="H248" t="s">
        <v>15</v>
      </c>
      <c r="I248" t="s">
        <v>16</v>
      </c>
      <c r="J248" t="s">
        <v>16</v>
      </c>
      <c r="K248" t="str">
        <f>VLOOKUP(C248,CheckName!A:B,2,0)</f>
        <v>Emp</v>
      </c>
      <c r="M248">
        <f>DAY(RejectionData[[#This Row],[RejectionDate]])</f>
        <v>27</v>
      </c>
    </row>
    <row r="249" spans="1:13">
      <c r="A249" t="s">
        <v>471</v>
      </c>
      <c r="B249" t="s">
        <v>472</v>
      </c>
      <c r="C249" t="s">
        <v>71</v>
      </c>
      <c r="D249" t="s">
        <v>13</v>
      </c>
      <c r="E249" s="7">
        <v>45623</v>
      </c>
      <c r="F249" t="s">
        <v>14</v>
      </c>
      <c r="G249">
        <v>0</v>
      </c>
      <c r="H249" t="s">
        <v>15</v>
      </c>
      <c r="I249" t="s">
        <v>16</v>
      </c>
      <c r="J249" t="s">
        <v>16</v>
      </c>
      <c r="K249" t="str">
        <f>VLOOKUP(C249,CheckName!A:B,2,0)</f>
        <v>CRC</v>
      </c>
      <c r="M249">
        <f>DAY(RejectionData[[#This Row],[RejectionDate]])</f>
        <v>27</v>
      </c>
    </row>
    <row r="250" spans="1:13">
      <c r="A250" t="s">
        <v>47</v>
      </c>
      <c r="B250" t="s">
        <v>473</v>
      </c>
      <c r="C250" t="s">
        <v>56</v>
      </c>
      <c r="D250" t="s">
        <v>13</v>
      </c>
      <c r="E250" s="7">
        <v>45623</v>
      </c>
      <c r="F250" t="s">
        <v>14</v>
      </c>
      <c r="G250">
        <v>0</v>
      </c>
      <c r="H250" t="s">
        <v>15</v>
      </c>
      <c r="I250" t="s">
        <v>16</v>
      </c>
      <c r="J250" t="s">
        <v>16</v>
      </c>
      <c r="K250" t="str">
        <f>VLOOKUP(C250,CheckName!A:B,2,0)</f>
        <v>Special Check</v>
      </c>
      <c r="M250">
        <f>DAY(RejectionData[[#This Row],[RejectionDate]])</f>
        <v>27</v>
      </c>
    </row>
    <row r="251" spans="1:13">
      <c r="A251" t="s">
        <v>242</v>
      </c>
      <c r="B251" t="s">
        <v>474</v>
      </c>
      <c r="C251" t="s">
        <v>25</v>
      </c>
      <c r="D251" t="s">
        <v>20</v>
      </c>
      <c r="E251" s="7">
        <v>45623</v>
      </c>
      <c r="F251" t="s">
        <v>21</v>
      </c>
      <c r="G251">
        <v>0</v>
      </c>
      <c r="H251" t="s">
        <v>22</v>
      </c>
      <c r="I251" t="s">
        <v>16</v>
      </c>
      <c r="J251" t="s">
        <v>16</v>
      </c>
      <c r="K251" t="str">
        <f>VLOOKUP(C251,CheckName!A:B,2,0)</f>
        <v>Add</v>
      </c>
      <c r="M251">
        <f>DAY(RejectionData[[#This Row],[RejectionDate]])</f>
        <v>27</v>
      </c>
    </row>
    <row r="252" spans="1:13">
      <c r="A252" t="s">
        <v>242</v>
      </c>
      <c r="B252" t="s">
        <v>475</v>
      </c>
      <c r="C252" t="s">
        <v>19</v>
      </c>
      <c r="D252" t="s">
        <v>20</v>
      </c>
      <c r="E252" s="7">
        <v>45623</v>
      </c>
      <c r="F252" t="s">
        <v>21</v>
      </c>
      <c r="G252">
        <v>0</v>
      </c>
      <c r="H252" t="s">
        <v>22</v>
      </c>
      <c r="I252" t="s">
        <v>16</v>
      </c>
      <c r="J252" t="s">
        <v>16</v>
      </c>
      <c r="K252" t="str">
        <f>VLOOKUP(C252,CheckName!A:B,2,0)</f>
        <v>Add</v>
      </c>
      <c r="M252">
        <f>DAY(RejectionData[[#This Row],[RejectionDate]])</f>
        <v>27</v>
      </c>
    </row>
    <row r="253" spans="1:13">
      <c r="A253" t="s">
        <v>160</v>
      </c>
      <c r="B253" t="s">
        <v>476</v>
      </c>
      <c r="C253" t="s">
        <v>19</v>
      </c>
      <c r="D253" t="s">
        <v>20</v>
      </c>
      <c r="E253" s="7">
        <v>45623</v>
      </c>
      <c r="F253" t="s">
        <v>21</v>
      </c>
      <c r="G253">
        <v>0</v>
      </c>
      <c r="H253" t="s">
        <v>27</v>
      </c>
      <c r="I253" t="s">
        <v>16</v>
      </c>
      <c r="J253" t="s">
        <v>16</v>
      </c>
      <c r="K253" t="str">
        <f>VLOOKUP(C253,CheckName!A:B,2,0)</f>
        <v>Add</v>
      </c>
      <c r="M253">
        <f>DAY(RejectionData[[#This Row],[RejectionDate]])</f>
        <v>27</v>
      </c>
    </row>
    <row r="254" spans="1:13">
      <c r="A254" t="s">
        <v>419</v>
      </c>
      <c r="B254" t="s">
        <v>477</v>
      </c>
      <c r="C254" t="s">
        <v>19</v>
      </c>
      <c r="D254" t="s">
        <v>20</v>
      </c>
      <c r="E254" s="7">
        <v>45623</v>
      </c>
      <c r="F254" t="s">
        <v>21</v>
      </c>
      <c r="G254">
        <v>0</v>
      </c>
      <c r="H254" t="s">
        <v>22</v>
      </c>
      <c r="I254" t="s">
        <v>16</v>
      </c>
      <c r="J254" t="s">
        <v>16</v>
      </c>
      <c r="K254" t="str">
        <f>VLOOKUP(C254,CheckName!A:B,2,0)</f>
        <v>Add</v>
      </c>
      <c r="M254">
        <f>DAY(RejectionData[[#This Row],[RejectionDate]])</f>
        <v>27</v>
      </c>
    </row>
    <row r="255" spans="1:13">
      <c r="A255" t="s">
        <v>419</v>
      </c>
      <c r="B255" t="s">
        <v>478</v>
      </c>
      <c r="C255" t="s">
        <v>19</v>
      </c>
      <c r="D255" t="s">
        <v>20</v>
      </c>
      <c r="E255" s="7">
        <v>45623</v>
      </c>
      <c r="F255" t="s">
        <v>21</v>
      </c>
      <c r="G255">
        <v>0</v>
      </c>
      <c r="H255" t="s">
        <v>27</v>
      </c>
      <c r="I255" t="s">
        <v>16</v>
      </c>
      <c r="J255" t="s">
        <v>16</v>
      </c>
      <c r="K255" t="str">
        <f>VLOOKUP(C255,CheckName!A:B,2,0)</f>
        <v>Add</v>
      </c>
      <c r="M255">
        <f>DAY(RejectionData[[#This Row],[RejectionDate]])</f>
        <v>27</v>
      </c>
    </row>
    <row r="256" spans="1:13">
      <c r="A256" t="s">
        <v>165</v>
      </c>
      <c r="B256" t="s">
        <v>479</v>
      </c>
      <c r="C256" t="s">
        <v>19</v>
      </c>
      <c r="D256" t="s">
        <v>20</v>
      </c>
      <c r="E256" s="7">
        <v>45623</v>
      </c>
      <c r="F256" t="s">
        <v>21</v>
      </c>
      <c r="G256">
        <v>0</v>
      </c>
      <c r="H256" t="s">
        <v>30</v>
      </c>
      <c r="I256" t="s">
        <v>16</v>
      </c>
      <c r="J256" t="s">
        <v>16</v>
      </c>
      <c r="K256" t="str">
        <f>VLOOKUP(C256,CheckName!A:B,2,0)</f>
        <v>Add</v>
      </c>
      <c r="M256">
        <f>DAY(RejectionData[[#This Row],[RejectionDate]])</f>
        <v>27</v>
      </c>
    </row>
    <row r="257" spans="1:13">
      <c r="A257" t="s">
        <v>320</v>
      </c>
      <c r="B257" t="s">
        <v>480</v>
      </c>
      <c r="C257" t="s">
        <v>481</v>
      </c>
      <c r="D257" t="s">
        <v>26</v>
      </c>
      <c r="E257" s="7">
        <v>45623</v>
      </c>
      <c r="F257" t="s">
        <v>325</v>
      </c>
      <c r="G257">
        <v>0</v>
      </c>
      <c r="H257" t="s">
        <v>27</v>
      </c>
      <c r="I257" t="s">
        <v>16</v>
      </c>
      <c r="J257" t="s">
        <v>16</v>
      </c>
      <c r="K257" t="str">
        <f>VLOOKUP(C257,CheckName!A:B,2,0)</f>
        <v>Emp</v>
      </c>
      <c r="M257">
        <f>DAY(RejectionData[[#This Row],[RejectionDate]])</f>
        <v>27</v>
      </c>
    </row>
    <row r="258" spans="1:13">
      <c r="A258" t="s">
        <v>170</v>
      </c>
      <c r="B258" t="s">
        <v>482</v>
      </c>
      <c r="C258" t="s">
        <v>36</v>
      </c>
      <c r="D258" t="s">
        <v>38</v>
      </c>
      <c r="E258" s="7">
        <v>45623</v>
      </c>
      <c r="F258" t="s">
        <v>39</v>
      </c>
      <c r="G258">
        <v>0</v>
      </c>
      <c r="H258" t="s">
        <v>42</v>
      </c>
      <c r="I258" t="s">
        <v>16</v>
      </c>
      <c r="J258" t="s">
        <v>16</v>
      </c>
      <c r="K258" t="str">
        <f>VLOOKUP(C258,CheckName!A:B,2,0)</f>
        <v>Emp</v>
      </c>
      <c r="M258">
        <f>DAY(RejectionData[[#This Row],[RejectionDate]])</f>
        <v>27</v>
      </c>
    </row>
    <row r="259" spans="1:13">
      <c r="A259" t="s">
        <v>45</v>
      </c>
      <c r="B259" t="s">
        <v>483</v>
      </c>
      <c r="C259" t="s">
        <v>36</v>
      </c>
      <c r="D259" t="s">
        <v>38</v>
      </c>
      <c r="E259" s="7">
        <v>45623</v>
      </c>
      <c r="F259" t="s">
        <v>39</v>
      </c>
      <c r="G259">
        <v>0</v>
      </c>
      <c r="H259" t="s">
        <v>42</v>
      </c>
      <c r="I259" t="s">
        <v>16</v>
      </c>
      <c r="J259" t="s">
        <v>16</v>
      </c>
      <c r="K259" t="str">
        <f>VLOOKUP(C259,CheckName!A:B,2,0)</f>
        <v>Emp</v>
      </c>
      <c r="M259">
        <f>DAY(RejectionData[[#This Row],[RejectionDate]])</f>
        <v>27</v>
      </c>
    </row>
    <row r="260" spans="1:13">
      <c r="A260" t="s">
        <v>45</v>
      </c>
      <c r="B260" t="s">
        <v>484</v>
      </c>
      <c r="C260" t="s">
        <v>125</v>
      </c>
      <c r="D260" t="s">
        <v>38</v>
      </c>
      <c r="E260" s="7">
        <v>45623</v>
      </c>
      <c r="F260" t="s">
        <v>39</v>
      </c>
      <c r="G260">
        <v>0</v>
      </c>
      <c r="H260" t="s">
        <v>42</v>
      </c>
      <c r="I260" t="s">
        <v>16</v>
      </c>
      <c r="J260" t="s">
        <v>16</v>
      </c>
      <c r="K260" t="str">
        <f>VLOOKUP(C260,CheckName!A:B,2,0)</f>
        <v>Emp</v>
      </c>
      <c r="M260">
        <f>DAY(RejectionData[[#This Row],[RejectionDate]])</f>
        <v>27</v>
      </c>
    </row>
    <row r="261" spans="1:13">
      <c r="A261" t="s">
        <v>45</v>
      </c>
      <c r="B261" t="s">
        <v>485</v>
      </c>
      <c r="C261" t="s">
        <v>125</v>
      </c>
      <c r="D261" t="s">
        <v>38</v>
      </c>
      <c r="E261" s="7">
        <v>45623</v>
      </c>
      <c r="F261" t="s">
        <v>39</v>
      </c>
      <c r="G261">
        <v>0</v>
      </c>
      <c r="H261" t="s">
        <v>42</v>
      </c>
      <c r="I261" t="s">
        <v>16</v>
      </c>
      <c r="J261" t="s">
        <v>16</v>
      </c>
      <c r="K261" t="str">
        <f>VLOOKUP(C261,CheckName!A:B,2,0)</f>
        <v>Emp</v>
      </c>
      <c r="M261">
        <f>DAY(RejectionData[[#This Row],[RejectionDate]])</f>
        <v>27</v>
      </c>
    </row>
    <row r="262" spans="1:13">
      <c r="A262" t="s">
        <v>84</v>
      </c>
      <c r="B262" t="s">
        <v>111</v>
      </c>
      <c r="C262" t="s">
        <v>12</v>
      </c>
      <c r="D262" t="s">
        <v>38</v>
      </c>
      <c r="E262" s="7">
        <v>45623</v>
      </c>
      <c r="F262" t="s">
        <v>39</v>
      </c>
      <c r="G262">
        <v>0</v>
      </c>
      <c r="H262" t="s">
        <v>22</v>
      </c>
      <c r="I262" t="s">
        <v>16</v>
      </c>
      <c r="J262" t="s">
        <v>16</v>
      </c>
      <c r="K262" t="str">
        <f>VLOOKUP(C262,CheckName!A:B,2,0)</f>
        <v>Emp</v>
      </c>
      <c r="M262">
        <f>DAY(RejectionData[[#This Row],[RejectionDate]])</f>
        <v>27</v>
      </c>
    </row>
    <row r="263" spans="1:13">
      <c r="A263" t="s">
        <v>60</v>
      </c>
      <c r="B263" t="s">
        <v>486</v>
      </c>
      <c r="C263" t="s">
        <v>36</v>
      </c>
      <c r="D263" t="s">
        <v>38</v>
      </c>
      <c r="E263" s="7">
        <v>45623</v>
      </c>
      <c r="F263" t="s">
        <v>39</v>
      </c>
      <c r="G263">
        <v>0</v>
      </c>
      <c r="H263" t="s">
        <v>42</v>
      </c>
      <c r="I263" t="s">
        <v>16</v>
      </c>
      <c r="J263" t="s">
        <v>16</v>
      </c>
      <c r="K263" t="str">
        <f>VLOOKUP(C263,CheckName!A:B,2,0)</f>
        <v>Emp</v>
      </c>
      <c r="M263">
        <f>DAY(RejectionData[[#This Row],[RejectionDate]])</f>
        <v>27</v>
      </c>
    </row>
    <row r="264" spans="1:13">
      <c r="A264" t="s">
        <v>487</v>
      </c>
      <c r="B264" t="s">
        <v>488</v>
      </c>
      <c r="C264" t="s">
        <v>54</v>
      </c>
      <c r="D264" t="s">
        <v>51</v>
      </c>
      <c r="E264" s="7">
        <v>45623</v>
      </c>
      <c r="F264" t="s">
        <v>52</v>
      </c>
      <c r="G264">
        <v>0</v>
      </c>
      <c r="H264" t="s">
        <v>53</v>
      </c>
      <c r="I264" t="s">
        <v>16</v>
      </c>
      <c r="J264" t="s">
        <v>16</v>
      </c>
      <c r="K264" t="str">
        <f>VLOOKUP(C264,CheckName!A:B,2,0)</f>
        <v>Edu</v>
      </c>
      <c r="M264">
        <f>DAY(RejectionData[[#This Row],[RejectionDate]])</f>
        <v>27</v>
      </c>
    </row>
    <row r="265" spans="1:13">
      <c r="A265" t="s">
        <v>487</v>
      </c>
      <c r="B265" t="s">
        <v>489</v>
      </c>
      <c r="C265" t="s">
        <v>106</v>
      </c>
      <c r="D265" t="s">
        <v>51</v>
      </c>
      <c r="E265" s="7">
        <v>45623</v>
      </c>
      <c r="F265" t="s">
        <v>52</v>
      </c>
      <c r="G265">
        <v>0</v>
      </c>
      <c r="H265" t="s">
        <v>53</v>
      </c>
      <c r="I265" t="s">
        <v>16</v>
      </c>
      <c r="J265" t="s">
        <v>16</v>
      </c>
      <c r="K265" t="str">
        <f>VLOOKUP(C265,CheckName!A:B,2,0)</f>
        <v>Ref</v>
      </c>
      <c r="M265">
        <f>DAY(RejectionData[[#This Row],[RejectionDate]])</f>
        <v>27</v>
      </c>
    </row>
    <row r="266" spans="1:13">
      <c r="A266" t="s">
        <v>320</v>
      </c>
      <c r="B266" t="s">
        <v>490</v>
      </c>
      <c r="C266" t="s">
        <v>491</v>
      </c>
      <c r="D266" t="s">
        <v>13</v>
      </c>
      <c r="E266" s="7">
        <v>45623</v>
      </c>
      <c r="F266" t="s">
        <v>492</v>
      </c>
      <c r="G266">
        <v>0</v>
      </c>
      <c r="H266" t="s">
        <v>15</v>
      </c>
      <c r="I266" t="s">
        <v>16</v>
      </c>
      <c r="J266" t="s">
        <v>16</v>
      </c>
      <c r="K266" t="str">
        <f>VLOOKUP(C266,CheckName!A:B,2,0)</f>
        <v>CRC</v>
      </c>
      <c r="M266">
        <f>DAY(RejectionData[[#This Row],[RejectionDate]])</f>
        <v>27</v>
      </c>
    </row>
    <row r="267" spans="1:13">
      <c r="A267" t="s">
        <v>419</v>
      </c>
      <c r="B267" t="s">
        <v>493</v>
      </c>
      <c r="C267" t="s">
        <v>36</v>
      </c>
      <c r="D267" t="s">
        <v>26</v>
      </c>
      <c r="E267" s="7">
        <v>45623</v>
      </c>
      <c r="F267" t="s">
        <v>222</v>
      </c>
      <c r="G267">
        <v>0</v>
      </c>
      <c r="H267" t="s">
        <v>27</v>
      </c>
      <c r="I267" t="s">
        <v>16</v>
      </c>
      <c r="J267" t="s">
        <v>16</v>
      </c>
      <c r="K267" t="str">
        <f>VLOOKUP(C267,CheckName!A:B,2,0)</f>
        <v>Emp</v>
      </c>
      <c r="M267">
        <f>DAY(RejectionData[[#This Row],[RejectionDate]])</f>
        <v>27</v>
      </c>
    </row>
    <row r="268" spans="1:13">
      <c r="A268" t="s">
        <v>45</v>
      </c>
      <c r="B268" t="s">
        <v>494</v>
      </c>
      <c r="C268" t="s">
        <v>125</v>
      </c>
      <c r="D268" t="s">
        <v>26</v>
      </c>
      <c r="E268" s="7">
        <v>45623</v>
      </c>
      <c r="F268" t="s">
        <v>224</v>
      </c>
      <c r="G268">
        <v>0</v>
      </c>
      <c r="H268" t="s">
        <v>27</v>
      </c>
      <c r="I268" t="s">
        <v>16</v>
      </c>
      <c r="J268" t="s">
        <v>16</v>
      </c>
      <c r="K268" t="str">
        <f>VLOOKUP(C268,CheckName!A:B,2,0)</f>
        <v>Emp</v>
      </c>
      <c r="M268">
        <f>DAY(RejectionData[[#This Row],[RejectionDate]])</f>
        <v>27</v>
      </c>
    </row>
    <row r="269" spans="1:13">
      <c r="A269" t="s">
        <v>495</v>
      </c>
      <c r="B269" t="s">
        <v>496</v>
      </c>
      <c r="C269" t="s">
        <v>25</v>
      </c>
      <c r="D269" t="s">
        <v>26</v>
      </c>
      <c r="E269" s="7">
        <v>45623</v>
      </c>
      <c r="F269" t="s">
        <v>66</v>
      </c>
      <c r="G269">
        <v>0</v>
      </c>
      <c r="H269" t="s">
        <v>27</v>
      </c>
      <c r="I269" t="s">
        <v>16</v>
      </c>
      <c r="J269" t="s">
        <v>16</v>
      </c>
      <c r="K269" t="str">
        <f>VLOOKUP(C269,CheckName!A:B,2,0)</f>
        <v>Add</v>
      </c>
      <c r="M269">
        <f>DAY(RejectionData[[#This Row],[RejectionDate]])</f>
        <v>27</v>
      </c>
    </row>
    <row r="270" spans="1:13">
      <c r="A270" t="s">
        <v>45</v>
      </c>
      <c r="B270" t="s">
        <v>497</v>
      </c>
      <c r="C270" t="s">
        <v>25</v>
      </c>
      <c r="D270" t="s">
        <v>26</v>
      </c>
      <c r="E270" s="7">
        <v>45623</v>
      </c>
      <c r="F270" t="s">
        <v>66</v>
      </c>
      <c r="G270">
        <v>0</v>
      </c>
      <c r="H270" t="s">
        <v>27</v>
      </c>
      <c r="I270" t="s">
        <v>16</v>
      </c>
      <c r="J270" t="s">
        <v>16</v>
      </c>
      <c r="K270" t="str">
        <f>VLOOKUP(C270,CheckName!A:B,2,0)</f>
        <v>Add</v>
      </c>
      <c r="M270">
        <f>DAY(RejectionData[[#This Row],[RejectionDate]])</f>
        <v>27</v>
      </c>
    </row>
    <row r="271" spans="1:13">
      <c r="A271" t="s">
        <v>45</v>
      </c>
      <c r="B271" t="s">
        <v>498</v>
      </c>
      <c r="C271" t="s">
        <v>19</v>
      </c>
      <c r="D271" t="s">
        <v>26</v>
      </c>
      <c r="E271" s="7">
        <v>45623</v>
      </c>
      <c r="F271" t="s">
        <v>66</v>
      </c>
      <c r="G271">
        <v>0</v>
      </c>
      <c r="H271" t="s">
        <v>27</v>
      </c>
      <c r="I271" t="s">
        <v>16</v>
      </c>
      <c r="J271" t="s">
        <v>16</v>
      </c>
      <c r="K271" t="str">
        <f>VLOOKUP(C271,CheckName!A:B,2,0)</f>
        <v>Add</v>
      </c>
      <c r="M271">
        <f>DAY(RejectionData[[#This Row],[RejectionDate]])</f>
        <v>27</v>
      </c>
    </row>
    <row r="272" spans="1:13">
      <c r="A272" t="s">
        <v>499</v>
      </c>
      <c r="B272" t="s">
        <v>500</v>
      </c>
      <c r="C272" t="s">
        <v>54</v>
      </c>
      <c r="D272" t="s">
        <v>26</v>
      </c>
      <c r="E272" s="7">
        <v>45623</v>
      </c>
      <c r="F272" t="s">
        <v>63</v>
      </c>
      <c r="G272">
        <v>0</v>
      </c>
      <c r="H272" t="s">
        <v>22</v>
      </c>
      <c r="I272" t="s">
        <v>16</v>
      </c>
      <c r="J272" t="s">
        <v>16</v>
      </c>
      <c r="K272" t="str">
        <f>VLOOKUP(C272,CheckName!A:B,2,0)</f>
        <v>Edu</v>
      </c>
      <c r="M272">
        <f>DAY(RejectionData[[#This Row],[RejectionDate]])</f>
        <v>27</v>
      </c>
    </row>
    <row r="273" spans="1:13">
      <c r="A273" t="s">
        <v>501</v>
      </c>
      <c r="B273" t="s">
        <v>502</v>
      </c>
      <c r="C273" t="s">
        <v>71</v>
      </c>
      <c r="D273" t="s">
        <v>51</v>
      </c>
      <c r="E273" s="7">
        <v>45623</v>
      </c>
      <c r="F273" t="s">
        <v>194</v>
      </c>
      <c r="G273">
        <v>0</v>
      </c>
      <c r="H273" t="s">
        <v>53</v>
      </c>
      <c r="I273" t="s">
        <v>16</v>
      </c>
      <c r="J273" t="s">
        <v>16</v>
      </c>
      <c r="K273" t="str">
        <f>VLOOKUP(C273,CheckName!A:B,2,0)</f>
        <v>CRC</v>
      </c>
      <c r="M273">
        <f>DAY(RejectionData[[#This Row],[RejectionDate]])</f>
        <v>27</v>
      </c>
    </row>
    <row r="274" spans="1:13">
      <c r="A274" t="s">
        <v>501</v>
      </c>
      <c r="B274" t="s">
        <v>502</v>
      </c>
      <c r="C274" t="s">
        <v>12</v>
      </c>
      <c r="D274" t="s">
        <v>51</v>
      </c>
      <c r="E274" s="7">
        <v>45623</v>
      </c>
      <c r="F274" t="s">
        <v>194</v>
      </c>
      <c r="G274">
        <v>0</v>
      </c>
      <c r="H274" t="s">
        <v>53</v>
      </c>
      <c r="I274" t="s">
        <v>16</v>
      </c>
      <c r="J274" t="s">
        <v>16</v>
      </c>
      <c r="K274" t="str">
        <f>VLOOKUP(C274,CheckName!A:B,2,0)</f>
        <v>Emp</v>
      </c>
      <c r="M274">
        <f>DAY(RejectionData[[#This Row],[RejectionDate]])</f>
        <v>27</v>
      </c>
    </row>
    <row r="275" spans="1:13">
      <c r="A275" t="s">
        <v>501</v>
      </c>
      <c r="B275" t="s">
        <v>502</v>
      </c>
      <c r="C275" t="s">
        <v>36</v>
      </c>
      <c r="D275" t="s">
        <v>51</v>
      </c>
      <c r="E275" s="7">
        <v>45623</v>
      </c>
      <c r="F275" t="s">
        <v>194</v>
      </c>
      <c r="G275">
        <v>0</v>
      </c>
      <c r="H275" t="s">
        <v>53</v>
      </c>
      <c r="I275" t="s">
        <v>16</v>
      </c>
      <c r="J275" t="s">
        <v>16</v>
      </c>
      <c r="K275" t="str">
        <f>VLOOKUP(C275,CheckName!A:B,2,0)</f>
        <v>Emp</v>
      </c>
      <c r="M275">
        <f>DAY(RejectionData[[#This Row],[RejectionDate]])</f>
        <v>27</v>
      </c>
    </row>
    <row r="276" spans="1:13">
      <c r="A276" t="s">
        <v>69</v>
      </c>
      <c r="B276" t="s">
        <v>503</v>
      </c>
      <c r="C276" t="s">
        <v>54</v>
      </c>
      <c r="D276" t="s">
        <v>26</v>
      </c>
      <c r="E276" s="7">
        <v>45623</v>
      </c>
      <c r="F276" t="s">
        <v>504</v>
      </c>
      <c r="G276">
        <v>0</v>
      </c>
      <c r="H276" t="s">
        <v>505</v>
      </c>
      <c r="I276" t="s">
        <v>16</v>
      </c>
      <c r="J276" t="s">
        <v>16</v>
      </c>
      <c r="K276" t="str">
        <f>VLOOKUP(C276,CheckName!A:B,2,0)</f>
        <v>Edu</v>
      </c>
      <c r="M276">
        <f>DAY(RejectionData[[#This Row],[RejectionDate]])</f>
        <v>27</v>
      </c>
    </row>
    <row r="277" spans="1:13">
      <c r="A277" t="s">
        <v>69</v>
      </c>
      <c r="B277" t="s">
        <v>506</v>
      </c>
      <c r="C277" t="s">
        <v>54</v>
      </c>
      <c r="D277" t="s">
        <v>26</v>
      </c>
      <c r="E277" s="7">
        <v>45623</v>
      </c>
      <c r="F277" t="s">
        <v>504</v>
      </c>
      <c r="G277">
        <v>0</v>
      </c>
      <c r="H277" t="s">
        <v>22</v>
      </c>
      <c r="I277" t="s">
        <v>16</v>
      </c>
      <c r="J277" t="s">
        <v>16</v>
      </c>
      <c r="K277" t="str">
        <f>VLOOKUP(C277,CheckName!A:B,2,0)</f>
        <v>Edu</v>
      </c>
      <c r="M277">
        <f>DAY(RejectionData[[#This Row],[RejectionDate]])</f>
        <v>27</v>
      </c>
    </row>
    <row r="278" spans="1:13">
      <c r="A278" t="s">
        <v>45</v>
      </c>
      <c r="B278" t="s">
        <v>507</v>
      </c>
      <c r="C278" t="s">
        <v>25</v>
      </c>
      <c r="D278" t="s">
        <v>20</v>
      </c>
      <c r="E278" s="7">
        <v>45623</v>
      </c>
      <c r="F278" t="s">
        <v>76</v>
      </c>
      <c r="G278">
        <v>0</v>
      </c>
      <c r="H278" t="s">
        <v>15</v>
      </c>
      <c r="I278" t="s">
        <v>16</v>
      </c>
      <c r="J278" t="s">
        <v>16</v>
      </c>
      <c r="K278" t="str">
        <f>VLOOKUP(C278,CheckName!A:B,2,0)</f>
        <v>Add</v>
      </c>
      <c r="M278">
        <f>DAY(RejectionData[[#This Row],[RejectionDate]])</f>
        <v>27</v>
      </c>
    </row>
    <row r="279" spans="1:13">
      <c r="A279" t="s">
        <v>281</v>
      </c>
      <c r="B279" t="s">
        <v>508</v>
      </c>
      <c r="C279" t="s">
        <v>12</v>
      </c>
      <c r="D279" t="s">
        <v>51</v>
      </c>
      <c r="E279" s="7">
        <v>45623</v>
      </c>
      <c r="F279" t="s">
        <v>509</v>
      </c>
      <c r="G279">
        <v>0</v>
      </c>
      <c r="H279" t="s">
        <v>53</v>
      </c>
      <c r="I279" t="s">
        <v>16</v>
      </c>
      <c r="J279" t="s">
        <v>16</v>
      </c>
      <c r="K279" t="str">
        <f>VLOOKUP(C279,CheckName!A:B,2,0)</f>
        <v>Emp</v>
      </c>
      <c r="M279">
        <f>DAY(RejectionData[[#This Row],[RejectionDate]])</f>
        <v>27</v>
      </c>
    </row>
    <row r="280" spans="1:13">
      <c r="A280" t="s">
        <v>510</v>
      </c>
      <c r="B280" t="s">
        <v>511</v>
      </c>
      <c r="C280" t="s">
        <v>56</v>
      </c>
      <c r="D280" t="s">
        <v>51</v>
      </c>
      <c r="E280" s="7">
        <v>45623</v>
      </c>
      <c r="F280" t="s">
        <v>509</v>
      </c>
      <c r="G280">
        <v>0</v>
      </c>
      <c r="H280" t="s">
        <v>53</v>
      </c>
      <c r="I280" t="s">
        <v>16</v>
      </c>
      <c r="J280" t="s">
        <v>16</v>
      </c>
      <c r="K280" t="str">
        <f>VLOOKUP(C280,CheckName!A:B,2,0)</f>
        <v>Special Check</v>
      </c>
      <c r="M280">
        <f>DAY(RejectionData[[#This Row],[RejectionDate]])</f>
        <v>27</v>
      </c>
    </row>
    <row r="281" spans="1:13">
      <c r="A281" t="s">
        <v>510</v>
      </c>
      <c r="B281" t="s">
        <v>511</v>
      </c>
      <c r="C281" t="s">
        <v>54</v>
      </c>
      <c r="D281" t="s">
        <v>51</v>
      </c>
      <c r="E281" s="7">
        <v>45623</v>
      </c>
      <c r="F281" t="s">
        <v>509</v>
      </c>
      <c r="G281">
        <v>0</v>
      </c>
      <c r="H281" t="s">
        <v>53</v>
      </c>
      <c r="I281" t="s">
        <v>16</v>
      </c>
      <c r="J281" t="s">
        <v>16</v>
      </c>
      <c r="K281" t="str">
        <f>VLOOKUP(C281,CheckName!A:B,2,0)</f>
        <v>Edu</v>
      </c>
      <c r="M281">
        <f>DAY(RejectionData[[#This Row],[RejectionDate]])</f>
        <v>27</v>
      </c>
    </row>
    <row r="282" spans="1:13">
      <c r="A282" t="s">
        <v>43</v>
      </c>
      <c r="B282" t="s">
        <v>512</v>
      </c>
      <c r="C282" t="s">
        <v>12</v>
      </c>
      <c r="D282" t="s">
        <v>26</v>
      </c>
      <c r="E282" s="7">
        <v>45623</v>
      </c>
      <c r="F282" t="s">
        <v>184</v>
      </c>
      <c r="G282">
        <v>0</v>
      </c>
      <c r="H282" t="s">
        <v>27</v>
      </c>
      <c r="I282" t="s">
        <v>16</v>
      </c>
      <c r="J282" t="s">
        <v>16</v>
      </c>
      <c r="K282" t="str">
        <f>VLOOKUP(C282,CheckName!A:B,2,0)</f>
        <v>Emp</v>
      </c>
      <c r="M282">
        <f>DAY(RejectionData[[#This Row],[RejectionDate]])</f>
        <v>27</v>
      </c>
    </row>
    <row r="283" spans="1:13">
      <c r="A283" t="s">
        <v>160</v>
      </c>
      <c r="B283" t="s">
        <v>513</v>
      </c>
      <c r="C283" t="s">
        <v>36</v>
      </c>
      <c r="D283" t="s">
        <v>26</v>
      </c>
      <c r="E283" s="7">
        <v>45623</v>
      </c>
      <c r="F283" t="s">
        <v>83</v>
      </c>
      <c r="G283">
        <v>0</v>
      </c>
      <c r="H283" t="s">
        <v>27</v>
      </c>
      <c r="I283" t="s">
        <v>16</v>
      </c>
      <c r="J283" t="s">
        <v>16</v>
      </c>
      <c r="K283" t="str">
        <f>VLOOKUP(C283,CheckName!A:B,2,0)</f>
        <v>Emp</v>
      </c>
      <c r="M283">
        <f>DAY(RejectionData[[#This Row],[RejectionDate]])</f>
        <v>27</v>
      </c>
    </row>
    <row r="284" spans="1:13">
      <c r="A284" t="s">
        <v>142</v>
      </c>
      <c r="B284" t="s">
        <v>514</v>
      </c>
      <c r="C284" t="s">
        <v>12</v>
      </c>
      <c r="D284" t="s">
        <v>26</v>
      </c>
      <c r="E284" s="7">
        <v>45623</v>
      </c>
      <c r="F284" t="s">
        <v>83</v>
      </c>
      <c r="G284">
        <v>0</v>
      </c>
      <c r="H284" t="s">
        <v>22</v>
      </c>
      <c r="I284" t="s">
        <v>16</v>
      </c>
      <c r="J284" t="s">
        <v>16</v>
      </c>
      <c r="K284" t="str">
        <f>VLOOKUP(C284,CheckName!A:B,2,0)</f>
        <v>Emp</v>
      </c>
      <c r="M284">
        <f>DAY(RejectionData[[#This Row],[RejectionDate]])</f>
        <v>27</v>
      </c>
    </row>
    <row r="285" spans="1:13">
      <c r="A285" t="s">
        <v>100</v>
      </c>
      <c r="B285" t="s">
        <v>515</v>
      </c>
      <c r="C285" t="s">
        <v>516</v>
      </c>
      <c r="D285" t="s">
        <v>26</v>
      </c>
      <c r="E285" s="7">
        <v>45623</v>
      </c>
      <c r="F285" t="s">
        <v>380</v>
      </c>
      <c r="G285">
        <v>0</v>
      </c>
      <c r="H285" t="s">
        <v>27</v>
      </c>
      <c r="I285" t="s">
        <v>16</v>
      </c>
      <c r="J285" t="s">
        <v>16</v>
      </c>
      <c r="K285" t="str">
        <f>VLOOKUP(C285,CheckName!A:B,2,0)</f>
        <v>Emp</v>
      </c>
      <c r="M285">
        <f>DAY(RejectionData[[#This Row],[RejectionDate]])</f>
        <v>27</v>
      </c>
    </row>
    <row r="286" spans="1:13">
      <c r="A286" t="s">
        <v>517</v>
      </c>
      <c r="B286" t="s">
        <v>518</v>
      </c>
      <c r="C286" t="s">
        <v>125</v>
      </c>
      <c r="D286" t="s">
        <v>26</v>
      </c>
      <c r="E286" s="7">
        <v>45623</v>
      </c>
      <c r="F286" t="s">
        <v>182</v>
      </c>
      <c r="G286">
        <v>0</v>
      </c>
      <c r="H286" t="s">
        <v>27</v>
      </c>
      <c r="I286" t="s">
        <v>16</v>
      </c>
      <c r="J286" t="s">
        <v>16</v>
      </c>
      <c r="K286" t="str">
        <f>VLOOKUP(C286,CheckName!A:B,2,0)</f>
        <v>Emp</v>
      </c>
      <c r="M286">
        <f>DAY(RejectionData[[#This Row],[RejectionDate]])</f>
        <v>27</v>
      </c>
    </row>
    <row r="287" spans="1:13">
      <c r="A287" t="s">
        <v>519</v>
      </c>
      <c r="B287" t="s">
        <v>520</v>
      </c>
      <c r="C287" t="s">
        <v>12</v>
      </c>
      <c r="D287" t="s">
        <v>26</v>
      </c>
      <c r="E287" s="7">
        <v>45623</v>
      </c>
      <c r="F287" t="s">
        <v>182</v>
      </c>
      <c r="G287">
        <v>0</v>
      </c>
      <c r="H287" t="s">
        <v>130</v>
      </c>
      <c r="I287" t="s">
        <v>16</v>
      </c>
      <c r="J287" t="s">
        <v>16</v>
      </c>
      <c r="K287" t="str">
        <f>VLOOKUP(C287,CheckName!A:B,2,0)</f>
        <v>Emp</v>
      </c>
      <c r="M287">
        <f>DAY(RejectionData[[#This Row],[RejectionDate]])</f>
        <v>27</v>
      </c>
    </row>
    <row r="288" spans="1:13">
      <c r="A288" t="s">
        <v>45</v>
      </c>
      <c r="B288" t="s">
        <v>521</v>
      </c>
      <c r="C288" t="s">
        <v>36</v>
      </c>
      <c r="D288" t="s">
        <v>26</v>
      </c>
      <c r="E288" s="7">
        <v>45623</v>
      </c>
      <c r="F288" t="s">
        <v>184</v>
      </c>
      <c r="G288">
        <v>0</v>
      </c>
      <c r="H288" t="s">
        <v>27</v>
      </c>
      <c r="I288" t="s">
        <v>16</v>
      </c>
      <c r="J288" t="s">
        <v>16</v>
      </c>
      <c r="K288" t="str">
        <f>VLOOKUP(C288,CheckName!A:B,2,0)</f>
        <v>Emp</v>
      </c>
      <c r="M288">
        <f>DAY(RejectionData[[#This Row],[RejectionDate]])</f>
        <v>27</v>
      </c>
    </row>
    <row r="289" spans="1:13">
      <c r="A289" t="s">
        <v>45</v>
      </c>
      <c r="B289" t="s">
        <v>522</v>
      </c>
      <c r="C289" t="s">
        <v>36</v>
      </c>
      <c r="D289" t="s">
        <v>26</v>
      </c>
      <c r="E289" s="7">
        <v>45623</v>
      </c>
      <c r="F289" t="s">
        <v>184</v>
      </c>
      <c r="G289">
        <v>0</v>
      </c>
      <c r="H289" t="s">
        <v>27</v>
      </c>
      <c r="I289" t="s">
        <v>16</v>
      </c>
      <c r="J289" t="s">
        <v>16</v>
      </c>
      <c r="K289" t="str">
        <f>VLOOKUP(C289,CheckName!A:B,2,0)</f>
        <v>Emp</v>
      </c>
      <c r="M289">
        <f>DAY(RejectionData[[#This Row],[RejectionDate]])</f>
        <v>27</v>
      </c>
    </row>
    <row r="290" spans="1:13">
      <c r="A290" t="s">
        <v>523</v>
      </c>
      <c r="B290" t="s">
        <v>524</v>
      </c>
      <c r="C290" t="s">
        <v>12</v>
      </c>
      <c r="D290" t="s">
        <v>26</v>
      </c>
      <c r="E290" s="7">
        <v>45623</v>
      </c>
      <c r="F290" t="s">
        <v>380</v>
      </c>
      <c r="G290">
        <v>0</v>
      </c>
      <c r="H290" t="s">
        <v>27</v>
      </c>
      <c r="I290" t="s">
        <v>16</v>
      </c>
      <c r="J290" t="s">
        <v>16</v>
      </c>
      <c r="K290" t="str">
        <f>VLOOKUP(C290,CheckName!A:B,2,0)</f>
        <v>Emp</v>
      </c>
      <c r="M290">
        <f>DAY(RejectionData[[#This Row],[RejectionDate]])</f>
        <v>27</v>
      </c>
    </row>
    <row r="291" spans="1:13">
      <c r="A291" t="s">
        <v>525</v>
      </c>
      <c r="B291" t="s">
        <v>526</v>
      </c>
      <c r="C291" t="s">
        <v>12</v>
      </c>
      <c r="D291" t="s">
        <v>26</v>
      </c>
      <c r="E291" s="7">
        <v>45623</v>
      </c>
      <c r="F291" t="s">
        <v>184</v>
      </c>
      <c r="G291">
        <v>0</v>
      </c>
      <c r="H291" t="s">
        <v>27</v>
      </c>
      <c r="I291" t="s">
        <v>16</v>
      </c>
      <c r="J291" t="s">
        <v>16</v>
      </c>
      <c r="K291" t="str">
        <f>VLOOKUP(C291,CheckName!A:B,2,0)</f>
        <v>Emp</v>
      </c>
      <c r="M291">
        <f>DAY(RejectionData[[#This Row],[RejectionDate]])</f>
        <v>27</v>
      </c>
    </row>
    <row r="292" spans="1:13">
      <c r="A292" t="s">
        <v>211</v>
      </c>
      <c r="B292" t="s">
        <v>527</v>
      </c>
      <c r="C292" t="s">
        <v>12</v>
      </c>
      <c r="D292" t="s">
        <v>26</v>
      </c>
      <c r="E292" s="7">
        <v>45623</v>
      </c>
      <c r="F292" t="s">
        <v>179</v>
      </c>
      <c r="G292">
        <v>0</v>
      </c>
      <c r="H292" t="s">
        <v>22</v>
      </c>
      <c r="I292" t="s">
        <v>16</v>
      </c>
      <c r="J292" t="s">
        <v>16</v>
      </c>
      <c r="K292" t="str">
        <f>VLOOKUP(C292,CheckName!A:B,2,0)</f>
        <v>Emp</v>
      </c>
      <c r="M292">
        <f>DAY(RejectionData[[#This Row],[RejectionDate]])</f>
        <v>27</v>
      </c>
    </row>
    <row r="293" spans="1:13">
      <c r="A293" t="s">
        <v>176</v>
      </c>
      <c r="B293" t="s">
        <v>528</v>
      </c>
      <c r="C293" t="s">
        <v>529</v>
      </c>
      <c r="D293" t="s">
        <v>13</v>
      </c>
      <c r="E293" s="7">
        <v>45623</v>
      </c>
      <c r="F293" t="s">
        <v>530</v>
      </c>
      <c r="G293">
        <v>0</v>
      </c>
      <c r="H293" t="s">
        <v>15</v>
      </c>
      <c r="I293" t="s">
        <v>16</v>
      </c>
      <c r="J293" t="s">
        <v>16</v>
      </c>
      <c r="K293" t="str">
        <f>VLOOKUP(C293,CheckName!A:B,2,0)</f>
        <v>Special Check</v>
      </c>
      <c r="M293">
        <f>DAY(RejectionData[[#This Row],[RejectionDate]])</f>
        <v>27</v>
      </c>
    </row>
    <row r="294" spans="1:13">
      <c r="A294" t="s">
        <v>176</v>
      </c>
      <c r="B294" t="s">
        <v>528</v>
      </c>
      <c r="C294" t="s">
        <v>531</v>
      </c>
      <c r="D294" t="s">
        <v>13</v>
      </c>
      <c r="E294" s="7">
        <v>45623</v>
      </c>
      <c r="F294" t="s">
        <v>530</v>
      </c>
      <c r="G294">
        <v>0</v>
      </c>
      <c r="H294" t="s">
        <v>15</v>
      </c>
      <c r="I294" t="s">
        <v>16</v>
      </c>
      <c r="J294" t="s">
        <v>16</v>
      </c>
      <c r="K294" t="str">
        <f>VLOOKUP(C294,CheckName!A:B,2,0)</f>
        <v>Special Check</v>
      </c>
      <c r="M294">
        <f>DAY(RejectionData[[#This Row],[RejectionDate]])</f>
        <v>27</v>
      </c>
    </row>
    <row r="295" spans="1:13">
      <c r="A295" t="s">
        <v>306</v>
      </c>
      <c r="B295" t="s">
        <v>532</v>
      </c>
      <c r="C295" t="s">
        <v>533</v>
      </c>
      <c r="D295" t="s">
        <v>13</v>
      </c>
      <c r="E295" s="7">
        <v>45623</v>
      </c>
      <c r="F295" t="s">
        <v>427</v>
      </c>
      <c r="G295">
        <v>0</v>
      </c>
      <c r="H295" t="s">
        <v>15</v>
      </c>
      <c r="I295" t="s">
        <v>16</v>
      </c>
      <c r="J295" t="s">
        <v>16</v>
      </c>
      <c r="K295" t="str">
        <f>VLOOKUP(C295,CheckName!A:B,2,0)</f>
        <v>CRC</v>
      </c>
      <c r="M295">
        <f>DAY(RejectionData[[#This Row],[RejectionDate]])</f>
        <v>27</v>
      </c>
    </row>
    <row r="296" spans="1:13">
      <c r="A296" t="s">
        <v>81</v>
      </c>
      <c r="B296" t="s">
        <v>534</v>
      </c>
      <c r="C296" t="s">
        <v>54</v>
      </c>
      <c r="D296" t="s">
        <v>26</v>
      </c>
      <c r="E296" s="7">
        <v>45623</v>
      </c>
      <c r="F296" t="s">
        <v>535</v>
      </c>
      <c r="G296">
        <v>0</v>
      </c>
      <c r="H296" t="s">
        <v>27</v>
      </c>
      <c r="I296" t="s">
        <v>16</v>
      </c>
      <c r="J296" t="s">
        <v>16</v>
      </c>
      <c r="K296" t="str">
        <f>VLOOKUP(C296,CheckName!A:B,2,0)</f>
        <v>Edu</v>
      </c>
      <c r="M296">
        <f>DAY(RejectionData[[#This Row],[RejectionDate]])</f>
        <v>27</v>
      </c>
    </row>
    <row r="297" spans="1:13">
      <c r="A297" t="s">
        <v>119</v>
      </c>
      <c r="B297" t="s">
        <v>120</v>
      </c>
      <c r="C297" t="s">
        <v>36</v>
      </c>
      <c r="D297" t="s">
        <v>26</v>
      </c>
      <c r="E297" s="7">
        <v>45623</v>
      </c>
      <c r="F297" t="s">
        <v>311</v>
      </c>
      <c r="G297">
        <v>0</v>
      </c>
      <c r="H297" t="s">
        <v>425</v>
      </c>
      <c r="I297" t="s">
        <v>16</v>
      </c>
      <c r="J297" t="s">
        <v>16</v>
      </c>
      <c r="K297" t="str">
        <f>VLOOKUP(C297,CheckName!A:B,2,0)</f>
        <v>Emp</v>
      </c>
      <c r="M297">
        <f>DAY(RejectionData[[#This Row],[RejectionDate]])</f>
        <v>27</v>
      </c>
    </row>
    <row r="298" spans="1:13">
      <c r="A298" t="s">
        <v>45</v>
      </c>
      <c r="B298" t="s">
        <v>536</v>
      </c>
      <c r="C298" t="s">
        <v>54</v>
      </c>
      <c r="D298" t="s">
        <v>13</v>
      </c>
      <c r="E298" s="7">
        <v>45623</v>
      </c>
      <c r="F298" t="s">
        <v>98</v>
      </c>
      <c r="G298">
        <v>0</v>
      </c>
      <c r="H298" t="s">
        <v>15</v>
      </c>
      <c r="I298" t="s">
        <v>16</v>
      </c>
      <c r="J298" t="s">
        <v>16</v>
      </c>
      <c r="K298" t="str">
        <f>VLOOKUP(C298,CheckName!A:B,2,0)</f>
        <v>Edu</v>
      </c>
      <c r="M298">
        <f>DAY(RejectionData[[#This Row],[RejectionDate]])</f>
        <v>27</v>
      </c>
    </row>
    <row r="299" spans="1:13">
      <c r="A299" t="s">
        <v>96</v>
      </c>
      <c r="B299" t="s">
        <v>537</v>
      </c>
      <c r="C299" t="s">
        <v>54</v>
      </c>
      <c r="D299" t="s">
        <v>26</v>
      </c>
      <c r="E299" s="7">
        <v>45623</v>
      </c>
      <c r="F299" t="s">
        <v>538</v>
      </c>
      <c r="G299">
        <v>0</v>
      </c>
      <c r="H299" t="s">
        <v>15</v>
      </c>
      <c r="I299" t="s">
        <v>16</v>
      </c>
      <c r="J299" t="s">
        <v>16</v>
      </c>
      <c r="K299" t="str">
        <f>VLOOKUP(C299,CheckName!A:B,2,0)</f>
        <v>Edu</v>
      </c>
      <c r="M299">
        <f>DAY(RejectionData[[#This Row],[RejectionDate]])</f>
        <v>27</v>
      </c>
    </row>
    <row r="300" spans="1:13">
      <c r="A300" t="s">
        <v>189</v>
      </c>
      <c r="B300" t="s">
        <v>539</v>
      </c>
      <c r="C300" t="s">
        <v>12</v>
      </c>
      <c r="D300" t="s">
        <v>13</v>
      </c>
      <c r="E300" s="7">
        <v>45623</v>
      </c>
      <c r="F300" t="s">
        <v>540</v>
      </c>
      <c r="G300">
        <v>0</v>
      </c>
      <c r="H300" t="s">
        <v>15</v>
      </c>
      <c r="I300" t="s">
        <v>16</v>
      </c>
      <c r="J300" t="s">
        <v>16</v>
      </c>
      <c r="K300" t="str">
        <f>VLOOKUP(C300,CheckName!A:B,2,0)</f>
        <v>Emp</v>
      </c>
      <c r="M300">
        <f>DAY(RejectionData[[#This Row],[RejectionDate]])</f>
        <v>27</v>
      </c>
    </row>
    <row r="301" spans="1:13">
      <c r="A301" t="s">
        <v>43</v>
      </c>
      <c r="B301" t="s">
        <v>541</v>
      </c>
      <c r="C301" t="s">
        <v>12</v>
      </c>
      <c r="D301" t="s">
        <v>26</v>
      </c>
      <c r="E301" s="7">
        <v>45623</v>
      </c>
      <c r="F301" t="s">
        <v>542</v>
      </c>
      <c r="G301">
        <v>0</v>
      </c>
      <c r="H301" t="s">
        <v>27</v>
      </c>
      <c r="I301" t="s">
        <v>16</v>
      </c>
      <c r="J301" t="s">
        <v>16</v>
      </c>
      <c r="K301" t="str">
        <f>VLOOKUP(C301,CheckName!A:B,2,0)</f>
        <v>Emp</v>
      </c>
      <c r="M301">
        <f>DAY(RejectionData[[#This Row],[RejectionDate]])</f>
        <v>27</v>
      </c>
    </row>
    <row r="302" spans="1:13">
      <c r="A302" t="s">
        <v>391</v>
      </c>
      <c r="B302" t="s">
        <v>543</v>
      </c>
      <c r="C302" t="s">
        <v>36</v>
      </c>
      <c r="D302" t="s">
        <v>26</v>
      </c>
      <c r="E302" s="7">
        <v>45623</v>
      </c>
      <c r="F302" t="s">
        <v>115</v>
      </c>
      <c r="G302">
        <v>0</v>
      </c>
      <c r="H302" t="s">
        <v>22</v>
      </c>
      <c r="I302" t="s">
        <v>16</v>
      </c>
      <c r="J302" t="s">
        <v>16</v>
      </c>
      <c r="K302" t="str">
        <f>VLOOKUP(C302,CheckName!A:B,2,0)</f>
        <v>Emp</v>
      </c>
      <c r="M302">
        <f>DAY(RejectionData[[#This Row],[RejectionDate]])</f>
        <v>27</v>
      </c>
    </row>
    <row r="303" spans="1:13">
      <c r="A303" t="s">
        <v>40</v>
      </c>
      <c r="B303" t="s">
        <v>544</v>
      </c>
      <c r="C303" t="s">
        <v>71</v>
      </c>
      <c r="D303" t="s">
        <v>26</v>
      </c>
      <c r="E303" s="7">
        <v>45623</v>
      </c>
      <c r="F303" t="s">
        <v>118</v>
      </c>
      <c r="G303">
        <v>0</v>
      </c>
      <c r="H303" t="s">
        <v>27</v>
      </c>
      <c r="I303" t="s">
        <v>16</v>
      </c>
      <c r="J303" t="s">
        <v>16</v>
      </c>
      <c r="K303" t="str">
        <f>VLOOKUP(C303,CheckName!A:B,2,0)</f>
        <v>CRC</v>
      </c>
      <c r="M303">
        <f>DAY(RejectionData[[#This Row],[RejectionDate]])</f>
        <v>27</v>
      </c>
    </row>
    <row r="304" spans="1:13">
      <c r="A304" t="s">
        <v>40</v>
      </c>
      <c r="B304" t="s">
        <v>544</v>
      </c>
      <c r="C304" t="s">
        <v>12</v>
      </c>
      <c r="D304" t="s">
        <v>26</v>
      </c>
      <c r="E304" s="7">
        <v>45623</v>
      </c>
      <c r="F304" t="s">
        <v>148</v>
      </c>
      <c r="G304">
        <v>0</v>
      </c>
      <c r="H304" t="s">
        <v>27</v>
      </c>
      <c r="I304" t="s">
        <v>16</v>
      </c>
      <c r="J304" t="s">
        <v>16</v>
      </c>
      <c r="K304" t="str">
        <f>VLOOKUP(C304,CheckName!A:B,2,0)</f>
        <v>Emp</v>
      </c>
      <c r="M304">
        <f>DAY(RejectionData[[#This Row],[RejectionDate]])</f>
        <v>27</v>
      </c>
    </row>
    <row r="305" spans="1:13">
      <c r="A305" t="s">
        <v>45</v>
      </c>
      <c r="B305" t="s">
        <v>498</v>
      </c>
      <c r="C305" t="s">
        <v>49</v>
      </c>
      <c r="D305" t="s">
        <v>26</v>
      </c>
      <c r="E305" s="7">
        <v>45623</v>
      </c>
      <c r="F305" t="s">
        <v>118</v>
      </c>
      <c r="G305">
        <v>0</v>
      </c>
      <c r="H305" t="s">
        <v>27</v>
      </c>
      <c r="I305" t="s">
        <v>16</v>
      </c>
      <c r="J305" t="s">
        <v>16</v>
      </c>
      <c r="K305" t="str">
        <f>VLOOKUP(C305,CheckName!A:B,2,0)</f>
        <v>CRC</v>
      </c>
      <c r="M305">
        <f>DAY(RejectionData[[#This Row],[RejectionDate]])</f>
        <v>27</v>
      </c>
    </row>
    <row r="306" spans="1:13">
      <c r="A306" t="s">
        <v>45</v>
      </c>
      <c r="B306" t="s">
        <v>545</v>
      </c>
      <c r="C306" t="s">
        <v>49</v>
      </c>
      <c r="D306" t="s">
        <v>26</v>
      </c>
      <c r="E306" s="7">
        <v>45623</v>
      </c>
      <c r="F306" t="s">
        <v>118</v>
      </c>
      <c r="G306">
        <v>0</v>
      </c>
      <c r="H306" t="s">
        <v>27</v>
      </c>
      <c r="I306" t="s">
        <v>16</v>
      </c>
      <c r="J306" t="s">
        <v>16</v>
      </c>
      <c r="K306" t="str">
        <f>VLOOKUP(C306,CheckName!A:B,2,0)</f>
        <v>CRC</v>
      </c>
      <c r="M306">
        <f>DAY(RejectionData[[#This Row],[RejectionDate]])</f>
        <v>27</v>
      </c>
    </row>
    <row r="307" spans="1:13">
      <c r="A307" t="s">
        <v>546</v>
      </c>
      <c r="B307" t="s">
        <v>547</v>
      </c>
      <c r="C307" t="s">
        <v>12</v>
      </c>
      <c r="D307" t="s">
        <v>26</v>
      </c>
      <c r="E307" s="7">
        <v>45623</v>
      </c>
      <c r="F307" t="s">
        <v>141</v>
      </c>
      <c r="G307">
        <v>0</v>
      </c>
      <c r="H307" t="s">
        <v>27</v>
      </c>
      <c r="I307" t="s">
        <v>16</v>
      </c>
      <c r="J307" t="s">
        <v>16</v>
      </c>
      <c r="K307" t="str">
        <f>VLOOKUP(C307,CheckName!A:B,2,0)</f>
        <v>Emp</v>
      </c>
      <c r="M307">
        <f>DAY(RejectionData[[#This Row],[RejectionDate]])</f>
        <v>27</v>
      </c>
    </row>
    <row r="308" spans="1:13">
      <c r="A308" t="s">
        <v>432</v>
      </c>
      <c r="B308" t="s">
        <v>548</v>
      </c>
      <c r="C308" t="s">
        <v>467</v>
      </c>
      <c r="D308" t="s">
        <v>38</v>
      </c>
      <c r="E308" s="7">
        <v>45623</v>
      </c>
      <c r="F308" t="s">
        <v>118</v>
      </c>
      <c r="G308">
        <v>0</v>
      </c>
      <c r="H308" t="s">
        <v>42</v>
      </c>
      <c r="I308" t="s">
        <v>16</v>
      </c>
      <c r="J308" t="s">
        <v>16</v>
      </c>
      <c r="K308" t="str">
        <f>VLOOKUP(C308,CheckName!A:B,2,0)</f>
        <v>Special Check</v>
      </c>
      <c r="M308">
        <f>DAY(RejectionData[[#This Row],[RejectionDate]])</f>
        <v>27</v>
      </c>
    </row>
    <row r="309" spans="1:13">
      <c r="A309" t="s">
        <v>40</v>
      </c>
      <c r="B309" t="s">
        <v>544</v>
      </c>
      <c r="C309" t="s">
        <v>59</v>
      </c>
      <c r="D309" t="s">
        <v>38</v>
      </c>
      <c r="E309" s="7">
        <v>45623</v>
      </c>
      <c r="F309" t="s">
        <v>118</v>
      </c>
      <c r="G309">
        <v>0</v>
      </c>
      <c r="H309" t="s">
        <v>27</v>
      </c>
      <c r="I309" t="s">
        <v>16</v>
      </c>
      <c r="J309" t="s">
        <v>16</v>
      </c>
      <c r="K309" t="str">
        <f>VLOOKUP(C309,CheckName!A:B,2,0)</f>
        <v>Special Check</v>
      </c>
      <c r="M309">
        <f>DAY(RejectionData[[#This Row],[RejectionDate]])</f>
        <v>27</v>
      </c>
    </row>
    <row r="310" spans="1:13">
      <c r="A310" t="s">
        <v>137</v>
      </c>
      <c r="B310" t="s">
        <v>549</v>
      </c>
      <c r="C310" t="s">
        <v>12</v>
      </c>
      <c r="D310" t="s">
        <v>26</v>
      </c>
      <c r="E310" s="7">
        <v>45623</v>
      </c>
      <c r="F310" t="s">
        <v>126</v>
      </c>
      <c r="G310">
        <v>0</v>
      </c>
      <c r="H310" t="s">
        <v>22</v>
      </c>
      <c r="I310" t="s">
        <v>16</v>
      </c>
      <c r="J310" t="s">
        <v>16</v>
      </c>
      <c r="K310" t="str">
        <f>VLOOKUP(C310,CheckName!A:B,2,0)</f>
        <v>Emp</v>
      </c>
      <c r="M310">
        <f>DAY(RejectionData[[#This Row],[RejectionDate]])</f>
        <v>27</v>
      </c>
    </row>
    <row r="311" spans="1:13">
      <c r="A311" t="s">
        <v>40</v>
      </c>
      <c r="B311" t="s">
        <v>550</v>
      </c>
      <c r="C311" t="s">
        <v>25</v>
      </c>
      <c r="D311" t="s">
        <v>20</v>
      </c>
      <c r="E311" s="7">
        <v>45623</v>
      </c>
      <c r="F311" t="s">
        <v>129</v>
      </c>
      <c r="G311">
        <v>0</v>
      </c>
      <c r="H311" t="s">
        <v>22</v>
      </c>
      <c r="I311" t="s">
        <v>16</v>
      </c>
      <c r="J311" t="s">
        <v>16</v>
      </c>
      <c r="K311" t="str">
        <f>VLOOKUP(C311,CheckName!A:B,2,0)</f>
        <v>Add</v>
      </c>
      <c r="M311">
        <f>DAY(RejectionData[[#This Row],[RejectionDate]])</f>
        <v>27</v>
      </c>
    </row>
    <row r="312" spans="1:13">
      <c r="A312" t="s">
        <v>263</v>
      </c>
      <c r="B312" t="s">
        <v>551</v>
      </c>
      <c r="C312" t="s">
        <v>19</v>
      </c>
      <c r="D312" t="s">
        <v>20</v>
      </c>
      <c r="E312" s="7">
        <v>45623</v>
      </c>
      <c r="F312" t="s">
        <v>129</v>
      </c>
      <c r="G312">
        <v>0</v>
      </c>
      <c r="H312" t="s">
        <v>22</v>
      </c>
      <c r="I312" t="s">
        <v>16</v>
      </c>
      <c r="J312" t="s">
        <v>16</v>
      </c>
      <c r="K312" t="str">
        <f>VLOOKUP(C312,CheckName!A:B,2,0)</f>
        <v>Add</v>
      </c>
      <c r="M312">
        <f>DAY(RejectionData[[#This Row],[RejectionDate]])</f>
        <v>27</v>
      </c>
    </row>
    <row r="313" spans="1:13">
      <c r="A313" t="s">
        <v>160</v>
      </c>
      <c r="B313" t="s">
        <v>552</v>
      </c>
      <c r="C313" t="s">
        <v>19</v>
      </c>
      <c r="D313" t="s">
        <v>20</v>
      </c>
      <c r="E313" s="7">
        <v>45624</v>
      </c>
      <c r="F313" t="s">
        <v>21</v>
      </c>
      <c r="G313">
        <v>0</v>
      </c>
      <c r="H313" t="s">
        <v>22</v>
      </c>
      <c r="I313" t="s">
        <v>16</v>
      </c>
      <c r="J313" t="s">
        <v>16</v>
      </c>
      <c r="K313" t="str">
        <f>VLOOKUP(C313,CheckName!A:B,2,0)</f>
        <v>Add</v>
      </c>
      <c r="M313">
        <f>DAY(RejectionData[[#This Row],[RejectionDate]])</f>
        <v>28</v>
      </c>
    </row>
    <row r="314" spans="1:13">
      <c r="A314" t="s">
        <v>45</v>
      </c>
      <c r="B314" t="s">
        <v>553</v>
      </c>
      <c r="C314" t="s">
        <v>19</v>
      </c>
      <c r="D314" t="s">
        <v>20</v>
      </c>
      <c r="E314" s="7">
        <v>45624</v>
      </c>
      <c r="F314" t="s">
        <v>21</v>
      </c>
      <c r="G314">
        <v>0</v>
      </c>
      <c r="H314" t="s">
        <v>22</v>
      </c>
      <c r="I314" t="s">
        <v>16</v>
      </c>
      <c r="J314" t="s">
        <v>16</v>
      </c>
      <c r="K314" t="str">
        <f>VLOOKUP(C314,CheckName!A:B,2,0)</f>
        <v>Add</v>
      </c>
      <c r="M314">
        <f>DAY(RejectionData[[#This Row],[RejectionDate]])</f>
        <v>28</v>
      </c>
    </row>
    <row r="315" spans="1:13">
      <c r="A315" t="s">
        <v>137</v>
      </c>
      <c r="B315" t="s">
        <v>554</v>
      </c>
      <c r="C315" t="s">
        <v>54</v>
      </c>
      <c r="D315" t="s">
        <v>51</v>
      </c>
      <c r="E315" s="7">
        <v>45624</v>
      </c>
      <c r="F315" t="s">
        <v>555</v>
      </c>
      <c r="G315">
        <v>0</v>
      </c>
      <c r="H315" t="s">
        <v>53</v>
      </c>
      <c r="I315" t="s">
        <v>16</v>
      </c>
      <c r="J315" t="s">
        <v>16</v>
      </c>
      <c r="K315" t="str">
        <f>VLOOKUP(C315,CheckName!A:B,2,0)</f>
        <v>Edu</v>
      </c>
      <c r="M315">
        <f>DAY(RejectionData[[#This Row],[RejectionDate]])</f>
        <v>28</v>
      </c>
    </row>
    <row r="316" spans="1:13">
      <c r="A316" t="s">
        <v>556</v>
      </c>
      <c r="B316" t="s">
        <v>557</v>
      </c>
      <c r="C316" t="s">
        <v>36</v>
      </c>
      <c r="D316" t="s">
        <v>38</v>
      </c>
      <c r="E316" s="7">
        <v>45624</v>
      </c>
      <c r="F316" t="s">
        <v>39</v>
      </c>
      <c r="G316">
        <v>0</v>
      </c>
      <c r="H316" t="s">
        <v>42</v>
      </c>
      <c r="I316" t="s">
        <v>16</v>
      </c>
      <c r="J316" t="s">
        <v>16</v>
      </c>
      <c r="K316" t="str">
        <f>VLOOKUP(C316,CheckName!A:B,2,0)</f>
        <v>Emp</v>
      </c>
      <c r="M316">
        <f>DAY(RejectionData[[#This Row],[RejectionDate]])</f>
        <v>28</v>
      </c>
    </row>
    <row r="317" spans="1:13">
      <c r="A317" t="s">
        <v>432</v>
      </c>
      <c r="B317" t="s">
        <v>558</v>
      </c>
      <c r="C317" t="s">
        <v>125</v>
      </c>
      <c r="D317" t="s">
        <v>38</v>
      </c>
      <c r="E317" s="7">
        <v>45624</v>
      </c>
      <c r="F317" t="s">
        <v>39</v>
      </c>
      <c r="G317">
        <v>0</v>
      </c>
      <c r="H317" t="s">
        <v>42</v>
      </c>
      <c r="I317" t="s">
        <v>16</v>
      </c>
      <c r="J317" t="s">
        <v>16</v>
      </c>
      <c r="K317" t="str">
        <f>VLOOKUP(C317,CheckName!A:B,2,0)</f>
        <v>Emp</v>
      </c>
      <c r="M317">
        <f>DAY(RejectionData[[#This Row],[RejectionDate]])</f>
        <v>28</v>
      </c>
    </row>
    <row r="318" spans="1:13">
      <c r="A318" t="s">
        <v>45</v>
      </c>
      <c r="B318" t="s">
        <v>559</v>
      </c>
      <c r="C318" t="s">
        <v>12</v>
      </c>
      <c r="D318" t="s">
        <v>13</v>
      </c>
      <c r="E318" s="7">
        <v>45624</v>
      </c>
      <c r="F318" t="s">
        <v>492</v>
      </c>
      <c r="G318">
        <v>0</v>
      </c>
      <c r="H318" t="s">
        <v>15</v>
      </c>
      <c r="I318" t="s">
        <v>16</v>
      </c>
      <c r="J318" t="s">
        <v>16</v>
      </c>
      <c r="K318" t="str">
        <f>VLOOKUP(C318,CheckName!A:B,2,0)</f>
        <v>Emp</v>
      </c>
      <c r="M318">
        <f>DAY(RejectionData[[#This Row],[RejectionDate]])</f>
        <v>28</v>
      </c>
    </row>
    <row r="319" spans="1:13">
      <c r="A319" t="s">
        <v>142</v>
      </c>
      <c r="B319" t="s">
        <v>560</v>
      </c>
      <c r="C319" t="s">
        <v>12</v>
      </c>
      <c r="D319" t="s">
        <v>26</v>
      </c>
      <c r="E319" s="7">
        <v>45624</v>
      </c>
      <c r="F319" t="s">
        <v>222</v>
      </c>
      <c r="G319">
        <v>0</v>
      </c>
      <c r="H319" t="s">
        <v>27</v>
      </c>
      <c r="I319" t="s">
        <v>16</v>
      </c>
      <c r="J319" t="s">
        <v>16</v>
      </c>
      <c r="K319" t="str">
        <f>VLOOKUP(C319,CheckName!A:B,2,0)</f>
        <v>Emp</v>
      </c>
      <c r="M319">
        <f>DAY(RejectionData[[#This Row],[RejectionDate]])</f>
        <v>28</v>
      </c>
    </row>
    <row r="320" spans="1:13">
      <c r="A320" t="s">
        <v>119</v>
      </c>
      <c r="B320" t="s">
        <v>561</v>
      </c>
      <c r="C320" t="s">
        <v>25</v>
      </c>
      <c r="D320" t="s">
        <v>26</v>
      </c>
      <c r="E320" s="7">
        <v>45624</v>
      </c>
      <c r="F320" t="s">
        <v>62</v>
      </c>
      <c r="G320">
        <v>0</v>
      </c>
      <c r="H320" t="s">
        <v>27</v>
      </c>
      <c r="I320" t="s">
        <v>16</v>
      </c>
      <c r="J320" t="s">
        <v>16</v>
      </c>
      <c r="K320" t="str">
        <f>VLOOKUP(C320,CheckName!A:B,2,0)</f>
        <v>Add</v>
      </c>
      <c r="M320">
        <f>DAY(RejectionData[[#This Row],[RejectionDate]])</f>
        <v>28</v>
      </c>
    </row>
    <row r="321" spans="1:13">
      <c r="A321" t="s">
        <v>88</v>
      </c>
      <c r="B321" t="s">
        <v>562</v>
      </c>
      <c r="C321" t="s">
        <v>25</v>
      </c>
      <c r="D321" t="s">
        <v>26</v>
      </c>
      <c r="E321" s="7">
        <v>45624</v>
      </c>
      <c r="F321" t="s">
        <v>66</v>
      </c>
      <c r="G321">
        <v>0</v>
      </c>
      <c r="H321" t="s">
        <v>22</v>
      </c>
      <c r="I321" t="s">
        <v>16</v>
      </c>
      <c r="J321" t="s">
        <v>16</v>
      </c>
      <c r="K321" t="str">
        <f>VLOOKUP(C321,CheckName!A:B,2,0)</f>
        <v>Add</v>
      </c>
      <c r="M321">
        <f>DAY(RejectionData[[#This Row],[RejectionDate]])</f>
        <v>28</v>
      </c>
    </row>
    <row r="322" spans="1:13">
      <c r="A322" t="s">
        <v>160</v>
      </c>
      <c r="B322" t="s">
        <v>563</v>
      </c>
      <c r="C322" t="s">
        <v>19</v>
      </c>
      <c r="D322" t="s">
        <v>26</v>
      </c>
      <c r="E322" s="7">
        <v>45624</v>
      </c>
      <c r="F322" t="s">
        <v>62</v>
      </c>
      <c r="G322">
        <v>0</v>
      </c>
      <c r="H322" t="s">
        <v>22</v>
      </c>
      <c r="I322" t="s">
        <v>16</v>
      </c>
      <c r="J322" t="s">
        <v>16</v>
      </c>
      <c r="K322" t="str">
        <f>VLOOKUP(C322,CheckName!A:B,2,0)</f>
        <v>Add</v>
      </c>
      <c r="M322">
        <f>DAY(RejectionData[[#This Row],[RejectionDate]])</f>
        <v>28</v>
      </c>
    </row>
    <row r="323" spans="1:13">
      <c r="A323" t="s">
        <v>281</v>
      </c>
      <c r="B323" t="s">
        <v>564</v>
      </c>
      <c r="C323" t="s">
        <v>19</v>
      </c>
      <c r="D323" t="s">
        <v>26</v>
      </c>
      <c r="E323" s="7">
        <v>45624</v>
      </c>
      <c r="F323" t="s">
        <v>62</v>
      </c>
      <c r="G323">
        <v>0</v>
      </c>
      <c r="H323" t="s">
        <v>95</v>
      </c>
      <c r="I323" t="s">
        <v>16</v>
      </c>
      <c r="J323" t="s">
        <v>16</v>
      </c>
      <c r="K323" t="str">
        <f>VLOOKUP(C323,CheckName!A:B,2,0)</f>
        <v>Add</v>
      </c>
      <c r="M323">
        <f>DAY(RejectionData[[#This Row],[RejectionDate]])</f>
        <v>28</v>
      </c>
    </row>
    <row r="324" spans="1:13">
      <c r="A324" t="s">
        <v>362</v>
      </c>
      <c r="B324" t="s">
        <v>565</v>
      </c>
      <c r="C324" t="s">
        <v>25</v>
      </c>
      <c r="D324" t="s">
        <v>26</v>
      </c>
      <c r="E324" s="7">
        <v>45624</v>
      </c>
      <c r="F324" t="s">
        <v>66</v>
      </c>
      <c r="G324">
        <v>0</v>
      </c>
      <c r="H324" t="s">
        <v>566</v>
      </c>
      <c r="I324" t="s">
        <v>16</v>
      </c>
      <c r="J324" t="s">
        <v>16</v>
      </c>
      <c r="K324" t="str">
        <f>VLOOKUP(C324,CheckName!A:B,2,0)</f>
        <v>Add</v>
      </c>
      <c r="M324">
        <f>DAY(RejectionData[[#This Row],[RejectionDate]])</f>
        <v>28</v>
      </c>
    </row>
    <row r="325" spans="1:13">
      <c r="A325" t="s">
        <v>567</v>
      </c>
      <c r="B325" t="s">
        <v>568</v>
      </c>
      <c r="C325" t="s">
        <v>59</v>
      </c>
      <c r="D325" t="s">
        <v>51</v>
      </c>
      <c r="E325" s="7">
        <v>45624</v>
      </c>
      <c r="F325" t="s">
        <v>194</v>
      </c>
      <c r="G325">
        <v>0</v>
      </c>
      <c r="H325" t="s">
        <v>53</v>
      </c>
      <c r="I325" t="s">
        <v>16</v>
      </c>
      <c r="J325" t="s">
        <v>16</v>
      </c>
      <c r="K325" t="str">
        <f>VLOOKUP(C325,CheckName!A:B,2,0)</f>
        <v>Special Check</v>
      </c>
      <c r="M325">
        <f>DAY(RejectionData[[#This Row],[RejectionDate]])</f>
        <v>28</v>
      </c>
    </row>
    <row r="326" spans="1:13">
      <c r="A326" t="s">
        <v>137</v>
      </c>
      <c r="B326" t="s">
        <v>569</v>
      </c>
      <c r="C326" t="s">
        <v>54</v>
      </c>
      <c r="D326" t="s">
        <v>51</v>
      </c>
      <c r="E326" s="7">
        <v>45624</v>
      </c>
      <c r="F326" t="s">
        <v>194</v>
      </c>
      <c r="G326">
        <v>0</v>
      </c>
      <c r="H326" t="s">
        <v>53</v>
      </c>
      <c r="I326" t="s">
        <v>16</v>
      </c>
      <c r="J326" t="s">
        <v>16</v>
      </c>
      <c r="K326" t="str">
        <f>VLOOKUP(C326,CheckName!A:B,2,0)</f>
        <v>Edu</v>
      </c>
      <c r="M326">
        <f>DAY(RejectionData[[#This Row],[RejectionDate]])</f>
        <v>28</v>
      </c>
    </row>
    <row r="327" spans="1:13">
      <c r="A327" t="s">
        <v>465</v>
      </c>
      <c r="B327" t="s">
        <v>570</v>
      </c>
      <c r="C327" t="s">
        <v>12</v>
      </c>
      <c r="D327" t="s">
        <v>13</v>
      </c>
      <c r="E327" s="7">
        <v>45624</v>
      </c>
      <c r="F327" t="s">
        <v>72</v>
      </c>
      <c r="G327">
        <v>0</v>
      </c>
      <c r="H327" t="s">
        <v>15</v>
      </c>
      <c r="I327" t="s">
        <v>16</v>
      </c>
      <c r="J327" t="s">
        <v>16</v>
      </c>
      <c r="K327" t="str">
        <f>VLOOKUP(C327,CheckName!A:B,2,0)</f>
        <v>Emp</v>
      </c>
      <c r="M327">
        <f>DAY(RejectionData[[#This Row],[RejectionDate]])</f>
        <v>28</v>
      </c>
    </row>
    <row r="328" spans="1:13">
      <c r="A328" t="s">
        <v>131</v>
      </c>
      <c r="B328" t="s">
        <v>571</v>
      </c>
      <c r="C328" t="s">
        <v>269</v>
      </c>
      <c r="D328" t="s">
        <v>13</v>
      </c>
      <c r="E328" s="7">
        <v>45624</v>
      </c>
      <c r="F328" t="s">
        <v>72</v>
      </c>
      <c r="G328">
        <v>0</v>
      </c>
      <c r="H328" t="s">
        <v>30</v>
      </c>
      <c r="I328" t="s">
        <v>16</v>
      </c>
      <c r="J328" t="s">
        <v>16</v>
      </c>
      <c r="K328" t="str">
        <f>VLOOKUP(C328,CheckName!A:B,2,0)</f>
        <v>Emp</v>
      </c>
      <c r="M328">
        <f>DAY(RejectionData[[#This Row],[RejectionDate]])</f>
        <v>28</v>
      </c>
    </row>
    <row r="329" spans="1:13">
      <c r="A329" t="s">
        <v>131</v>
      </c>
      <c r="B329" t="s">
        <v>571</v>
      </c>
      <c r="C329" t="s">
        <v>71</v>
      </c>
      <c r="D329" t="s">
        <v>13</v>
      </c>
      <c r="E329" s="7">
        <v>45624</v>
      </c>
      <c r="F329" t="s">
        <v>72</v>
      </c>
      <c r="G329">
        <v>0</v>
      </c>
      <c r="H329" t="s">
        <v>30</v>
      </c>
      <c r="I329" t="s">
        <v>16</v>
      </c>
      <c r="J329" t="s">
        <v>16</v>
      </c>
      <c r="K329" t="str">
        <f>VLOOKUP(C329,CheckName!A:B,2,0)</f>
        <v>CRC</v>
      </c>
      <c r="M329">
        <f>DAY(RejectionData[[#This Row],[RejectionDate]])</f>
        <v>28</v>
      </c>
    </row>
    <row r="330" spans="1:13">
      <c r="A330" t="s">
        <v>131</v>
      </c>
      <c r="B330" t="s">
        <v>571</v>
      </c>
      <c r="C330" t="s">
        <v>49</v>
      </c>
      <c r="D330" t="s">
        <v>13</v>
      </c>
      <c r="E330" s="7">
        <v>45624</v>
      </c>
      <c r="F330" t="s">
        <v>72</v>
      </c>
      <c r="G330">
        <v>0</v>
      </c>
      <c r="H330" t="s">
        <v>30</v>
      </c>
      <c r="I330" t="s">
        <v>16</v>
      </c>
      <c r="J330" t="s">
        <v>16</v>
      </c>
      <c r="K330" t="str">
        <f>VLOOKUP(C330,CheckName!A:B,2,0)</f>
        <v>CRC</v>
      </c>
      <c r="M330">
        <f>DAY(RejectionData[[#This Row],[RejectionDate]])</f>
        <v>28</v>
      </c>
    </row>
    <row r="331" spans="1:13">
      <c r="A331" t="s">
        <v>572</v>
      </c>
      <c r="B331" t="s">
        <v>573</v>
      </c>
      <c r="C331" t="s">
        <v>12</v>
      </c>
      <c r="D331" t="s">
        <v>13</v>
      </c>
      <c r="E331" s="7">
        <v>45624</v>
      </c>
      <c r="F331" t="s">
        <v>574</v>
      </c>
      <c r="G331">
        <v>0</v>
      </c>
      <c r="H331" t="s">
        <v>15</v>
      </c>
      <c r="I331" t="s">
        <v>16</v>
      </c>
      <c r="J331" t="s">
        <v>16</v>
      </c>
      <c r="K331" t="str">
        <f>VLOOKUP(C331,CheckName!A:B,2,0)</f>
        <v>Emp</v>
      </c>
      <c r="M331">
        <f>DAY(RejectionData[[#This Row],[RejectionDate]])</f>
        <v>28</v>
      </c>
    </row>
    <row r="332" spans="1:13">
      <c r="A332" t="s">
        <v>160</v>
      </c>
      <c r="B332" t="s">
        <v>575</v>
      </c>
      <c r="C332" t="s">
        <v>125</v>
      </c>
      <c r="D332" t="s">
        <v>26</v>
      </c>
      <c r="E332" s="7">
        <v>45624</v>
      </c>
      <c r="F332" t="s">
        <v>83</v>
      </c>
      <c r="G332">
        <v>0</v>
      </c>
      <c r="H332" t="s">
        <v>130</v>
      </c>
      <c r="I332" t="s">
        <v>16</v>
      </c>
      <c r="J332" t="s">
        <v>16</v>
      </c>
      <c r="K332" t="str">
        <f>VLOOKUP(C332,CheckName!A:B,2,0)</f>
        <v>Emp</v>
      </c>
      <c r="M332">
        <f>DAY(RejectionData[[#This Row],[RejectionDate]])</f>
        <v>28</v>
      </c>
    </row>
    <row r="333" spans="1:13">
      <c r="A333" t="s">
        <v>172</v>
      </c>
      <c r="B333" t="s">
        <v>576</v>
      </c>
      <c r="C333" t="s">
        <v>93</v>
      </c>
      <c r="D333" t="s">
        <v>26</v>
      </c>
      <c r="E333" s="7">
        <v>45624</v>
      </c>
      <c r="F333" t="s">
        <v>103</v>
      </c>
      <c r="G333">
        <v>0</v>
      </c>
      <c r="H333" t="s">
        <v>27</v>
      </c>
      <c r="I333" t="s">
        <v>16</v>
      </c>
      <c r="J333" t="s">
        <v>16</v>
      </c>
      <c r="K333" t="str">
        <f>VLOOKUP(C333,CheckName!A:B,2,0)</f>
        <v>Edu</v>
      </c>
      <c r="M333">
        <f>DAY(RejectionData[[#This Row],[RejectionDate]])</f>
        <v>28</v>
      </c>
    </row>
    <row r="334" spans="1:13">
      <c r="A334" t="s">
        <v>577</v>
      </c>
      <c r="B334" t="s">
        <v>578</v>
      </c>
      <c r="C334" t="s">
        <v>36</v>
      </c>
      <c r="D334" t="s">
        <v>13</v>
      </c>
      <c r="E334" s="7">
        <v>45624</v>
      </c>
      <c r="F334" t="s">
        <v>579</v>
      </c>
      <c r="G334">
        <v>0</v>
      </c>
      <c r="H334" t="s">
        <v>15</v>
      </c>
      <c r="I334" t="s">
        <v>16</v>
      </c>
      <c r="J334" t="s">
        <v>16</v>
      </c>
      <c r="K334" t="str">
        <f>VLOOKUP(C334,CheckName!A:B,2,0)</f>
        <v>Emp</v>
      </c>
      <c r="M334">
        <f>DAY(RejectionData[[#This Row],[RejectionDate]])</f>
        <v>28</v>
      </c>
    </row>
    <row r="335" spans="1:13">
      <c r="A335" t="s">
        <v>580</v>
      </c>
      <c r="B335" t="s">
        <v>581</v>
      </c>
      <c r="C335" t="s">
        <v>36</v>
      </c>
      <c r="D335" t="s">
        <v>13</v>
      </c>
      <c r="E335" s="7">
        <v>45624</v>
      </c>
      <c r="F335" t="s">
        <v>579</v>
      </c>
      <c r="G335">
        <v>0</v>
      </c>
      <c r="H335" t="s">
        <v>30</v>
      </c>
      <c r="I335" t="s">
        <v>16</v>
      </c>
      <c r="J335" t="s">
        <v>16</v>
      </c>
      <c r="K335" t="str">
        <f>VLOOKUP(C335,CheckName!A:B,2,0)</f>
        <v>Emp</v>
      </c>
      <c r="M335">
        <f>DAY(RejectionData[[#This Row],[RejectionDate]])</f>
        <v>28</v>
      </c>
    </row>
    <row r="336" spans="1:13">
      <c r="A336" t="s">
        <v>495</v>
      </c>
      <c r="B336" t="s">
        <v>496</v>
      </c>
      <c r="C336" t="s">
        <v>49</v>
      </c>
      <c r="D336" t="s">
        <v>38</v>
      </c>
      <c r="E336" s="7">
        <v>45624</v>
      </c>
      <c r="F336" t="s">
        <v>108</v>
      </c>
      <c r="G336">
        <v>0</v>
      </c>
      <c r="H336" t="s">
        <v>42</v>
      </c>
      <c r="I336" t="s">
        <v>16</v>
      </c>
      <c r="J336" t="s">
        <v>16</v>
      </c>
      <c r="K336" t="str">
        <f>VLOOKUP(C336,CheckName!A:B,2,0)</f>
        <v>CRC</v>
      </c>
      <c r="M336">
        <f>DAY(RejectionData[[#This Row],[RejectionDate]])</f>
        <v>28</v>
      </c>
    </row>
    <row r="337" spans="1:13">
      <c r="A337" t="s">
        <v>582</v>
      </c>
      <c r="B337" t="s">
        <v>583</v>
      </c>
      <c r="C337" t="s">
        <v>125</v>
      </c>
      <c r="D337" t="s">
        <v>26</v>
      </c>
      <c r="E337" s="7">
        <v>45624</v>
      </c>
      <c r="F337" t="s">
        <v>301</v>
      </c>
      <c r="G337">
        <v>0</v>
      </c>
      <c r="H337" t="s">
        <v>27</v>
      </c>
      <c r="I337" t="s">
        <v>16</v>
      </c>
      <c r="J337" t="s">
        <v>16</v>
      </c>
      <c r="K337" t="str">
        <f>VLOOKUP(C337,CheckName!A:B,2,0)</f>
        <v>Emp</v>
      </c>
      <c r="M337">
        <f>DAY(RejectionData[[#This Row],[RejectionDate]])</f>
        <v>28</v>
      </c>
    </row>
    <row r="338" spans="1:13">
      <c r="A338" t="s">
        <v>584</v>
      </c>
      <c r="B338" t="s">
        <v>585</v>
      </c>
      <c r="C338" t="s">
        <v>19</v>
      </c>
      <c r="D338" t="s">
        <v>20</v>
      </c>
      <c r="E338" s="7">
        <v>45624</v>
      </c>
      <c r="F338" t="s">
        <v>129</v>
      </c>
      <c r="G338">
        <v>0</v>
      </c>
      <c r="H338" t="s">
        <v>22</v>
      </c>
      <c r="I338" t="s">
        <v>16</v>
      </c>
      <c r="J338" t="s">
        <v>16</v>
      </c>
      <c r="K338" t="str">
        <f>VLOOKUP(C338,CheckName!A:B,2,0)</f>
        <v>Add</v>
      </c>
      <c r="M338">
        <f>DAY(RejectionData[[#This Row],[RejectionDate]])</f>
        <v>28</v>
      </c>
    </row>
    <row r="339" spans="1:13">
      <c r="A339" t="s">
        <v>91</v>
      </c>
      <c r="B339" t="s">
        <v>586</v>
      </c>
      <c r="C339" t="s">
        <v>587</v>
      </c>
      <c r="D339" t="s">
        <v>20</v>
      </c>
      <c r="E339" s="7">
        <v>45624</v>
      </c>
      <c r="F339" t="s">
        <v>129</v>
      </c>
      <c r="G339">
        <v>0</v>
      </c>
      <c r="H339" t="s">
        <v>22</v>
      </c>
      <c r="I339" t="s">
        <v>16</v>
      </c>
      <c r="J339" t="s">
        <v>16</v>
      </c>
      <c r="K339" t="str">
        <f>VLOOKUP(C339,CheckName!A:B,2,0)</f>
        <v>Add</v>
      </c>
      <c r="M339">
        <f>DAY(RejectionData[[#This Row],[RejectionDate]])</f>
        <v>28</v>
      </c>
    </row>
    <row r="340" spans="1:13">
      <c r="A340" t="s">
        <v>100</v>
      </c>
      <c r="B340" t="s">
        <v>588</v>
      </c>
      <c r="C340" t="s">
        <v>357</v>
      </c>
      <c r="D340" t="s">
        <v>26</v>
      </c>
      <c r="E340" s="7">
        <v>45624</v>
      </c>
      <c r="F340" t="s">
        <v>126</v>
      </c>
      <c r="G340">
        <v>0</v>
      </c>
      <c r="H340" t="s">
        <v>27</v>
      </c>
      <c r="I340" t="s">
        <v>16</v>
      </c>
      <c r="J340" t="s">
        <v>16</v>
      </c>
      <c r="K340" t="str">
        <f>VLOOKUP(C340,CheckName!A:B,2,0)</f>
        <v>Emp</v>
      </c>
      <c r="M340">
        <f>DAY(RejectionData[[#This Row],[RejectionDate]])</f>
        <v>28</v>
      </c>
    </row>
    <row r="341" spans="1:13">
      <c r="A341" t="s">
        <v>45</v>
      </c>
      <c r="B341" t="s">
        <v>589</v>
      </c>
      <c r="C341" t="s">
        <v>12</v>
      </c>
      <c r="D341" t="s">
        <v>26</v>
      </c>
      <c r="E341" s="7">
        <v>45624</v>
      </c>
      <c r="F341" t="s">
        <v>126</v>
      </c>
      <c r="G341">
        <v>0</v>
      </c>
      <c r="H341" t="s">
        <v>27</v>
      </c>
      <c r="I341" t="s">
        <v>16</v>
      </c>
      <c r="J341" t="s">
        <v>16</v>
      </c>
      <c r="K341" t="str">
        <f>VLOOKUP(C341,CheckName!A:B,2,0)</f>
        <v>Emp</v>
      </c>
      <c r="M341">
        <f>DAY(RejectionData[[#This Row],[RejectionDate]])</f>
        <v>28</v>
      </c>
    </row>
    <row r="342" spans="1:13">
      <c r="A342" t="s">
        <v>64</v>
      </c>
      <c r="B342" t="s">
        <v>590</v>
      </c>
      <c r="C342" t="s">
        <v>25</v>
      </c>
      <c r="D342" t="s">
        <v>20</v>
      </c>
      <c r="E342" s="7">
        <v>45623</v>
      </c>
      <c r="F342" t="s">
        <v>129</v>
      </c>
      <c r="G342">
        <v>1</v>
      </c>
      <c r="H342" t="s">
        <v>22</v>
      </c>
      <c r="I342" t="s">
        <v>16</v>
      </c>
      <c r="J342" t="s">
        <v>16</v>
      </c>
      <c r="K342" t="str">
        <f>VLOOKUP(C342,CheckName!A:B,2,0)</f>
        <v>Add</v>
      </c>
      <c r="M342">
        <f>DAY(RejectionData[[#This Row],[RejectionDate]])</f>
        <v>27</v>
      </c>
    </row>
    <row r="343" spans="1:13">
      <c r="A343" t="s">
        <v>133</v>
      </c>
      <c r="B343" t="s">
        <v>591</v>
      </c>
      <c r="C343" t="s">
        <v>19</v>
      </c>
      <c r="D343" t="s">
        <v>26</v>
      </c>
      <c r="E343" s="7">
        <v>45623</v>
      </c>
      <c r="F343" t="s">
        <v>129</v>
      </c>
      <c r="G343">
        <v>1</v>
      </c>
      <c r="H343" t="s">
        <v>27</v>
      </c>
      <c r="I343" t="s">
        <v>16</v>
      </c>
      <c r="J343" t="s">
        <v>16</v>
      </c>
      <c r="K343" t="str">
        <f>VLOOKUP(C343,CheckName!A:B,2,0)</f>
        <v>Add</v>
      </c>
      <c r="M343">
        <f>DAY(RejectionData[[#This Row],[RejectionDate]])</f>
        <v>27</v>
      </c>
    </row>
    <row r="344" spans="1:13">
      <c r="A344" t="s">
        <v>119</v>
      </c>
      <c r="B344" t="s">
        <v>592</v>
      </c>
      <c r="C344" t="s">
        <v>25</v>
      </c>
      <c r="D344" t="s">
        <v>20</v>
      </c>
      <c r="E344" s="7">
        <v>45623</v>
      </c>
      <c r="F344" t="s">
        <v>129</v>
      </c>
      <c r="G344">
        <v>1</v>
      </c>
      <c r="H344" t="s">
        <v>27</v>
      </c>
      <c r="I344" t="s">
        <v>16</v>
      </c>
      <c r="J344" t="s">
        <v>16</v>
      </c>
      <c r="K344" t="str">
        <f>VLOOKUP(C344,CheckName!A:B,2,0)</f>
        <v>Add</v>
      </c>
      <c r="M344">
        <f>DAY(RejectionData[[#This Row],[RejectionDate]])</f>
        <v>27</v>
      </c>
    </row>
    <row r="345" spans="1:13">
      <c r="A345" t="s">
        <v>523</v>
      </c>
      <c r="B345" t="s">
        <v>593</v>
      </c>
      <c r="C345" t="s">
        <v>25</v>
      </c>
      <c r="D345" t="s">
        <v>20</v>
      </c>
      <c r="E345" s="7">
        <v>45623</v>
      </c>
      <c r="F345" t="s">
        <v>129</v>
      </c>
      <c r="G345">
        <v>1</v>
      </c>
      <c r="H345" t="s">
        <v>22</v>
      </c>
      <c r="I345" t="s">
        <v>16</v>
      </c>
      <c r="J345" t="s">
        <v>16</v>
      </c>
      <c r="K345" t="str">
        <f>VLOOKUP(C345,CheckName!A:B,2,0)</f>
        <v>Add</v>
      </c>
      <c r="M345">
        <f>DAY(RejectionData[[#This Row],[RejectionDate]])</f>
        <v>27</v>
      </c>
    </row>
    <row r="346" spans="1:13">
      <c r="A346" t="s">
        <v>200</v>
      </c>
      <c r="B346" t="s">
        <v>594</v>
      </c>
      <c r="C346" t="s">
        <v>25</v>
      </c>
      <c r="D346" t="s">
        <v>20</v>
      </c>
      <c r="E346" s="7">
        <v>45623</v>
      </c>
      <c r="F346" t="s">
        <v>129</v>
      </c>
      <c r="G346">
        <v>1</v>
      </c>
      <c r="H346" t="s">
        <v>22</v>
      </c>
      <c r="I346" t="s">
        <v>16</v>
      </c>
      <c r="J346" t="s">
        <v>16</v>
      </c>
      <c r="K346" t="str">
        <f>VLOOKUP(C346,CheckName!A:B,2,0)</f>
        <v>Add</v>
      </c>
      <c r="M346">
        <f>DAY(RejectionData[[#This Row],[RejectionDate]])</f>
        <v>27</v>
      </c>
    </row>
    <row r="347" spans="1:13">
      <c r="A347" t="s">
        <v>333</v>
      </c>
      <c r="B347" t="s">
        <v>595</v>
      </c>
      <c r="C347" t="s">
        <v>12</v>
      </c>
      <c r="D347" t="s">
        <v>26</v>
      </c>
      <c r="E347" s="7">
        <v>45623</v>
      </c>
      <c r="F347" t="s">
        <v>115</v>
      </c>
      <c r="G347">
        <v>1</v>
      </c>
      <c r="H347" t="s">
        <v>27</v>
      </c>
      <c r="I347" t="s">
        <v>16</v>
      </c>
      <c r="J347" t="s">
        <v>16</v>
      </c>
      <c r="K347" t="str">
        <f>VLOOKUP(C347,CheckName!A:B,2,0)</f>
        <v>Emp</v>
      </c>
      <c r="M347">
        <f>DAY(RejectionData[[#This Row],[RejectionDate]])</f>
        <v>27</v>
      </c>
    </row>
    <row r="348" spans="1:13">
      <c r="A348" t="s">
        <v>596</v>
      </c>
      <c r="B348" t="s">
        <v>597</v>
      </c>
      <c r="C348" t="s">
        <v>12</v>
      </c>
      <c r="D348" t="s">
        <v>26</v>
      </c>
      <c r="E348" s="7">
        <v>45623</v>
      </c>
      <c r="F348" t="s">
        <v>151</v>
      </c>
      <c r="G348">
        <v>1</v>
      </c>
      <c r="H348" t="s">
        <v>27</v>
      </c>
      <c r="I348" t="s">
        <v>16</v>
      </c>
      <c r="J348" t="s">
        <v>16</v>
      </c>
      <c r="K348" t="str">
        <f>VLOOKUP(C348,CheckName!A:B,2,0)</f>
        <v>Emp</v>
      </c>
      <c r="M348">
        <f>DAY(RejectionData[[#This Row],[RejectionDate]])</f>
        <v>27</v>
      </c>
    </row>
    <row r="349" spans="1:13">
      <c r="A349" t="s">
        <v>353</v>
      </c>
      <c r="B349" t="s">
        <v>598</v>
      </c>
      <c r="C349" t="s">
        <v>12</v>
      </c>
      <c r="D349" t="s">
        <v>26</v>
      </c>
      <c r="E349" s="7">
        <v>45623</v>
      </c>
      <c r="F349" t="s">
        <v>148</v>
      </c>
      <c r="G349">
        <v>1</v>
      </c>
      <c r="H349" t="s">
        <v>27</v>
      </c>
      <c r="I349" t="s">
        <v>16</v>
      </c>
      <c r="J349" t="s">
        <v>16</v>
      </c>
      <c r="K349" t="str">
        <f>VLOOKUP(C349,CheckName!A:B,2,0)</f>
        <v>Emp</v>
      </c>
      <c r="M349">
        <f>DAY(RejectionData[[#This Row],[RejectionDate]])</f>
        <v>27</v>
      </c>
    </row>
    <row r="350" spans="1:13">
      <c r="A350" t="s">
        <v>599</v>
      </c>
      <c r="B350" t="s">
        <v>600</v>
      </c>
      <c r="C350" t="s">
        <v>36</v>
      </c>
      <c r="D350" t="s">
        <v>26</v>
      </c>
      <c r="E350" s="7">
        <v>45623</v>
      </c>
      <c r="F350" t="s">
        <v>301</v>
      </c>
      <c r="G350">
        <v>1</v>
      </c>
      <c r="H350" t="s">
        <v>130</v>
      </c>
      <c r="I350" t="s">
        <v>16</v>
      </c>
      <c r="J350" t="s">
        <v>16</v>
      </c>
      <c r="K350" t="str">
        <f>VLOOKUP(C350,CheckName!A:B,2,0)</f>
        <v>Emp</v>
      </c>
      <c r="M350">
        <f>DAY(RejectionData[[#This Row],[RejectionDate]])</f>
        <v>27</v>
      </c>
    </row>
    <row r="351" spans="1:13">
      <c r="A351" t="s">
        <v>10</v>
      </c>
      <c r="B351" t="s">
        <v>601</v>
      </c>
      <c r="C351" t="s">
        <v>36</v>
      </c>
      <c r="D351" t="s">
        <v>26</v>
      </c>
      <c r="E351" s="7">
        <v>45623</v>
      </c>
      <c r="F351" t="s">
        <v>159</v>
      </c>
      <c r="G351">
        <v>1</v>
      </c>
      <c r="H351" t="s">
        <v>27</v>
      </c>
      <c r="I351" t="s">
        <v>16</v>
      </c>
      <c r="J351" t="s">
        <v>16</v>
      </c>
      <c r="K351" t="str">
        <f>VLOOKUP(C351,CheckName!A:B,2,0)</f>
        <v>Emp</v>
      </c>
      <c r="M351">
        <f>DAY(RejectionData[[#This Row],[RejectionDate]])</f>
        <v>27</v>
      </c>
    </row>
    <row r="352" spans="1:13">
      <c r="A352" t="s">
        <v>337</v>
      </c>
      <c r="B352" t="s">
        <v>602</v>
      </c>
      <c r="C352" t="s">
        <v>36</v>
      </c>
      <c r="D352" t="s">
        <v>26</v>
      </c>
      <c r="E352" s="7">
        <v>45623</v>
      </c>
      <c r="F352" t="s">
        <v>169</v>
      </c>
      <c r="G352">
        <v>1</v>
      </c>
      <c r="H352" t="s">
        <v>27</v>
      </c>
      <c r="I352" t="s">
        <v>16</v>
      </c>
      <c r="J352" t="s">
        <v>16</v>
      </c>
      <c r="K352" t="str">
        <f>VLOOKUP(C352,CheckName!A:B,2,0)</f>
        <v>Emp</v>
      </c>
      <c r="M352">
        <f>DAY(RejectionData[[#This Row],[RejectionDate]])</f>
        <v>27</v>
      </c>
    </row>
    <row r="353" spans="1:13">
      <c r="A353" t="s">
        <v>81</v>
      </c>
      <c r="B353" t="s">
        <v>603</v>
      </c>
      <c r="C353" t="s">
        <v>54</v>
      </c>
      <c r="D353" t="s">
        <v>26</v>
      </c>
      <c r="E353" s="7">
        <v>45623</v>
      </c>
      <c r="F353" t="s">
        <v>604</v>
      </c>
      <c r="G353">
        <v>1</v>
      </c>
      <c r="H353" t="s">
        <v>27</v>
      </c>
      <c r="I353" t="s">
        <v>16</v>
      </c>
      <c r="J353" t="s">
        <v>16</v>
      </c>
      <c r="K353" t="str">
        <f>VLOOKUP(C353,CheckName!A:B,2,0)</f>
        <v>Edu</v>
      </c>
      <c r="M353">
        <f>DAY(RejectionData[[#This Row],[RejectionDate]])</f>
        <v>27</v>
      </c>
    </row>
    <row r="354" spans="1:13">
      <c r="A354" t="s">
        <v>47</v>
      </c>
      <c r="B354" t="s">
        <v>605</v>
      </c>
      <c r="C354" t="s">
        <v>56</v>
      </c>
      <c r="D354" t="s">
        <v>13</v>
      </c>
      <c r="E354" s="7">
        <v>45623</v>
      </c>
      <c r="F354" t="s">
        <v>606</v>
      </c>
      <c r="G354">
        <v>1</v>
      </c>
      <c r="H354" t="s">
        <v>15</v>
      </c>
      <c r="I354" t="s">
        <v>16</v>
      </c>
      <c r="J354" t="s">
        <v>16</v>
      </c>
      <c r="K354" t="str">
        <f>VLOOKUP(C354,CheckName!A:B,2,0)</f>
        <v>Special Check</v>
      </c>
      <c r="M354">
        <f>DAY(RejectionData[[#This Row],[RejectionDate]])</f>
        <v>27</v>
      </c>
    </row>
    <row r="355" spans="1:13">
      <c r="A355" t="s">
        <v>47</v>
      </c>
      <c r="B355" t="s">
        <v>605</v>
      </c>
      <c r="C355" t="s">
        <v>71</v>
      </c>
      <c r="D355" t="s">
        <v>13</v>
      </c>
      <c r="E355" s="7">
        <v>45623</v>
      </c>
      <c r="F355" t="s">
        <v>606</v>
      </c>
      <c r="G355">
        <v>1</v>
      </c>
      <c r="H355" t="s">
        <v>15</v>
      </c>
      <c r="I355" t="s">
        <v>16</v>
      </c>
      <c r="J355" t="s">
        <v>16</v>
      </c>
      <c r="K355" t="str">
        <f>VLOOKUP(C355,CheckName!A:B,2,0)</f>
        <v>CRC</v>
      </c>
      <c r="M355">
        <f>DAY(RejectionData[[#This Row],[RejectionDate]])</f>
        <v>27</v>
      </c>
    </row>
    <row r="356" spans="1:13">
      <c r="A356" t="s">
        <v>40</v>
      </c>
      <c r="B356" t="s">
        <v>607</v>
      </c>
      <c r="C356" t="s">
        <v>12</v>
      </c>
      <c r="D356" t="s">
        <v>26</v>
      </c>
      <c r="E356" s="7">
        <v>45623</v>
      </c>
      <c r="F356" t="s">
        <v>608</v>
      </c>
      <c r="G356">
        <v>1</v>
      </c>
      <c r="H356" t="s">
        <v>27</v>
      </c>
      <c r="I356" t="s">
        <v>16</v>
      </c>
      <c r="J356" t="s">
        <v>16</v>
      </c>
      <c r="K356" t="str">
        <f>VLOOKUP(C356,CheckName!A:B,2,0)</f>
        <v>Emp</v>
      </c>
      <c r="M356">
        <f>DAY(RejectionData[[#This Row],[RejectionDate]])</f>
        <v>27</v>
      </c>
    </row>
    <row r="357" spans="1:13">
      <c r="A357" t="s">
        <v>609</v>
      </c>
      <c r="B357" t="s">
        <v>610</v>
      </c>
      <c r="C357" t="s">
        <v>36</v>
      </c>
      <c r="D357" t="s">
        <v>26</v>
      </c>
      <c r="E357" s="7">
        <v>45623</v>
      </c>
      <c r="F357" t="s">
        <v>277</v>
      </c>
      <c r="G357">
        <v>1</v>
      </c>
      <c r="H357" t="s">
        <v>22</v>
      </c>
      <c r="I357" t="s">
        <v>16</v>
      </c>
      <c r="J357" t="s">
        <v>16</v>
      </c>
      <c r="K357" t="str">
        <f>VLOOKUP(C357,CheckName!A:B,2,0)</f>
        <v>Emp</v>
      </c>
      <c r="M357">
        <f>DAY(RejectionData[[#This Row],[RejectionDate]])</f>
        <v>27</v>
      </c>
    </row>
    <row r="358" spans="1:13">
      <c r="A358" t="s">
        <v>45</v>
      </c>
      <c r="B358" t="s">
        <v>611</v>
      </c>
      <c r="C358" t="s">
        <v>36</v>
      </c>
      <c r="D358" t="s">
        <v>26</v>
      </c>
      <c r="E358" s="7">
        <v>45623</v>
      </c>
      <c r="F358" t="s">
        <v>179</v>
      </c>
      <c r="G358">
        <v>1</v>
      </c>
      <c r="H358" t="s">
        <v>22</v>
      </c>
      <c r="I358" t="s">
        <v>16</v>
      </c>
      <c r="J358" t="s">
        <v>16</v>
      </c>
      <c r="K358" t="str">
        <f>VLOOKUP(C358,CheckName!A:B,2,0)</f>
        <v>Emp</v>
      </c>
      <c r="M358">
        <f>DAY(RejectionData[[#This Row],[RejectionDate]])</f>
        <v>27</v>
      </c>
    </row>
    <row r="359" spans="1:13">
      <c r="A359" t="s">
        <v>45</v>
      </c>
      <c r="B359" t="s">
        <v>612</v>
      </c>
      <c r="C359" t="s">
        <v>12</v>
      </c>
      <c r="D359" t="s">
        <v>26</v>
      </c>
      <c r="E359" s="7">
        <v>45623</v>
      </c>
      <c r="F359" t="s">
        <v>179</v>
      </c>
      <c r="G359">
        <v>1</v>
      </c>
      <c r="H359" t="s">
        <v>27</v>
      </c>
      <c r="I359" t="s">
        <v>16</v>
      </c>
      <c r="J359" t="s">
        <v>16</v>
      </c>
      <c r="K359" t="str">
        <f>VLOOKUP(C359,CheckName!A:B,2,0)</f>
        <v>Emp</v>
      </c>
      <c r="M359">
        <f>DAY(RejectionData[[#This Row],[RejectionDate]])</f>
        <v>27</v>
      </c>
    </row>
    <row r="360" spans="1:13">
      <c r="A360" t="s">
        <v>353</v>
      </c>
      <c r="B360" t="s">
        <v>613</v>
      </c>
      <c r="C360" t="s">
        <v>36</v>
      </c>
      <c r="D360" t="s">
        <v>26</v>
      </c>
      <c r="E360" s="7">
        <v>45623</v>
      </c>
      <c r="F360" t="s">
        <v>614</v>
      </c>
      <c r="G360">
        <v>1</v>
      </c>
      <c r="H360" t="s">
        <v>22</v>
      </c>
      <c r="I360" t="s">
        <v>16</v>
      </c>
      <c r="J360" t="s">
        <v>16</v>
      </c>
      <c r="K360" t="str">
        <f>VLOOKUP(C360,CheckName!A:B,2,0)</f>
        <v>Emp</v>
      </c>
      <c r="M360">
        <f>DAY(RejectionData[[#This Row],[RejectionDate]])</f>
        <v>27</v>
      </c>
    </row>
    <row r="361" spans="1:13">
      <c r="A361" t="s">
        <v>133</v>
      </c>
      <c r="B361" t="s">
        <v>615</v>
      </c>
      <c r="C361" t="s">
        <v>36</v>
      </c>
      <c r="D361" t="s">
        <v>13</v>
      </c>
      <c r="E361" s="7">
        <v>45623</v>
      </c>
      <c r="F361" t="s">
        <v>574</v>
      </c>
      <c r="G361">
        <v>1</v>
      </c>
      <c r="H361" t="s">
        <v>505</v>
      </c>
      <c r="I361" t="s">
        <v>16</v>
      </c>
      <c r="J361" t="s">
        <v>16</v>
      </c>
      <c r="K361" t="str">
        <f>VLOOKUP(C361,CheckName!A:B,2,0)</f>
        <v>Emp</v>
      </c>
      <c r="M361">
        <f>DAY(RejectionData[[#This Row],[RejectionDate]])</f>
        <v>27</v>
      </c>
    </row>
    <row r="362" spans="1:13">
      <c r="A362" t="s">
        <v>133</v>
      </c>
      <c r="B362" t="s">
        <v>616</v>
      </c>
      <c r="C362" t="s">
        <v>49</v>
      </c>
      <c r="D362" t="s">
        <v>13</v>
      </c>
      <c r="E362" s="7">
        <v>45623</v>
      </c>
      <c r="F362" t="s">
        <v>574</v>
      </c>
      <c r="G362">
        <v>1</v>
      </c>
      <c r="H362" t="s">
        <v>15</v>
      </c>
      <c r="I362" t="s">
        <v>16</v>
      </c>
      <c r="J362" t="s">
        <v>16</v>
      </c>
      <c r="K362" t="str">
        <f>VLOOKUP(C362,CheckName!A:B,2,0)</f>
        <v>CRC</v>
      </c>
      <c r="M362">
        <f>DAY(RejectionData[[#This Row],[RejectionDate]])</f>
        <v>27</v>
      </c>
    </row>
    <row r="363" spans="1:13">
      <c r="A363" t="s">
        <v>137</v>
      </c>
      <c r="B363" t="s">
        <v>617</v>
      </c>
      <c r="C363" t="s">
        <v>25</v>
      </c>
      <c r="D363" t="s">
        <v>51</v>
      </c>
      <c r="E363" s="7">
        <v>45623</v>
      </c>
      <c r="F363" t="s">
        <v>194</v>
      </c>
      <c r="G363">
        <v>1</v>
      </c>
      <c r="H363" t="s">
        <v>53</v>
      </c>
      <c r="I363" t="s">
        <v>16</v>
      </c>
      <c r="J363" t="s">
        <v>16</v>
      </c>
      <c r="K363" t="str">
        <f>VLOOKUP(C363,CheckName!A:B,2,0)</f>
        <v>Add</v>
      </c>
      <c r="M363">
        <f>DAY(RejectionData[[#This Row],[RejectionDate]])</f>
        <v>27</v>
      </c>
    </row>
    <row r="364" spans="1:13">
      <c r="A364" t="s">
        <v>137</v>
      </c>
      <c r="B364" t="s">
        <v>618</v>
      </c>
      <c r="C364" t="s">
        <v>54</v>
      </c>
      <c r="D364" t="s">
        <v>51</v>
      </c>
      <c r="E364" s="7">
        <v>45623</v>
      </c>
      <c r="F364" t="s">
        <v>194</v>
      </c>
      <c r="G364">
        <v>1</v>
      </c>
      <c r="H364" t="s">
        <v>53</v>
      </c>
      <c r="I364" t="s">
        <v>16</v>
      </c>
      <c r="J364" t="s">
        <v>16</v>
      </c>
      <c r="K364" t="str">
        <f>VLOOKUP(C364,CheckName!A:B,2,0)</f>
        <v>Edu</v>
      </c>
      <c r="M364">
        <f>DAY(RejectionData[[#This Row],[RejectionDate]])</f>
        <v>27</v>
      </c>
    </row>
    <row r="365" spans="1:13">
      <c r="A365" t="s">
        <v>394</v>
      </c>
      <c r="B365" t="s">
        <v>619</v>
      </c>
      <c r="C365" t="s">
        <v>12</v>
      </c>
      <c r="D365" t="s">
        <v>26</v>
      </c>
      <c r="E365" s="7">
        <v>45623</v>
      </c>
      <c r="F365" t="s">
        <v>196</v>
      </c>
      <c r="G365">
        <v>1</v>
      </c>
      <c r="H365" t="s">
        <v>27</v>
      </c>
      <c r="I365" t="s">
        <v>16</v>
      </c>
      <c r="J365" t="s">
        <v>16</v>
      </c>
      <c r="K365" t="str">
        <f>VLOOKUP(C365,CheckName!A:B,2,0)</f>
        <v>Emp</v>
      </c>
      <c r="M365">
        <f>DAY(RejectionData[[#This Row],[RejectionDate]])</f>
        <v>27</v>
      </c>
    </row>
    <row r="366" spans="1:13">
      <c r="A366" t="s">
        <v>45</v>
      </c>
      <c r="B366" t="s">
        <v>620</v>
      </c>
      <c r="C366" t="s">
        <v>19</v>
      </c>
      <c r="D366" t="s">
        <v>26</v>
      </c>
      <c r="E366" s="7">
        <v>45623</v>
      </c>
      <c r="F366" t="s">
        <v>76</v>
      </c>
      <c r="G366">
        <v>1</v>
      </c>
      <c r="H366" t="s">
        <v>27</v>
      </c>
      <c r="I366" t="s">
        <v>16</v>
      </c>
      <c r="J366" t="s">
        <v>16</v>
      </c>
      <c r="K366" t="str">
        <f>VLOOKUP(C366,CheckName!A:B,2,0)</f>
        <v>Add</v>
      </c>
      <c r="M366">
        <f>DAY(RejectionData[[#This Row],[RejectionDate]])</f>
        <v>27</v>
      </c>
    </row>
    <row r="367" spans="1:13">
      <c r="A367" t="s">
        <v>362</v>
      </c>
      <c r="B367" t="s">
        <v>621</v>
      </c>
      <c r="C367" t="s">
        <v>25</v>
      </c>
      <c r="D367" t="s">
        <v>26</v>
      </c>
      <c r="E367" s="7">
        <v>45623</v>
      </c>
      <c r="F367" t="s">
        <v>66</v>
      </c>
      <c r="G367">
        <v>1</v>
      </c>
      <c r="H367" t="s">
        <v>27</v>
      </c>
      <c r="I367" t="s">
        <v>16</v>
      </c>
      <c r="J367" t="s">
        <v>16</v>
      </c>
      <c r="K367" t="str">
        <f>VLOOKUP(C367,CheckName!A:B,2,0)</f>
        <v>Add</v>
      </c>
      <c r="M367">
        <f>DAY(RejectionData[[#This Row],[RejectionDate]])</f>
        <v>27</v>
      </c>
    </row>
    <row r="368" spans="1:13">
      <c r="A368" t="s">
        <v>362</v>
      </c>
      <c r="B368" t="s">
        <v>622</v>
      </c>
      <c r="C368" t="s">
        <v>25</v>
      </c>
      <c r="D368" t="s">
        <v>26</v>
      </c>
      <c r="E368" s="7">
        <v>45623</v>
      </c>
      <c r="F368" t="s">
        <v>66</v>
      </c>
      <c r="G368">
        <v>1</v>
      </c>
      <c r="H368" t="s">
        <v>30</v>
      </c>
      <c r="I368" t="s">
        <v>16</v>
      </c>
      <c r="J368" t="s">
        <v>16</v>
      </c>
      <c r="K368" t="str">
        <f>VLOOKUP(C368,CheckName!A:B,2,0)</f>
        <v>Add</v>
      </c>
      <c r="M368">
        <f>DAY(RejectionData[[#This Row],[RejectionDate]])</f>
        <v>27</v>
      </c>
    </row>
    <row r="369" spans="1:13">
      <c r="A369" t="s">
        <v>362</v>
      </c>
      <c r="B369" t="s">
        <v>623</v>
      </c>
      <c r="C369" t="s">
        <v>25</v>
      </c>
      <c r="D369" t="s">
        <v>26</v>
      </c>
      <c r="E369" s="7">
        <v>45623</v>
      </c>
      <c r="F369" t="s">
        <v>66</v>
      </c>
      <c r="G369">
        <v>1</v>
      </c>
      <c r="H369" t="s">
        <v>95</v>
      </c>
      <c r="I369" t="s">
        <v>16</v>
      </c>
      <c r="J369" t="s">
        <v>16</v>
      </c>
      <c r="K369" t="str">
        <f>VLOOKUP(C369,CheckName!A:B,2,0)</f>
        <v>Add</v>
      </c>
      <c r="M369">
        <f>DAY(RejectionData[[#This Row],[RejectionDate]])</f>
        <v>27</v>
      </c>
    </row>
    <row r="370" spans="1:13">
      <c r="A370" t="s">
        <v>170</v>
      </c>
      <c r="B370" t="s">
        <v>624</v>
      </c>
      <c r="C370" t="s">
        <v>19</v>
      </c>
      <c r="D370" t="s">
        <v>20</v>
      </c>
      <c r="E370" s="7">
        <v>45623</v>
      </c>
      <c r="F370" t="s">
        <v>62</v>
      </c>
      <c r="G370">
        <v>1</v>
      </c>
      <c r="H370" t="s">
        <v>27</v>
      </c>
      <c r="I370" t="s">
        <v>16</v>
      </c>
      <c r="J370" t="s">
        <v>16</v>
      </c>
      <c r="K370" t="str">
        <f>VLOOKUP(C370,CheckName!A:B,2,0)</f>
        <v>Add</v>
      </c>
      <c r="M370">
        <f>DAY(RejectionData[[#This Row],[RejectionDate]])</f>
        <v>27</v>
      </c>
    </row>
    <row r="371" spans="1:13">
      <c r="A371" t="s">
        <v>625</v>
      </c>
      <c r="B371" t="s">
        <v>626</v>
      </c>
      <c r="C371" t="s">
        <v>54</v>
      </c>
      <c r="D371" t="s">
        <v>26</v>
      </c>
      <c r="E371" s="7">
        <v>45623</v>
      </c>
      <c r="F371" t="s">
        <v>210</v>
      </c>
      <c r="G371">
        <v>1</v>
      </c>
      <c r="H371" t="s">
        <v>22</v>
      </c>
      <c r="I371" t="s">
        <v>16</v>
      </c>
      <c r="J371" t="s">
        <v>16</v>
      </c>
      <c r="K371" t="str">
        <f>VLOOKUP(C371,CheckName!A:B,2,0)</f>
        <v>Edu</v>
      </c>
      <c r="M371">
        <f>DAY(RejectionData[[#This Row],[RejectionDate]])</f>
        <v>27</v>
      </c>
    </row>
    <row r="372" spans="1:13">
      <c r="A372" t="s">
        <v>627</v>
      </c>
      <c r="B372" t="s">
        <v>628</v>
      </c>
      <c r="C372" t="s">
        <v>25</v>
      </c>
      <c r="D372" t="s">
        <v>26</v>
      </c>
      <c r="E372" s="7">
        <v>45623</v>
      </c>
      <c r="F372" t="s">
        <v>66</v>
      </c>
      <c r="G372">
        <v>1</v>
      </c>
      <c r="H372" t="s">
        <v>27</v>
      </c>
      <c r="I372" t="s">
        <v>16</v>
      </c>
      <c r="J372" t="s">
        <v>16</v>
      </c>
      <c r="K372" t="str">
        <f>VLOOKUP(C372,CheckName!A:B,2,0)</f>
        <v>Add</v>
      </c>
      <c r="M372">
        <f>DAY(RejectionData[[#This Row],[RejectionDate]])</f>
        <v>27</v>
      </c>
    </row>
    <row r="373" spans="1:13">
      <c r="A373" t="s">
        <v>320</v>
      </c>
      <c r="B373" t="s">
        <v>629</v>
      </c>
      <c r="C373" t="s">
        <v>322</v>
      </c>
      <c r="D373" t="s">
        <v>20</v>
      </c>
      <c r="E373" s="7">
        <v>45623</v>
      </c>
      <c r="F373" t="s">
        <v>66</v>
      </c>
      <c r="G373">
        <v>1</v>
      </c>
      <c r="H373" t="s">
        <v>22</v>
      </c>
      <c r="I373" t="s">
        <v>16</v>
      </c>
      <c r="J373" t="s">
        <v>16</v>
      </c>
      <c r="K373" t="str">
        <f>VLOOKUP(C373,CheckName!A:B,2,0)</f>
        <v>Add</v>
      </c>
      <c r="M373">
        <f>DAY(RejectionData[[#This Row],[RejectionDate]])</f>
        <v>27</v>
      </c>
    </row>
    <row r="374" spans="1:13">
      <c r="A374" t="s">
        <v>84</v>
      </c>
      <c r="B374" t="s">
        <v>630</v>
      </c>
      <c r="C374" t="s">
        <v>12</v>
      </c>
      <c r="D374" t="s">
        <v>26</v>
      </c>
      <c r="E374" s="7">
        <v>45623</v>
      </c>
      <c r="F374" t="s">
        <v>222</v>
      </c>
      <c r="G374">
        <v>1</v>
      </c>
      <c r="H374" t="s">
        <v>27</v>
      </c>
      <c r="I374" t="s">
        <v>16</v>
      </c>
      <c r="J374" t="s">
        <v>16</v>
      </c>
      <c r="K374" t="str">
        <f>VLOOKUP(C374,CheckName!A:B,2,0)</f>
        <v>Emp</v>
      </c>
      <c r="M374">
        <f>DAY(RejectionData[[#This Row],[RejectionDate]])</f>
        <v>27</v>
      </c>
    </row>
    <row r="375" spans="1:13">
      <c r="A375" t="s">
        <v>45</v>
      </c>
      <c r="B375" t="s">
        <v>631</v>
      </c>
      <c r="C375" t="s">
        <v>12</v>
      </c>
      <c r="D375" t="s">
        <v>26</v>
      </c>
      <c r="E375" s="7">
        <v>45623</v>
      </c>
      <c r="F375" t="s">
        <v>224</v>
      </c>
      <c r="G375">
        <v>1</v>
      </c>
      <c r="H375" t="s">
        <v>27</v>
      </c>
      <c r="I375" t="s">
        <v>16</v>
      </c>
      <c r="J375" t="s">
        <v>16</v>
      </c>
      <c r="K375" t="str">
        <f>VLOOKUP(C375,CheckName!A:B,2,0)</f>
        <v>Emp</v>
      </c>
      <c r="M375">
        <f>DAY(RejectionData[[#This Row],[RejectionDate]])</f>
        <v>27</v>
      </c>
    </row>
    <row r="376" spans="1:13">
      <c r="A376" t="s">
        <v>45</v>
      </c>
      <c r="B376" t="s">
        <v>632</v>
      </c>
      <c r="C376" t="s">
        <v>125</v>
      </c>
      <c r="D376" t="s">
        <v>26</v>
      </c>
      <c r="E376" s="7">
        <v>45623</v>
      </c>
      <c r="F376" t="s">
        <v>224</v>
      </c>
      <c r="G376">
        <v>1</v>
      </c>
      <c r="H376" t="s">
        <v>27</v>
      </c>
      <c r="I376" t="s">
        <v>16</v>
      </c>
      <c r="J376" t="s">
        <v>16</v>
      </c>
      <c r="K376" t="str">
        <f>VLOOKUP(C376,CheckName!A:B,2,0)</f>
        <v>Emp</v>
      </c>
      <c r="M376">
        <f>DAY(RejectionData[[#This Row],[RejectionDate]])</f>
        <v>27</v>
      </c>
    </row>
    <row r="377" spans="1:13">
      <c r="A377" t="s">
        <v>306</v>
      </c>
      <c r="B377" t="s">
        <v>633</v>
      </c>
      <c r="C377" t="s">
        <v>125</v>
      </c>
      <c r="D377" t="s">
        <v>38</v>
      </c>
      <c r="E377" s="7">
        <v>45623</v>
      </c>
      <c r="F377" t="s">
        <v>39</v>
      </c>
      <c r="G377">
        <v>1</v>
      </c>
      <c r="H377" t="s">
        <v>42</v>
      </c>
      <c r="I377" t="s">
        <v>16</v>
      </c>
      <c r="J377" t="s">
        <v>16</v>
      </c>
      <c r="K377" t="str">
        <f>VLOOKUP(C377,CheckName!A:B,2,0)</f>
        <v>Emp</v>
      </c>
      <c r="M377">
        <f>DAY(RejectionData[[#This Row],[RejectionDate]])</f>
        <v>27</v>
      </c>
    </row>
    <row r="378" spans="1:13">
      <c r="A378" t="s">
        <v>211</v>
      </c>
      <c r="B378" t="s">
        <v>634</v>
      </c>
      <c r="C378" t="s">
        <v>93</v>
      </c>
      <c r="D378" t="s">
        <v>13</v>
      </c>
      <c r="E378" s="7">
        <v>45623</v>
      </c>
      <c r="F378" t="s">
        <v>33</v>
      </c>
      <c r="G378">
        <v>1</v>
      </c>
      <c r="H378" t="s">
        <v>15</v>
      </c>
      <c r="I378" t="s">
        <v>16</v>
      </c>
      <c r="J378" t="s">
        <v>16</v>
      </c>
      <c r="K378" t="str">
        <f>VLOOKUP(C378,CheckName!A:B,2,0)</f>
        <v>Edu</v>
      </c>
      <c r="M378">
        <f>DAY(RejectionData[[#This Row],[RejectionDate]])</f>
        <v>27</v>
      </c>
    </row>
    <row r="379" spans="1:13">
      <c r="A379" t="s">
        <v>47</v>
      </c>
      <c r="B379" t="s">
        <v>635</v>
      </c>
      <c r="C379" t="s">
        <v>49</v>
      </c>
      <c r="D379" t="s">
        <v>13</v>
      </c>
      <c r="E379" s="7">
        <v>45623</v>
      </c>
      <c r="F379" t="s">
        <v>14</v>
      </c>
      <c r="G379">
        <v>1</v>
      </c>
      <c r="H379" t="s">
        <v>15</v>
      </c>
      <c r="I379" t="s">
        <v>16</v>
      </c>
      <c r="J379" t="s">
        <v>16</v>
      </c>
      <c r="K379" t="str">
        <f>VLOOKUP(C379,CheckName!A:B,2,0)</f>
        <v>CRC</v>
      </c>
      <c r="M379">
        <f>DAY(RejectionData[[#This Row],[RejectionDate]])</f>
        <v>27</v>
      </c>
    </row>
    <row r="380" spans="1:13">
      <c r="A380" t="s">
        <v>636</v>
      </c>
      <c r="B380" t="s">
        <v>637</v>
      </c>
      <c r="C380" t="s">
        <v>19</v>
      </c>
      <c r="D380" t="s">
        <v>20</v>
      </c>
      <c r="E380" s="7">
        <v>45623</v>
      </c>
      <c r="F380" t="s">
        <v>21</v>
      </c>
      <c r="G380">
        <v>1</v>
      </c>
      <c r="H380" t="s">
        <v>27</v>
      </c>
      <c r="I380" t="s">
        <v>16</v>
      </c>
      <c r="J380" t="s">
        <v>16</v>
      </c>
      <c r="K380" t="str">
        <f>VLOOKUP(C380,CheckName!A:B,2,0)</f>
        <v>Add</v>
      </c>
      <c r="M380">
        <f>DAY(RejectionData[[#This Row],[RejectionDate]])</f>
        <v>27</v>
      </c>
    </row>
    <row r="381" spans="1:13">
      <c r="A381" t="s">
        <v>312</v>
      </c>
      <c r="B381" t="s">
        <v>638</v>
      </c>
      <c r="C381" t="s">
        <v>19</v>
      </c>
      <c r="D381" t="s">
        <v>20</v>
      </c>
      <c r="E381" s="7">
        <v>45623</v>
      </c>
      <c r="F381" t="s">
        <v>21</v>
      </c>
      <c r="G381">
        <v>1</v>
      </c>
      <c r="H381" t="s">
        <v>22</v>
      </c>
      <c r="I381" t="s">
        <v>16</v>
      </c>
      <c r="J381" t="s">
        <v>16</v>
      </c>
      <c r="K381" t="str">
        <f>VLOOKUP(C381,CheckName!A:B,2,0)</f>
        <v>Add</v>
      </c>
      <c r="M381">
        <f>DAY(RejectionData[[#This Row],[RejectionDate]])</f>
        <v>27</v>
      </c>
    </row>
    <row r="382" spans="1:13">
      <c r="A382" t="s">
        <v>176</v>
      </c>
      <c r="B382" t="s">
        <v>639</v>
      </c>
      <c r="C382" t="s">
        <v>531</v>
      </c>
      <c r="D382" t="s">
        <v>26</v>
      </c>
      <c r="E382" s="7">
        <v>45623</v>
      </c>
      <c r="F382" t="s">
        <v>236</v>
      </c>
      <c r="G382">
        <v>1</v>
      </c>
      <c r="H382" t="s">
        <v>27</v>
      </c>
      <c r="I382" t="s">
        <v>16</v>
      </c>
      <c r="J382" t="s">
        <v>16</v>
      </c>
      <c r="K382" t="str">
        <f>VLOOKUP(C382,CheckName!A:B,2,0)</f>
        <v>Special Check</v>
      </c>
      <c r="M382">
        <f>DAY(RejectionData[[#This Row],[RejectionDate]])</f>
        <v>27</v>
      </c>
    </row>
    <row r="383" spans="1:13">
      <c r="A383" t="s">
        <v>17</v>
      </c>
      <c r="B383" t="s">
        <v>640</v>
      </c>
      <c r="C383" t="s">
        <v>19</v>
      </c>
      <c r="D383" t="s">
        <v>20</v>
      </c>
      <c r="E383" s="7">
        <v>45623</v>
      </c>
      <c r="F383" t="s">
        <v>21</v>
      </c>
      <c r="G383">
        <v>1</v>
      </c>
      <c r="H383" t="s">
        <v>130</v>
      </c>
      <c r="I383" t="s">
        <v>16</v>
      </c>
      <c r="J383" t="s">
        <v>16</v>
      </c>
      <c r="K383" t="str">
        <f>VLOOKUP(C383,CheckName!A:B,2,0)</f>
        <v>Add</v>
      </c>
      <c r="M383">
        <f>DAY(RejectionData[[#This Row],[RejectionDate]])</f>
        <v>27</v>
      </c>
    </row>
    <row r="384" spans="1:13">
      <c r="A384" t="s">
        <v>413</v>
      </c>
      <c r="B384" t="s">
        <v>641</v>
      </c>
      <c r="C384" t="s">
        <v>36</v>
      </c>
      <c r="D384" t="s">
        <v>26</v>
      </c>
      <c r="E384" s="7">
        <v>45623</v>
      </c>
      <c r="F384" t="s">
        <v>325</v>
      </c>
      <c r="G384">
        <v>1</v>
      </c>
      <c r="H384" t="s">
        <v>27</v>
      </c>
      <c r="I384" t="s">
        <v>16</v>
      </c>
      <c r="J384" t="s">
        <v>16</v>
      </c>
      <c r="K384" t="str">
        <f>VLOOKUP(C384,CheckName!A:B,2,0)</f>
        <v>Emp</v>
      </c>
      <c r="M384">
        <f>DAY(RejectionData[[#This Row],[RejectionDate]])</f>
        <v>27</v>
      </c>
    </row>
    <row r="385" spans="1:13">
      <c r="A385" t="s">
        <v>274</v>
      </c>
      <c r="B385" t="s">
        <v>642</v>
      </c>
      <c r="C385" t="s">
        <v>25</v>
      </c>
      <c r="D385" t="s">
        <v>20</v>
      </c>
      <c r="E385" s="7">
        <v>45623</v>
      </c>
      <c r="F385" t="s">
        <v>21</v>
      </c>
      <c r="G385">
        <v>1</v>
      </c>
      <c r="H385" t="s">
        <v>22</v>
      </c>
      <c r="I385" t="s">
        <v>16</v>
      </c>
      <c r="J385" t="s">
        <v>16</v>
      </c>
      <c r="K385" t="str">
        <f>VLOOKUP(C385,CheckName!A:B,2,0)</f>
        <v>Add</v>
      </c>
      <c r="M385">
        <f>DAY(RejectionData[[#This Row],[RejectionDate]])</f>
        <v>27</v>
      </c>
    </row>
    <row r="386" spans="1:13">
      <c r="A386" t="s">
        <v>64</v>
      </c>
      <c r="B386" t="s">
        <v>643</v>
      </c>
      <c r="C386" t="s">
        <v>25</v>
      </c>
      <c r="D386" t="s">
        <v>26</v>
      </c>
      <c r="E386" s="7">
        <v>45623</v>
      </c>
      <c r="F386" t="s">
        <v>273</v>
      </c>
      <c r="G386">
        <v>1</v>
      </c>
      <c r="H386" t="s">
        <v>27</v>
      </c>
      <c r="I386" t="s">
        <v>16</v>
      </c>
      <c r="J386" t="s">
        <v>16</v>
      </c>
      <c r="K386" t="str">
        <f>VLOOKUP(C386,CheckName!A:B,2,0)</f>
        <v>Add</v>
      </c>
      <c r="M386">
        <f>DAY(RejectionData[[#This Row],[RejectionDate]])</f>
        <v>27</v>
      </c>
    </row>
    <row r="387" spans="1:13">
      <c r="A387" t="s">
        <v>47</v>
      </c>
      <c r="B387" t="s">
        <v>635</v>
      </c>
      <c r="C387" t="s">
        <v>54</v>
      </c>
      <c r="D387" t="s">
        <v>13</v>
      </c>
      <c r="E387" s="7">
        <v>45624</v>
      </c>
      <c r="F387" t="s">
        <v>14</v>
      </c>
      <c r="G387">
        <v>0</v>
      </c>
      <c r="H387" t="s">
        <v>15</v>
      </c>
      <c r="I387" t="s">
        <v>16</v>
      </c>
      <c r="J387" t="s">
        <v>16</v>
      </c>
      <c r="K387" t="str">
        <f>VLOOKUP(C387,CheckName!A:B,2,0)</f>
        <v>Edu</v>
      </c>
      <c r="M387">
        <f>DAY(RejectionData[[#This Row],[RejectionDate]])</f>
        <v>28</v>
      </c>
    </row>
    <row r="388" spans="1:13">
      <c r="A388" t="s">
        <v>644</v>
      </c>
      <c r="B388" t="s">
        <v>645</v>
      </c>
      <c r="C388" t="s">
        <v>36</v>
      </c>
      <c r="D388" t="s">
        <v>13</v>
      </c>
      <c r="E388" s="7">
        <v>45624</v>
      </c>
      <c r="F388" t="s">
        <v>14</v>
      </c>
      <c r="G388">
        <v>0</v>
      </c>
      <c r="H388" t="s">
        <v>15</v>
      </c>
      <c r="I388" t="s">
        <v>16</v>
      </c>
      <c r="J388" t="s">
        <v>16</v>
      </c>
      <c r="K388" t="str">
        <f>VLOOKUP(C388,CheckName!A:B,2,0)</f>
        <v>Emp</v>
      </c>
      <c r="M388">
        <f>DAY(RejectionData[[#This Row],[RejectionDate]])</f>
        <v>28</v>
      </c>
    </row>
    <row r="389" spans="1:13">
      <c r="A389" t="s">
        <v>644</v>
      </c>
      <c r="B389" t="s">
        <v>645</v>
      </c>
      <c r="C389" t="s">
        <v>12</v>
      </c>
      <c r="D389" t="s">
        <v>13</v>
      </c>
      <c r="E389" s="7">
        <v>45624</v>
      </c>
      <c r="F389" t="s">
        <v>14</v>
      </c>
      <c r="G389">
        <v>0</v>
      </c>
      <c r="H389" t="s">
        <v>15</v>
      </c>
      <c r="I389" t="s">
        <v>16</v>
      </c>
      <c r="J389" t="s">
        <v>16</v>
      </c>
      <c r="K389" t="str">
        <f>VLOOKUP(C389,CheckName!A:B,2,0)</f>
        <v>Emp</v>
      </c>
      <c r="M389">
        <f>DAY(RejectionData[[#This Row],[RejectionDate]])</f>
        <v>28</v>
      </c>
    </row>
    <row r="390" spans="1:13">
      <c r="A390" t="s">
        <v>432</v>
      </c>
      <c r="B390" t="s">
        <v>646</v>
      </c>
      <c r="C390" t="s">
        <v>467</v>
      </c>
      <c r="D390" t="s">
        <v>26</v>
      </c>
      <c r="E390" s="7">
        <v>45624</v>
      </c>
      <c r="F390" t="s">
        <v>236</v>
      </c>
      <c r="G390">
        <v>0</v>
      </c>
      <c r="H390" t="s">
        <v>22</v>
      </c>
      <c r="I390" t="s">
        <v>16</v>
      </c>
      <c r="J390" t="s">
        <v>16</v>
      </c>
      <c r="K390" t="str">
        <f>VLOOKUP(C390,CheckName!A:B,2,0)</f>
        <v>Special Check</v>
      </c>
      <c r="M390">
        <f>DAY(RejectionData[[#This Row],[RejectionDate]])</f>
        <v>28</v>
      </c>
    </row>
    <row r="391" spans="1:13">
      <c r="A391" t="s">
        <v>432</v>
      </c>
      <c r="B391" t="s">
        <v>647</v>
      </c>
      <c r="C391" t="s">
        <v>467</v>
      </c>
      <c r="D391" t="s">
        <v>26</v>
      </c>
      <c r="E391" s="7">
        <v>45624</v>
      </c>
      <c r="F391" t="s">
        <v>236</v>
      </c>
      <c r="G391">
        <v>0</v>
      </c>
      <c r="H391" t="s">
        <v>425</v>
      </c>
      <c r="I391" t="s">
        <v>16</v>
      </c>
      <c r="J391" t="s">
        <v>16</v>
      </c>
      <c r="K391" t="str">
        <f>VLOOKUP(C391,CheckName!A:B,2,0)</f>
        <v>Special Check</v>
      </c>
      <c r="M391">
        <f>DAY(RejectionData[[#This Row],[RejectionDate]])</f>
        <v>28</v>
      </c>
    </row>
    <row r="392" spans="1:13">
      <c r="A392" t="s">
        <v>84</v>
      </c>
      <c r="B392" t="s">
        <v>648</v>
      </c>
      <c r="C392" t="s">
        <v>467</v>
      </c>
      <c r="D392" t="s">
        <v>26</v>
      </c>
      <c r="E392" s="7">
        <v>45624</v>
      </c>
      <c r="F392" t="s">
        <v>236</v>
      </c>
      <c r="G392">
        <v>0</v>
      </c>
      <c r="H392" t="s">
        <v>95</v>
      </c>
      <c r="I392" t="s">
        <v>16</v>
      </c>
      <c r="J392" t="s">
        <v>16</v>
      </c>
      <c r="K392" t="str">
        <f>VLOOKUP(C392,CheckName!A:B,2,0)</f>
        <v>Special Check</v>
      </c>
      <c r="M392">
        <f>DAY(RejectionData[[#This Row],[RejectionDate]])</f>
        <v>28</v>
      </c>
    </row>
    <row r="393" spans="1:13">
      <c r="A393" t="s">
        <v>84</v>
      </c>
      <c r="B393" t="s">
        <v>649</v>
      </c>
      <c r="C393" t="s">
        <v>467</v>
      </c>
      <c r="D393" t="s">
        <v>26</v>
      </c>
      <c r="E393" s="7">
        <v>45624</v>
      </c>
      <c r="F393" t="s">
        <v>236</v>
      </c>
      <c r="G393">
        <v>0</v>
      </c>
      <c r="H393" t="s">
        <v>22</v>
      </c>
      <c r="I393" t="s">
        <v>16</v>
      </c>
      <c r="J393" t="s">
        <v>16</v>
      </c>
      <c r="K393" t="str">
        <f>VLOOKUP(C393,CheckName!A:B,2,0)</f>
        <v>Special Check</v>
      </c>
      <c r="M393">
        <f>DAY(RejectionData[[#This Row],[RejectionDate]])</f>
        <v>28</v>
      </c>
    </row>
    <row r="394" spans="1:13">
      <c r="A394" t="s">
        <v>84</v>
      </c>
      <c r="B394" t="s">
        <v>650</v>
      </c>
      <c r="C394" t="s">
        <v>467</v>
      </c>
      <c r="D394" t="s">
        <v>26</v>
      </c>
      <c r="E394" s="7">
        <v>45624</v>
      </c>
      <c r="F394" t="s">
        <v>236</v>
      </c>
      <c r="G394">
        <v>0</v>
      </c>
      <c r="H394" t="s">
        <v>22</v>
      </c>
      <c r="I394" t="s">
        <v>16</v>
      </c>
      <c r="J394" t="s">
        <v>16</v>
      </c>
      <c r="K394" t="str">
        <f>VLOOKUP(C394,CheckName!A:B,2,0)</f>
        <v>Special Check</v>
      </c>
      <c r="M394">
        <f>DAY(RejectionData[[#This Row],[RejectionDate]])</f>
        <v>28</v>
      </c>
    </row>
    <row r="395" spans="1:13">
      <c r="A395" t="s">
        <v>84</v>
      </c>
      <c r="B395" t="s">
        <v>651</v>
      </c>
      <c r="C395" t="s">
        <v>467</v>
      </c>
      <c r="D395" t="s">
        <v>26</v>
      </c>
      <c r="E395" s="7">
        <v>45624</v>
      </c>
      <c r="F395" t="s">
        <v>236</v>
      </c>
      <c r="G395">
        <v>0</v>
      </c>
      <c r="H395" t="s">
        <v>22</v>
      </c>
      <c r="I395" t="s">
        <v>16</v>
      </c>
      <c r="J395" t="s">
        <v>16</v>
      </c>
      <c r="K395" t="str">
        <f>VLOOKUP(C395,CheckName!A:B,2,0)</f>
        <v>Special Check</v>
      </c>
      <c r="M395">
        <f>DAY(RejectionData[[#This Row],[RejectionDate]])</f>
        <v>28</v>
      </c>
    </row>
    <row r="396" spans="1:13">
      <c r="A396" t="s">
        <v>84</v>
      </c>
      <c r="B396" t="s">
        <v>652</v>
      </c>
      <c r="C396" t="s">
        <v>467</v>
      </c>
      <c r="D396" t="s">
        <v>26</v>
      </c>
      <c r="E396" s="7">
        <v>45624</v>
      </c>
      <c r="F396" t="s">
        <v>236</v>
      </c>
      <c r="G396">
        <v>0</v>
      </c>
      <c r="H396" t="s">
        <v>22</v>
      </c>
      <c r="I396" t="s">
        <v>16</v>
      </c>
      <c r="J396" t="s">
        <v>16</v>
      </c>
      <c r="K396" t="str">
        <f>VLOOKUP(C396,CheckName!A:B,2,0)</f>
        <v>Special Check</v>
      </c>
      <c r="M396">
        <f>DAY(RejectionData[[#This Row],[RejectionDate]])</f>
        <v>28</v>
      </c>
    </row>
    <row r="397" spans="1:13">
      <c r="A397" t="s">
        <v>84</v>
      </c>
      <c r="B397" t="s">
        <v>653</v>
      </c>
      <c r="C397" t="s">
        <v>467</v>
      </c>
      <c r="D397" t="s">
        <v>26</v>
      </c>
      <c r="E397" s="7">
        <v>45624</v>
      </c>
      <c r="F397" t="s">
        <v>236</v>
      </c>
      <c r="G397">
        <v>0</v>
      </c>
      <c r="H397" t="s">
        <v>22</v>
      </c>
      <c r="I397" t="s">
        <v>16</v>
      </c>
      <c r="J397" t="s">
        <v>16</v>
      </c>
      <c r="K397" t="str">
        <f>VLOOKUP(C397,CheckName!A:B,2,0)</f>
        <v>Special Check</v>
      </c>
      <c r="M397">
        <f>DAY(RejectionData[[#This Row],[RejectionDate]])</f>
        <v>28</v>
      </c>
    </row>
    <row r="398" spans="1:13">
      <c r="A398" t="s">
        <v>84</v>
      </c>
      <c r="B398" t="s">
        <v>654</v>
      </c>
      <c r="C398" t="s">
        <v>467</v>
      </c>
      <c r="D398" t="s">
        <v>26</v>
      </c>
      <c r="E398" s="7">
        <v>45624</v>
      </c>
      <c r="F398" t="s">
        <v>236</v>
      </c>
      <c r="G398">
        <v>0</v>
      </c>
      <c r="H398" t="s">
        <v>22</v>
      </c>
      <c r="I398" t="s">
        <v>16</v>
      </c>
      <c r="J398" t="s">
        <v>16</v>
      </c>
      <c r="K398" t="str">
        <f>VLOOKUP(C398,CheckName!A:B,2,0)</f>
        <v>Special Check</v>
      </c>
      <c r="M398">
        <f>DAY(RejectionData[[#This Row],[RejectionDate]])</f>
        <v>28</v>
      </c>
    </row>
    <row r="399" spans="1:13">
      <c r="A399" t="s">
        <v>84</v>
      </c>
      <c r="B399" t="s">
        <v>655</v>
      </c>
      <c r="C399" t="s">
        <v>467</v>
      </c>
      <c r="D399" t="s">
        <v>26</v>
      </c>
      <c r="E399" s="7">
        <v>45624</v>
      </c>
      <c r="F399" t="s">
        <v>236</v>
      </c>
      <c r="G399">
        <v>0</v>
      </c>
      <c r="H399" t="s">
        <v>22</v>
      </c>
      <c r="I399" t="s">
        <v>16</v>
      </c>
      <c r="J399" t="s">
        <v>16</v>
      </c>
      <c r="K399" t="str">
        <f>VLOOKUP(C399,CheckName!A:B,2,0)</f>
        <v>Special Check</v>
      </c>
      <c r="M399">
        <f>DAY(RejectionData[[#This Row],[RejectionDate]])</f>
        <v>28</v>
      </c>
    </row>
    <row r="400" spans="1:13">
      <c r="A400" t="s">
        <v>84</v>
      </c>
      <c r="B400" t="s">
        <v>656</v>
      </c>
      <c r="C400" t="s">
        <v>467</v>
      </c>
      <c r="D400" t="s">
        <v>26</v>
      </c>
      <c r="E400" s="7">
        <v>45624</v>
      </c>
      <c r="F400" t="s">
        <v>236</v>
      </c>
      <c r="G400">
        <v>0</v>
      </c>
      <c r="H400" t="s">
        <v>27</v>
      </c>
      <c r="I400" t="s">
        <v>16</v>
      </c>
      <c r="J400" t="s">
        <v>16</v>
      </c>
      <c r="K400" t="str">
        <f>VLOOKUP(C400,CheckName!A:B,2,0)</f>
        <v>Special Check</v>
      </c>
      <c r="M400">
        <f>DAY(RejectionData[[#This Row],[RejectionDate]])</f>
        <v>28</v>
      </c>
    </row>
    <row r="401" spans="1:13">
      <c r="A401" t="s">
        <v>84</v>
      </c>
      <c r="B401" t="s">
        <v>657</v>
      </c>
      <c r="C401" t="s">
        <v>467</v>
      </c>
      <c r="D401" t="s">
        <v>26</v>
      </c>
      <c r="E401" s="7">
        <v>45624</v>
      </c>
      <c r="F401" t="s">
        <v>236</v>
      </c>
      <c r="G401">
        <v>0</v>
      </c>
      <c r="H401" t="s">
        <v>22</v>
      </c>
      <c r="I401" t="s">
        <v>16</v>
      </c>
      <c r="J401" t="s">
        <v>16</v>
      </c>
      <c r="K401" t="str">
        <f>VLOOKUP(C401,CheckName!A:B,2,0)</f>
        <v>Special Check</v>
      </c>
      <c r="M401">
        <f>DAY(RejectionData[[#This Row],[RejectionDate]])</f>
        <v>28</v>
      </c>
    </row>
    <row r="402" spans="1:13">
      <c r="A402" t="s">
        <v>84</v>
      </c>
      <c r="B402" t="s">
        <v>658</v>
      </c>
      <c r="C402" t="s">
        <v>467</v>
      </c>
      <c r="D402" t="s">
        <v>26</v>
      </c>
      <c r="E402" s="7">
        <v>45624</v>
      </c>
      <c r="F402" t="s">
        <v>236</v>
      </c>
      <c r="G402">
        <v>0</v>
      </c>
      <c r="H402" t="s">
        <v>22</v>
      </c>
      <c r="I402" t="s">
        <v>16</v>
      </c>
      <c r="J402" t="s">
        <v>16</v>
      </c>
      <c r="K402" t="str">
        <f>VLOOKUP(C402,CheckName!A:B,2,0)</f>
        <v>Special Check</v>
      </c>
      <c r="M402">
        <f>DAY(RejectionData[[#This Row],[RejectionDate]])</f>
        <v>28</v>
      </c>
    </row>
    <row r="403" spans="1:13">
      <c r="A403" t="s">
        <v>84</v>
      </c>
      <c r="B403" t="s">
        <v>659</v>
      </c>
      <c r="C403" t="s">
        <v>467</v>
      </c>
      <c r="D403" t="s">
        <v>26</v>
      </c>
      <c r="E403" s="7">
        <v>45624</v>
      </c>
      <c r="F403" t="s">
        <v>236</v>
      </c>
      <c r="G403">
        <v>0</v>
      </c>
      <c r="H403" t="s">
        <v>22</v>
      </c>
      <c r="I403" t="s">
        <v>16</v>
      </c>
      <c r="J403" t="s">
        <v>16</v>
      </c>
      <c r="K403" t="str">
        <f>VLOOKUP(C403,CheckName!A:B,2,0)</f>
        <v>Special Check</v>
      </c>
      <c r="M403">
        <f>DAY(RejectionData[[#This Row],[RejectionDate]])</f>
        <v>28</v>
      </c>
    </row>
    <row r="404" spans="1:13">
      <c r="A404" t="s">
        <v>84</v>
      </c>
      <c r="B404" t="s">
        <v>660</v>
      </c>
      <c r="C404" t="s">
        <v>467</v>
      </c>
      <c r="D404" t="s">
        <v>26</v>
      </c>
      <c r="E404" s="7">
        <v>45624</v>
      </c>
      <c r="F404" t="s">
        <v>236</v>
      </c>
      <c r="G404">
        <v>0</v>
      </c>
      <c r="H404" t="s">
        <v>22</v>
      </c>
      <c r="I404" t="s">
        <v>16</v>
      </c>
      <c r="J404" t="s">
        <v>16</v>
      </c>
      <c r="K404" t="str">
        <f>VLOOKUP(C404,CheckName!A:B,2,0)</f>
        <v>Special Check</v>
      </c>
      <c r="M404">
        <f>DAY(RejectionData[[#This Row],[RejectionDate]])</f>
        <v>28</v>
      </c>
    </row>
    <row r="405" spans="1:13">
      <c r="A405" t="s">
        <v>661</v>
      </c>
      <c r="B405" t="s">
        <v>662</v>
      </c>
      <c r="C405" t="s">
        <v>93</v>
      </c>
      <c r="D405" t="s">
        <v>26</v>
      </c>
      <c r="E405" s="7">
        <v>45624</v>
      </c>
      <c r="F405" t="s">
        <v>663</v>
      </c>
      <c r="G405">
        <v>0</v>
      </c>
      <c r="H405" t="s">
        <v>22</v>
      </c>
      <c r="I405" t="s">
        <v>16</v>
      </c>
      <c r="J405" t="s">
        <v>16</v>
      </c>
      <c r="K405" t="str">
        <f>VLOOKUP(C405,CheckName!A:B,2,0)</f>
        <v>Edu</v>
      </c>
      <c r="M405">
        <f>DAY(RejectionData[[#This Row],[RejectionDate]])</f>
        <v>28</v>
      </c>
    </row>
    <row r="406" spans="1:13">
      <c r="A406" t="s">
        <v>664</v>
      </c>
      <c r="B406" t="s">
        <v>665</v>
      </c>
      <c r="C406" t="s">
        <v>467</v>
      </c>
      <c r="D406" t="s">
        <v>13</v>
      </c>
      <c r="E406" s="7">
        <v>45624</v>
      </c>
      <c r="F406" t="s">
        <v>230</v>
      </c>
      <c r="G406">
        <v>0</v>
      </c>
      <c r="H406" t="s">
        <v>15</v>
      </c>
      <c r="I406" t="s">
        <v>16</v>
      </c>
      <c r="J406" t="s">
        <v>16</v>
      </c>
      <c r="K406" t="str">
        <f>VLOOKUP(C406,CheckName!A:B,2,0)</f>
        <v>Special Check</v>
      </c>
      <c r="M406">
        <f>DAY(RejectionData[[#This Row],[RejectionDate]])</f>
        <v>28</v>
      </c>
    </row>
    <row r="407" spans="1:13">
      <c r="A407" t="s">
        <v>91</v>
      </c>
      <c r="B407" t="s">
        <v>666</v>
      </c>
      <c r="C407" t="s">
        <v>12</v>
      </c>
      <c r="D407" t="s">
        <v>13</v>
      </c>
      <c r="E407" s="7">
        <v>45624</v>
      </c>
      <c r="F407" t="s">
        <v>230</v>
      </c>
      <c r="G407">
        <v>0</v>
      </c>
      <c r="H407" t="s">
        <v>15</v>
      </c>
      <c r="I407" t="s">
        <v>16</v>
      </c>
      <c r="J407" t="s">
        <v>16</v>
      </c>
      <c r="K407" t="str">
        <f>VLOOKUP(C407,CheckName!A:B,2,0)</f>
        <v>Emp</v>
      </c>
      <c r="M407">
        <f>DAY(RejectionData[[#This Row],[RejectionDate]])</f>
        <v>28</v>
      </c>
    </row>
    <row r="408" spans="1:13">
      <c r="A408" t="s">
        <v>667</v>
      </c>
      <c r="B408" t="s">
        <v>668</v>
      </c>
      <c r="C408" t="s">
        <v>71</v>
      </c>
      <c r="D408" t="s">
        <v>13</v>
      </c>
      <c r="E408" s="7">
        <v>45624</v>
      </c>
      <c r="F408" t="s">
        <v>230</v>
      </c>
      <c r="G408">
        <v>0</v>
      </c>
      <c r="H408" t="s">
        <v>505</v>
      </c>
      <c r="I408" t="s">
        <v>16</v>
      </c>
      <c r="J408" t="s">
        <v>16</v>
      </c>
      <c r="K408" t="str">
        <f>VLOOKUP(C408,CheckName!A:B,2,0)</f>
        <v>CRC</v>
      </c>
      <c r="M408">
        <f>DAY(RejectionData[[#This Row],[RejectionDate]])</f>
        <v>28</v>
      </c>
    </row>
    <row r="409" spans="1:13">
      <c r="A409" t="s">
        <v>667</v>
      </c>
      <c r="B409" t="s">
        <v>668</v>
      </c>
      <c r="C409" t="s">
        <v>25</v>
      </c>
      <c r="D409" t="s">
        <v>13</v>
      </c>
      <c r="E409" s="7">
        <v>45624</v>
      </c>
      <c r="F409" t="s">
        <v>230</v>
      </c>
      <c r="G409">
        <v>0</v>
      </c>
      <c r="H409" t="s">
        <v>505</v>
      </c>
      <c r="I409" t="s">
        <v>16</v>
      </c>
      <c r="J409" t="s">
        <v>16</v>
      </c>
      <c r="K409" t="str">
        <f>VLOOKUP(C409,CheckName!A:B,2,0)</f>
        <v>Add</v>
      </c>
      <c r="M409">
        <f>DAY(RejectionData[[#This Row],[RejectionDate]])</f>
        <v>28</v>
      </c>
    </row>
    <row r="410" spans="1:13">
      <c r="A410" t="s">
        <v>669</v>
      </c>
      <c r="B410" t="s">
        <v>670</v>
      </c>
      <c r="C410" t="s">
        <v>36</v>
      </c>
      <c r="D410" t="s">
        <v>13</v>
      </c>
      <c r="E410" s="7">
        <v>45624</v>
      </c>
      <c r="F410" t="s">
        <v>230</v>
      </c>
      <c r="G410">
        <v>0</v>
      </c>
      <c r="H410" t="s">
        <v>15</v>
      </c>
      <c r="I410" t="s">
        <v>16</v>
      </c>
      <c r="J410" t="s">
        <v>16</v>
      </c>
      <c r="K410" t="str">
        <f>VLOOKUP(C410,CheckName!A:B,2,0)</f>
        <v>Emp</v>
      </c>
      <c r="M410">
        <f>DAY(RejectionData[[#This Row],[RejectionDate]])</f>
        <v>28</v>
      </c>
    </row>
    <row r="411" spans="1:13">
      <c r="A411" t="s">
        <v>671</v>
      </c>
      <c r="B411" t="s">
        <v>672</v>
      </c>
      <c r="C411" t="s">
        <v>54</v>
      </c>
      <c r="D411" t="s">
        <v>26</v>
      </c>
      <c r="E411" s="7">
        <v>45624</v>
      </c>
      <c r="F411" t="s">
        <v>458</v>
      </c>
      <c r="G411">
        <v>0</v>
      </c>
      <c r="H411" t="s">
        <v>27</v>
      </c>
      <c r="I411" t="s">
        <v>16</v>
      </c>
      <c r="J411" t="s">
        <v>16</v>
      </c>
      <c r="K411" t="str">
        <f>VLOOKUP(C411,CheckName!A:B,2,0)</f>
        <v>Edu</v>
      </c>
      <c r="M411">
        <f>DAY(RejectionData[[#This Row],[RejectionDate]])</f>
        <v>28</v>
      </c>
    </row>
    <row r="412" spans="1:13">
      <c r="A412" t="s">
        <v>91</v>
      </c>
      <c r="B412" t="s">
        <v>673</v>
      </c>
      <c r="C412" t="s">
        <v>93</v>
      </c>
      <c r="D412" t="s">
        <v>26</v>
      </c>
      <c r="E412" s="7">
        <v>45624</v>
      </c>
      <c r="F412" t="s">
        <v>458</v>
      </c>
      <c r="G412">
        <v>0</v>
      </c>
      <c r="H412" t="s">
        <v>27</v>
      </c>
      <c r="I412" t="s">
        <v>16</v>
      </c>
      <c r="J412" t="s">
        <v>16</v>
      </c>
      <c r="K412" t="str">
        <f>VLOOKUP(C412,CheckName!A:B,2,0)</f>
        <v>Edu</v>
      </c>
      <c r="M412">
        <f>DAY(RejectionData[[#This Row],[RejectionDate]])</f>
        <v>28</v>
      </c>
    </row>
    <row r="413" spans="1:13">
      <c r="A413" t="s">
        <v>91</v>
      </c>
      <c r="B413" t="s">
        <v>674</v>
      </c>
      <c r="C413" t="s">
        <v>12</v>
      </c>
      <c r="D413" t="s">
        <v>26</v>
      </c>
      <c r="E413" s="7">
        <v>45624</v>
      </c>
      <c r="F413" t="s">
        <v>675</v>
      </c>
      <c r="G413">
        <v>0</v>
      </c>
      <c r="H413" t="s">
        <v>27</v>
      </c>
      <c r="I413" t="s">
        <v>16</v>
      </c>
      <c r="J413" t="s">
        <v>16</v>
      </c>
      <c r="K413" t="str">
        <f>VLOOKUP(C413,CheckName!A:B,2,0)</f>
        <v>Emp</v>
      </c>
      <c r="M413">
        <f>DAY(RejectionData[[#This Row],[RejectionDate]])</f>
        <v>28</v>
      </c>
    </row>
    <row r="414" spans="1:13">
      <c r="A414" t="s">
        <v>180</v>
      </c>
      <c r="B414" t="s">
        <v>676</v>
      </c>
      <c r="C414" t="s">
        <v>36</v>
      </c>
      <c r="D414" t="s">
        <v>38</v>
      </c>
      <c r="E414" s="7">
        <v>45624</v>
      </c>
      <c r="F414" t="s">
        <v>39</v>
      </c>
      <c r="G414">
        <v>0</v>
      </c>
      <c r="H414" t="s">
        <v>42</v>
      </c>
      <c r="I414" t="s">
        <v>16</v>
      </c>
      <c r="J414" t="s">
        <v>16</v>
      </c>
      <c r="K414" t="str">
        <f>VLOOKUP(C414,CheckName!A:B,2,0)</f>
        <v>Emp</v>
      </c>
      <c r="M414">
        <f>DAY(RejectionData[[#This Row],[RejectionDate]])</f>
        <v>28</v>
      </c>
    </row>
    <row r="415" spans="1:13">
      <c r="A415" t="s">
        <v>84</v>
      </c>
      <c r="B415" t="s">
        <v>677</v>
      </c>
      <c r="C415" t="s">
        <v>36</v>
      </c>
      <c r="D415" t="s">
        <v>38</v>
      </c>
      <c r="E415" s="7">
        <v>45624</v>
      </c>
      <c r="F415" t="s">
        <v>39</v>
      </c>
      <c r="G415">
        <v>0</v>
      </c>
      <c r="H415" t="s">
        <v>42</v>
      </c>
      <c r="I415" t="s">
        <v>16</v>
      </c>
      <c r="J415" t="s">
        <v>16</v>
      </c>
      <c r="K415" t="str">
        <f>VLOOKUP(C415,CheckName!A:B,2,0)</f>
        <v>Emp</v>
      </c>
      <c r="M415">
        <f>DAY(RejectionData[[#This Row],[RejectionDate]])</f>
        <v>28</v>
      </c>
    </row>
    <row r="416" spans="1:13">
      <c r="A416" t="s">
        <v>45</v>
      </c>
      <c r="B416" t="s">
        <v>678</v>
      </c>
      <c r="C416" t="s">
        <v>12</v>
      </c>
      <c r="D416" t="s">
        <v>38</v>
      </c>
      <c r="E416" s="7">
        <v>45624</v>
      </c>
      <c r="F416" t="s">
        <v>39</v>
      </c>
      <c r="G416">
        <v>0</v>
      </c>
      <c r="H416" t="s">
        <v>42</v>
      </c>
      <c r="I416" t="s">
        <v>16</v>
      </c>
      <c r="J416" t="s">
        <v>16</v>
      </c>
      <c r="K416" t="str">
        <f>VLOOKUP(C416,CheckName!A:B,2,0)</f>
        <v>Emp</v>
      </c>
      <c r="M416">
        <f>DAY(RejectionData[[#This Row],[RejectionDate]])</f>
        <v>28</v>
      </c>
    </row>
    <row r="417" spans="1:13">
      <c r="A417" t="s">
        <v>580</v>
      </c>
      <c r="B417" t="s">
        <v>679</v>
      </c>
      <c r="C417" t="s">
        <v>36</v>
      </c>
      <c r="D417" t="s">
        <v>38</v>
      </c>
      <c r="E417" s="7">
        <v>45624</v>
      </c>
      <c r="F417" t="s">
        <v>39</v>
      </c>
      <c r="G417">
        <v>0</v>
      </c>
      <c r="H417" t="s">
        <v>42</v>
      </c>
      <c r="I417" t="s">
        <v>16</v>
      </c>
      <c r="J417" t="s">
        <v>16</v>
      </c>
      <c r="K417" t="str">
        <f>VLOOKUP(C417,CheckName!A:B,2,0)</f>
        <v>Emp</v>
      </c>
      <c r="M417">
        <f>DAY(RejectionData[[#This Row],[RejectionDate]])</f>
        <v>28</v>
      </c>
    </row>
    <row r="418" spans="1:13">
      <c r="A418" t="s">
        <v>680</v>
      </c>
      <c r="B418" t="s">
        <v>681</v>
      </c>
      <c r="C418" t="s">
        <v>12</v>
      </c>
      <c r="D418" t="s">
        <v>38</v>
      </c>
      <c r="E418" s="7">
        <v>45624</v>
      </c>
      <c r="F418" t="s">
        <v>39</v>
      </c>
      <c r="G418">
        <v>0</v>
      </c>
      <c r="H418" t="s">
        <v>42</v>
      </c>
      <c r="I418" t="s">
        <v>16</v>
      </c>
      <c r="J418" t="s">
        <v>16</v>
      </c>
      <c r="K418" t="str">
        <f>VLOOKUP(C418,CheckName!A:B,2,0)</f>
        <v>Emp</v>
      </c>
      <c r="M418">
        <f>DAY(RejectionData[[#This Row],[RejectionDate]])</f>
        <v>28</v>
      </c>
    </row>
    <row r="419" spans="1:13">
      <c r="A419" t="s">
        <v>682</v>
      </c>
      <c r="B419" t="s">
        <v>683</v>
      </c>
      <c r="C419" t="s">
        <v>12</v>
      </c>
      <c r="D419" t="s">
        <v>38</v>
      </c>
      <c r="E419" s="7">
        <v>45624</v>
      </c>
      <c r="F419" t="s">
        <v>39</v>
      </c>
      <c r="G419">
        <v>0</v>
      </c>
      <c r="H419" t="s">
        <v>42</v>
      </c>
      <c r="I419" t="s">
        <v>16</v>
      </c>
      <c r="J419" t="s">
        <v>16</v>
      </c>
      <c r="K419" t="str">
        <f>VLOOKUP(C419,CheckName!A:B,2,0)</f>
        <v>Emp</v>
      </c>
      <c r="M419">
        <f>DAY(RejectionData[[#This Row],[RejectionDate]])</f>
        <v>28</v>
      </c>
    </row>
    <row r="420" spans="1:13">
      <c r="A420" t="s">
        <v>661</v>
      </c>
      <c r="B420" t="s">
        <v>684</v>
      </c>
      <c r="C420" t="s">
        <v>12</v>
      </c>
      <c r="D420" t="s">
        <v>38</v>
      </c>
      <c r="E420" s="7">
        <v>45624</v>
      </c>
      <c r="F420" t="s">
        <v>39</v>
      </c>
      <c r="G420">
        <v>0</v>
      </c>
      <c r="H420" t="s">
        <v>42</v>
      </c>
      <c r="I420" t="s">
        <v>16</v>
      </c>
      <c r="J420" t="s">
        <v>16</v>
      </c>
      <c r="K420" t="str">
        <f>VLOOKUP(C420,CheckName!A:B,2,0)</f>
        <v>Emp</v>
      </c>
      <c r="M420">
        <f>DAY(RejectionData[[#This Row],[RejectionDate]])</f>
        <v>28</v>
      </c>
    </row>
    <row r="421" spans="1:13">
      <c r="A421" t="s">
        <v>685</v>
      </c>
      <c r="B421" t="s">
        <v>686</v>
      </c>
      <c r="C421" t="s">
        <v>25</v>
      </c>
      <c r="D421" t="s">
        <v>51</v>
      </c>
      <c r="E421" s="7">
        <v>45624</v>
      </c>
      <c r="F421" t="s">
        <v>52</v>
      </c>
      <c r="G421">
        <v>0</v>
      </c>
      <c r="H421" t="s">
        <v>53</v>
      </c>
      <c r="I421" t="s">
        <v>16</v>
      </c>
      <c r="J421" t="s">
        <v>16</v>
      </c>
      <c r="K421" t="str">
        <f>VLOOKUP(C421,CheckName!A:B,2,0)</f>
        <v>Add</v>
      </c>
      <c r="M421">
        <f>DAY(RejectionData[[#This Row],[RejectionDate]])</f>
        <v>28</v>
      </c>
    </row>
    <row r="422" spans="1:13">
      <c r="A422" t="s">
        <v>685</v>
      </c>
      <c r="B422" t="s">
        <v>686</v>
      </c>
      <c r="C422" t="s">
        <v>56</v>
      </c>
      <c r="D422" t="s">
        <v>51</v>
      </c>
      <c r="E422" s="7">
        <v>45624</v>
      </c>
      <c r="F422" t="s">
        <v>52</v>
      </c>
      <c r="G422">
        <v>0</v>
      </c>
      <c r="H422" t="s">
        <v>53</v>
      </c>
      <c r="I422" t="s">
        <v>16</v>
      </c>
      <c r="J422" t="s">
        <v>16</v>
      </c>
      <c r="K422" t="str">
        <f>VLOOKUP(C422,CheckName!A:B,2,0)</f>
        <v>Special Check</v>
      </c>
      <c r="M422">
        <f>DAY(RejectionData[[#This Row],[RejectionDate]])</f>
        <v>28</v>
      </c>
    </row>
    <row r="423" spans="1:13">
      <c r="A423" t="s">
        <v>685</v>
      </c>
      <c r="B423" t="s">
        <v>686</v>
      </c>
      <c r="C423" t="s">
        <v>36</v>
      </c>
      <c r="D423" t="s">
        <v>51</v>
      </c>
      <c r="E423" s="7">
        <v>45624</v>
      </c>
      <c r="F423" t="s">
        <v>52</v>
      </c>
      <c r="G423">
        <v>0</v>
      </c>
      <c r="H423" t="s">
        <v>53</v>
      </c>
      <c r="I423" t="s">
        <v>16</v>
      </c>
      <c r="J423" t="s">
        <v>16</v>
      </c>
      <c r="K423" t="str">
        <f>VLOOKUP(C423,CheckName!A:B,2,0)</f>
        <v>Emp</v>
      </c>
      <c r="M423">
        <f>DAY(RejectionData[[#This Row],[RejectionDate]])</f>
        <v>28</v>
      </c>
    </row>
    <row r="424" spans="1:13">
      <c r="A424" t="s">
        <v>685</v>
      </c>
      <c r="B424" t="s">
        <v>686</v>
      </c>
      <c r="C424" t="s">
        <v>12</v>
      </c>
      <c r="D424" t="s">
        <v>51</v>
      </c>
      <c r="E424" s="7">
        <v>45624</v>
      </c>
      <c r="F424" t="s">
        <v>52</v>
      </c>
      <c r="G424">
        <v>0</v>
      </c>
      <c r="H424" t="s">
        <v>53</v>
      </c>
      <c r="I424" t="s">
        <v>16</v>
      </c>
      <c r="J424" t="s">
        <v>16</v>
      </c>
      <c r="K424" t="str">
        <f>VLOOKUP(C424,CheckName!A:B,2,0)</f>
        <v>Emp</v>
      </c>
      <c r="M424">
        <f>DAY(RejectionData[[#This Row],[RejectionDate]])</f>
        <v>28</v>
      </c>
    </row>
    <row r="425" spans="1:13">
      <c r="A425" t="s">
        <v>685</v>
      </c>
      <c r="B425" t="s">
        <v>686</v>
      </c>
      <c r="C425" t="s">
        <v>54</v>
      </c>
      <c r="D425" t="s">
        <v>51</v>
      </c>
      <c r="E425" s="7">
        <v>45624</v>
      </c>
      <c r="F425" t="s">
        <v>52</v>
      </c>
      <c r="G425">
        <v>0</v>
      </c>
      <c r="H425" t="s">
        <v>53</v>
      </c>
      <c r="I425" t="s">
        <v>16</v>
      </c>
      <c r="J425" t="s">
        <v>16</v>
      </c>
      <c r="K425" t="str">
        <f>VLOOKUP(C425,CheckName!A:B,2,0)</f>
        <v>Edu</v>
      </c>
      <c r="M425">
        <f>DAY(RejectionData[[#This Row],[RejectionDate]])</f>
        <v>28</v>
      </c>
    </row>
    <row r="426" spans="1:13">
      <c r="A426" t="s">
        <v>687</v>
      </c>
      <c r="B426" t="s">
        <v>688</v>
      </c>
      <c r="C426" t="s">
        <v>54</v>
      </c>
      <c r="D426" t="s">
        <v>51</v>
      </c>
      <c r="E426" s="7">
        <v>45624</v>
      </c>
      <c r="F426" t="s">
        <v>52</v>
      </c>
      <c r="G426">
        <v>0</v>
      </c>
      <c r="H426" t="s">
        <v>53</v>
      </c>
      <c r="I426" t="s">
        <v>16</v>
      </c>
      <c r="J426" t="s">
        <v>16</v>
      </c>
      <c r="K426" t="str">
        <f>VLOOKUP(C426,CheckName!A:B,2,0)</f>
        <v>Edu</v>
      </c>
      <c r="M426">
        <f>DAY(RejectionData[[#This Row],[RejectionDate]])</f>
        <v>28</v>
      </c>
    </row>
    <row r="427" spans="1:13">
      <c r="A427" t="s">
        <v>687</v>
      </c>
      <c r="B427" t="s">
        <v>688</v>
      </c>
      <c r="C427" t="s">
        <v>125</v>
      </c>
      <c r="D427" t="s">
        <v>51</v>
      </c>
      <c r="E427" s="7">
        <v>45624</v>
      </c>
      <c r="F427" t="s">
        <v>52</v>
      </c>
      <c r="G427">
        <v>0</v>
      </c>
      <c r="H427" t="s">
        <v>53</v>
      </c>
      <c r="I427" t="s">
        <v>16</v>
      </c>
      <c r="J427" t="s">
        <v>16</v>
      </c>
      <c r="K427" t="str">
        <f>VLOOKUP(C427,CheckName!A:B,2,0)</f>
        <v>Emp</v>
      </c>
      <c r="M427">
        <f>DAY(RejectionData[[#This Row],[RejectionDate]])</f>
        <v>28</v>
      </c>
    </row>
    <row r="428" spans="1:13">
      <c r="A428" t="s">
        <v>687</v>
      </c>
      <c r="B428" t="s">
        <v>688</v>
      </c>
      <c r="C428" t="s">
        <v>93</v>
      </c>
      <c r="D428" t="s">
        <v>51</v>
      </c>
      <c r="E428" s="7">
        <v>45624</v>
      </c>
      <c r="F428" t="s">
        <v>52</v>
      </c>
      <c r="G428">
        <v>0</v>
      </c>
      <c r="H428" t="s">
        <v>53</v>
      </c>
      <c r="I428" t="s">
        <v>16</v>
      </c>
      <c r="J428" t="s">
        <v>16</v>
      </c>
      <c r="K428" t="str">
        <f>VLOOKUP(C428,CheckName!A:B,2,0)</f>
        <v>Edu</v>
      </c>
      <c r="M428">
        <f>DAY(RejectionData[[#This Row],[RejectionDate]])</f>
        <v>28</v>
      </c>
    </row>
    <row r="429" spans="1:13">
      <c r="A429" t="s">
        <v>687</v>
      </c>
      <c r="B429" t="s">
        <v>688</v>
      </c>
      <c r="C429" t="s">
        <v>36</v>
      </c>
      <c r="D429" t="s">
        <v>51</v>
      </c>
      <c r="E429" s="7">
        <v>45624</v>
      </c>
      <c r="F429" t="s">
        <v>52</v>
      </c>
      <c r="G429">
        <v>0</v>
      </c>
      <c r="H429" t="s">
        <v>53</v>
      </c>
      <c r="I429" t="s">
        <v>16</v>
      </c>
      <c r="J429" t="s">
        <v>16</v>
      </c>
      <c r="K429" t="str">
        <f>VLOOKUP(C429,CheckName!A:B,2,0)</f>
        <v>Emp</v>
      </c>
      <c r="M429">
        <f>DAY(RejectionData[[#This Row],[RejectionDate]])</f>
        <v>28</v>
      </c>
    </row>
    <row r="430" spans="1:13">
      <c r="A430" t="s">
        <v>580</v>
      </c>
      <c r="B430" t="s">
        <v>581</v>
      </c>
      <c r="C430" t="s">
        <v>689</v>
      </c>
      <c r="D430" t="s">
        <v>51</v>
      </c>
      <c r="E430" s="7">
        <v>45624</v>
      </c>
      <c r="F430" t="s">
        <v>52</v>
      </c>
      <c r="G430">
        <v>0</v>
      </c>
      <c r="H430" t="s">
        <v>53</v>
      </c>
      <c r="I430" t="s">
        <v>16</v>
      </c>
      <c r="J430" t="s">
        <v>16</v>
      </c>
      <c r="K430" t="str">
        <f>VLOOKUP(C430,CheckName!A:B,2,0)</f>
        <v>Special Check</v>
      </c>
      <c r="M430">
        <f>DAY(RejectionData[[#This Row],[RejectionDate]])</f>
        <v>28</v>
      </c>
    </row>
    <row r="431" spans="1:13">
      <c r="A431" t="s">
        <v>176</v>
      </c>
      <c r="B431" t="s">
        <v>690</v>
      </c>
      <c r="C431" t="s">
        <v>12</v>
      </c>
      <c r="D431" t="s">
        <v>26</v>
      </c>
      <c r="E431" s="7">
        <v>45624</v>
      </c>
      <c r="F431" t="s">
        <v>222</v>
      </c>
      <c r="G431">
        <v>0</v>
      </c>
      <c r="H431" t="s">
        <v>22</v>
      </c>
      <c r="I431" t="s">
        <v>16</v>
      </c>
      <c r="J431" t="s">
        <v>16</v>
      </c>
      <c r="K431" t="str">
        <f>VLOOKUP(C431,CheckName!A:B,2,0)</f>
        <v>Emp</v>
      </c>
      <c r="M431">
        <f>DAY(RejectionData[[#This Row],[RejectionDate]])</f>
        <v>28</v>
      </c>
    </row>
    <row r="432" spans="1:13">
      <c r="A432" t="s">
        <v>96</v>
      </c>
      <c r="B432" t="s">
        <v>691</v>
      </c>
      <c r="C432" t="s">
        <v>54</v>
      </c>
      <c r="D432" t="s">
        <v>26</v>
      </c>
      <c r="E432" s="7">
        <v>45624</v>
      </c>
      <c r="F432" t="s">
        <v>63</v>
      </c>
      <c r="G432">
        <v>0</v>
      </c>
      <c r="H432" t="s">
        <v>425</v>
      </c>
      <c r="I432" t="s">
        <v>16</v>
      </c>
      <c r="J432" t="s">
        <v>16</v>
      </c>
      <c r="K432" t="str">
        <f>VLOOKUP(C432,CheckName!A:B,2,0)</f>
        <v>Edu</v>
      </c>
      <c r="M432">
        <f>DAY(RejectionData[[#This Row],[RejectionDate]])</f>
        <v>28</v>
      </c>
    </row>
    <row r="433" spans="1:13">
      <c r="A433" t="s">
        <v>180</v>
      </c>
      <c r="B433" t="s">
        <v>692</v>
      </c>
      <c r="C433" t="s">
        <v>19</v>
      </c>
      <c r="D433" t="s">
        <v>20</v>
      </c>
      <c r="E433" s="7">
        <v>45624</v>
      </c>
      <c r="F433" t="s">
        <v>62</v>
      </c>
      <c r="G433">
        <v>0</v>
      </c>
      <c r="H433" t="s">
        <v>27</v>
      </c>
      <c r="I433" t="s">
        <v>16</v>
      </c>
      <c r="J433" t="s">
        <v>16</v>
      </c>
      <c r="K433" t="str">
        <f>VLOOKUP(C433,CheckName!A:B,2,0)</f>
        <v>Add</v>
      </c>
      <c r="M433">
        <f>DAY(RejectionData[[#This Row],[RejectionDate]])</f>
        <v>28</v>
      </c>
    </row>
    <row r="434" spans="1:13">
      <c r="A434" t="s">
        <v>43</v>
      </c>
      <c r="B434" t="s">
        <v>693</v>
      </c>
      <c r="C434" t="s">
        <v>12</v>
      </c>
      <c r="D434" t="s">
        <v>26</v>
      </c>
      <c r="E434" s="7">
        <v>45624</v>
      </c>
      <c r="F434" t="s">
        <v>694</v>
      </c>
      <c r="G434">
        <v>0</v>
      </c>
      <c r="H434" t="s">
        <v>27</v>
      </c>
      <c r="I434" t="s">
        <v>16</v>
      </c>
      <c r="J434" t="s">
        <v>16</v>
      </c>
      <c r="K434" t="str">
        <f>VLOOKUP(C434,CheckName!A:B,2,0)</f>
        <v>Emp</v>
      </c>
      <c r="M434">
        <f>DAY(RejectionData[[#This Row],[RejectionDate]])</f>
        <v>28</v>
      </c>
    </row>
    <row r="435" spans="1:13">
      <c r="A435" t="s">
        <v>47</v>
      </c>
      <c r="B435" t="s">
        <v>695</v>
      </c>
      <c r="C435" t="s">
        <v>54</v>
      </c>
      <c r="D435" t="s">
        <v>13</v>
      </c>
      <c r="E435" s="7">
        <v>45624</v>
      </c>
      <c r="F435" t="s">
        <v>696</v>
      </c>
      <c r="G435">
        <v>0</v>
      </c>
      <c r="H435" t="s">
        <v>15</v>
      </c>
      <c r="I435" t="s">
        <v>16</v>
      </c>
      <c r="J435" t="s">
        <v>16</v>
      </c>
      <c r="K435" t="str">
        <f>VLOOKUP(C435,CheckName!A:B,2,0)</f>
        <v>Edu</v>
      </c>
      <c r="M435">
        <f>DAY(RejectionData[[#This Row],[RejectionDate]])</f>
        <v>28</v>
      </c>
    </row>
    <row r="436" spans="1:13">
      <c r="A436" t="s">
        <v>697</v>
      </c>
      <c r="B436" t="s">
        <v>698</v>
      </c>
      <c r="C436" t="s">
        <v>25</v>
      </c>
      <c r="D436" t="s">
        <v>20</v>
      </c>
      <c r="E436" s="7">
        <v>45624</v>
      </c>
      <c r="F436" t="s">
        <v>62</v>
      </c>
      <c r="G436">
        <v>0</v>
      </c>
      <c r="H436" t="s">
        <v>130</v>
      </c>
      <c r="I436" t="s">
        <v>16</v>
      </c>
      <c r="J436" t="s">
        <v>16</v>
      </c>
      <c r="K436" t="str">
        <f>VLOOKUP(C436,CheckName!A:B,2,0)</f>
        <v>Add</v>
      </c>
      <c r="M436">
        <f>DAY(RejectionData[[#This Row],[RejectionDate]])</f>
        <v>28</v>
      </c>
    </row>
    <row r="437" spans="1:13">
      <c r="A437" t="s">
        <v>64</v>
      </c>
      <c r="B437" t="s">
        <v>699</v>
      </c>
      <c r="C437" t="s">
        <v>25</v>
      </c>
      <c r="D437" t="s">
        <v>26</v>
      </c>
      <c r="E437" s="7">
        <v>45624</v>
      </c>
      <c r="F437" t="s">
        <v>66</v>
      </c>
      <c r="G437">
        <v>0</v>
      </c>
      <c r="H437" t="s">
        <v>27</v>
      </c>
      <c r="I437" t="s">
        <v>16</v>
      </c>
      <c r="J437" t="s">
        <v>16</v>
      </c>
      <c r="K437" t="str">
        <f>VLOOKUP(C437,CheckName!A:B,2,0)</f>
        <v>Add</v>
      </c>
      <c r="M437">
        <f>DAY(RejectionData[[#This Row],[RejectionDate]])</f>
        <v>28</v>
      </c>
    </row>
    <row r="438" spans="1:13">
      <c r="A438" t="s">
        <v>64</v>
      </c>
      <c r="B438" t="s">
        <v>700</v>
      </c>
      <c r="C438" t="s">
        <v>19</v>
      </c>
      <c r="D438" t="s">
        <v>26</v>
      </c>
      <c r="E438" s="7">
        <v>45624</v>
      </c>
      <c r="F438" t="s">
        <v>66</v>
      </c>
      <c r="G438">
        <v>0</v>
      </c>
      <c r="H438" t="s">
        <v>27</v>
      </c>
      <c r="I438" t="s">
        <v>16</v>
      </c>
      <c r="J438" t="s">
        <v>16</v>
      </c>
      <c r="K438" t="str">
        <f>VLOOKUP(C438,CheckName!A:B,2,0)</f>
        <v>Add</v>
      </c>
      <c r="M438">
        <f>DAY(RejectionData[[#This Row],[RejectionDate]])</f>
        <v>28</v>
      </c>
    </row>
    <row r="439" spans="1:13">
      <c r="A439" t="s">
        <v>28</v>
      </c>
      <c r="B439" t="s">
        <v>701</v>
      </c>
      <c r="C439" t="s">
        <v>19</v>
      </c>
      <c r="D439" t="s">
        <v>20</v>
      </c>
      <c r="E439" s="7">
        <v>45624</v>
      </c>
      <c r="F439" t="s">
        <v>62</v>
      </c>
      <c r="G439">
        <v>0</v>
      </c>
      <c r="H439" t="s">
        <v>30</v>
      </c>
      <c r="I439" t="s">
        <v>16</v>
      </c>
      <c r="J439" t="s">
        <v>16</v>
      </c>
      <c r="K439" t="str">
        <f>VLOOKUP(C439,CheckName!A:B,2,0)</f>
        <v>Add</v>
      </c>
      <c r="M439">
        <f>DAY(RejectionData[[#This Row],[RejectionDate]])</f>
        <v>28</v>
      </c>
    </row>
    <row r="440" spans="1:13">
      <c r="A440" t="s">
        <v>362</v>
      </c>
      <c r="B440" t="s">
        <v>702</v>
      </c>
      <c r="C440" t="s">
        <v>54</v>
      </c>
      <c r="D440" t="s">
        <v>26</v>
      </c>
      <c r="E440" s="7">
        <v>45624</v>
      </c>
      <c r="F440" t="s">
        <v>63</v>
      </c>
      <c r="G440">
        <v>0</v>
      </c>
      <c r="H440" t="s">
        <v>27</v>
      </c>
      <c r="I440" t="s">
        <v>16</v>
      </c>
      <c r="J440" t="s">
        <v>16</v>
      </c>
      <c r="K440" t="str">
        <f>VLOOKUP(C440,CheckName!A:B,2,0)</f>
        <v>Edu</v>
      </c>
      <c r="M440">
        <f>DAY(RejectionData[[#This Row],[RejectionDate]])</f>
        <v>28</v>
      </c>
    </row>
    <row r="441" spans="1:13">
      <c r="A441" t="s">
        <v>465</v>
      </c>
      <c r="B441" t="s">
        <v>703</v>
      </c>
      <c r="C441" t="s">
        <v>36</v>
      </c>
      <c r="D441" t="s">
        <v>26</v>
      </c>
      <c r="E441" s="7">
        <v>45624</v>
      </c>
      <c r="F441" t="s">
        <v>694</v>
      </c>
      <c r="G441">
        <v>0</v>
      </c>
      <c r="H441" t="s">
        <v>27</v>
      </c>
      <c r="I441" t="s">
        <v>16</v>
      </c>
      <c r="J441" t="s">
        <v>16</v>
      </c>
      <c r="K441" t="str">
        <f>VLOOKUP(C441,CheckName!A:B,2,0)</f>
        <v>Emp</v>
      </c>
      <c r="M441">
        <f>DAY(RejectionData[[#This Row],[RejectionDate]])</f>
        <v>28</v>
      </c>
    </row>
    <row r="442" spans="1:13">
      <c r="A442" t="s">
        <v>644</v>
      </c>
      <c r="B442" t="s">
        <v>704</v>
      </c>
      <c r="C442" t="s">
        <v>12</v>
      </c>
      <c r="D442" t="s">
        <v>13</v>
      </c>
      <c r="E442" s="7">
        <v>45624</v>
      </c>
      <c r="F442" t="s">
        <v>72</v>
      </c>
      <c r="G442">
        <v>0</v>
      </c>
      <c r="H442" t="s">
        <v>15</v>
      </c>
      <c r="I442" t="s">
        <v>16</v>
      </c>
      <c r="J442" t="s">
        <v>16</v>
      </c>
      <c r="K442" t="str">
        <f>VLOOKUP(C442,CheckName!A:B,2,0)</f>
        <v>Emp</v>
      </c>
      <c r="M442">
        <f>DAY(RejectionData[[#This Row],[RejectionDate]])</f>
        <v>28</v>
      </c>
    </row>
    <row r="443" spans="1:13">
      <c r="A443" t="s">
        <v>84</v>
      </c>
      <c r="B443" t="s">
        <v>705</v>
      </c>
      <c r="C443" t="s">
        <v>54</v>
      </c>
      <c r="D443" t="s">
        <v>13</v>
      </c>
      <c r="E443" s="7">
        <v>45624</v>
      </c>
      <c r="F443" t="s">
        <v>706</v>
      </c>
      <c r="G443">
        <v>0</v>
      </c>
      <c r="H443" t="s">
        <v>15</v>
      </c>
      <c r="I443" t="s">
        <v>16</v>
      </c>
      <c r="J443" t="s">
        <v>16</v>
      </c>
      <c r="K443" t="str">
        <f>VLOOKUP(C443,CheckName!A:B,2,0)</f>
        <v>Edu</v>
      </c>
      <c r="M443">
        <f>DAY(RejectionData[[#This Row],[RejectionDate]])</f>
        <v>28</v>
      </c>
    </row>
    <row r="444" spans="1:13">
      <c r="A444" t="s">
        <v>119</v>
      </c>
      <c r="B444" t="s">
        <v>707</v>
      </c>
      <c r="C444" t="s">
        <v>93</v>
      </c>
      <c r="D444" t="s">
        <v>51</v>
      </c>
      <c r="E444" s="7">
        <v>45624</v>
      </c>
      <c r="F444" t="s">
        <v>194</v>
      </c>
      <c r="G444">
        <v>0</v>
      </c>
      <c r="H444" t="s">
        <v>53</v>
      </c>
      <c r="I444" t="s">
        <v>16</v>
      </c>
      <c r="J444" t="s">
        <v>16</v>
      </c>
      <c r="K444" t="str">
        <f>VLOOKUP(C444,CheckName!A:B,2,0)</f>
        <v>Edu</v>
      </c>
      <c r="M444">
        <f>DAY(RejectionData[[#This Row],[RejectionDate]])</f>
        <v>28</v>
      </c>
    </row>
    <row r="445" spans="1:13">
      <c r="A445" t="s">
        <v>708</v>
      </c>
      <c r="B445" t="s">
        <v>709</v>
      </c>
      <c r="C445" t="s">
        <v>54</v>
      </c>
      <c r="D445" t="s">
        <v>51</v>
      </c>
      <c r="E445" s="7">
        <v>45624</v>
      </c>
      <c r="F445" t="s">
        <v>194</v>
      </c>
      <c r="G445">
        <v>0</v>
      </c>
      <c r="H445" t="s">
        <v>53</v>
      </c>
      <c r="I445" t="s">
        <v>16</v>
      </c>
      <c r="J445" t="s">
        <v>16</v>
      </c>
      <c r="K445" t="str">
        <f>VLOOKUP(C445,CheckName!A:B,2,0)</f>
        <v>Edu</v>
      </c>
      <c r="M445">
        <f>DAY(RejectionData[[#This Row],[RejectionDate]])</f>
        <v>28</v>
      </c>
    </row>
    <row r="446" spans="1:13">
      <c r="A446" t="s">
        <v>710</v>
      </c>
      <c r="B446" t="s">
        <v>711</v>
      </c>
      <c r="C446" t="s">
        <v>59</v>
      </c>
      <c r="D446" t="s">
        <v>13</v>
      </c>
      <c r="E446" s="7">
        <v>45624</v>
      </c>
      <c r="F446" t="s">
        <v>574</v>
      </c>
      <c r="G446">
        <v>0</v>
      </c>
      <c r="H446" t="s">
        <v>15</v>
      </c>
      <c r="I446" t="s">
        <v>16</v>
      </c>
      <c r="J446" t="s">
        <v>16</v>
      </c>
      <c r="K446" t="str">
        <f>VLOOKUP(C446,CheckName!A:B,2,0)</f>
        <v>Special Check</v>
      </c>
      <c r="M446">
        <f>DAY(RejectionData[[#This Row],[RejectionDate]])</f>
        <v>28</v>
      </c>
    </row>
    <row r="447" spans="1:13">
      <c r="A447" t="s">
        <v>306</v>
      </c>
      <c r="B447" t="s">
        <v>712</v>
      </c>
      <c r="C447" t="s">
        <v>19</v>
      </c>
      <c r="D447" t="s">
        <v>51</v>
      </c>
      <c r="E447" s="7">
        <v>45624</v>
      </c>
      <c r="F447" t="s">
        <v>509</v>
      </c>
      <c r="G447">
        <v>0</v>
      </c>
      <c r="H447" t="s">
        <v>53</v>
      </c>
      <c r="I447" t="s">
        <v>16</v>
      </c>
      <c r="J447" t="s">
        <v>16</v>
      </c>
      <c r="K447" t="str">
        <f>VLOOKUP(C447,CheckName!A:B,2,0)</f>
        <v>Add</v>
      </c>
      <c r="M447">
        <f>DAY(RejectionData[[#This Row],[RejectionDate]])</f>
        <v>28</v>
      </c>
    </row>
    <row r="448" spans="1:13">
      <c r="A448" t="s">
        <v>176</v>
      </c>
      <c r="B448" t="s">
        <v>713</v>
      </c>
      <c r="C448" t="s">
        <v>36</v>
      </c>
      <c r="D448" t="s">
        <v>26</v>
      </c>
      <c r="E448" s="7">
        <v>45624</v>
      </c>
      <c r="F448" t="s">
        <v>184</v>
      </c>
      <c r="G448">
        <v>0</v>
      </c>
      <c r="H448" t="s">
        <v>27</v>
      </c>
      <c r="I448" t="s">
        <v>16</v>
      </c>
      <c r="J448" t="s">
        <v>16</v>
      </c>
      <c r="K448" t="str">
        <f>VLOOKUP(C448,CheckName!A:B,2,0)</f>
        <v>Emp</v>
      </c>
      <c r="M448">
        <f>DAY(RejectionData[[#This Row],[RejectionDate]])</f>
        <v>28</v>
      </c>
    </row>
    <row r="449" spans="1:13">
      <c r="A449" t="s">
        <v>176</v>
      </c>
      <c r="B449" t="s">
        <v>714</v>
      </c>
      <c r="C449" t="s">
        <v>36</v>
      </c>
      <c r="D449" t="s">
        <v>26</v>
      </c>
      <c r="E449" s="7">
        <v>45624</v>
      </c>
      <c r="F449" t="s">
        <v>184</v>
      </c>
      <c r="G449">
        <v>0</v>
      </c>
      <c r="H449" t="s">
        <v>27</v>
      </c>
      <c r="I449" t="s">
        <v>16</v>
      </c>
      <c r="J449" t="s">
        <v>16</v>
      </c>
      <c r="K449" t="str">
        <f>VLOOKUP(C449,CheckName!A:B,2,0)</f>
        <v>Emp</v>
      </c>
      <c r="M449">
        <f>DAY(RejectionData[[#This Row],[RejectionDate]])</f>
        <v>28</v>
      </c>
    </row>
    <row r="450" spans="1:13">
      <c r="A450" t="s">
        <v>360</v>
      </c>
      <c r="B450" t="s">
        <v>715</v>
      </c>
      <c r="C450" t="s">
        <v>36</v>
      </c>
      <c r="D450" t="s">
        <v>26</v>
      </c>
      <c r="E450" s="7">
        <v>45624</v>
      </c>
      <c r="F450" t="s">
        <v>355</v>
      </c>
      <c r="G450">
        <v>0</v>
      </c>
      <c r="H450" t="s">
        <v>27</v>
      </c>
      <c r="I450" t="s">
        <v>16</v>
      </c>
      <c r="J450" t="s">
        <v>16</v>
      </c>
      <c r="K450" t="str">
        <f>VLOOKUP(C450,CheckName!A:B,2,0)</f>
        <v>Emp</v>
      </c>
      <c r="M450">
        <f>DAY(RejectionData[[#This Row],[RejectionDate]])</f>
        <v>28</v>
      </c>
    </row>
    <row r="451" spans="1:13">
      <c r="A451" t="s">
        <v>73</v>
      </c>
      <c r="B451" t="s">
        <v>716</v>
      </c>
      <c r="C451" t="s">
        <v>54</v>
      </c>
      <c r="D451" t="s">
        <v>26</v>
      </c>
      <c r="E451" s="7">
        <v>45624</v>
      </c>
      <c r="F451" t="s">
        <v>351</v>
      </c>
      <c r="G451">
        <v>0</v>
      </c>
      <c r="H451" t="s">
        <v>27</v>
      </c>
      <c r="I451" t="s">
        <v>16</v>
      </c>
      <c r="J451" t="s">
        <v>16</v>
      </c>
      <c r="K451" t="str">
        <f>VLOOKUP(C451,CheckName!A:B,2,0)</f>
        <v>Edu</v>
      </c>
      <c r="M451">
        <f>DAY(RejectionData[[#This Row],[RejectionDate]])</f>
        <v>28</v>
      </c>
    </row>
    <row r="452" spans="1:13">
      <c r="A452" t="s">
        <v>137</v>
      </c>
      <c r="B452" t="s">
        <v>717</v>
      </c>
      <c r="C452" t="s">
        <v>12</v>
      </c>
      <c r="D452" t="s">
        <v>26</v>
      </c>
      <c r="E452" s="7">
        <v>45624</v>
      </c>
      <c r="F452" t="s">
        <v>277</v>
      </c>
      <c r="G452">
        <v>0</v>
      </c>
      <c r="H452" t="s">
        <v>27</v>
      </c>
      <c r="I452" t="s">
        <v>16</v>
      </c>
      <c r="J452" t="s">
        <v>16</v>
      </c>
      <c r="K452" t="str">
        <f>VLOOKUP(C452,CheckName!A:B,2,0)</f>
        <v>Emp</v>
      </c>
      <c r="M452">
        <f>DAY(RejectionData[[#This Row],[RejectionDate]])</f>
        <v>28</v>
      </c>
    </row>
    <row r="453" spans="1:13">
      <c r="A453" t="s">
        <v>47</v>
      </c>
      <c r="B453" t="s">
        <v>605</v>
      </c>
      <c r="C453" t="s">
        <v>54</v>
      </c>
      <c r="D453" t="s">
        <v>13</v>
      </c>
      <c r="E453" s="7">
        <v>45624</v>
      </c>
      <c r="F453" t="s">
        <v>606</v>
      </c>
      <c r="G453">
        <v>0</v>
      </c>
      <c r="H453" t="s">
        <v>15</v>
      </c>
      <c r="I453" t="s">
        <v>16</v>
      </c>
      <c r="J453" t="s">
        <v>16</v>
      </c>
      <c r="K453" t="str">
        <f>VLOOKUP(C453,CheckName!A:B,2,0)</f>
        <v>Edu</v>
      </c>
      <c r="M453">
        <f>DAY(RejectionData[[#This Row],[RejectionDate]])</f>
        <v>28</v>
      </c>
    </row>
    <row r="454" spans="1:13">
      <c r="A454" t="s">
        <v>47</v>
      </c>
      <c r="B454" t="s">
        <v>718</v>
      </c>
      <c r="C454" t="s">
        <v>54</v>
      </c>
      <c r="D454" t="s">
        <v>13</v>
      </c>
      <c r="E454" s="7">
        <v>45624</v>
      </c>
      <c r="F454" t="s">
        <v>606</v>
      </c>
      <c r="G454">
        <v>0</v>
      </c>
      <c r="H454" t="s">
        <v>15</v>
      </c>
      <c r="I454" t="s">
        <v>16</v>
      </c>
      <c r="J454" t="s">
        <v>16</v>
      </c>
      <c r="K454" t="str">
        <f>VLOOKUP(C454,CheckName!A:B,2,0)</f>
        <v>Edu</v>
      </c>
      <c r="M454">
        <f>DAY(RejectionData[[#This Row],[RejectionDate]])</f>
        <v>28</v>
      </c>
    </row>
    <row r="455" spans="1:13">
      <c r="A455" t="s">
        <v>119</v>
      </c>
      <c r="B455" t="s">
        <v>719</v>
      </c>
      <c r="C455" t="s">
        <v>125</v>
      </c>
      <c r="D455" t="s">
        <v>26</v>
      </c>
      <c r="E455" s="7">
        <v>45624</v>
      </c>
      <c r="F455" t="s">
        <v>311</v>
      </c>
      <c r="G455">
        <v>0</v>
      </c>
      <c r="H455" t="s">
        <v>27</v>
      </c>
      <c r="I455" t="s">
        <v>16</v>
      </c>
      <c r="J455" t="s">
        <v>16</v>
      </c>
      <c r="K455" t="str">
        <f>VLOOKUP(C455,CheckName!A:B,2,0)</f>
        <v>Emp</v>
      </c>
      <c r="M455">
        <f>DAY(RejectionData[[#This Row],[RejectionDate]])</f>
        <v>28</v>
      </c>
    </row>
    <row r="456" spans="1:13">
      <c r="A456" t="s">
        <v>465</v>
      </c>
      <c r="B456" t="s">
        <v>720</v>
      </c>
      <c r="C456" t="s">
        <v>12</v>
      </c>
      <c r="D456" t="s">
        <v>26</v>
      </c>
      <c r="E456" s="7">
        <v>45624</v>
      </c>
      <c r="F456" t="s">
        <v>721</v>
      </c>
      <c r="G456">
        <v>0</v>
      </c>
      <c r="H456" t="s">
        <v>27</v>
      </c>
      <c r="I456" t="s">
        <v>16</v>
      </c>
      <c r="J456" t="s">
        <v>16</v>
      </c>
      <c r="K456" t="str">
        <f>VLOOKUP(C456,CheckName!A:B,2,0)</f>
        <v>Emp</v>
      </c>
      <c r="M456">
        <f>DAY(RejectionData[[#This Row],[RejectionDate]])</f>
        <v>28</v>
      </c>
    </row>
    <row r="457" spans="1:13">
      <c r="A457" t="s">
        <v>180</v>
      </c>
      <c r="B457" t="s">
        <v>722</v>
      </c>
      <c r="C457" t="s">
        <v>106</v>
      </c>
      <c r="D457" t="s">
        <v>26</v>
      </c>
      <c r="E457" s="7">
        <v>45624</v>
      </c>
      <c r="F457" t="s">
        <v>330</v>
      </c>
      <c r="G457">
        <v>0</v>
      </c>
      <c r="H457" t="s">
        <v>130</v>
      </c>
      <c r="I457" t="s">
        <v>16</v>
      </c>
      <c r="J457" t="s">
        <v>16</v>
      </c>
      <c r="K457" t="str">
        <f>VLOOKUP(C457,CheckName!A:B,2,0)</f>
        <v>Ref</v>
      </c>
      <c r="M457">
        <f>DAY(RejectionData[[#This Row],[RejectionDate]])</f>
        <v>28</v>
      </c>
    </row>
    <row r="458" spans="1:13">
      <c r="A458" t="s">
        <v>100</v>
      </c>
      <c r="B458" t="s">
        <v>723</v>
      </c>
      <c r="C458" t="s">
        <v>102</v>
      </c>
      <c r="D458" t="s">
        <v>26</v>
      </c>
      <c r="E458" s="7">
        <v>45624</v>
      </c>
      <c r="F458" t="s">
        <v>538</v>
      </c>
      <c r="G458">
        <v>0</v>
      </c>
      <c r="H458" t="s">
        <v>30</v>
      </c>
      <c r="I458" t="s">
        <v>16</v>
      </c>
      <c r="J458" t="s">
        <v>16</v>
      </c>
      <c r="K458" t="str">
        <f>VLOOKUP(C458,CheckName!A:B,2,0)</f>
        <v>Edu</v>
      </c>
      <c r="M458">
        <f>DAY(RejectionData[[#This Row],[RejectionDate]])</f>
        <v>28</v>
      </c>
    </row>
    <row r="459" spans="1:13">
      <c r="A459" t="s">
        <v>211</v>
      </c>
      <c r="B459" t="s">
        <v>724</v>
      </c>
      <c r="C459" t="s">
        <v>12</v>
      </c>
      <c r="D459" t="s">
        <v>13</v>
      </c>
      <c r="E459" s="7">
        <v>45624</v>
      </c>
      <c r="F459" t="s">
        <v>107</v>
      </c>
      <c r="G459">
        <v>0</v>
      </c>
      <c r="H459" t="s">
        <v>15</v>
      </c>
      <c r="I459" t="s">
        <v>16</v>
      </c>
      <c r="J459" t="s">
        <v>16</v>
      </c>
      <c r="K459" t="str">
        <f>VLOOKUP(C459,CheckName!A:B,2,0)</f>
        <v>Emp</v>
      </c>
      <c r="M459">
        <f>DAY(RejectionData[[#This Row],[RejectionDate]])</f>
        <v>28</v>
      </c>
    </row>
    <row r="460" spans="1:13">
      <c r="A460" t="s">
        <v>160</v>
      </c>
      <c r="B460" t="s">
        <v>725</v>
      </c>
      <c r="C460" t="s">
        <v>36</v>
      </c>
      <c r="D460" t="s">
        <v>13</v>
      </c>
      <c r="E460" s="7">
        <v>45624</v>
      </c>
      <c r="F460" t="s">
        <v>156</v>
      </c>
      <c r="G460">
        <v>0</v>
      </c>
      <c r="H460" t="s">
        <v>130</v>
      </c>
      <c r="I460" t="s">
        <v>16</v>
      </c>
      <c r="J460" t="s">
        <v>16</v>
      </c>
      <c r="K460" t="str">
        <f>VLOOKUP(C460,CheckName!A:B,2,0)</f>
        <v>Emp</v>
      </c>
      <c r="M460">
        <f>DAY(RejectionData[[#This Row],[RejectionDate]])</f>
        <v>28</v>
      </c>
    </row>
    <row r="461" spans="1:13">
      <c r="A461" t="s">
        <v>292</v>
      </c>
      <c r="B461" t="s">
        <v>726</v>
      </c>
      <c r="C461" t="s">
        <v>439</v>
      </c>
      <c r="D461" t="s">
        <v>13</v>
      </c>
      <c r="E461" s="7">
        <v>45624</v>
      </c>
      <c r="F461" t="s">
        <v>156</v>
      </c>
      <c r="G461">
        <v>0</v>
      </c>
      <c r="H461" t="s">
        <v>15</v>
      </c>
      <c r="I461" t="s">
        <v>16</v>
      </c>
      <c r="J461" t="s">
        <v>16</v>
      </c>
      <c r="K461" t="str">
        <f>VLOOKUP(C461,CheckName!A:B,2,0)</f>
        <v>Edu</v>
      </c>
      <c r="M461">
        <f>DAY(RejectionData[[#This Row],[RejectionDate]])</f>
        <v>28</v>
      </c>
    </row>
    <row r="462" spans="1:13">
      <c r="A462" t="s">
        <v>415</v>
      </c>
      <c r="B462" t="s">
        <v>727</v>
      </c>
      <c r="C462" t="s">
        <v>36</v>
      </c>
      <c r="D462" t="s">
        <v>26</v>
      </c>
      <c r="E462" s="7">
        <v>45624</v>
      </c>
      <c r="F462" t="s">
        <v>301</v>
      </c>
      <c r="G462">
        <v>0</v>
      </c>
      <c r="H462" t="s">
        <v>27</v>
      </c>
      <c r="I462" t="s">
        <v>16</v>
      </c>
      <c r="J462" t="s">
        <v>16</v>
      </c>
      <c r="K462" t="str">
        <f>VLOOKUP(C462,CheckName!A:B,2,0)</f>
        <v>Emp</v>
      </c>
      <c r="M462">
        <f>DAY(RejectionData[[#This Row],[RejectionDate]])</f>
        <v>28</v>
      </c>
    </row>
    <row r="463" spans="1:13">
      <c r="A463" t="s">
        <v>73</v>
      </c>
      <c r="B463" t="s">
        <v>728</v>
      </c>
      <c r="C463" t="s">
        <v>59</v>
      </c>
      <c r="D463" t="s">
        <v>38</v>
      </c>
      <c r="E463" s="7">
        <v>45624</v>
      </c>
      <c r="F463" t="s">
        <v>118</v>
      </c>
      <c r="G463">
        <v>0</v>
      </c>
      <c r="H463" t="s">
        <v>42</v>
      </c>
      <c r="I463" t="s">
        <v>16</v>
      </c>
      <c r="J463" t="s">
        <v>16</v>
      </c>
      <c r="K463" t="str">
        <f>VLOOKUP(C463,CheckName!A:B,2,0)</f>
        <v>Special Check</v>
      </c>
      <c r="M463">
        <f>DAY(RejectionData[[#This Row],[RejectionDate]])</f>
        <v>28</v>
      </c>
    </row>
    <row r="464" spans="1:13">
      <c r="A464" t="s">
        <v>306</v>
      </c>
      <c r="B464" t="s">
        <v>729</v>
      </c>
      <c r="C464" t="s">
        <v>54</v>
      </c>
      <c r="D464" t="s">
        <v>26</v>
      </c>
      <c r="E464" s="7">
        <v>45624</v>
      </c>
      <c r="F464" t="s">
        <v>309</v>
      </c>
      <c r="G464">
        <v>0</v>
      </c>
      <c r="H464" t="s">
        <v>27</v>
      </c>
      <c r="I464" t="s">
        <v>16</v>
      </c>
      <c r="J464" t="s">
        <v>16</v>
      </c>
      <c r="K464" t="str">
        <f>VLOOKUP(C464,CheckName!A:B,2,0)</f>
        <v>Edu</v>
      </c>
      <c r="M464">
        <f>DAY(RejectionData[[#This Row],[RejectionDate]])</f>
        <v>28</v>
      </c>
    </row>
    <row r="465" spans="1:13">
      <c r="A465" t="s">
        <v>292</v>
      </c>
      <c r="B465" t="s">
        <v>730</v>
      </c>
      <c r="C465" t="s">
        <v>25</v>
      </c>
      <c r="D465" t="s">
        <v>20</v>
      </c>
      <c r="E465" s="7">
        <v>45624</v>
      </c>
      <c r="F465" t="s">
        <v>129</v>
      </c>
      <c r="G465">
        <v>0</v>
      </c>
      <c r="H465" t="s">
        <v>30</v>
      </c>
      <c r="I465" t="s">
        <v>16</v>
      </c>
      <c r="J465" t="s">
        <v>16</v>
      </c>
      <c r="K465" t="str">
        <f>VLOOKUP(C465,CheckName!A:B,2,0)</f>
        <v>Add</v>
      </c>
      <c r="M465">
        <f>DAY(RejectionData[[#This Row],[RejectionDate]])</f>
        <v>28</v>
      </c>
    </row>
    <row r="466" spans="1:13">
      <c r="A466" t="s">
        <v>731</v>
      </c>
      <c r="B466" t="s">
        <v>732</v>
      </c>
      <c r="C466" t="s">
        <v>19</v>
      </c>
      <c r="D466" t="s">
        <v>20</v>
      </c>
      <c r="E466" s="7">
        <v>45624</v>
      </c>
      <c r="F466" t="s">
        <v>129</v>
      </c>
      <c r="G466">
        <v>0</v>
      </c>
      <c r="H466" t="s">
        <v>130</v>
      </c>
      <c r="I466" t="s">
        <v>16</v>
      </c>
      <c r="J466" t="s">
        <v>16</v>
      </c>
      <c r="K466" t="str">
        <f>VLOOKUP(C466,CheckName!A:B,2,0)</f>
        <v>Add</v>
      </c>
      <c r="M466">
        <f>DAY(RejectionData[[#This Row],[RejectionDate]])</f>
        <v>28</v>
      </c>
    </row>
    <row r="467" spans="1:13">
      <c r="A467" t="s">
        <v>200</v>
      </c>
      <c r="B467" t="s">
        <v>733</v>
      </c>
      <c r="C467" t="s">
        <v>25</v>
      </c>
      <c r="D467" t="s">
        <v>20</v>
      </c>
      <c r="E467" s="7">
        <v>45624</v>
      </c>
      <c r="F467" t="s">
        <v>129</v>
      </c>
      <c r="G467">
        <v>0</v>
      </c>
      <c r="H467" t="s">
        <v>22</v>
      </c>
      <c r="I467" t="s">
        <v>16</v>
      </c>
      <c r="J467" t="s">
        <v>16</v>
      </c>
      <c r="K467" t="str">
        <f>VLOOKUP(C467,CheckName!A:B,2,0)</f>
        <v>Add</v>
      </c>
      <c r="M467">
        <f>DAY(RejectionData[[#This Row],[RejectionDate]])</f>
        <v>28</v>
      </c>
    </row>
    <row r="468" spans="1:13">
      <c r="A468" t="s">
        <v>734</v>
      </c>
      <c r="B468" t="s">
        <v>735</v>
      </c>
      <c r="C468" t="s">
        <v>19</v>
      </c>
      <c r="D468" t="s">
        <v>20</v>
      </c>
      <c r="E468" s="7">
        <v>45624</v>
      </c>
      <c r="F468" t="s">
        <v>129</v>
      </c>
      <c r="G468">
        <v>0</v>
      </c>
      <c r="H468" t="s">
        <v>22</v>
      </c>
      <c r="I468" t="s">
        <v>16</v>
      </c>
      <c r="J468" t="s">
        <v>16</v>
      </c>
      <c r="K468" t="str">
        <f>VLOOKUP(C468,CheckName!A:B,2,0)</f>
        <v>Add</v>
      </c>
      <c r="M468">
        <f>DAY(RejectionData[[#This Row],[RejectionDate]])</f>
        <v>28</v>
      </c>
    </row>
    <row r="469" spans="1:13">
      <c r="A469" t="s">
        <v>200</v>
      </c>
      <c r="B469" t="s">
        <v>736</v>
      </c>
      <c r="C469" t="s">
        <v>19</v>
      </c>
      <c r="D469" t="s">
        <v>20</v>
      </c>
      <c r="E469" s="7">
        <v>45624</v>
      </c>
      <c r="F469" t="s">
        <v>129</v>
      </c>
      <c r="G469">
        <v>0</v>
      </c>
      <c r="H469" t="s">
        <v>22</v>
      </c>
      <c r="I469" t="s">
        <v>16</v>
      </c>
      <c r="J469" t="s">
        <v>16</v>
      </c>
      <c r="K469" t="str">
        <f>VLOOKUP(C469,CheckName!A:B,2,0)</f>
        <v>Add</v>
      </c>
      <c r="M469">
        <f>DAY(RejectionData[[#This Row],[RejectionDate]])</f>
        <v>28</v>
      </c>
    </row>
    <row r="470" spans="1:13">
      <c r="A470" t="s">
        <v>200</v>
      </c>
      <c r="B470" t="s">
        <v>737</v>
      </c>
      <c r="C470" t="s">
        <v>19</v>
      </c>
      <c r="D470" t="s">
        <v>20</v>
      </c>
      <c r="E470" s="7">
        <v>45624</v>
      </c>
      <c r="F470" t="s">
        <v>129</v>
      </c>
      <c r="G470">
        <v>0</v>
      </c>
      <c r="H470" t="s">
        <v>22</v>
      </c>
      <c r="I470" t="s">
        <v>16</v>
      </c>
      <c r="J470" t="s">
        <v>16</v>
      </c>
      <c r="K470" t="str">
        <f>VLOOKUP(C470,CheckName!A:B,2,0)</f>
        <v>Add</v>
      </c>
      <c r="M470">
        <f>DAY(RejectionData[[#This Row],[RejectionDate]])</f>
        <v>28</v>
      </c>
    </row>
    <row r="471" spans="1:13">
      <c r="A471" t="s">
        <v>172</v>
      </c>
      <c r="B471" t="s">
        <v>738</v>
      </c>
      <c r="C471" t="s">
        <v>25</v>
      </c>
      <c r="D471" t="s">
        <v>20</v>
      </c>
      <c r="E471" s="7">
        <v>45624</v>
      </c>
      <c r="F471" t="s">
        <v>21</v>
      </c>
      <c r="G471">
        <v>0</v>
      </c>
      <c r="H471" t="s">
        <v>27</v>
      </c>
      <c r="I471" t="s">
        <v>16</v>
      </c>
      <c r="J471" t="s">
        <v>16</v>
      </c>
      <c r="K471" t="str">
        <f>VLOOKUP(C471,CheckName!A:B,2,0)</f>
        <v>Add</v>
      </c>
      <c r="M471">
        <f>DAY(RejectionData[[#This Row],[RejectionDate]])</f>
        <v>28</v>
      </c>
    </row>
    <row r="472" spans="1:13">
      <c r="A472" t="s">
        <v>360</v>
      </c>
      <c r="B472" t="s">
        <v>739</v>
      </c>
      <c r="C472" t="s">
        <v>36</v>
      </c>
      <c r="D472" t="s">
        <v>26</v>
      </c>
      <c r="E472" s="7">
        <v>45624</v>
      </c>
      <c r="F472" t="s">
        <v>325</v>
      </c>
      <c r="G472">
        <v>0</v>
      </c>
      <c r="H472" t="s">
        <v>27</v>
      </c>
      <c r="I472" t="s">
        <v>16</v>
      </c>
      <c r="J472" t="s">
        <v>16</v>
      </c>
      <c r="K472" t="str">
        <f>VLOOKUP(C472,CheckName!A:B,2,0)</f>
        <v>Emp</v>
      </c>
      <c r="M472">
        <f>DAY(RejectionData[[#This Row],[RejectionDate]])</f>
        <v>28</v>
      </c>
    </row>
    <row r="473" spans="1:13">
      <c r="A473" t="s">
        <v>432</v>
      </c>
      <c r="B473" t="s">
        <v>740</v>
      </c>
      <c r="C473" t="s">
        <v>467</v>
      </c>
      <c r="D473" t="s">
        <v>26</v>
      </c>
      <c r="E473" s="7">
        <v>45624</v>
      </c>
      <c r="F473" t="s">
        <v>236</v>
      </c>
      <c r="G473">
        <v>0</v>
      </c>
      <c r="H473" t="s">
        <v>27</v>
      </c>
      <c r="I473" t="s">
        <v>16</v>
      </c>
      <c r="J473" t="s">
        <v>16</v>
      </c>
      <c r="K473" t="str">
        <f>VLOOKUP(C473,CheckName!A:B,2,0)</f>
        <v>Special Check</v>
      </c>
      <c r="M473">
        <f>DAY(RejectionData[[#This Row],[RejectionDate]])</f>
        <v>28</v>
      </c>
    </row>
    <row r="474" spans="1:13">
      <c r="A474" t="s">
        <v>432</v>
      </c>
      <c r="B474" t="s">
        <v>741</v>
      </c>
      <c r="C474" t="s">
        <v>467</v>
      </c>
      <c r="D474" t="s">
        <v>26</v>
      </c>
      <c r="E474" s="7">
        <v>45624</v>
      </c>
      <c r="F474" t="s">
        <v>236</v>
      </c>
      <c r="G474">
        <v>0</v>
      </c>
      <c r="H474" t="s">
        <v>22</v>
      </c>
      <c r="I474" t="s">
        <v>16</v>
      </c>
      <c r="J474" t="s">
        <v>16</v>
      </c>
      <c r="K474" t="str">
        <f>VLOOKUP(C474,CheckName!A:B,2,0)</f>
        <v>Special Check</v>
      </c>
      <c r="M474">
        <f>DAY(RejectionData[[#This Row],[RejectionDate]])</f>
        <v>28</v>
      </c>
    </row>
    <row r="475" spans="1:13">
      <c r="A475" t="s">
        <v>165</v>
      </c>
      <c r="B475" t="s">
        <v>742</v>
      </c>
      <c r="C475" t="s">
        <v>467</v>
      </c>
      <c r="D475" t="s">
        <v>26</v>
      </c>
      <c r="E475" s="7">
        <v>45624</v>
      </c>
      <c r="F475" t="s">
        <v>236</v>
      </c>
      <c r="G475">
        <v>0</v>
      </c>
      <c r="H475" t="s">
        <v>22</v>
      </c>
      <c r="I475" t="s">
        <v>16</v>
      </c>
      <c r="J475" t="s">
        <v>16</v>
      </c>
      <c r="K475" t="str">
        <f>VLOOKUP(C475,CheckName!A:B,2,0)</f>
        <v>Special Check</v>
      </c>
      <c r="M475">
        <f>DAY(RejectionData[[#This Row],[RejectionDate]])</f>
        <v>28</v>
      </c>
    </row>
    <row r="476" spans="1:13">
      <c r="A476" t="s">
        <v>165</v>
      </c>
      <c r="B476" t="s">
        <v>743</v>
      </c>
      <c r="C476" t="s">
        <v>467</v>
      </c>
      <c r="D476" t="s">
        <v>26</v>
      </c>
      <c r="E476" s="7">
        <v>45624</v>
      </c>
      <c r="F476" t="s">
        <v>236</v>
      </c>
      <c r="G476">
        <v>0</v>
      </c>
      <c r="H476" t="s">
        <v>30</v>
      </c>
      <c r="I476" t="s">
        <v>16</v>
      </c>
      <c r="J476" t="s">
        <v>16</v>
      </c>
      <c r="K476" t="str">
        <f>VLOOKUP(C476,CheckName!A:B,2,0)</f>
        <v>Special Check</v>
      </c>
      <c r="M476">
        <f>DAY(RejectionData[[#This Row],[RejectionDate]])</f>
        <v>28</v>
      </c>
    </row>
    <row r="477" spans="1:13">
      <c r="A477" t="s">
        <v>452</v>
      </c>
      <c r="B477" t="s">
        <v>744</v>
      </c>
      <c r="C477" t="s">
        <v>19</v>
      </c>
      <c r="D477" t="s">
        <v>20</v>
      </c>
      <c r="E477" s="7">
        <v>45624</v>
      </c>
      <c r="F477" t="s">
        <v>21</v>
      </c>
      <c r="G477">
        <v>0</v>
      </c>
      <c r="H477" t="s">
        <v>22</v>
      </c>
      <c r="I477" t="s">
        <v>16</v>
      </c>
      <c r="J477" t="s">
        <v>16</v>
      </c>
      <c r="K477" t="str">
        <f>VLOOKUP(C477,CheckName!A:B,2,0)</f>
        <v>Add</v>
      </c>
      <c r="M477">
        <f>DAY(RejectionData[[#This Row],[RejectionDate]])</f>
        <v>28</v>
      </c>
    </row>
    <row r="478" spans="1:13">
      <c r="A478" t="s">
        <v>452</v>
      </c>
      <c r="B478" t="s">
        <v>745</v>
      </c>
      <c r="C478" t="s">
        <v>19</v>
      </c>
      <c r="D478" t="s">
        <v>20</v>
      </c>
      <c r="E478" s="7">
        <v>45624</v>
      </c>
      <c r="F478" t="s">
        <v>21</v>
      </c>
      <c r="G478">
        <v>0</v>
      </c>
      <c r="H478" t="s">
        <v>22</v>
      </c>
      <c r="I478" t="s">
        <v>16</v>
      </c>
      <c r="J478" t="s">
        <v>16</v>
      </c>
      <c r="K478" t="str">
        <f>VLOOKUP(C478,CheckName!A:B,2,0)</f>
        <v>Add</v>
      </c>
      <c r="M478">
        <f>DAY(RejectionData[[#This Row],[RejectionDate]])</f>
        <v>28</v>
      </c>
    </row>
    <row r="479" spans="1:13">
      <c r="A479" t="s">
        <v>746</v>
      </c>
      <c r="B479" t="s">
        <v>747</v>
      </c>
      <c r="C479" t="s">
        <v>467</v>
      </c>
      <c r="D479" t="s">
        <v>26</v>
      </c>
      <c r="E479" s="7">
        <v>45624</v>
      </c>
      <c r="F479" t="s">
        <v>236</v>
      </c>
      <c r="G479">
        <v>0</v>
      </c>
      <c r="H479" t="s">
        <v>27</v>
      </c>
      <c r="I479" t="s">
        <v>16</v>
      </c>
      <c r="J479" t="s">
        <v>16</v>
      </c>
      <c r="K479" t="str">
        <f>VLOOKUP(C479,CheckName!A:B,2,0)</f>
        <v>Special Check</v>
      </c>
      <c r="M479">
        <f>DAY(RejectionData[[#This Row],[RejectionDate]])</f>
        <v>28</v>
      </c>
    </row>
    <row r="480" spans="1:13">
      <c r="A480" t="s">
        <v>487</v>
      </c>
      <c r="B480" t="s">
        <v>748</v>
      </c>
      <c r="C480" t="s">
        <v>56</v>
      </c>
      <c r="D480" t="s">
        <v>13</v>
      </c>
      <c r="E480" s="7">
        <v>45624</v>
      </c>
      <c r="F480" t="s">
        <v>230</v>
      </c>
      <c r="G480">
        <v>0</v>
      </c>
      <c r="H480" t="s">
        <v>15</v>
      </c>
      <c r="I480" t="s">
        <v>16</v>
      </c>
      <c r="J480" t="s">
        <v>16</v>
      </c>
      <c r="K480" t="str">
        <f>VLOOKUP(C480,CheckName!A:B,2,0)</f>
        <v>Special Check</v>
      </c>
      <c r="M480">
        <f>DAY(RejectionData[[#This Row],[RejectionDate]])</f>
        <v>28</v>
      </c>
    </row>
    <row r="481" spans="1:13">
      <c r="A481" t="s">
        <v>749</v>
      </c>
      <c r="B481" t="s">
        <v>750</v>
      </c>
      <c r="C481" t="s">
        <v>36</v>
      </c>
      <c r="D481" t="s">
        <v>38</v>
      </c>
      <c r="E481" s="7">
        <v>45624</v>
      </c>
      <c r="F481" t="s">
        <v>39</v>
      </c>
      <c r="G481">
        <v>0</v>
      </c>
      <c r="H481" t="s">
        <v>42</v>
      </c>
      <c r="I481" t="s">
        <v>16</v>
      </c>
      <c r="J481" t="s">
        <v>16</v>
      </c>
      <c r="K481" t="str">
        <f>VLOOKUP(C481,CheckName!A:B,2,0)</f>
        <v>Emp</v>
      </c>
      <c r="M481">
        <f>DAY(RejectionData[[#This Row],[RejectionDate]])</f>
        <v>28</v>
      </c>
    </row>
    <row r="482" spans="1:13">
      <c r="A482" t="s">
        <v>751</v>
      </c>
      <c r="B482" t="s">
        <v>752</v>
      </c>
      <c r="C482" t="s">
        <v>125</v>
      </c>
      <c r="D482" t="s">
        <v>51</v>
      </c>
      <c r="E482" s="7">
        <v>45624</v>
      </c>
      <c r="F482" t="s">
        <v>52</v>
      </c>
      <c r="G482">
        <v>0</v>
      </c>
      <c r="H482" t="s">
        <v>53</v>
      </c>
      <c r="I482" t="s">
        <v>16</v>
      </c>
      <c r="J482" t="s">
        <v>16</v>
      </c>
      <c r="K482" t="str">
        <f>VLOOKUP(C482,CheckName!A:B,2,0)</f>
        <v>Emp</v>
      </c>
      <c r="M482">
        <f>DAY(RejectionData[[#This Row],[RejectionDate]])</f>
        <v>28</v>
      </c>
    </row>
    <row r="483" spans="1:13">
      <c r="A483" t="s">
        <v>751</v>
      </c>
      <c r="B483" t="s">
        <v>752</v>
      </c>
      <c r="C483" t="s">
        <v>36</v>
      </c>
      <c r="D483" t="s">
        <v>51</v>
      </c>
      <c r="E483" s="7">
        <v>45624</v>
      </c>
      <c r="F483" t="s">
        <v>52</v>
      </c>
      <c r="G483">
        <v>0</v>
      </c>
      <c r="H483" t="s">
        <v>53</v>
      </c>
      <c r="I483" t="s">
        <v>16</v>
      </c>
      <c r="J483" t="s">
        <v>16</v>
      </c>
      <c r="K483" t="str">
        <f>VLOOKUP(C483,CheckName!A:B,2,0)</f>
        <v>Emp</v>
      </c>
      <c r="M483">
        <f>DAY(RejectionData[[#This Row],[RejectionDate]])</f>
        <v>28</v>
      </c>
    </row>
    <row r="484" spans="1:13">
      <c r="A484" t="s">
        <v>753</v>
      </c>
      <c r="B484" t="s">
        <v>754</v>
      </c>
      <c r="C484" t="s">
        <v>755</v>
      </c>
      <c r="D484" t="s">
        <v>51</v>
      </c>
      <c r="E484" s="7">
        <v>45624</v>
      </c>
      <c r="F484" t="s">
        <v>52</v>
      </c>
      <c r="G484">
        <v>0</v>
      </c>
      <c r="H484" t="s">
        <v>53</v>
      </c>
      <c r="I484" t="s">
        <v>16</v>
      </c>
      <c r="J484" t="s">
        <v>16</v>
      </c>
      <c r="K484" t="str">
        <f>VLOOKUP(C484,CheckName!A:B,2,0)</f>
        <v>CRC</v>
      </c>
      <c r="M484">
        <f>DAY(RejectionData[[#This Row],[RejectionDate]])</f>
        <v>28</v>
      </c>
    </row>
    <row r="485" spans="1:13">
      <c r="A485" t="s">
        <v>510</v>
      </c>
      <c r="B485" t="s">
        <v>756</v>
      </c>
      <c r="C485" t="s">
        <v>56</v>
      </c>
      <c r="D485" t="s">
        <v>51</v>
      </c>
      <c r="E485" s="7">
        <v>45624</v>
      </c>
      <c r="F485" t="s">
        <v>52</v>
      </c>
      <c r="G485">
        <v>0</v>
      </c>
      <c r="H485" t="s">
        <v>53</v>
      </c>
      <c r="I485" t="s">
        <v>16</v>
      </c>
      <c r="J485" t="s">
        <v>16</v>
      </c>
      <c r="K485" t="str">
        <f>VLOOKUP(C485,CheckName!A:B,2,0)</f>
        <v>Special Check</v>
      </c>
      <c r="M485">
        <f>DAY(RejectionData[[#This Row],[RejectionDate]])</f>
        <v>28</v>
      </c>
    </row>
    <row r="486" spans="1:13">
      <c r="A486" t="s">
        <v>757</v>
      </c>
      <c r="B486" t="s">
        <v>758</v>
      </c>
      <c r="C486" t="s">
        <v>125</v>
      </c>
      <c r="D486" t="s">
        <v>13</v>
      </c>
      <c r="E486" s="7">
        <v>45624</v>
      </c>
      <c r="F486" t="s">
        <v>759</v>
      </c>
      <c r="G486">
        <v>0</v>
      </c>
      <c r="H486" t="s">
        <v>15</v>
      </c>
      <c r="I486" t="s">
        <v>16</v>
      </c>
      <c r="J486" t="s">
        <v>16</v>
      </c>
      <c r="K486" t="str">
        <f>VLOOKUP(C486,CheckName!A:B,2,0)</f>
        <v>Emp</v>
      </c>
      <c r="M486">
        <f>DAY(RejectionData[[#This Row],[RejectionDate]])</f>
        <v>28</v>
      </c>
    </row>
    <row r="487" spans="1:13">
      <c r="A487" t="s">
        <v>760</v>
      </c>
      <c r="B487" t="s">
        <v>761</v>
      </c>
      <c r="C487" t="s">
        <v>36</v>
      </c>
      <c r="D487" t="s">
        <v>26</v>
      </c>
      <c r="E487" s="7">
        <v>45624</v>
      </c>
      <c r="F487" t="s">
        <v>222</v>
      </c>
      <c r="G487">
        <v>0</v>
      </c>
      <c r="H487" t="s">
        <v>27</v>
      </c>
      <c r="I487" t="s">
        <v>16</v>
      </c>
      <c r="J487" t="s">
        <v>16</v>
      </c>
      <c r="K487" t="str">
        <f>VLOOKUP(C487,CheckName!A:B,2,0)</f>
        <v>Emp</v>
      </c>
      <c r="M487">
        <f>DAY(RejectionData[[#This Row],[RejectionDate]])</f>
        <v>28</v>
      </c>
    </row>
    <row r="488" spans="1:13">
      <c r="A488" t="s">
        <v>45</v>
      </c>
      <c r="B488" t="s">
        <v>762</v>
      </c>
      <c r="C488" t="s">
        <v>125</v>
      </c>
      <c r="D488" t="s">
        <v>26</v>
      </c>
      <c r="E488" s="7">
        <v>45624</v>
      </c>
      <c r="F488" t="s">
        <v>224</v>
      </c>
      <c r="G488">
        <v>0</v>
      </c>
      <c r="H488" t="s">
        <v>27</v>
      </c>
      <c r="I488" t="s">
        <v>16</v>
      </c>
      <c r="J488" t="s">
        <v>16</v>
      </c>
      <c r="K488" t="str">
        <f>VLOOKUP(C488,CheckName!A:B,2,0)</f>
        <v>Emp</v>
      </c>
      <c r="M488">
        <f>DAY(RejectionData[[#This Row],[RejectionDate]])</f>
        <v>28</v>
      </c>
    </row>
    <row r="489" spans="1:13">
      <c r="A489" t="s">
        <v>211</v>
      </c>
      <c r="B489" t="s">
        <v>763</v>
      </c>
      <c r="C489" t="s">
        <v>12</v>
      </c>
      <c r="D489" t="s">
        <v>26</v>
      </c>
      <c r="E489" s="7">
        <v>45624</v>
      </c>
      <c r="F489" t="s">
        <v>222</v>
      </c>
      <c r="G489">
        <v>0</v>
      </c>
      <c r="H489" t="s">
        <v>22</v>
      </c>
      <c r="I489" t="s">
        <v>16</v>
      </c>
      <c r="J489" t="s">
        <v>16</v>
      </c>
      <c r="K489" t="str">
        <f>VLOOKUP(C489,CheckName!A:B,2,0)</f>
        <v>Emp</v>
      </c>
      <c r="M489">
        <f>DAY(RejectionData[[#This Row],[RejectionDate]])</f>
        <v>28</v>
      </c>
    </row>
    <row r="490" spans="1:13">
      <c r="A490" t="s">
        <v>84</v>
      </c>
      <c r="B490" t="s">
        <v>764</v>
      </c>
      <c r="C490" t="s">
        <v>12</v>
      </c>
      <c r="D490" t="s">
        <v>26</v>
      </c>
      <c r="E490" s="7">
        <v>45624</v>
      </c>
      <c r="F490" t="s">
        <v>222</v>
      </c>
      <c r="G490">
        <v>0</v>
      </c>
      <c r="H490" t="s">
        <v>22</v>
      </c>
      <c r="I490" t="s">
        <v>16</v>
      </c>
      <c r="J490" t="s">
        <v>16</v>
      </c>
      <c r="K490" t="str">
        <f>VLOOKUP(C490,CheckName!A:B,2,0)</f>
        <v>Emp</v>
      </c>
      <c r="M490">
        <f>DAY(RejectionData[[#This Row],[RejectionDate]])</f>
        <v>28</v>
      </c>
    </row>
    <row r="491" spans="1:13">
      <c r="A491" t="s">
        <v>383</v>
      </c>
      <c r="B491" t="s">
        <v>765</v>
      </c>
      <c r="C491" t="s">
        <v>12</v>
      </c>
      <c r="D491" t="s">
        <v>26</v>
      </c>
      <c r="E491" s="7">
        <v>45624</v>
      </c>
      <c r="F491" t="s">
        <v>222</v>
      </c>
      <c r="G491">
        <v>0</v>
      </c>
      <c r="H491" t="s">
        <v>27</v>
      </c>
      <c r="I491" t="s">
        <v>16</v>
      </c>
      <c r="J491" t="s">
        <v>16</v>
      </c>
      <c r="K491" t="str">
        <f>VLOOKUP(C491,CheckName!A:B,2,0)</f>
        <v>Emp</v>
      </c>
      <c r="M491">
        <f>DAY(RejectionData[[#This Row],[RejectionDate]])</f>
        <v>28</v>
      </c>
    </row>
    <row r="492" spans="1:13">
      <c r="A492" t="s">
        <v>766</v>
      </c>
      <c r="B492" t="s">
        <v>767</v>
      </c>
      <c r="C492" t="s">
        <v>125</v>
      </c>
      <c r="D492" t="s">
        <v>26</v>
      </c>
      <c r="E492" s="7">
        <v>45624</v>
      </c>
      <c r="F492" t="s">
        <v>694</v>
      </c>
      <c r="G492">
        <v>0</v>
      </c>
      <c r="H492" t="s">
        <v>22</v>
      </c>
      <c r="I492" t="s">
        <v>16</v>
      </c>
      <c r="J492" t="s">
        <v>16</v>
      </c>
      <c r="K492" t="str">
        <f>VLOOKUP(C492,CheckName!A:B,2,0)</f>
        <v>Emp</v>
      </c>
      <c r="M492">
        <f>DAY(RejectionData[[#This Row],[RejectionDate]])</f>
        <v>28</v>
      </c>
    </row>
    <row r="493" spans="1:13">
      <c r="A493" t="s">
        <v>84</v>
      </c>
      <c r="B493" t="s">
        <v>768</v>
      </c>
      <c r="C493" t="s">
        <v>54</v>
      </c>
      <c r="D493" t="s">
        <v>26</v>
      </c>
      <c r="E493" s="7">
        <v>45624</v>
      </c>
      <c r="F493" t="s">
        <v>444</v>
      </c>
      <c r="G493">
        <v>0</v>
      </c>
      <c r="H493" t="s">
        <v>95</v>
      </c>
      <c r="I493" t="s">
        <v>16</v>
      </c>
      <c r="J493" t="s">
        <v>16</v>
      </c>
      <c r="K493" t="str">
        <f>VLOOKUP(C493,CheckName!A:B,2,0)</f>
        <v>Edu</v>
      </c>
      <c r="M493">
        <f>DAY(RejectionData[[#This Row],[RejectionDate]])</f>
        <v>28</v>
      </c>
    </row>
    <row r="494" spans="1:13">
      <c r="A494" t="s">
        <v>211</v>
      </c>
      <c r="B494" t="s">
        <v>424</v>
      </c>
      <c r="C494" t="s">
        <v>56</v>
      </c>
      <c r="D494" t="s">
        <v>13</v>
      </c>
      <c r="E494" s="7">
        <v>45624</v>
      </c>
      <c r="F494" t="s">
        <v>574</v>
      </c>
      <c r="G494">
        <v>0</v>
      </c>
      <c r="H494" t="s">
        <v>15</v>
      </c>
      <c r="I494" t="s">
        <v>16</v>
      </c>
      <c r="J494" t="s">
        <v>16</v>
      </c>
      <c r="K494" t="str">
        <f>VLOOKUP(C494,CheckName!A:B,2,0)</f>
        <v>Special Check</v>
      </c>
      <c r="M494">
        <f>DAY(RejectionData[[#This Row],[RejectionDate]])</f>
        <v>28</v>
      </c>
    </row>
    <row r="495" spans="1:13">
      <c r="A495" t="s">
        <v>510</v>
      </c>
      <c r="B495" t="s">
        <v>769</v>
      </c>
      <c r="C495" t="s">
        <v>56</v>
      </c>
      <c r="D495" t="s">
        <v>13</v>
      </c>
      <c r="E495" s="7">
        <v>45624</v>
      </c>
      <c r="F495" t="s">
        <v>706</v>
      </c>
      <c r="G495">
        <v>0</v>
      </c>
      <c r="H495" t="s">
        <v>15</v>
      </c>
      <c r="I495" t="s">
        <v>16</v>
      </c>
      <c r="J495" t="s">
        <v>16</v>
      </c>
      <c r="K495" t="str">
        <f>VLOOKUP(C495,CheckName!A:B,2,0)</f>
        <v>Special Check</v>
      </c>
      <c r="M495">
        <f>DAY(RejectionData[[#This Row],[RejectionDate]])</f>
        <v>28</v>
      </c>
    </row>
    <row r="496" spans="1:13">
      <c r="A496" t="s">
        <v>510</v>
      </c>
      <c r="B496" t="s">
        <v>770</v>
      </c>
      <c r="C496" t="s">
        <v>56</v>
      </c>
      <c r="D496" t="s">
        <v>13</v>
      </c>
      <c r="E496" s="7">
        <v>45624</v>
      </c>
      <c r="F496" t="s">
        <v>706</v>
      </c>
      <c r="G496">
        <v>0</v>
      </c>
      <c r="H496" t="s">
        <v>15</v>
      </c>
      <c r="I496" t="s">
        <v>16</v>
      </c>
      <c r="J496" t="s">
        <v>16</v>
      </c>
      <c r="K496" t="str">
        <f>VLOOKUP(C496,CheckName!A:B,2,0)</f>
        <v>Special Check</v>
      </c>
      <c r="M496">
        <f>DAY(RejectionData[[#This Row],[RejectionDate]])</f>
        <v>28</v>
      </c>
    </row>
    <row r="497" spans="1:13">
      <c r="A497" t="s">
        <v>394</v>
      </c>
      <c r="B497" t="s">
        <v>771</v>
      </c>
      <c r="C497" t="s">
        <v>12</v>
      </c>
      <c r="D497" t="s">
        <v>26</v>
      </c>
      <c r="E497" s="7">
        <v>45624</v>
      </c>
      <c r="F497" t="s">
        <v>277</v>
      </c>
      <c r="G497">
        <v>0</v>
      </c>
      <c r="H497" t="s">
        <v>27</v>
      </c>
      <c r="I497" t="s">
        <v>16</v>
      </c>
      <c r="J497" t="s">
        <v>16</v>
      </c>
      <c r="K497" t="str">
        <f>VLOOKUP(C497,CheckName!A:B,2,0)</f>
        <v>Emp</v>
      </c>
      <c r="M497">
        <f>DAY(RejectionData[[#This Row],[RejectionDate]])</f>
        <v>28</v>
      </c>
    </row>
    <row r="498" spans="1:13">
      <c r="A498" t="s">
        <v>510</v>
      </c>
      <c r="B498" t="s">
        <v>772</v>
      </c>
      <c r="C498" t="s">
        <v>56</v>
      </c>
      <c r="D498" t="s">
        <v>13</v>
      </c>
      <c r="E498" s="7">
        <v>45624</v>
      </c>
      <c r="F498" t="s">
        <v>530</v>
      </c>
      <c r="G498">
        <v>0</v>
      </c>
      <c r="H498" t="s">
        <v>15</v>
      </c>
      <c r="I498" t="s">
        <v>16</v>
      </c>
      <c r="J498" t="s">
        <v>16</v>
      </c>
      <c r="K498" t="str">
        <f>VLOOKUP(C498,CheckName!A:B,2,0)</f>
        <v>Special Check</v>
      </c>
      <c r="M498">
        <f>DAY(RejectionData[[#This Row],[RejectionDate]])</f>
        <v>28</v>
      </c>
    </row>
    <row r="499" spans="1:13">
      <c r="A499" t="s">
        <v>160</v>
      </c>
      <c r="B499" t="s">
        <v>773</v>
      </c>
      <c r="C499" t="s">
        <v>36</v>
      </c>
      <c r="D499" t="s">
        <v>26</v>
      </c>
      <c r="E499" s="7">
        <v>45624</v>
      </c>
      <c r="F499" t="s">
        <v>721</v>
      </c>
      <c r="G499">
        <v>0</v>
      </c>
      <c r="H499" t="s">
        <v>30</v>
      </c>
      <c r="I499" t="s">
        <v>16</v>
      </c>
      <c r="J499" t="s">
        <v>16</v>
      </c>
      <c r="K499" t="str">
        <f>VLOOKUP(C499,CheckName!A:B,2,0)</f>
        <v>Emp</v>
      </c>
      <c r="M499">
        <f>DAY(RejectionData[[#This Row],[RejectionDate]])</f>
        <v>28</v>
      </c>
    </row>
    <row r="500" spans="1:13">
      <c r="A500" t="s">
        <v>100</v>
      </c>
      <c r="B500" t="s">
        <v>774</v>
      </c>
      <c r="C500" t="s">
        <v>775</v>
      </c>
      <c r="D500" t="s">
        <v>13</v>
      </c>
      <c r="E500" s="7">
        <v>45624</v>
      </c>
      <c r="F500" t="s">
        <v>98</v>
      </c>
      <c r="G500">
        <v>0</v>
      </c>
      <c r="H500" t="s">
        <v>15</v>
      </c>
      <c r="I500" t="s">
        <v>16</v>
      </c>
      <c r="J500" t="s">
        <v>16</v>
      </c>
      <c r="K500" t="str">
        <f>VLOOKUP(C500,CheckName!A:B,2,0)</f>
        <v>Emp</v>
      </c>
      <c r="M500">
        <f>DAY(RejectionData[[#This Row],[RejectionDate]])</f>
        <v>28</v>
      </c>
    </row>
    <row r="501" spans="1:13">
      <c r="A501" t="s">
        <v>100</v>
      </c>
      <c r="B501" t="s">
        <v>776</v>
      </c>
      <c r="C501" t="s">
        <v>775</v>
      </c>
      <c r="D501" t="s">
        <v>13</v>
      </c>
      <c r="E501" s="7">
        <v>45624</v>
      </c>
      <c r="F501" t="s">
        <v>98</v>
      </c>
      <c r="G501">
        <v>0</v>
      </c>
      <c r="H501" t="s">
        <v>15</v>
      </c>
      <c r="I501" t="s">
        <v>16</v>
      </c>
      <c r="J501" t="s">
        <v>16</v>
      </c>
      <c r="K501" t="str">
        <f>VLOOKUP(C501,CheckName!A:B,2,0)</f>
        <v>Emp</v>
      </c>
      <c r="M501">
        <f>DAY(RejectionData[[#This Row],[RejectionDate]])</f>
        <v>28</v>
      </c>
    </row>
    <row r="502" spans="1:13">
      <c r="A502" t="s">
        <v>777</v>
      </c>
      <c r="B502" t="s">
        <v>778</v>
      </c>
      <c r="C502" t="s">
        <v>71</v>
      </c>
      <c r="D502" t="s">
        <v>13</v>
      </c>
      <c r="E502" s="7">
        <v>45624</v>
      </c>
      <c r="F502" t="s">
        <v>98</v>
      </c>
      <c r="G502">
        <v>0</v>
      </c>
      <c r="H502" t="s">
        <v>15</v>
      </c>
      <c r="I502" t="s">
        <v>16</v>
      </c>
      <c r="J502" t="s">
        <v>16</v>
      </c>
      <c r="K502" t="str">
        <f>VLOOKUP(C502,CheckName!A:B,2,0)</f>
        <v>CRC</v>
      </c>
      <c r="M502">
        <f>DAY(RejectionData[[#This Row],[RejectionDate]])</f>
        <v>28</v>
      </c>
    </row>
    <row r="503" spans="1:13">
      <c r="A503" t="s">
        <v>73</v>
      </c>
      <c r="B503" t="s">
        <v>779</v>
      </c>
      <c r="C503" t="s">
        <v>12</v>
      </c>
      <c r="D503" t="s">
        <v>26</v>
      </c>
      <c r="E503" s="7">
        <v>45624</v>
      </c>
      <c r="F503" t="s">
        <v>169</v>
      </c>
      <c r="G503">
        <v>0</v>
      </c>
      <c r="H503" t="s">
        <v>27</v>
      </c>
      <c r="I503" t="s">
        <v>16</v>
      </c>
      <c r="J503" t="s">
        <v>16</v>
      </c>
      <c r="K503" t="str">
        <f>VLOOKUP(C503,CheckName!A:B,2,0)</f>
        <v>Emp</v>
      </c>
      <c r="M503">
        <f>DAY(RejectionData[[#This Row],[RejectionDate]])</f>
        <v>28</v>
      </c>
    </row>
    <row r="504" spans="1:13">
      <c r="A504" t="s">
        <v>510</v>
      </c>
      <c r="B504" t="s">
        <v>780</v>
      </c>
      <c r="C504" t="s">
        <v>71</v>
      </c>
      <c r="D504" t="s">
        <v>13</v>
      </c>
      <c r="E504" s="7">
        <v>45624</v>
      </c>
      <c r="F504" t="s">
        <v>781</v>
      </c>
      <c r="G504">
        <v>0</v>
      </c>
      <c r="H504" t="s">
        <v>15</v>
      </c>
      <c r="I504" t="s">
        <v>16</v>
      </c>
      <c r="J504" t="s">
        <v>16</v>
      </c>
      <c r="K504" t="str">
        <f>VLOOKUP(C504,CheckName!A:B,2,0)</f>
        <v>CRC</v>
      </c>
      <c r="M504">
        <f>DAY(RejectionData[[#This Row],[RejectionDate]])</f>
        <v>28</v>
      </c>
    </row>
    <row r="505" spans="1:13">
      <c r="A505" t="s">
        <v>84</v>
      </c>
      <c r="B505" t="s">
        <v>782</v>
      </c>
      <c r="C505" t="s">
        <v>12</v>
      </c>
      <c r="D505" t="s">
        <v>26</v>
      </c>
      <c r="E505" s="7">
        <v>45624</v>
      </c>
      <c r="F505" t="s">
        <v>110</v>
      </c>
      <c r="G505">
        <v>0</v>
      </c>
      <c r="H505" t="s">
        <v>27</v>
      </c>
      <c r="I505" t="s">
        <v>16</v>
      </c>
      <c r="J505" t="s">
        <v>16</v>
      </c>
      <c r="K505" t="str">
        <f>VLOOKUP(C505,CheckName!A:B,2,0)</f>
        <v>Emp</v>
      </c>
      <c r="M505">
        <f>DAY(RejectionData[[#This Row],[RejectionDate]])</f>
        <v>28</v>
      </c>
    </row>
    <row r="506" spans="1:13">
      <c r="A506" t="s">
        <v>487</v>
      </c>
      <c r="B506" t="s">
        <v>783</v>
      </c>
      <c r="C506" t="s">
        <v>71</v>
      </c>
      <c r="D506" t="s">
        <v>13</v>
      </c>
      <c r="E506" s="7">
        <v>45624</v>
      </c>
      <c r="F506" t="s">
        <v>540</v>
      </c>
      <c r="G506">
        <v>0</v>
      </c>
      <c r="H506" t="s">
        <v>15</v>
      </c>
      <c r="I506" t="s">
        <v>16</v>
      </c>
      <c r="J506" t="s">
        <v>16</v>
      </c>
      <c r="K506" t="str">
        <f>VLOOKUP(C506,CheckName!A:B,2,0)</f>
        <v>CRC</v>
      </c>
      <c r="M506">
        <f>DAY(RejectionData[[#This Row],[RejectionDate]])</f>
        <v>28</v>
      </c>
    </row>
    <row r="507" spans="1:13">
      <c r="A507" t="s">
        <v>45</v>
      </c>
      <c r="B507" t="s">
        <v>784</v>
      </c>
      <c r="C507" t="s">
        <v>54</v>
      </c>
      <c r="D507" t="s">
        <v>26</v>
      </c>
      <c r="E507" s="7">
        <v>45624</v>
      </c>
      <c r="F507" t="s">
        <v>121</v>
      </c>
      <c r="G507">
        <v>0</v>
      </c>
      <c r="H507" t="s">
        <v>27</v>
      </c>
      <c r="I507" t="s">
        <v>16</v>
      </c>
      <c r="J507" t="s">
        <v>16</v>
      </c>
      <c r="K507" t="str">
        <f>VLOOKUP(C507,CheckName!A:B,2,0)</f>
        <v>Edu</v>
      </c>
      <c r="M507">
        <f>DAY(RejectionData[[#This Row],[RejectionDate]])</f>
        <v>28</v>
      </c>
    </row>
    <row r="508" spans="1:13">
      <c r="A508" t="s">
        <v>119</v>
      </c>
      <c r="B508" t="s">
        <v>707</v>
      </c>
      <c r="C508" t="s">
        <v>25</v>
      </c>
      <c r="D508" t="s">
        <v>20</v>
      </c>
      <c r="E508" s="7">
        <v>45624</v>
      </c>
      <c r="F508" t="s">
        <v>129</v>
      </c>
      <c r="G508">
        <v>0</v>
      </c>
      <c r="H508" t="s">
        <v>53</v>
      </c>
      <c r="I508" t="s">
        <v>16</v>
      </c>
      <c r="J508" t="s">
        <v>16</v>
      </c>
      <c r="K508" t="str">
        <f>VLOOKUP(C508,CheckName!A:B,2,0)</f>
        <v>Add</v>
      </c>
      <c r="M508">
        <f>DAY(RejectionData[[#This Row],[RejectionDate]])</f>
        <v>28</v>
      </c>
    </row>
    <row r="509" spans="1:13">
      <c r="A509" t="s">
        <v>432</v>
      </c>
      <c r="B509" t="s">
        <v>785</v>
      </c>
      <c r="C509" t="s">
        <v>125</v>
      </c>
      <c r="D509" t="s">
        <v>26</v>
      </c>
      <c r="E509" s="7">
        <v>45624</v>
      </c>
      <c r="F509" t="s">
        <v>126</v>
      </c>
      <c r="G509">
        <v>0</v>
      </c>
      <c r="H509" t="s">
        <v>27</v>
      </c>
      <c r="I509" t="s">
        <v>16</v>
      </c>
      <c r="J509" t="s">
        <v>16</v>
      </c>
      <c r="K509" t="str">
        <f>VLOOKUP(C509,CheckName!A:B,2,0)</f>
        <v>Emp</v>
      </c>
      <c r="M509">
        <f>DAY(RejectionData[[#This Row],[RejectionDate]])</f>
        <v>28</v>
      </c>
    </row>
    <row r="510" spans="1:13">
      <c r="A510" t="s">
        <v>786</v>
      </c>
      <c r="B510" t="s">
        <v>787</v>
      </c>
      <c r="C510" t="s">
        <v>25</v>
      </c>
      <c r="D510" t="s">
        <v>20</v>
      </c>
      <c r="E510" s="7">
        <v>45624</v>
      </c>
      <c r="F510" t="s">
        <v>129</v>
      </c>
      <c r="G510">
        <v>0</v>
      </c>
      <c r="H510" t="s">
        <v>27</v>
      </c>
      <c r="I510" t="s">
        <v>16</v>
      </c>
      <c r="J510" t="s">
        <v>16</v>
      </c>
      <c r="K510" t="str">
        <f>VLOOKUP(C510,CheckName!A:B,2,0)</f>
        <v>Add</v>
      </c>
      <c r="M510">
        <f>DAY(RejectionData[[#This Row],[RejectionDate]])</f>
        <v>28</v>
      </c>
    </row>
    <row r="511" spans="1:13">
      <c r="A511" t="s">
        <v>228</v>
      </c>
      <c r="B511" t="s">
        <v>448</v>
      </c>
      <c r="C511" t="s">
        <v>71</v>
      </c>
      <c r="D511" t="s">
        <v>13</v>
      </c>
      <c r="E511" s="7">
        <v>45624</v>
      </c>
      <c r="F511" t="s">
        <v>14</v>
      </c>
      <c r="G511">
        <v>0</v>
      </c>
      <c r="H511" t="s">
        <v>15</v>
      </c>
      <c r="I511" t="s">
        <v>16</v>
      </c>
      <c r="J511" t="s">
        <v>16</v>
      </c>
      <c r="K511" t="str">
        <f>VLOOKUP(C511,CheckName!A:B,2,0)</f>
        <v>CRC</v>
      </c>
      <c r="M511">
        <f>DAY(RejectionData[[#This Row],[RejectionDate]])</f>
        <v>28</v>
      </c>
    </row>
    <row r="512" spans="1:13">
      <c r="A512" t="s">
        <v>47</v>
      </c>
      <c r="B512" t="s">
        <v>788</v>
      </c>
      <c r="C512" t="s">
        <v>71</v>
      </c>
      <c r="D512" t="s">
        <v>13</v>
      </c>
      <c r="E512" s="7">
        <v>45624</v>
      </c>
      <c r="F512" t="s">
        <v>14</v>
      </c>
      <c r="G512">
        <v>0</v>
      </c>
      <c r="H512" t="s">
        <v>15</v>
      </c>
      <c r="I512" t="s">
        <v>16</v>
      </c>
      <c r="J512" t="s">
        <v>16</v>
      </c>
      <c r="K512" t="str">
        <f>VLOOKUP(C512,CheckName!A:B,2,0)</f>
        <v>CRC</v>
      </c>
      <c r="M512">
        <f>DAY(RejectionData[[#This Row],[RejectionDate]])</f>
        <v>28</v>
      </c>
    </row>
    <row r="513" spans="1:13">
      <c r="A513" t="s">
        <v>139</v>
      </c>
      <c r="B513" t="s">
        <v>789</v>
      </c>
      <c r="C513" t="s">
        <v>790</v>
      </c>
      <c r="D513" t="s">
        <v>20</v>
      </c>
      <c r="E513" s="7">
        <v>45624</v>
      </c>
      <c r="F513" t="s">
        <v>21</v>
      </c>
      <c r="G513">
        <v>0</v>
      </c>
      <c r="H513" t="s">
        <v>22</v>
      </c>
      <c r="I513" t="s">
        <v>16</v>
      </c>
      <c r="J513" t="s">
        <v>16</v>
      </c>
      <c r="K513" t="str">
        <f>VLOOKUP(C513,CheckName!A:B,2,0)</f>
        <v>Add</v>
      </c>
      <c r="M513">
        <f>DAY(RejectionData[[#This Row],[RejectionDate]])</f>
        <v>28</v>
      </c>
    </row>
    <row r="514" spans="1:13">
      <c r="A514" t="s">
        <v>176</v>
      </c>
      <c r="B514" t="s">
        <v>791</v>
      </c>
      <c r="C514" t="s">
        <v>792</v>
      </c>
      <c r="D514" t="s">
        <v>26</v>
      </c>
      <c r="E514" s="7">
        <v>45624</v>
      </c>
      <c r="F514" t="s">
        <v>236</v>
      </c>
      <c r="G514">
        <v>0</v>
      </c>
      <c r="H514" t="s">
        <v>793</v>
      </c>
      <c r="I514" t="s">
        <v>16</v>
      </c>
      <c r="J514" t="s">
        <v>16</v>
      </c>
      <c r="K514" t="str">
        <f>VLOOKUP(C514,CheckName!A:B,2,0)</f>
        <v>Drug</v>
      </c>
      <c r="M514">
        <f>DAY(RejectionData[[#This Row],[RejectionDate]])</f>
        <v>28</v>
      </c>
    </row>
    <row r="515" spans="1:13">
      <c r="A515" t="s">
        <v>749</v>
      </c>
      <c r="B515" t="s">
        <v>794</v>
      </c>
      <c r="C515" t="s">
        <v>71</v>
      </c>
      <c r="D515" t="s">
        <v>13</v>
      </c>
      <c r="E515" s="7">
        <v>45624</v>
      </c>
      <c r="F515" t="s">
        <v>230</v>
      </c>
      <c r="G515">
        <v>0</v>
      </c>
      <c r="H515" t="s">
        <v>15</v>
      </c>
      <c r="I515" t="s">
        <v>16</v>
      </c>
      <c r="J515" t="s">
        <v>16</v>
      </c>
      <c r="K515" t="str">
        <f>VLOOKUP(C515,CheckName!A:B,2,0)</f>
        <v>CRC</v>
      </c>
      <c r="M515">
        <f>DAY(RejectionData[[#This Row],[RejectionDate]])</f>
        <v>28</v>
      </c>
    </row>
    <row r="516" spans="1:13">
      <c r="A516" t="s">
        <v>43</v>
      </c>
      <c r="B516" t="s">
        <v>795</v>
      </c>
      <c r="C516" t="s">
        <v>56</v>
      </c>
      <c r="D516" t="s">
        <v>13</v>
      </c>
      <c r="E516" s="7">
        <v>45624</v>
      </c>
      <c r="F516" t="s">
        <v>33</v>
      </c>
      <c r="G516">
        <v>0</v>
      </c>
      <c r="H516" t="s">
        <v>15</v>
      </c>
      <c r="I516" t="s">
        <v>16</v>
      </c>
      <c r="J516" t="s">
        <v>16</v>
      </c>
      <c r="K516" t="str">
        <f>VLOOKUP(C516,CheckName!A:B,2,0)</f>
        <v>Special Check</v>
      </c>
      <c r="M516">
        <f>DAY(RejectionData[[#This Row],[RejectionDate]])</f>
        <v>28</v>
      </c>
    </row>
    <row r="517" spans="1:13">
      <c r="A517" t="s">
        <v>317</v>
      </c>
      <c r="B517" t="s">
        <v>796</v>
      </c>
      <c r="C517" t="s">
        <v>12</v>
      </c>
      <c r="D517" t="s">
        <v>26</v>
      </c>
      <c r="E517" s="7">
        <v>45624</v>
      </c>
      <c r="F517" t="s">
        <v>37</v>
      </c>
      <c r="G517">
        <v>0</v>
      </c>
      <c r="H517" t="s">
        <v>27</v>
      </c>
      <c r="I517" t="s">
        <v>16</v>
      </c>
      <c r="J517" t="s">
        <v>16</v>
      </c>
      <c r="K517" t="str">
        <f>VLOOKUP(C517,CheckName!A:B,2,0)</f>
        <v>Emp</v>
      </c>
      <c r="M517">
        <f>DAY(RejectionData[[#This Row],[RejectionDate]])</f>
        <v>28</v>
      </c>
    </row>
    <row r="518" spans="1:13">
      <c r="A518" t="s">
        <v>84</v>
      </c>
      <c r="B518" t="s">
        <v>797</v>
      </c>
      <c r="C518" t="s">
        <v>125</v>
      </c>
      <c r="D518" t="s">
        <v>38</v>
      </c>
      <c r="E518" s="7">
        <v>45624</v>
      </c>
      <c r="F518" t="s">
        <v>39</v>
      </c>
      <c r="G518">
        <v>0</v>
      </c>
      <c r="H518" t="s">
        <v>22</v>
      </c>
      <c r="I518" t="s">
        <v>16</v>
      </c>
      <c r="J518" t="s">
        <v>16</v>
      </c>
      <c r="K518" t="str">
        <f>VLOOKUP(C518,CheckName!A:B,2,0)</f>
        <v>Emp</v>
      </c>
      <c r="M518">
        <f>DAY(RejectionData[[#This Row],[RejectionDate]])</f>
        <v>28</v>
      </c>
    </row>
    <row r="519" spans="1:13">
      <c r="A519" t="s">
        <v>84</v>
      </c>
      <c r="B519" t="s">
        <v>798</v>
      </c>
      <c r="C519" t="s">
        <v>36</v>
      </c>
      <c r="D519" t="s">
        <v>38</v>
      </c>
      <c r="E519" s="7">
        <v>45624</v>
      </c>
      <c r="F519" t="s">
        <v>39</v>
      </c>
      <c r="G519">
        <v>0</v>
      </c>
      <c r="H519" t="s">
        <v>42</v>
      </c>
      <c r="I519" t="s">
        <v>16</v>
      </c>
      <c r="J519" t="s">
        <v>16</v>
      </c>
      <c r="K519" t="str">
        <f>VLOOKUP(C519,CheckName!A:B,2,0)</f>
        <v>Emp</v>
      </c>
      <c r="M519">
        <f>DAY(RejectionData[[#This Row],[RejectionDate]])</f>
        <v>28</v>
      </c>
    </row>
    <row r="520" spans="1:13">
      <c r="A520" t="s">
        <v>45</v>
      </c>
      <c r="B520" t="s">
        <v>484</v>
      </c>
      <c r="C520" t="s">
        <v>12</v>
      </c>
      <c r="D520" t="s">
        <v>38</v>
      </c>
      <c r="E520" s="7">
        <v>45624</v>
      </c>
      <c r="F520" t="s">
        <v>39</v>
      </c>
      <c r="G520">
        <v>0</v>
      </c>
      <c r="H520" t="s">
        <v>42</v>
      </c>
      <c r="I520" t="s">
        <v>16</v>
      </c>
      <c r="J520" t="s">
        <v>16</v>
      </c>
      <c r="K520" t="str">
        <f>VLOOKUP(C520,CheckName!A:B,2,0)</f>
        <v>Emp</v>
      </c>
      <c r="M520">
        <f>DAY(RejectionData[[#This Row],[RejectionDate]])</f>
        <v>28</v>
      </c>
    </row>
    <row r="521" spans="1:13">
      <c r="A521" t="s">
        <v>45</v>
      </c>
      <c r="B521" t="s">
        <v>799</v>
      </c>
      <c r="C521" t="s">
        <v>125</v>
      </c>
      <c r="D521" t="s">
        <v>38</v>
      </c>
      <c r="E521" s="7">
        <v>45624</v>
      </c>
      <c r="F521" t="s">
        <v>39</v>
      </c>
      <c r="G521">
        <v>0</v>
      </c>
      <c r="H521" t="s">
        <v>22</v>
      </c>
      <c r="I521" t="s">
        <v>16</v>
      </c>
      <c r="J521" t="s">
        <v>16</v>
      </c>
      <c r="K521" t="str">
        <f>VLOOKUP(C521,CheckName!A:B,2,0)</f>
        <v>Emp</v>
      </c>
      <c r="M521">
        <f>DAY(RejectionData[[#This Row],[RejectionDate]])</f>
        <v>28</v>
      </c>
    </row>
    <row r="522" spans="1:13">
      <c r="A522" t="s">
        <v>45</v>
      </c>
      <c r="B522" t="s">
        <v>382</v>
      </c>
      <c r="C522" t="s">
        <v>36</v>
      </c>
      <c r="D522" t="s">
        <v>38</v>
      </c>
      <c r="E522" s="7">
        <v>45624</v>
      </c>
      <c r="F522" t="s">
        <v>39</v>
      </c>
      <c r="G522">
        <v>0</v>
      </c>
      <c r="H522" t="s">
        <v>42</v>
      </c>
      <c r="I522" t="s">
        <v>16</v>
      </c>
      <c r="J522" t="s">
        <v>16</v>
      </c>
      <c r="K522" t="str">
        <f>VLOOKUP(C522,CheckName!A:B,2,0)</f>
        <v>Emp</v>
      </c>
      <c r="M522">
        <f>DAY(RejectionData[[#This Row],[RejectionDate]])</f>
        <v>28</v>
      </c>
    </row>
    <row r="523" spans="1:13">
      <c r="A523" t="s">
        <v>281</v>
      </c>
      <c r="B523" t="s">
        <v>800</v>
      </c>
      <c r="C523" t="s">
        <v>220</v>
      </c>
      <c r="D523" t="s">
        <v>38</v>
      </c>
      <c r="E523" s="7">
        <v>45624</v>
      </c>
      <c r="F523" t="s">
        <v>39</v>
      </c>
      <c r="G523">
        <v>0</v>
      </c>
      <c r="H523" t="s">
        <v>42</v>
      </c>
      <c r="I523" t="s">
        <v>16</v>
      </c>
      <c r="J523" t="s">
        <v>16</v>
      </c>
      <c r="K523" t="str">
        <f>VLOOKUP(C523,CheckName!A:B,2,0)</f>
        <v>Ref</v>
      </c>
      <c r="M523">
        <f>DAY(RejectionData[[#This Row],[RejectionDate]])</f>
        <v>28</v>
      </c>
    </row>
    <row r="524" spans="1:13">
      <c r="A524" t="s">
        <v>73</v>
      </c>
      <c r="B524" t="s">
        <v>801</v>
      </c>
      <c r="C524" t="s">
        <v>54</v>
      </c>
      <c r="D524" t="s">
        <v>51</v>
      </c>
      <c r="E524" s="7">
        <v>45624</v>
      </c>
      <c r="F524" t="s">
        <v>52</v>
      </c>
      <c r="G524">
        <v>0</v>
      </c>
      <c r="H524" t="s">
        <v>53</v>
      </c>
      <c r="I524" t="s">
        <v>16</v>
      </c>
      <c r="J524" t="s">
        <v>16</v>
      </c>
      <c r="K524" t="str">
        <f>VLOOKUP(C524,CheckName!A:B,2,0)</f>
        <v>Edu</v>
      </c>
      <c r="M524">
        <f>DAY(RejectionData[[#This Row],[RejectionDate]])</f>
        <v>28</v>
      </c>
    </row>
    <row r="525" spans="1:13">
      <c r="A525" t="s">
        <v>40</v>
      </c>
      <c r="B525" t="s">
        <v>802</v>
      </c>
      <c r="C525" t="s">
        <v>71</v>
      </c>
      <c r="D525" t="s">
        <v>13</v>
      </c>
      <c r="E525" s="7">
        <v>45624</v>
      </c>
      <c r="F525" t="s">
        <v>759</v>
      </c>
      <c r="G525">
        <v>0</v>
      </c>
      <c r="H525" t="s">
        <v>15</v>
      </c>
      <c r="I525" t="s">
        <v>16</v>
      </c>
      <c r="J525" t="s">
        <v>16</v>
      </c>
      <c r="K525" t="str">
        <f>VLOOKUP(C525,CheckName!A:B,2,0)</f>
        <v>CRC</v>
      </c>
      <c r="M525">
        <f>DAY(RejectionData[[#This Row],[RejectionDate]])</f>
        <v>28</v>
      </c>
    </row>
    <row r="526" spans="1:13">
      <c r="A526" t="s">
        <v>40</v>
      </c>
      <c r="B526" t="s">
        <v>802</v>
      </c>
      <c r="C526" t="s">
        <v>59</v>
      </c>
      <c r="D526" t="s">
        <v>13</v>
      </c>
      <c r="E526" s="7">
        <v>45624</v>
      </c>
      <c r="F526" t="s">
        <v>759</v>
      </c>
      <c r="G526">
        <v>0</v>
      </c>
      <c r="H526" t="s">
        <v>15</v>
      </c>
      <c r="I526" t="s">
        <v>16</v>
      </c>
      <c r="J526" t="s">
        <v>16</v>
      </c>
      <c r="K526" t="str">
        <f>VLOOKUP(C526,CheckName!A:B,2,0)</f>
        <v>Special Check</v>
      </c>
      <c r="M526">
        <f>DAY(RejectionData[[#This Row],[RejectionDate]])</f>
        <v>28</v>
      </c>
    </row>
    <row r="527" spans="1:13">
      <c r="A527" t="s">
        <v>45</v>
      </c>
      <c r="B527" t="s">
        <v>522</v>
      </c>
      <c r="C527" t="s">
        <v>19</v>
      </c>
      <c r="D527" t="s">
        <v>26</v>
      </c>
      <c r="E527" s="7">
        <v>45624</v>
      </c>
      <c r="F527" t="s">
        <v>62</v>
      </c>
      <c r="G527">
        <v>0</v>
      </c>
      <c r="H527" t="s">
        <v>27</v>
      </c>
      <c r="I527" t="s">
        <v>16</v>
      </c>
      <c r="J527" t="s">
        <v>16</v>
      </c>
      <c r="K527" t="str">
        <f>VLOOKUP(C527,CheckName!A:B,2,0)</f>
        <v>Add</v>
      </c>
      <c r="M527">
        <f>DAY(RejectionData[[#This Row],[RejectionDate]])</f>
        <v>28</v>
      </c>
    </row>
    <row r="528" spans="1:13">
      <c r="A528" t="s">
        <v>803</v>
      </c>
      <c r="B528" t="s">
        <v>804</v>
      </c>
      <c r="C528" t="s">
        <v>805</v>
      </c>
      <c r="D528" t="s">
        <v>51</v>
      </c>
      <c r="E528" s="7">
        <v>45624</v>
      </c>
      <c r="F528" t="s">
        <v>194</v>
      </c>
      <c r="G528">
        <v>0</v>
      </c>
      <c r="H528" t="s">
        <v>53</v>
      </c>
      <c r="I528" t="s">
        <v>16</v>
      </c>
      <c r="J528" t="s">
        <v>16</v>
      </c>
      <c r="K528" t="str">
        <f>VLOOKUP(C528,CheckName!A:B,2,0)</f>
        <v>Edu</v>
      </c>
      <c r="M528">
        <f>DAY(RejectionData[[#This Row],[RejectionDate]])</f>
        <v>28</v>
      </c>
    </row>
    <row r="529" spans="1:13">
      <c r="A529" t="s">
        <v>803</v>
      </c>
      <c r="B529" t="s">
        <v>804</v>
      </c>
      <c r="C529" t="s">
        <v>93</v>
      </c>
      <c r="D529" t="s">
        <v>51</v>
      </c>
      <c r="E529" s="7">
        <v>45624</v>
      </c>
      <c r="F529" t="s">
        <v>194</v>
      </c>
      <c r="G529">
        <v>0</v>
      </c>
      <c r="H529" t="s">
        <v>53</v>
      </c>
      <c r="I529" t="s">
        <v>16</v>
      </c>
      <c r="J529" t="s">
        <v>16</v>
      </c>
      <c r="K529" t="str">
        <f>VLOOKUP(C529,CheckName!A:B,2,0)</f>
        <v>Edu</v>
      </c>
      <c r="M529">
        <f>DAY(RejectionData[[#This Row],[RejectionDate]])</f>
        <v>28</v>
      </c>
    </row>
    <row r="530" spans="1:13">
      <c r="A530" t="s">
        <v>510</v>
      </c>
      <c r="B530" t="s">
        <v>806</v>
      </c>
      <c r="C530" t="s">
        <v>54</v>
      </c>
      <c r="D530" t="s">
        <v>13</v>
      </c>
      <c r="E530" s="7">
        <v>45624</v>
      </c>
      <c r="F530" t="s">
        <v>72</v>
      </c>
      <c r="G530">
        <v>0</v>
      </c>
      <c r="H530" t="s">
        <v>15</v>
      </c>
      <c r="I530" t="s">
        <v>16</v>
      </c>
      <c r="J530" t="s">
        <v>16</v>
      </c>
      <c r="K530" t="str">
        <f>VLOOKUP(C530,CheckName!A:B,2,0)</f>
        <v>Edu</v>
      </c>
      <c r="M530">
        <f>DAY(RejectionData[[#This Row],[RejectionDate]])</f>
        <v>28</v>
      </c>
    </row>
    <row r="531" spans="1:13">
      <c r="A531" t="s">
        <v>160</v>
      </c>
      <c r="B531" t="s">
        <v>807</v>
      </c>
      <c r="C531" t="s">
        <v>36</v>
      </c>
      <c r="D531" t="s">
        <v>26</v>
      </c>
      <c r="E531" s="7">
        <v>45624</v>
      </c>
      <c r="F531" t="s">
        <v>277</v>
      </c>
      <c r="G531">
        <v>0</v>
      </c>
      <c r="H531" t="s">
        <v>27</v>
      </c>
      <c r="I531" t="s">
        <v>16</v>
      </c>
      <c r="J531" t="s">
        <v>16</v>
      </c>
      <c r="K531" t="str">
        <f>VLOOKUP(C531,CheckName!A:B,2,0)</f>
        <v>Emp</v>
      </c>
      <c r="M531">
        <f>DAY(RejectionData[[#This Row],[RejectionDate]])</f>
        <v>28</v>
      </c>
    </row>
    <row r="532" spans="1:13">
      <c r="A532" t="s">
        <v>517</v>
      </c>
      <c r="B532" t="s">
        <v>808</v>
      </c>
      <c r="C532" t="s">
        <v>12</v>
      </c>
      <c r="D532" t="s">
        <v>26</v>
      </c>
      <c r="E532" s="7">
        <v>45624</v>
      </c>
      <c r="F532" t="s">
        <v>182</v>
      </c>
      <c r="G532">
        <v>0</v>
      </c>
      <c r="H532" t="s">
        <v>22</v>
      </c>
      <c r="I532" t="s">
        <v>16</v>
      </c>
      <c r="J532" t="s">
        <v>16</v>
      </c>
      <c r="K532" t="str">
        <f>VLOOKUP(C532,CheckName!A:B,2,0)</f>
        <v>Emp</v>
      </c>
      <c r="M532">
        <f>DAY(RejectionData[[#This Row],[RejectionDate]])</f>
        <v>28</v>
      </c>
    </row>
    <row r="533" spans="1:13">
      <c r="A533" t="s">
        <v>165</v>
      </c>
      <c r="B533" t="s">
        <v>809</v>
      </c>
      <c r="C533" t="s">
        <v>259</v>
      </c>
      <c r="D533" t="s">
        <v>26</v>
      </c>
      <c r="E533" s="7">
        <v>45624</v>
      </c>
      <c r="F533" t="s">
        <v>608</v>
      </c>
      <c r="G533">
        <v>0</v>
      </c>
      <c r="H533" t="s">
        <v>27</v>
      </c>
      <c r="I533" t="s">
        <v>16</v>
      </c>
      <c r="J533" t="s">
        <v>16</v>
      </c>
      <c r="K533" t="str">
        <f>VLOOKUP(C533,CheckName!A:B,2,0)</f>
        <v>Emp</v>
      </c>
      <c r="M533">
        <f>DAY(RejectionData[[#This Row],[RejectionDate]])</f>
        <v>28</v>
      </c>
    </row>
    <row r="534" spans="1:13">
      <c r="A534" t="s">
        <v>45</v>
      </c>
      <c r="B534" t="s">
        <v>810</v>
      </c>
      <c r="C534" t="s">
        <v>36</v>
      </c>
      <c r="D534" t="s">
        <v>26</v>
      </c>
      <c r="E534" s="7">
        <v>45624</v>
      </c>
      <c r="F534" t="s">
        <v>179</v>
      </c>
      <c r="G534">
        <v>0</v>
      </c>
      <c r="H534" t="s">
        <v>27</v>
      </c>
      <c r="I534" t="s">
        <v>16</v>
      </c>
      <c r="J534" t="s">
        <v>16</v>
      </c>
      <c r="K534" t="str">
        <f>VLOOKUP(C534,CheckName!A:B,2,0)</f>
        <v>Emp</v>
      </c>
      <c r="M534">
        <f>DAY(RejectionData[[#This Row],[RejectionDate]])</f>
        <v>28</v>
      </c>
    </row>
    <row r="535" spans="1:13">
      <c r="A535" t="s">
        <v>137</v>
      </c>
      <c r="B535" t="s">
        <v>811</v>
      </c>
      <c r="C535" t="s">
        <v>12</v>
      </c>
      <c r="D535" t="s">
        <v>26</v>
      </c>
      <c r="E535" s="7">
        <v>45624</v>
      </c>
      <c r="F535" t="s">
        <v>277</v>
      </c>
      <c r="G535">
        <v>0</v>
      </c>
      <c r="H535" t="s">
        <v>27</v>
      </c>
      <c r="I535" t="s">
        <v>16</v>
      </c>
      <c r="J535" t="s">
        <v>16</v>
      </c>
      <c r="K535" t="str">
        <f>VLOOKUP(C535,CheckName!A:B,2,0)</f>
        <v>Emp</v>
      </c>
      <c r="M535">
        <f>DAY(RejectionData[[#This Row],[RejectionDate]])</f>
        <v>28</v>
      </c>
    </row>
    <row r="536" spans="1:13">
      <c r="A536" t="s">
        <v>812</v>
      </c>
      <c r="B536" t="s">
        <v>813</v>
      </c>
      <c r="C536" t="s">
        <v>54</v>
      </c>
      <c r="D536" t="s">
        <v>13</v>
      </c>
      <c r="E536" s="7">
        <v>45624</v>
      </c>
      <c r="F536" t="s">
        <v>530</v>
      </c>
      <c r="G536">
        <v>0</v>
      </c>
      <c r="H536" t="s">
        <v>505</v>
      </c>
      <c r="I536" t="s">
        <v>16</v>
      </c>
      <c r="J536" t="s">
        <v>16</v>
      </c>
      <c r="K536" t="str">
        <f>VLOOKUP(C536,CheckName!A:B,2,0)</f>
        <v>Edu</v>
      </c>
      <c r="M536">
        <f>DAY(RejectionData[[#This Row],[RejectionDate]])</f>
        <v>28</v>
      </c>
    </row>
    <row r="537" spans="1:13">
      <c r="A537" t="s">
        <v>176</v>
      </c>
      <c r="B537" t="s">
        <v>814</v>
      </c>
      <c r="C537" t="s">
        <v>12</v>
      </c>
      <c r="D537" t="s">
        <v>26</v>
      </c>
      <c r="E537" s="7">
        <v>45624</v>
      </c>
      <c r="F537" t="s">
        <v>311</v>
      </c>
      <c r="G537">
        <v>0</v>
      </c>
      <c r="H537" t="s">
        <v>27</v>
      </c>
      <c r="I537" t="s">
        <v>16</v>
      </c>
      <c r="J537" t="s">
        <v>16</v>
      </c>
      <c r="K537" t="str">
        <f>VLOOKUP(C537,CheckName!A:B,2,0)</f>
        <v>Emp</v>
      </c>
      <c r="M537">
        <f>DAY(RejectionData[[#This Row],[RejectionDate]])</f>
        <v>28</v>
      </c>
    </row>
    <row r="538" spans="1:13">
      <c r="A538" t="s">
        <v>172</v>
      </c>
      <c r="B538" t="s">
        <v>815</v>
      </c>
      <c r="C538" t="s">
        <v>12</v>
      </c>
      <c r="D538" t="s">
        <v>26</v>
      </c>
      <c r="E538" s="7">
        <v>45624</v>
      </c>
      <c r="F538" t="s">
        <v>721</v>
      </c>
      <c r="G538">
        <v>0</v>
      </c>
      <c r="H538" t="s">
        <v>27</v>
      </c>
      <c r="I538" t="s">
        <v>16</v>
      </c>
      <c r="J538" t="s">
        <v>16</v>
      </c>
      <c r="K538" t="str">
        <f>VLOOKUP(C538,CheckName!A:B,2,0)</f>
        <v>Emp</v>
      </c>
      <c r="M538">
        <f>DAY(RejectionData[[#This Row],[RejectionDate]])</f>
        <v>28</v>
      </c>
    </row>
    <row r="539" spans="1:13">
      <c r="A539" t="s">
        <v>142</v>
      </c>
      <c r="B539" t="s">
        <v>816</v>
      </c>
      <c r="C539" t="s">
        <v>54</v>
      </c>
      <c r="D539" t="s">
        <v>26</v>
      </c>
      <c r="E539" s="7">
        <v>45624</v>
      </c>
      <c r="F539" t="s">
        <v>538</v>
      </c>
      <c r="G539">
        <v>0</v>
      </c>
      <c r="H539" t="s">
        <v>27</v>
      </c>
      <c r="I539" t="s">
        <v>16</v>
      </c>
      <c r="J539" t="s">
        <v>16</v>
      </c>
      <c r="K539" t="str">
        <f>VLOOKUP(C539,CheckName!A:B,2,0)</f>
        <v>Edu</v>
      </c>
      <c r="M539">
        <f>DAY(RejectionData[[#This Row],[RejectionDate]])</f>
        <v>28</v>
      </c>
    </row>
    <row r="540" spans="1:13">
      <c r="A540" t="s">
        <v>170</v>
      </c>
      <c r="B540" t="s">
        <v>817</v>
      </c>
      <c r="C540" t="s">
        <v>12</v>
      </c>
      <c r="D540" t="s">
        <v>26</v>
      </c>
      <c r="E540" s="7">
        <v>45624</v>
      </c>
      <c r="F540" t="s">
        <v>169</v>
      </c>
      <c r="G540">
        <v>0</v>
      </c>
      <c r="H540" t="s">
        <v>95</v>
      </c>
      <c r="I540" t="s">
        <v>16</v>
      </c>
      <c r="J540" t="s">
        <v>16</v>
      </c>
      <c r="K540" t="str">
        <f>VLOOKUP(C540,CheckName!A:B,2,0)</f>
        <v>Emp</v>
      </c>
      <c r="M540">
        <f>DAY(RejectionData[[#This Row],[RejectionDate]])</f>
        <v>28</v>
      </c>
    </row>
    <row r="541" spans="1:13">
      <c r="A541" t="s">
        <v>306</v>
      </c>
      <c r="B541" t="s">
        <v>818</v>
      </c>
      <c r="C541" t="s">
        <v>71</v>
      </c>
      <c r="D541" t="s">
        <v>13</v>
      </c>
      <c r="E541" s="7">
        <v>45624</v>
      </c>
      <c r="F541" t="s">
        <v>819</v>
      </c>
      <c r="G541">
        <v>0</v>
      </c>
      <c r="H541" t="s">
        <v>15</v>
      </c>
      <c r="I541" t="s">
        <v>16</v>
      </c>
      <c r="J541" t="s">
        <v>16</v>
      </c>
      <c r="K541" t="str">
        <f>VLOOKUP(C541,CheckName!A:B,2,0)</f>
        <v>CRC</v>
      </c>
      <c r="M541">
        <f>DAY(RejectionData[[#This Row],[RejectionDate]])</f>
        <v>28</v>
      </c>
    </row>
    <row r="542" spans="1:13">
      <c r="A542" t="s">
        <v>91</v>
      </c>
      <c r="B542" t="s">
        <v>820</v>
      </c>
      <c r="C542" t="s">
        <v>71</v>
      </c>
      <c r="D542" t="s">
        <v>13</v>
      </c>
      <c r="E542" s="7">
        <v>45624</v>
      </c>
      <c r="F542" t="s">
        <v>821</v>
      </c>
      <c r="G542">
        <v>0</v>
      </c>
      <c r="H542" t="s">
        <v>15</v>
      </c>
      <c r="I542" t="s">
        <v>16</v>
      </c>
      <c r="J542" t="s">
        <v>16</v>
      </c>
      <c r="K542" t="str">
        <f>VLOOKUP(C542,CheckName!A:B,2,0)</f>
        <v>CRC</v>
      </c>
      <c r="M542">
        <f>DAY(RejectionData[[#This Row],[RejectionDate]])</f>
        <v>28</v>
      </c>
    </row>
    <row r="543" spans="1:13">
      <c r="A543" t="s">
        <v>91</v>
      </c>
      <c r="B543" t="s">
        <v>822</v>
      </c>
      <c r="C543" t="s">
        <v>71</v>
      </c>
      <c r="D543" t="s">
        <v>13</v>
      </c>
      <c r="E543" s="7">
        <v>45624</v>
      </c>
      <c r="F543" t="s">
        <v>156</v>
      </c>
      <c r="G543">
        <v>0</v>
      </c>
      <c r="H543" t="s">
        <v>15</v>
      </c>
      <c r="I543" t="s">
        <v>16</v>
      </c>
      <c r="J543" t="s">
        <v>16</v>
      </c>
      <c r="K543" t="str">
        <f>VLOOKUP(C543,CheckName!A:B,2,0)</f>
        <v>CRC</v>
      </c>
      <c r="M543">
        <f>DAY(RejectionData[[#This Row],[RejectionDate]])</f>
        <v>28</v>
      </c>
    </row>
    <row r="544" spans="1:13">
      <c r="A544" t="s">
        <v>429</v>
      </c>
      <c r="B544" t="s">
        <v>823</v>
      </c>
      <c r="C544" t="s">
        <v>36</v>
      </c>
      <c r="D544" t="s">
        <v>26</v>
      </c>
      <c r="E544" s="7">
        <v>45624</v>
      </c>
      <c r="F544" t="s">
        <v>301</v>
      </c>
      <c r="G544">
        <v>0</v>
      </c>
      <c r="H544" t="s">
        <v>27</v>
      </c>
      <c r="I544" t="s">
        <v>16</v>
      </c>
      <c r="J544" t="s">
        <v>16</v>
      </c>
      <c r="K544" t="str">
        <f>VLOOKUP(C544,CheckName!A:B,2,0)</f>
        <v>Emp</v>
      </c>
      <c r="M544">
        <f>DAY(RejectionData[[#This Row],[RejectionDate]])</f>
        <v>28</v>
      </c>
    </row>
    <row r="545" spans="1:13">
      <c r="A545" t="s">
        <v>510</v>
      </c>
      <c r="B545" t="s">
        <v>824</v>
      </c>
      <c r="C545" t="s">
        <v>54</v>
      </c>
      <c r="D545" t="s">
        <v>13</v>
      </c>
      <c r="E545" s="7">
        <v>45624</v>
      </c>
      <c r="F545" t="s">
        <v>540</v>
      </c>
      <c r="G545">
        <v>0</v>
      </c>
      <c r="H545" t="s">
        <v>15</v>
      </c>
      <c r="I545" t="s">
        <v>16</v>
      </c>
      <c r="J545" t="s">
        <v>16</v>
      </c>
      <c r="K545" t="str">
        <f>VLOOKUP(C545,CheckName!A:B,2,0)</f>
        <v>Edu</v>
      </c>
      <c r="M545">
        <f>DAY(RejectionData[[#This Row],[RejectionDate]])</f>
        <v>28</v>
      </c>
    </row>
    <row r="546" spans="1:13">
      <c r="A546" t="s">
        <v>283</v>
      </c>
      <c r="B546" t="s">
        <v>825</v>
      </c>
      <c r="C546" t="s">
        <v>36</v>
      </c>
      <c r="D546" t="s">
        <v>26</v>
      </c>
      <c r="E546" s="7">
        <v>45624</v>
      </c>
      <c r="F546" t="s">
        <v>141</v>
      </c>
      <c r="G546">
        <v>0</v>
      </c>
      <c r="H546" t="s">
        <v>27</v>
      </c>
      <c r="I546" t="s">
        <v>16</v>
      </c>
      <c r="J546" t="s">
        <v>16</v>
      </c>
      <c r="K546" t="str">
        <f>VLOOKUP(C546,CheckName!A:B,2,0)</f>
        <v>Emp</v>
      </c>
      <c r="M546">
        <f>DAY(RejectionData[[#This Row],[RejectionDate]])</f>
        <v>28</v>
      </c>
    </row>
    <row r="547" spans="1:13">
      <c r="A547" t="s">
        <v>160</v>
      </c>
      <c r="B547" t="s">
        <v>826</v>
      </c>
      <c r="C547" t="s">
        <v>49</v>
      </c>
      <c r="D547" t="s">
        <v>26</v>
      </c>
      <c r="E547" s="7">
        <v>45624</v>
      </c>
      <c r="F547" t="s">
        <v>118</v>
      </c>
      <c r="G547">
        <v>0</v>
      </c>
      <c r="H547" t="s">
        <v>27</v>
      </c>
      <c r="I547" t="s">
        <v>16</v>
      </c>
      <c r="J547" t="s">
        <v>16</v>
      </c>
      <c r="K547" t="str">
        <f>VLOOKUP(C547,CheckName!A:B,2,0)</f>
        <v>CRC</v>
      </c>
      <c r="M547">
        <f>DAY(RejectionData[[#This Row],[RejectionDate]])</f>
        <v>28</v>
      </c>
    </row>
    <row r="548" spans="1:13">
      <c r="A548" t="s">
        <v>827</v>
      </c>
      <c r="B548" t="s">
        <v>828</v>
      </c>
      <c r="C548" t="s">
        <v>19</v>
      </c>
      <c r="D548" t="s">
        <v>20</v>
      </c>
      <c r="E548" s="7">
        <v>45624</v>
      </c>
      <c r="F548" t="s">
        <v>129</v>
      </c>
      <c r="G548">
        <v>0</v>
      </c>
      <c r="H548" t="s">
        <v>27</v>
      </c>
      <c r="I548" t="s">
        <v>16</v>
      </c>
      <c r="J548" t="s">
        <v>16</v>
      </c>
      <c r="K548" t="str">
        <f>VLOOKUP(C548,CheckName!A:B,2,0)</f>
        <v>Add</v>
      </c>
      <c r="M548">
        <f>DAY(RejectionData[[#This Row],[RejectionDate]])</f>
        <v>28</v>
      </c>
    </row>
    <row r="549" spans="1:13">
      <c r="A549" t="s">
        <v>200</v>
      </c>
      <c r="B549" t="s">
        <v>829</v>
      </c>
      <c r="C549" t="s">
        <v>19</v>
      </c>
      <c r="D549" t="s">
        <v>20</v>
      </c>
      <c r="E549" s="7">
        <v>45623</v>
      </c>
      <c r="F549" t="s">
        <v>129</v>
      </c>
      <c r="G549">
        <v>1</v>
      </c>
      <c r="H549" t="s">
        <v>22</v>
      </c>
      <c r="I549" t="s">
        <v>16</v>
      </c>
      <c r="J549" t="s">
        <v>16</v>
      </c>
      <c r="K549" t="str">
        <f>VLOOKUP(C549,CheckName!A:B,2,0)</f>
        <v>Add</v>
      </c>
      <c r="M549">
        <f>DAY(RejectionData[[#This Row],[RejectionDate]])</f>
        <v>27</v>
      </c>
    </row>
    <row r="550" spans="1:13">
      <c r="A550" t="s">
        <v>47</v>
      </c>
      <c r="B550" t="s">
        <v>830</v>
      </c>
      <c r="C550" t="s">
        <v>54</v>
      </c>
      <c r="D550" t="s">
        <v>13</v>
      </c>
      <c r="E550" s="7">
        <v>45623</v>
      </c>
      <c r="F550" t="s">
        <v>831</v>
      </c>
      <c r="G550">
        <v>1</v>
      </c>
      <c r="H550" t="s">
        <v>15</v>
      </c>
      <c r="I550" t="s">
        <v>16</v>
      </c>
      <c r="J550" t="s">
        <v>16</v>
      </c>
      <c r="K550" t="str">
        <f>VLOOKUP(C550,CheckName!A:B,2,0)</f>
        <v>Edu</v>
      </c>
      <c r="M550">
        <f>DAY(RejectionData[[#This Row],[RejectionDate]])</f>
        <v>27</v>
      </c>
    </row>
    <row r="551" spans="1:13">
      <c r="A551" t="s">
        <v>84</v>
      </c>
      <c r="B551" t="s">
        <v>832</v>
      </c>
      <c r="C551" t="s">
        <v>25</v>
      </c>
      <c r="D551" t="s">
        <v>26</v>
      </c>
      <c r="E551" s="7">
        <v>45623</v>
      </c>
      <c r="F551" t="s">
        <v>66</v>
      </c>
      <c r="G551">
        <v>1</v>
      </c>
      <c r="H551" t="s">
        <v>27</v>
      </c>
      <c r="I551" t="s">
        <v>16</v>
      </c>
      <c r="J551" t="s">
        <v>16</v>
      </c>
      <c r="K551" t="str">
        <f>VLOOKUP(C551,CheckName!A:B,2,0)</f>
        <v>Add</v>
      </c>
      <c r="M551">
        <f>DAY(RejectionData[[#This Row],[RejectionDate]])</f>
        <v>27</v>
      </c>
    </row>
    <row r="552" spans="1:13">
      <c r="A552" t="s">
        <v>833</v>
      </c>
      <c r="B552" t="s">
        <v>834</v>
      </c>
      <c r="C552" t="s">
        <v>12</v>
      </c>
      <c r="D552" t="s">
        <v>26</v>
      </c>
      <c r="E552" s="7">
        <v>45624</v>
      </c>
      <c r="F552" t="s">
        <v>196</v>
      </c>
      <c r="G552">
        <v>1</v>
      </c>
      <c r="H552" t="s">
        <v>27</v>
      </c>
      <c r="I552" t="s">
        <v>16</v>
      </c>
      <c r="J552" t="s">
        <v>16</v>
      </c>
      <c r="K552" t="str">
        <f>VLOOKUP(C552,CheckName!A:B,2,0)</f>
        <v>Emp</v>
      </c>
      <c r="M552">
        <f>DAY(RejectionData[[#This Row],[RejectionDate]])</f>
        <v>28</v>
      </c>
    </row>
    <row r="553" spans="1:13">
      <c r="A553" t="s">
        <v>45</v>
      </c>
      <c r="B553" t="s">
        <v>835</v>
      </c>
      <c r="C553" t="s">
        <v>19</v>
      </c>
      <c r="D553" t="s">
        <v>26</v>
      </c>
      <c r="E553" s="7">
        <v>45624</v>
      </c>
      <c r="F553" t="s">
        <v>66</v>
      </c>
      <c r="G553">
        <v>1</v>
      </c>
      <c r="H553" t="s">
        <v>22</v>
      </c>
      <c r="I553" t="s">
        <v>16</v>
      </c>
      <c r="J553" t="s">
        <v>16</v>
      </c>
      <c r="K553" t="str">
        <f>VLOOKUP(C553,CheckName!A:B,2,0)</f>
        <v>Add</v>
      </c>
      <c r="M553">
        <f>DAY(RejectionData[[#This Row],[RejectionDate]])</f>
        <v>28</v>
      </c>
    </row>
    <row r="554" spans="1:13">
      <c r="A554" t="s">
        <v>119</v>
      </c>
      <c r="B554" t="s">
        <v>836</v>
      </c>
      <c r="C554" t="s">
        <v>36</v>
      </c>
      <c r="D554" t="s">
        <v>26</v>
      </c>
      <c r="E554" s="7">
        <v>45624</v>
      </c>
      <c r="F554" t="s">
        <v>311</v>
      </c>
      <c r="G554">
        <v>1</v>
      </c>
      <c r="H554" t="s">
        <v>27</v>
      </c>
      <c r="I554" t="s">
        <v>16</v>
      </c>
      <c r="J554" t="s">
        <v>16</v>
      </c>
      <c r="K554" t="str">
        <f>VLOOKUP(C554,CheckName!A:B,2,0)</f>
        <v>Emp</v>
      </c>
      <c r="M554">
        <f>DAY(RejectionData[[#This Row],[RejectionDate]])</f>
        <v>28</v>
      </c>
    </row>
    <row r="555" spans="1:13">
      <c r="A555" t="s">
        <v>165</v>
      </c>
      <c r="B555" t="s">
        <v>837</v>
      </c>
      <c r="C555" t="s">
        <v>36</v>
      </c>
      <c r="D555" t="s">
        <v>26</v>
      </c>
      <c r="E555" s="7">
        <v>45624</v>
      </c>
      <c r="F555" t="s">
        <v>675</v>
      </c>
      <c r="G555">
        <v>1</v>
      </c>
      <c r="H555" t="s">
        <v>27</v>
      </c>
      <c r="I555" t="s">
        <v>16</v>
      </c>
      <c r="J555" t="s">
        <v>16</v>
      </c>
      <c r="K555" t="str">
        <f>VLOOKUP(C555,CheckName!A:B,2,0)</f>
        <v>Emp</v>
      </c>
      <c r="M555">
        <f>DAY(RejectionData[[#This Row],[RejectionDate]])</f>
        <v>28</v>
      </c>
    </row>
    <row r="556" spans="1:13">
      <c r="A556" t="s">
        <v>200</v>
      </c>
      <c r="B556" t="s">
        <v>838</v>
      </c>
      <c r="C556" t="s">
        <v>25</v>
      </c>
      <c r="D556" t="s">
        <v>20</v>
      </c>
      <c r="E556" s="7">
        <v>45624</v>
      </c>
      <c r="F556" t="s">
        <v>62</v>
      </c>
      <c r="G556">
        <v>1</v>
      </c>
      <c r="H556" t="s">
        <v>22</v>
      </c>
      <c r="I556" t="s">
        <v>16</v>
      </c>
      <c r="J556" t="s">
        <v>16</v>
      </c>
      <c r="K556" t="str">
        <f>VLOOKUP(C556,CheckName!A:B,2,0)</f>
        <v>Add</v>
      </c>
      <c r="M556">
        <f>DAY(RejectionData[[#This Row],[RejectionDate]])</f>
        <v>28</v>
      </c>
    </row>
    <row r="557" spans="1:13">
      <c r="A557" t="s">
        <v>119</v>
      </c>
      <c r="B557" t="s">
        <v>839</v>
      </c>
      <c r="C557" t="s">
        <v>54</v>
      </c>
      <c r="D557" t="s">
        <v>26</v>
      </c>
      <c r="E557" s="7">
        <v>45624</v>
      </c>
      <c r="F557" t="s">
        <v>63</v>
      </c>
      <c r="G557">
        <v>1</v>
      </c>
      <c r="H557" t="s">
        <v>130</v>
      </c>
      <c r="I557" t="s">
        <v>16</v>
      </c>
      <c r="J557" t="s">
        <v>16</v>
      </c>
      <c r="K557" t="str">
        <f>VLOOKUP(C557,CheckName!A:B,2,0)</f>
        <v>Edu</v>
      </c>
      <c r="M557">
        <f>DAY(RejectionData[[#This Row],[RejectionDate]])</f>
        <v>28</v>
      </c>
    </row>
    <row r="558" spans="1:13">
      <c r="A558" t="s">
        <v>84</v>
      </c>
      <c r="B558" t="s">
        <v>109</v>
      </c>
      <c r="C558" t="s">
        <v>36</v>
      </c>
      <c r="D558" t="s">
        <v>26</v>
      </c>
      <c r="E558" s="7">
        <v>45624</v>
      </c>
      <c r="F558" t="s">
        <v>222</v>
      </c>
      <c r="G558">
        <v>1</v>
      </c>
      <c r="H558" t="s">
        <v>22</v>
      </c>
      <c r="I558" t="s">
        <v>16</v>
      </c>
      <c r="J558" t="s">
        <v>16</v>
      </c>
      <c r="K558" t="str">
        <f>VLOOKUP(C558,CheckName!A:B,2,0)</f>
        <v>Emp</v>
      </c>
      <c r="M558">
        <f>DAY(RejectionData[[#This Row],[RejectionDate]])</f>
        <v>28</v>
      </c>
    </row>
    <row r="559" spans="1:13">
      <c r="A559" t="s">
        <v>465</v>
      </c>
      <c r="B559" t="s">
        <v>840</v>
      </c>
      <c r="C559" t="s">
        <v>54</v>
      </c>
      <c r="D559" t="s">
        <v>26</v>
      </c>
      <c r="E559" s="7">
        <v>45624</v>
      </c>
      <c r="F559" t="s">
        <v>215</v>
      </c>
      <c r="G559">
        <v>1</v>
      </c>
      <c r="H559" t="s">
        <v>22</v>
      </c>
      <c r="I559" t="s">
        <v>16</v>
      </c>
      <c r="J559" t="s">
        <v>16</v>
      </c>
      <c r="K559" t="str">
        <f>VLOOKUP(C559,CheckName!A:B,2,0)</f>
        <v>Edu</v>
      </c>
      <c r="M559">
        <f>DAY(RejectionData[[#This Row],[RejectionDate]])</f>
        <v>28</v>
      </c>
    </row>
    <row r="560" spans="1:13">
      <c r="A560" t="s">
        <v>211</v>
      </c>
      <c r="B560" t="s">
        <v>841</v>
      </c>
      <c r="C560" t="s">
        <v>25</v>
      </c>
      <c r="D560" t="s">
        <v>26</v>
      </c>
      <c r="E560" s="7">
        <v>45624</v>
      </c>
      <c r="F560" t="s">
        <v>66</v>
      </c>
      <c r="G560">
        <v>1</v>
      </c>
      <c r="H560" t="s">
        <v>27</v>
      </c>
      <c r="I560" t="s">
        <v>16</v>
      </c>
      <c r="J560" t="s">
        <v>16</v>
      </c>
      <c r="K560" t="str">
        <f>VLOOKUP(C560,CheckName!A:B,2,0)</f>
        <v>Add</v>
      </c>
      <c r="M560">
        <f>DAY(RejectionData[[#This Row],[RejectionDate]])</f>
        <v>28</v>
      </c>
    </row>
    <row r="561" spans="1:13">
      <c r="A561" t="s">
        <v>165</v>
      </c>
      <c r="B561" t="s">
        <v>842</v>
      </c>
      <c r="C561" t="s">
        <v>12</v>
      </c>
      <c r="D561" t="s">
        <v>26</v>
      </c>
      <c r="E561" s="7">
        <v>45624</v>
      </c>
      <c r="F561" t="s">
        <v>355</v>
      </c>
      <c r="G561">
        <v>1</v>
      </c>
      <c r="H561" t="s">
        <v>27</v>
      </c>
      <c r="I561" t="s">
        <v>16</v>
      </c>
      <c r="J561" t="s">
        <v>16</v>
      </c>
      <c r="K561" t="str">
        <f>VLOOKUP(C561,CheckName!A:B,2,0)</f>
        <v>Emp</v>
      </c>
      <c r="M561">
        <f>DAY(RejectionData[[#This Row],[RejectionDate]])</f>
        <v>28</v>
      </c>
    </row>
    <row r="562" spans="1:13">
      <c r="A562" t="s">
        <v>306</v>
      </c>
      <c r="B562" t="s">
        <v>843</v>
      </c>
      <c r="C562" t="s">
        <v>71</v>
      </c>
      <c r="D562" t="s">
        <v>13</v>
      </c>
      <c r="E562" s="7">
        <v>45624</v>
      </c>
      <c r="F562" t="s">
        <v>844</v>
      </c>
      <c r="G562">
        <v>1</v>
      </c>
      <c r="H562" t="s">
        <v>15</v>
      </c>
      <c r="I562" t="s">
        <v>16</v>
      </c>
      <c r="J562" t="s">
        <v>16</v>
      </c>
      <c r="K562" t="str">
        <f>VLOOKUP(C562,CheckName!A:B,2,0)</f>
        <v>CRC</v>
      </c>
      <c r="M562">
        <f>DAY(RejectionData[[#This Row],[RejectionDate]])</f>
        <v>28</v>
      </c>
    </row>
    <row r="563" spans="1:13">
      <c r="A563" t="s">
        <v>845</v>
      </c>
      <c r="B563" t="s">
        <v>846</v>
      </c>
      <c r="C563" t="s">
        <v>112</v>
      </c>
      <c r="D563" t="s">
        <v>13</v>
      </c>
      <c r="E563" s="7">
        <v>45624</v>
      </c>
      <c r="F563" t="s">
        <v>230</v>
      </c>
      <c r="G563">
        <v>1</v>
      </c>
      <c r="H563" t="s">
        <v>15</v>
      </c>
      <c r="I563" t="s">
        <v>16</v>
      </c>
      <c r="J563" t="s">
        <v>16</v>
      </c>
      <c r="K563" t="str">
        <f>VLOOKUP(C563,CheckName!A:B,2,0)</f>
        <v>Emp</v>
      </c>
      <c r="M563">
        <f>DAY(RejectionData[[#This Row],[RejectionDate]])</f>
        <v>28</v>
      </c>
    </row>
    <row r="564" spans="1:13">
      <c r="A564" t="s">
        <v>186</v>
      </c>
      <c r="B564" t="s">
        <v>847</v>
      </c>
      <c r="C564" t="s">
        <v>54</v>
      </c>
      <c r="D564" t="s">
        <v>51</v>
      </c>
      <c r="E564" s="7">
        <v>45624</v>
      </c>
      <c r="F564" t="s">
        <v>194</v>
      </c>
      <c r="G564">
        <v>1</v>
      </c>
      <c r="H564" t="s">
        <v>53</v>
      </c>
      <c r="I564" t="s">
        <v>16</v>
      </c>
      <c r="J564" t="s">
        <v>16</v>
      </c>
      <c r="K564" t="str">
        <f>VLOOKUP(C564,CheckName!A:B,2,0)</f>
        <v>Edu</v>
      </c>
      <c r="M564">
        <f>DAY(RejectionData[[#This Row],[RejectionDate]])</f>
        <v>28</v>
      </c>
    </row>
    <row r="565" spans="1:13">
      <c r="A565" t="s">
        <v>510</v>
      </c>
      <c r="B565" t="s">
        <v>848</v>
      </c>
      <c r="C565" t="s">
        <v>54</v>
      </c>
      <c r="D565" t="s">
        <v>51</v>
      </c>
      <c r="E565" s="7">
        <v>45624</v>
      </c>
      <c r="F565" t="s">
        <v>52</v>
      </c>
      <c r="G565">
        <v>1</v>
      </c>
      <c r="H565" t="s">
        <v>53</v>
      </c>
      <c r="I565" t="s">
        <v>16</v>
      </c>
      <c r="J565" t="s">
        <v>16</v>
      </c>
      <c r="K565" t="str">
        <f>VLOOKUP(C565,CheckName!A:B,2,0)</f>
        <v>Edu</v>
      </c>
      <c r="M565">
        <f>DAY(RejectionData[[#This Row],[RejectionDate]])</f>
        <v>28</v>
      </c>
    </row>
    <row r="566" spans="1:13">
      <c r="A566" t="s">
        <v>510</v>
      </c>
      <c r="B566" t="s">
        <v>848</v>
      </c>
      <c r="C566" t="s">
        <v>56</v>
      </c>
      <c r="D566" t="s">
        <v>51</v>
      </c>
      <c r="E566" s="7">
        <v>45624</v>
      </c>
      <c r="F566" t="s">
        <v>52</v>
      </c>
      <c r="G566">
        <v>1</v>
      </c>
      <c r="H566" t="s">
        <v>53</v>
      </c>
      <c r="I566" t="s">
        <v>16</v>
      </c>
      <c r="J566" t="s">
        <v>16</v>
      </c>
      <c r="K566" t="str">
        <f>VLOOKUP(C566,CheckName!A:B,2,0)</f>
        <v>Special Check</v>
      </c>
      <c r="M566">
        <f>DAY(RejectionData[[#This Row],[RejectionDate]])</f>
        <v>28</v>
      </c>
    </row>
    <row r="567" spans="1:13">
      <c r="A567" t="s">
        <v>154</v>
      </c>
      <c r="B567" t="s">
        <v>849</v>
      </c>
      <c r="C567" t="s">
        <v>54</v>
      </c>
      <c r="D567" t="s">
        <v>26</v>
      </c>
      <c r="E567" s="7">
        <v>45624</v>
      </c>
      <c r="F567" t="s">
        <v>94</v>
      </c>
      <c r="G567">
        <v>1</v>
      </c>
      <c r="H567" t="s">
        <v>27</v>
      </c>
      <c r="I567" t="s">
        <v>16</v>
      </c>
      <c r="J567" t="s">
        <v>16</v>
      </c>
      <c r="K567" t="str">
        <f>VLOOKUP(C567,CheckName!A:B,2,0)</f>
        <v>Edu</v>
      </c>
      <c r="M567">
        <f>DAY(RejectionData[[#This Row],[RejectionDate]])</f>
        <v>28</v>
      </c>
    </row>
    <row r="568" spans="1:13">
      <c r="A568" t="s">
        <v>160</v>
      </c>
      <c r="B568" t="s">
        <v>850</v>
      </c>
      <c r="C568" t="s">
        <v>125</v>
      </c>
      <c r="D568" t="s">
        <v>26</v>
      </c>
      <c r="E568" s="7">
        <v>45623</v>
      </c>
      <c r="F568" t="s">
        <v>721</v>
      </c>
      <c r="G568">
        <v>2</v>
      </c>
      <c r="H568" t="s">
        <v>27</v>
      </c>
      <c r="I568" t="s">
        <v>16</v>
      </c>
      <c r="J568" t="s">
        <v>16</v>
      </c>
      <c r="K568" t="str">
        <f>VLOOKUP(C568,CheckName!A:B,2,0)</f>
        <v>Emp</v>
      </c>
      <c r="M568">
        <f>DAY(RejectionData[[#This Row],[RejectionDate]])</f>
        <v>27</v>
      </c>
    </row>
    <row r="569" spans="1:13">
      <c r="A569" t="s">
        <v>45</v>
      </c>
      <c r="B569" t="s">
        <v>851</v>
      </c>
      <c r="C569" t="s">
        <v>54</v>
      </c>
      <c r="D569" t="s">
        <v>26</v>
      </c>
      <c r="E569" s="7">
        <v>45623</v>
      </c>
      <c r="F569" t="s">
        <v>852</v>
      </c>
      <c r="G569">
        <v>2</v>
      </c>
      <c r="H569" t="s">
        <v>27</v>
      </c>
      <c r="I569" t="s">
        <v>16</v>
      </c>
      <c r="J569" t="s">
        <v>16</v>
      </c>
      <c r="K569" t="str">
        <f>VLOOKUP(C569,CheckName!A:B,2,0)</f>
        <v>Edu</v>
      </c>
      <c r="M569">
        <f>DAY(RejectionData[[#This Row],[RejectionDate]])</f>
        <v>27</v>
      </c>
    </row>
    <row r="570" spans="1:13">
      <c r="A570" t="s">
        <v>853</v>
      </c>
      <c r="B570" t="s">
        <v>854</v>
      </c>
      <c r="C570" t="s">
        <v>12</v>
      </c>
      <c r="D570" t="s">
        <v>51</v>
      </c>
      <c r="E570" s="7">
        <v>45625</v>
      </c>
      <c r="F570" t="s">
        <v>194</v>
      </c>
      <c r="G570">
        <v>0</v>
      </c>
      <c r="H570" t="s">
        <v>53</v>
      </c>
      <c r="I570" t="s">
        <v>16</v>
      </c>
      <c r="J570" t="s">
        <v>16</v>
      </c>
      <c r="K570" t="str">
        <f>VLOOKUP(C570,CheckName!A:B,2,0)</f>
        <v>Emp</v>
      </c>
      <c r="M570">
        <f>DAY(RejectionData[[#This Row],[RejectionDate]])</f>
        <v>29</v>
      </c>
    </row>
    <row r="571" spans="1:13">
      <c r="A571" t="s">
        <v>40</v>
      </c>
      <c r="B571" t="s">
        <v>855</v>
      </c>
      <c r="C571" t="s">
        <v>59</v>
      </c>
      <c r="D571" t="s">
        <v>51</v>
      </c>
      <c r="E571" s="7">
        <v>45625</v>
      </c>
      <c r="F571" t="s">
        <v>194</v>
      </c>
      <c r="G571">
        <v>0</v>
      </c>
      <c r="H571" t="s">
        <v>53</v>
      </c>
      <c r="I571" t="s">
        <v>16</v>
      </c>
      <c r="J571" t="s">
        <v>16</v>
      </c>
      <c r="K571" t="str">
        <f>VLOOKUP(C571,CheckName!A:B,2,0)</f>
        <v>Special Check</v>
      </c>
      <c r="M571">
        <f>DAY(RejectionData[[#This Row],[RejectionDate]])</f>
        <v>29</v>
      </c>
    </row>
    <row r="572" spans="1:13">
      <c r="A572" t="s">
        <v>40</v>
      </c>
      <c r="B572" t="s">
        <v>856</v>
      </c>
      <c r="C572" t="s">
        <v>12</v>
      </c>
      <c r="D572" t="s">
        <v>51</v>
      </c>
      <c r="E572" s="7">
        <v>45625</v>
      </c>
      <c r="F572" t="s">
        <v>194</v>
      </c>
      <c r="G572">
        <v>0</v>
      </c>
      <c r="H572" t="s">
        <v>53</v>
      </c>
      <c r="I572" t="s">
        <v>16</v>
      </c>
      <c r="J572" t="s">
        <v>16</v>
      </c>
      <c r="K572" t="str">
        <f>VLOOKUP(C572,CheckName!A:B,2,0)</f>
        <v>Emp</v>
      </c>
      <c r="M572">
        <f>DAY(RejectionData[[#This Row],[RejectionDate]])</f>
        <v>29</v>
      </c>
    </row>
    <row r="573" spans="1:13">
      <c r="A573" t="s">
        <v>186</v>
      </c>
      <c r="B573" t="s">
        <v>857</v>
      </c>
      <c r="C573" t="s">
        <v>54</v>
      </c>
      <c r="D573" t="s">
        <v>51</v>
      </c>
      <c r="E573" s="7">
        <v>45625</v>
      </c>
      <c r="F573" t="s">
        <v>194</v>
      </c>
      <c r="G573">
        <v>0</v>
      </c>
      <c r="H573" t="s">
        <v>53</v>
      </c>
      <c r="I573" t="s">
        <v>16</v>
      </c>
      <c r="J573" t="s">
        <v>16</v>
      </c>
      <c r="K573" t="str">
        <f>VLOOKUP(C573,CheckName!A:B,2,0)</f>
        <v>Edu</v>
      </c>
      <c r="M573">
        <f>DAY(RejectionData[[#This Row],[RejectionDate]])</f>
        <v>29</v>
      </c>
    </row>
    <row r="574" spans="1:13">
      <c r="A574" t="s">
        <v>858</v>
      </c>
      <c r="B574" t="s">
        <v>859</v>
      </c>
      <c r="C574" t="s">
        <v>36</v>
      </c>
      <c r="D574" t="s">
        <v>51</v>
      </c>
      <c r="E574" s="7">
        <v>45625</v>
      </c>
      <c r="F574" t="s">
        <v>194</v>
      </c>
      <c r="G574">
        <v>0</v>
      </c>
      <c r="H574" t="s">
        <v>53</v>
      </c>
      <c r="I574" t="s">
        <v>16</v>
      </c>
      <c r="J574" t="s">
        <v>16</v>
      </c>
      <c r="K574" t="str">
        <f>VLOOKUP(C574,CheckName!A:B,2,0)</f>
        <v>Emp</v>
      </c>
      <c r="M574">
        <f>DAY(RejectionData[[#This Row],[RejectionDate]])</f>
        <v>29</v>
      </c>
    </row>
    <row r="575" spans="1:13">
      <c r="A575" t="s">
        <v>317</v>
      </c>
      <c r="B575" t="s">
        <v>860</v>
      </c>
      <c r="C575" t="s">
        <v>12</v>
      </c>
      <c r="D575" t="s">
        <v>51</v>
      </c>
      <c r="E575" s="7">
        <v>45625</v>
      </c>
      <c r="F575" t="s">
        <v>194</v>
      </c>
      <c r="G575">
        <v>0</v>
      </c>
      <c r="H575" t="s">
        <v>53</v>
      </c>
      <c r="I575" t="s">
        <v>16</v>
      </c>
      <c r="J575" t="s">
        <v>16</v>
      </c>
      <c r="K575" t="str">
        <f>VLOOKUP(C575,CheckName!A:B,2,0)</f>
        <v>Emp</v>
      </c>
      <c r="M575">
        <f>DAY(RejectionData[[#This Row],[RejectionDate]])</f>
        <v>29</v>
      </c>
    </row>
    <row r="576" spans="1:13">
      <c r="A576" t="s">
        <v>317</v>
      </c>
      <c r="B576" t="s">
        <v>860</v>
      </c>
      <c r="C576" t="s">
        <v>36</v>
      </c>
      <c r="D576" t="s">
        <v>51</v>
      </c>
      <c r="E576" s="7">
        <v>45625</v>
      </c>
      <c r="F576" t="s">
        <v>194</v>
      </c>
      <c r="G576">
        <v>0</v>
      </c>
      <c r="H576" t="s">
        <v>53</v>
      </c>
      <c r="I576" t="s">
        <v>16</v>
      </c>
      <c r="J576" t="s">
        <v>16</v>
      </c>
      <c r="K576" t="str">
        <f>VLOOKUP(C576,CheckName!A:B,2,0)</f>
        <v>Emp</v>
      </c>
      <c r="M576">
        <f>DAY(RejectionData[[#This Row],[RejectionDate]])</f>
        <v>29</v>
      </c>
    </row>
    <row r="577" spans="1:13">
      <c r="A577" t="s">
        <v>317</v>
      </c>
      <c r="B577" t="s">
        <v>861</v>
      </c>
      <c r="C577" t="s">
        <v>12</v>
      </c>
      <c r="D577" t="s">
        <v>51</v>
      </c>
      <c r="E577" s="7">
        <v>45625</v>
      </c>
      <c r="F577" t="s">
        <v>194</v>
      </c>
      <c r="G577">
        <v>0</v>
      </c>
      <c r="H577" t="s">
        <v>53</v>
      </c>
      <c r="I577" t="s">
        <v>16</v>
      </c>
      <c r="J577" t="s">
        <v>16</v>
      </c>
      <c r="K577" t="str">
        <f>VLOOKUP(C577,CheckName!A:B,2,0)</f>
        <v>Emp</v>
      </c>
      <c r="M577">
        <f>DAY(RejectionData[[#This Row],[RejectionDate]])</f>
        <v>29</v>
      </c>
    </row>
    <row r="578" spans="1:13">
      <c r="A578" t="s">
        <v>317</v>
      </c>
      <c r="B578" t="s">
        <v>861</v>
      </c>
      <c r="C578" t="s">
        <v>36</v>
      </c>
      <c r="D578" t="s">
        <v>51</v>
      </c>
      <c r="E578" s="7">
        <v>45625</v>
      </c>
      <c r="F578" t="s">
        <v>194</v>
      </c>
      <c r="G578">
        <v>0</v>
      </c>
      <c r="H578" t="s">
        <v>53</v>
      </c>
      <c r="I578" t="s">
        <v>16</v>
      </c>
      <c r="J578" t="s">
        <v>16</v>
      </c>
      <c r="K578" t="str">
        <f>VLOOKUP(C578,CheckName!A:B,2,0)</f>
        <v>Emp</v>
      </c>
      <c r="M578">
        <f>DAY(RejectionData[[#This Row],[RejectionDate]])</f>
        <v>29</v>
      </c>
    </row>
    <row r="579" spans="1:13">
      <c r="A579" t="s">
        <v>45</v>
      </c>
      <c r="B579" t="s">
        <v>862</v>
      </c>
      <c r="C579" t="s">
        <v>54</v>
      </c>
      <c r="D579" t="s">
        <v>51</v>
      </c>
      <c r="E579" s="7">
        <v>45625</v>
      </c>
      <c r="F579" t="s">
        <v>555</v>
      </c>
      <c r="G579">
        <v>0</v>
      </c>
      <c r="H579" t="s">
        <v>53</v>
      </c>
      <c r="I579" t="s">
        <v>16</v>
      </c>
      <c r="J579" t="s">
        <v>16</v>
      </c>
      <c r="K579" t="str">
        <f>VLOOKUP(C579,CheckName!A:B,2,0)</f>
        <v>Edu</v>
      </c>
      <c r="M579">
        <f>DAY(RejectionData[[#This Row],[RejectionDate]])</f>
        <v>29</v>
      </c>
    </row>
    <row r="580" spans="1:13">
      <c r="A580" t="s">
        <v>10</v>
      </c>
      <c r="B580" t="s">
        <v>863</v>
      </c>
      <c r="C580" t="s">
        <v>12</v>
      </c>
      <c r="D580" t="s">
        <v>13</v>
      </c>
      <c r="E580" s="7">
        <v>45625</v>
      </c>
      <c r="F580" t="s">
        <v>98</v>
      </c>
      <c r="G580">
        <v>0</v>
      </c>
      <c r="H580" t="s">
        <v>15</v>
      </c>
      <c r="I580" t="s">
        <v>16</v>
      </c>
      <c r="J580" t="s">
        <v>16</v>
      </c>
      <c r="K580" t="str">
        <f>VLOOKUP(C580,CheckName!A:B,2,0)</f>
        <v>Emp</v>
      </c>
      <c r="M580">
        <f>DAY(RejectionData[[#This Row],[RejectionDate]])</f>
        <v>29</v>
      </c>
    </row>
    <row r="581" spans="1:13">
      <c r="A581" t="s">
        <v>216</v>
      </c>
      <c r="B581" t="s">
        <v>864</v>
      </c>
      <c r="C581" t="s">
        <v>71</v>
      </c>
      <c r="D581" t="s">
        <v>13</v>
      </c>
      <c r="E581" s="7">
        <v>45625</v>
      </c>
      <c r="F581" t="s">
        <v>844</v>
      </c>
      <c r="G581">
        <v>0</v>
      </c>
      <c r="H581" t="s">
        <v>15</v>
      </c>
      <c r="I581" t="s">
        <v>16</v>
      </c>
      <c r="J581" t="s">
        <v>16</v>
      </c>
      <c r="K581" t="str">
        <f>VLOOKUP(C581,CheckName!A:B,2,0)</f>
        <v>CRC</v>
      </c>
      <c r="M581">
        <f>DAY(RejectionData[[#This Row],[RejectionDate]])</f>
        <v>29</v>
      </c>
    </row>
    <row r="582" spans="1:13">
      <c r="A582" t="s">
        <v>133</v>
      </c>
      <c r="B582" t="s">
        <v>865</v>
      </c>
      <c r="C582" t="s">
        <v>71</v>
      </c>
      <c r="D582" t="s">
        <v>13</v>
      </c>
      <c r="E582" s="7">
        <v>45625</v>
      </c>
      <c r="F582" t="s">
        <v>781</v>
      </c>
      <c r="G582">
        <v>0</v>
      </c>
      <c r="H582" t="s">
        <v>15</v>
      </c>
      <c r="I582" t="s">
        <v>16</v>
      </c>
      <c r="J582" t="s">
        <v>16</v>
      </c>
      <c r="K582" t="str">
        <f>VLOOKUP(C582,CheckName!A:B,2,0)</f>
        <v>CRC</v>
      </c>
      <c r="M582">
        <f>DAY(RejectionData[[#This Row],[RejectionDate]])</f>
        <v>29</v>
      </c>
    </row>
    <row r="583" spans="1:13">
      <c r="A583" t="s">
        <v>866</v>
      </c>
      <c r="B583" t="s">
        <v>867</v>
      </c>
      <c r="C583" t="s">
        <v>54</v>
      </c>
      <c r="D583" t="s">
        <v>13</v>
      </c>
      <c r="E583" s="7">
        <v>45625</v>
      </c>
      <c r="F583" t="s">
        <v>72</v>
      </c>
      <c r="G583">
        <v>0</v>
      </c>
      <c r="H583" t="s">
        <v>15</v>
      </c>
      <c r="I583" t="s">
        <v>16</v>
      </c>
      <c r="J583" t="s">
        <v>16</v>
      </c>
      <c r="K583" t="str">
        <f>VLOOKUP(C583,CheckName!A:B,2,0)</f>
        <v>Edu</v>
      </c>
      <c r="M583">
        <f>DAY(RejectionData[[#This Row],[RejectionDate]])</f>
        <v>29</v>
      </c>
    </row>
    <row r="584" spans="1:13">
      <c r="A584" t="s">
        <v>868</v>
      </c>
      <c r="B584" t="s">
        <v>869</v>
      </c>
      <c r="C584" t="s">
        <v>56</v>
      </c>
      <c r="D584" t="s">
        <v>13</v>
      </c>
      <c r="E584" s="7">
        <v>45625</v>
      </c>
      <c r="F584" t="s">
        <v>14</v>
      </c>
      <c r="G584">
        <v>0</v>
      </c>
      <c r="H584" t="s">
        <v>15</v>
      </c>
      <c r="I584" t="s">
        <v>16</v>
      </c>
      <c r="J584" t="s">
        <v>16</v>
      </c>
      <c r="K584" t="str">
        <f>VLOOKUP(C584,CheckName!A:B,2,0)</f>
        <v>Special Check</v>
      </c>
      <c r="M584">
        <f>DAY(RejectionData[[#This Row],[RejectionDate]])</f>
        <v>29</v>
      </c>
    </row>
    <row r="585" spans="1:13">
      <c r="A585" t="s">
        <v>160</v>
      </c>
      <c r="B585" t="s">
        <v>870</v>
      </c>
      <c r="C585" t="s">
        <v>125</v>
      </c>
      <c r="D585" t="s">
        <v>13</v>
      </c>
      <c r="E585" s="7">
        <v>45625</v>
      </c>
      <c r="F585" t="s">
        <v>107</v>
      </c>
      <c r="G585">
        <v>0</v>
      </c>
      <c r="H585" t="s">
        <v>15</v>
      </c>
      <c r="I585" t="s">
        <v>16</v>
      </c>
      <c r="J585" t="s">
        <v>16</v>
      </c>
      <c r="K585" t="str">
        <f>VLOOKUP(C585,CheckName!A:B,2,0)</f>
        <v>Emp</v>
      </c>
      <c r="M585">
        <f>DAY(RejectionData[[#This Row],[RejectionDate]])</f>
        <v>29</v>
      </c>
    </row>
    <row r="586" spans="1:13">
      <c r="A586" t="s">
        <v>133</v>
      </c>
      <c r="B586" t="s">
        <v>871</v>
      </c>
      <c r="C586" t="s">
        <v>19</v>
      </c>
      <c r="D586" t="s">
        <v>13</v>
      </c>
      <c r="E586" s="7">
        <v>45625</v>
      </c>
      <c r="F586" t="s">
        <v>14</v>
      </c>
      <c r="G586">
        <v>0</v>
      </c>
      <c r="H586" t="s">
        <v>15</v>
      </c>
      <c r="I586" t="s">
        <v>16</v>
      </c>
      <c r="J586" t="s">
        <v>16</v>
      </c>
      <c r="K586" t="str">
        <f>VLOOKUP(C586,CheckName!A:B,2,0)</f>
        <v>Add</v>
      </c>
      <c r="M586">
        <f>DAY(RejectionData[[#This Row],[RejectionDate]])</f>
        <v>29</v>
      </c>
    </row>
    <row r="587" spans="1:13">
      <c r="A587" t="s">
        <v>133</v>
      </c>
      <c r="B587" t="s">
        <v>871</v>
      </c>
      <c r="C587" t="s">
        <v>49</v>
      </c>
      <c r="D587" t="s">
        <v>13</v>
      </c>
      <c r="E587" s="7">
        <v>45625</v>
      </c>
      <c r="F587" t="s">
        <v>14</v>
      </c>
      <c r="G587">
        <v>0</v>
      </c>
      <c r="H587" t="s">
        <v>15</v>
      </c>
      <c r="I587" t="s">
        <v>16</v>
      </c>
      <c r="J587" t="s">
        <v>16</v>
      </c>
      <c r="K587" t="str">
        <f>VLOOKUP(C587,CheckName!A:B,2,0)</f>
        <v>CRC</v>
      </c>
      <c r="M587">
        <f>DAY(RejectionData[[#This Row],[RejectionDate]])</f>
        <v>29</v>
      </c>
    </row>
    <row r="588" spans="1:13">
      <c r="A588" t="s">
        <v>81</v>
      </c>
      <c r="B588" t="s">
        <v>872</v>
      </c>
      <c r="C588" t="s">
        <v>12</v>
      </c>
      <c r="D588" t="s">
        <v>26</v>
      </c>
      <c r="E588" s="7">
        <v>45625</v>
      </c>
      <c r="F588" t="s">
        <v>277</v>
      </c>
      <c r="G588">
        <v>0</v>
      </c>
      <c r="H588" t="s">
        <v>27</v>
      </c>
      <c r="I588" t="s">
        <v>16</v>
      </c>
      <c r="J588" t="s">
        <v>16</v>
      </c>
      <c r="K588" t="str">
        <f>VLOOKUP(C588,CheckName!A:B,2,0)</f>
        <v>Emp</v>
      </c>
      <c r="M588">
        <f>DAY(RejectionData[[#This Row],[RejectionDate]])</f>
        <v>29</v>
      </c>
    </row>
    <row r="589" spans="1:13">
      <c r="A589" t="s">
        <v>100</v>
      </c>
      <c r="B589" t="s">
        <v>873</v>
      </c>
      <c r="C589" t="s">
        <v>775</v>
      </c>
      <c r="D589" t="s">
        <v>26</v>
      </c>
      <c r="E589" s="7">
        <v>45625</v>
      </c>
      <c r="F589" t="s">
        <v>380</v>
      </c>
      <c r="G589">
        <v>0</v>
      </c>
      <c r="H589" t="s">
        <v>27</v>
      </c>
      <c r="I589" t="s">
        <v>16</v>
      </c>
      <c r="J589" t="s">
        <v>16</v>
      </c>
      <c r="K589" t="str">
        <f>VLOOKUP(C589,CheckName!A:B,2,0)</f>
        <v>Emp</v>
      </c>
      <c r="M589">
        <f>DAY(RejectionData[[#This Row],[RejectionDate]])</f>
        <v>29</v>
      </c>
    </row>
    <row r="590" spans="1:13">
      <c r="A590" t="s">
        <v>160</v>
      </c>
      <c r="B590" t="s">
        <v>874</v>
      </c>
      <c r="C590" t="s">
        <v>19</v>
      </c>
      <c r="D590" t="s">
        <v>20</v>
      </c>
      <c r="E590" s="7">
        <v>45625</v>
      </c>
      <c r="F590" t="s">
        <v>21</v>
      </c>
      <c r="G590">
        <v>0</v>
      </c>
      <c r="H590" t="s">
        <v>22</v>
      </c>
      <c r="I590" t="s">
        <v>16</v>
      </c>
      <c r="J590" t="s">
        <v>16</v>
      </c>
      <c r="K590" t="str">
        <f>VLOOKUP(C590,CheckName!A:B,2,0)</f>
        <v>Add</v>
      </c>
      <c r="M590">
        <f>DAY(RejectionData[[#This Row],[RejectionDate]])</f>
        <v>29</v>
      </c>
    </row>
    <row r="591" spans="1:13">
      <c r="A591" t="s">
        <v>127</v>
      </c>
      <c r="B591" t="s">
        <v>875</v>
      </c>
      <c r="C591" t="s">
        <v>19</v>
      </c>
      <c r="D591" t="s">
        <v>20</v>
      </c>
      <c r="E591" s="7">
        <v>45625</v>
      </c>
      <c r="F591" t="s">
        <v>21</v>
      </c>
      <c r="G591">
        <v>0</v>
      </c>
      <c r="H591" t="s">
        <v>27</v>
      </c>
      <c r="I591" t="s">
        <v>16</v>
      </c>
      <c r="J591" t="s">
        <v>16</v>
      </c>
      <c r="K591" t="str">
        <f>VLOOKUP(C591,CheckName!A:B,2,0)</f>
        <v>Add</v>
      </c>
      <c r="M591">
        <f>DAY(RejectionData[[#This Row],[RejectionDate]])</f>
        <v>29</v>
      </c>
    </row>
    <row r="592" spans="1:13">
      <c r="A592" t="s">
        <v>876</v>
      </c>
      <c r="B592" t="s">
        <v>877</v>
      </c>
      <c r="C592" t="s">
        <v>25</v>
      </c>
      <c r="D592" t="s">
        <v>26</v>
      </c>
      <c r="E592" s="7">
        <v>45625</v>
      </c>
      <c r="F592" t="s">
        <v>62</v>
      </c>
      <c r="G592">
        <v>0</v>
      </c>
      <c r="H592" t="s">
        <v>27</v>
      </c>
      <c r="I592" t="s">
        <v>16</v>
      </c>
      <c r="J592" t="s">
        <v>16</v>
      </c>
      <c r="K592" t="str">
        <f>VLOOKUP(C592,CheckName!A:B,2,0)</f>
        <v>Add</v>
      </c>
      <c r="M592">
        <f>DAY(RejectionData[[#This Row],[RejectionDate]])</f>
        <v>29</v>
      </c>
    </row>
    <row r="593" spans="1:13">
      <c r="A593" t="s">
        <v>878</v>
      </c>
      <c r="B593" t="s">
        <v>879</v>
      </c>
      <c r="C593" t="s">
        <v>36</v>
      </c>
      <c r="D593" t="s">
        <v>26</v>
      </c>
      <c r="E593" s="7">
        <v>45625</v>
      </c>
      <c r="F593" t="s">
        <v>355</v>
      </c>
      <c r="G593">
        <v>0</v>
      </c>
      <c r="H593" t="s">
        <v>27</v>
      </c>
      <c r="I593" t="s">
        <v>16</v>
      </c>
      <c r="J593" t="s">
        <v>16</v>
      </c>
      <c r="K593" t="str">
        <f>VLOOKUP(C593,CheckName!A:B,2,0)</f>
        <v>Emp</v>
      </c>
      <c r="M593">
        <f>DAY(RejectionData[[#This Row],[RejectionDate]])</f>
        <v>29</v>
      </c>
    </row>
    <row r="594" spans="1:13">
      <c r="A594" t="s">
        <v>306</v>
      </c>
      <c r="B594" t="s">
        <v>880</v>
      </c>
      <c r="C594" t="s">
        <v>106</v>
      </c>
      <c r="D594" t="s">
        <v>26</v>
      </c>
      <c r="E594" s="7">
        <v>45625</v>
      </c>
      <c r="F594" t="s">
        <v>330</v>
      </c>
      <c r="G594">
        <v>0</v>
      </c>
      <c r="H594" t="s">
        <v>27</v>
      </c>
      <c r="I594" t="s">
        <v>16</v>
      </c>
      <c r="J594" t="s">
        <v>16</v>
      </c>
      <c r="K594" t="str">
        <f>VLOOKUP(C594,CheckName!A:B,2,0)</f>
        <v>Ref</v>
      </c>
      <c r="M594">
        <f>DAY(RejectionData[[#This Row],[RejectionDate]])</f>
        <v>29</v>
      </c>
    </row>
    <row r="595" spans="1:13">
      <c r="A595" t="s">
        <v>84</v>
      </c>
      <c r="B595" t="s">
        <v>881</v>
      </c>
      <c r="C595" t="s">
        <v>54</v>
      </c>
      <c r="D595" t="s">
        <v>26</v>
      </c>
      <c r="E595" s="7">
        <v>45625</v>
      </c>
      <c r="F595" t="s">
        <v>371</v>
      </c>
      <c r="G595">
        <v>0</v>
      </c>
      <c r="H595" t="s">
        <v>27</v>
      </c>
      <c r="I595" t="s">
        <v>16</v>
      </c>
      <c r="J595" t="s">
        <v>16</v>
      </c>
      <c r="K595" t="str">
        <f>VLOOKUP(C595,CheckName!A:B,2,0)</f>
        <v>Edu</v>
      </c>
      <c r="M595">
        <f>DAY(RejectionData[[#This Row],[RejectionDate]])</f>
        <v>29</v>
      </c>
    </row>
    <row r="596" spans="1:13">
      <c r="A596" t="s">
        <v>45</v>
      </c>
      <c r="B596" t="s">
        <v>882</v>
      </c>
      <c r="C596" t="s">
        <v>36</v>
      </c>
      <c r="D596" t="s">
        <v>26</v>
      </c>
      <c r="E596" s="7">
        <v>45625</v>
      </c>
      <c r="F596" t="s">
        <v>115</v>
      </c>
      <c r="G596">
        <v>0</v>
      </c>
      <c r="H596" t="s">
        <v>27</v>
      </c>
      <c r="I596" t="s">
        <v>16</v>
      </c>
      <c r="J596" t="s">
        <v>16</v>
      </c>
      <c r="K596" t="str">
        <f>VLOOKUP(C596,CheckName!A:B,2,0)</f>
        <v>Emp</v>
      </c>
      <c r="M596">
        <f>DAY(RejectionData[[#This Row],[RejectionDate]])</f>
        <v>29</v>
      </c>
    </row>
    <row r="597" spans="1:13">
      <c r="A597" t="s">
        <v>883</v>
      </c>
      <c r="B597" t="s">
        <v>884</v>
      </c>
      <c r="C597" t="s">
        <v>36</v>
      </c>
      <c r="D597" t="s">
        <v>26</v>
      </c>
      <c r="E597" s="7">
        <v>45625</v>
      </c>
      <c r="F597" t="s">
        <v>126</v>
      </c>
      <c r="G597">
        <v>0</v>
      </c>
      <c r="H597" t="s">
        <v>30</v>
      </c>
      <c r="I597" t="s">
        <v>16</v>
      </c>
      <c r="J597" t="s">
        <v>16</v>
      </c>
      <c r="K597" t="str">
        <f>VLOOKUP(C597,CheckName!A:B,2,0)</f>
        <v>Emp</v>
      </c>
      <c r="M597">
        <f>DAY(RejectionData[[#This Row],[RejectionDate]])</f>
        <v>29</v>
      </c>
    </row>
    <row r="598" spans="1:13">
      <c r="A598" t="s">
        <v>100</v>
      </c>
      <c r="B598" t="s">
        <v>885</v>
      </c>
      <c r="C598" t="s">
        <v>359</v>
      </c>
      <c r="D598" t="s">
        <v>26</v>
      </c>
      <c r="E598" s="7">
        <v>45625</v>
      </c>
      <c r="F598" t="s">
        <v>380</v>
      </c>
      <c r="G598">
        <v>0</v>
      </c>
      <c r="H598" t="s">
        <v>30</v>
      </c>
      <c r="I598" t="s">
        <v>16</v>
      </c>
      <c r="J598" t="s">
        <v>16</v>
      </c>
      <c r="K598" t="str">
        <f>VLOOKUP(C598,CheckName!A:B,2,0)</f>
        <v>Emp</v>
      </c>
      <c r="M598">
        <f>DAY(RejectionData[[#This Row],[RejectionDate]])</f>
        <v>29</v>
      </c>
    </row>
    <row r="599" spans="1:13">
      <c r="A599" t="s">
        <v>142</v>
      </c>
      <c r="B599" t="s">
        <v>886</v>
      </c>
      <c r="C599" t="s">
        <v>19</v>
      </c>
      <c r="D599" t="s">
        <v>26</v>
      </c>
      <c r="E599" s="7">
        <v>45625</v>
      </c>
      <c r="F599" t="s">
        <v>62</v>
      </c>
      <c r="G599">
        <v>0</v>
      </c>
      <c r="H599" t="s">
        <v>27</v>
      </c>
      <c r="I599" t="s">
        <v>16</v>
      </c>
      <c r="J599" t="s">
        <v>16</v>
      </c>
      <c r="K599" t="str">
        <f>VLOOKUP(C599,CheckName!A:B,2,0)</f>
        <v>Add</v>
      </c>
      <c r="M599">
        <f>DAY(RejectionData[[#This Row],[RejectionDate]])</f>
        <v>29</v>
      </c>
    </row>
    <row r="600" spans="1:13">
      <c r="A600" t="s">
        <v>45</v>
      </c>
      <c r="B600" t="s">
        <v>887</v>
      </c>
      <c r="C600" t="s">
        <v>125</v>
      </c>
      <c r="D600" t="s">
        <v>26</v>
      </c>
      <c r="E600" s="7">
        <v>45625</v>
      </c>
      <c r="F600" t="s">
        <v>179</v>
      </c>
      <c r="G600">
        <v>0</v>
      </c>
      <c r="H600" t="s">
        <v>27</v>
      </c>
      <c r="I600" t="s">
        <v>16</v>
      </c>
      <c r="J600" t="s">
        <v>16</v>
      </c>
      <c r="K600" t="str">
        <f>VLOOKUP(C600,CheckName!A:B,2,0)</f>
        <v>Emp</v>
      </c>
      <c r="M600">
        <f>DAY(RejectionData[[#This Row],[RejectionDate]])</f>
        <v>29</v>
      </c>
    </row>
    <row r="601" spans="1:13">
      <c r="A601" t="s">
        <v>165</v>
      </c>
      <c r="B601" t="s">
        <v>888</v>
      </c>
      <c r="C601" t="s">
        <v>36</v>
      </c>
      <c r="D601" t="s">
        <v>26</v>
      </c>
      <c r="E601" s="7">
        <v>45625</v>
      </c>
      <c r="F601" t="s">
        <v>325</v>
      </c>
      <c r="G601">
        <v>0</v>
      </c>
      <c r="H601" t="s">
        <v>130</v>
      </c>
      <c r="I601" t="s">
        <v>16</v>
      </c>
      <c r="J601" t="s">
        <v>16</v>
      </c>
      <c r="K601" t="str">
        <f>VLOOKUP(C601,CheckName!A:B,2,0)</f>
        <v>Emp</v>
      </c>
      <c r="M601">
        <f>DAY(RejectionData[[#This Row],[RejectionDate]])</f>
        <v>29</v>
      </c>
    </row>
    <row r="602" spans="1:13">
      <c r="A602" t="s">
        <v>186</v>
      </c>
      <c r="B602" t="s">
        <v>889</v>
      </c>
      <c r="C602" t="s">
        <v>54</v>
      </c>
      <c r="D602" t="s">
        <v>26</v>
      </c>
      <c r="E602" s="7">
        <v>45625</v>
      </c>
      <c r="F602" t="s">
        <v>63</v>
      </c>
      <c r="G602">
        <v>0</v>
      </c>
      <c r="H602" t="s">
        <v>27</v>
      </c>
      <c r="I602" t="s">
        <v>16</v>
      </c>
      <c r="J602" t="s">
        <v>16</v>
      </c>
      <c r="K602" t="str">
        <f>VLOOKUP(C602,CheckName!A:B,2,0)</f>
        <v>Edu</v>
      </c>
      <c r="M602">
        <f>DAY(RejectionData[[#This Row],[RejectionDate]])</f>
        <v>29</v>
      </c>
    </row>
    <row r="603" spans="1:13">
      <c r="A603" t="s">
        <v>40</v>
      </c>
      <c r="B603" t="s">
        <v>890</v>
      </c>
      <c r="C603" t="s">
        <v>12</v>
      </c>
      <c r="D603" t="s">
        <v>26</v>
      </c>
      <c r="E603" s="7">
        <v>45625</v>
      </c>
      <c r="F603" t="s">
        <v>115</v>
      </c>
      <c r="G603">
        <v>0</v>
      </c>
      <c r="H603" t="s">
        <v>27</v>
      </c>
      <c r="I603" t="s">
        <v>16</v>
      </c>
      <c r="J603" t="s">
        <v>16</v>
      </c>
      <c r="K603" t="str">
        <f>VLOOKUP(C603,CheckName!A:B,2,0)</f>
        <v>Emp</v>
      </c>
      <c r="M603">
        <f>DAY(RejectionData[[#This Row],[RejectionDate]])</f>
        <v>29</v>
      </c>
    </row>
    <row r="604" spans="1:13">
      <c r="A604" t="s">
        <v>306</v>
      </c>
      <c r="B604" t="s">
        <v>891</v>
      </c>
      <c r="C604" t="s">
        <v>54</v>
      </c>
      <c r="D604" t="s">
        <v>26</v>
      </c>
      <c r="E604" s="7">
        <v>45625</v>
      </c>
      <c r="F604" t="s">
        <v>63</v>
      </c>
      <c r="G604">
        <v>0</v>
      </c>
      <c r="H604" t="s">
        <v>27</v>
      </c>
      <c r="I604" t="s">
        <v>16</v>
      </c>
      <c r="J604" t="s">
        <v>16</v>
      </c>
      <c r="K604" t="str">
        <f>VLOOKUP(C604,CheckName!A:B,2,0)</f>
        <v>Edu</v>
      </c>
      <c r="M604">
        <f>DAY(RejectionData[[#This Row],[RejectionDate]])</f>
        <v>29</v>
      </c>
    </row>
    <row r="605" spans="1:13">
      <c r="A605" t="s">
        <v>349</v>
      </c>
      <c r="B605" t="s">
        <v>892</v>
      </c>
      <c r="C605" t="s">
        <v>36</v>
      </c>
      <c r="D605" t="s">
        <v>26</v>
      </c>
      <c r="E605" s="7">
        <v>45625</v>
      </c>
      <c r="F605" t="s">
        <v>191</v>
      </c>
      <c r="G605">
        <v>0</v>
      </c>
      <c r="H605" t="s">
        <v>30</v>
      </c>
      <c r="I605" t="s">
        <v>16</v>
      </c>
      <c r="J605" t="s">
        <v>16</v>
      </c>
      <c r="K605" t="str">
        <f>VLOOKUP(C605,CheckName!A:B,2,0)</f>
        <v>Emp</v>
      </c>
      <c r="M605">
        <f>DAY(RejectionData[[#This Row],[RejectionDate]])</f>
        <v>29</v>
      </c>
    </row>
    <row r="606" spans="1:13">
      <c r="A606" t="s">
        <v>893</v>
      </c>
      <c r="B606" t="s">
        <v>894</v>
      </c>
      <c r="C606" t="s">
        <v>25</v>
      </c>
      <c r="D606" t="s">
        <v>26</v>
      </c>
      <c r="E606" s="7">
        <v>45625</v>
      </c>
      <c r="F606" t="s">
        <v>66</v>
      </c>
      <c r="G606">
        <v>0</v>
      </c>
      <c r="H606" t="s">
        <v>27</v>
      </c>
      <c r="I606" t="s">
        <v>16</v>
      </c>
      <c r="J606" t="s">
        <v>16</v>
      </c>
      <c r="K606" t="str">
        <f>VLOOKUP(C606,CheckName!A:B,2,0)</f>
        <v>Add</v>
      </c>
      <c r="M606">
        <f>DAY(RejectionData[[#This Row],[RejectionDate]])</f>
        <v>29</v>
      </c>
    </row>
    <row r="607" spans="1:13">
      <c r="A607" t="s">
        <v>160</v>
      </c>
      <c r="B607" t="s">
        <v>895</v>
      </c>
      <c r="C607" t="s">
        <v>19</v>
      </c>
      <c r="D607" t="s">
        <v>20</v>
      </c>
      <c r="E607" s="7">
        <v>45625</v>
      </c>
      <c r="F607" t="s">
        <v>21</v>
      </c>
      <c r="G607">
        <v>0</v>
      </c>
      <c r="H607" t="s">
        <v>22</v>
      </c>
      <c r="I607" t="s">
        <v>16</v>
      </c>
      <c r="J607" t="s">
        <v>16</v>
      </c>
      <c r="K607" t="str">
        <f>VLOOKUP(C607,CheckName!A:B,2,0)</f>
        <v>Add</v>
      </c>
      <c r="M607">
        <f>DAY(RejectionData[[#This Row],[RejectionDate]])</f>
        <v>29</v>
      </c>
    </row>
    <row r="608" spans="1:13">
      <c r="A608" t="s">
        <v>144</v>
      </c>
      <c r="B608" t="s">
        <v>896</v>
      </c>
      <c r="C608" t="s">
        <v>19</v>
      </c>
      <c r="D608" t="s">
        <v>20</v>
      </c>
      <c r="E608" s="7">
        <v>45625</v>
      </c>
      <c r="F608" t="s">
        <v>21</v>
      </c>
      <c r="G608">
        <v>0</v>
      </c>
      <c r="H608" t="s">
        <v>22</v>
      </c>
      <c r="I608" t="s">
        <v>16</v>
      </c>
      <c r="J608" t="s">
        <v>16</v>
      </c>
      <c r="K608" t="str">
        <f>VLOOKUP(C608,CheckName!A:B,2,0)</f>
        <v>Add</v>
      </c>
      <c r="M608">
        <f>DAY(RejectionData[[#This Row],[RejectionDate]])</f>
        <v>29</v>
      </c>
    </row>
    <row r="609" spans="1:13">
      <c r="A609" t="s">
        <v>186</v>
      </c>
      <c r="B609" t="s">
        <v>897</v>
      </c>
      <c r="C609" t="s">
        <v>54</v>
      </c>
      <c r="D609" t="s">
        <v>13</v>
      </c>
      <c r="E609" s="7">
        <v>45625</v>
      </c>
      <c r="F609" t="s">
        <v>249</v>
      </c>
      <c r="G609">
        <v>0</v>
      </c>
      <c r="H609" t="s">
        <v>15</v>
      </c>
      <c r="I609" t="s">
        <v>16</v>
      </c>
      <c r="J609" t="s">
        <v>16</v>
      </c>
      <c r="K609" t="str">
        <f>VLOOKUP(C609,CheckName!A:B,2,0)</f>
        <v>Edu</v>
      </c>
      <c r="M609">
        <f>DAY(RejectionData[[#This Row],[RejectionDate]])</f>
        <v>29</v>
      </c>
    </row>
    <row r="610" spans="1:13">
      <c r="A610" t="s">
        <v>186</v>
      </c>
      <c r="B610" t="s">
        <v>898</v>
      </c>
      <c r="C610" t="s">
        <v>54</v>
      </c>
      <c r="D610" t="s">
        <v>13</v>
      </c>
      <c r="E610" s="7">
        <v>45625</v>
      </c>
      <c r="F610" t="s">
        <v>249</v>
      </c>
      <c r="G610">
        <v>0</v>
      </c>
      <c r="H610" t="s">
        <v>15</v>
      </c>
      <c r="I610" t="s">
        <v>16</v>
      </c>
      <c r="J610" t="s">
        <v>16</v>
      </c>
      <c r="K610" t="str">
        <f>VLOOKUP(C610,CheckName!A:B,2,0)</f>
        <v>Edu</v>
      </c>
      <c r="M610">
        <f>DAY(RejectionData[[#This Row],[RejectionDate]])</f>
        <v>29</v>
      </c>
    </row>
    <row r="611" spans="1:13">
      <c r="A611" t="s">
        <v>47</v>
      </c>
      <c r="B611" t="s">
        <v>899</v>
      </c>
      <c r="C611" t="s">
        <v>54</v>
      </c>
      <c r="D611" t="s">
        <v>13</v>
      </c>
      <c r="E611" s="7">
        <v>45625</v>
      </c>
      <c r="F611" t="s">
        <v>14</v>
      </c>
      <c r="G611">
        <v>0</v>
      </c>
      <c r="H611" t="s">
        <v>15</v>
      </c>
      <c r="I611" t="s">
        <v>16</v>
      </c>
      <c r="J611" t="s">
        <v>16</v>
      </c>
      <c r="K611" t="str">
        <f>VLOOKUP(C611,CheckName!A:B,2,0)</f>
        <v>Edu</v>
      </c>
      <c r="M611">
        <f>DAY(RejectionData[[#This Row],[RejectionDate]])</f>
        <v>29</v>
      </c>
    </row>
    <row r="612" spans="1:13">
      <c r="A612" t="s">
        <v>47</v>
      </c>
      <c r="B612" t="s">
        <v>473</v>
      </c>
      <c r="C612" t="s">
        <v>54</v>
      </c>
      <c r="D612" t="s">
        <v>13</v>
      </c>
      <c r="E612" s="7">
        <v>45625</v>
      </c>
      <c r="F612" t="s">
        <v>14</v>
      </c>
      <c r="G612">
        <v>0</v>
      </c>
      <c r="H612" t="s">
        <v>15</v>
      </c>
      <c r="I612" t="s">
        <v>16</v>
      </c>
      <c r="J612" t="s">
        <v>16</v>
      </c>
      <c r="K612" t="str">
        <f>VLOOKUP(C612,CheckName!A:B,2,0)</f>
        <v>Edu</v>
      </c>
      <c r="M612">
        <f>DAY(RejectionData[[#This Row],[RejectionDate]])</f>
        <v>29</v>
      </c>
    </row>
    <row r="613" spans="1:13">
      <c r="A613" t="s">
        <v>45</v>
      </c>
      <c r="B613" t="s">
        <v>900</v>
      </c>
      <c r="C613" t="s">
        <v>19</v>
      </c>
      <c r="D613" t="s">
        <v>20</v>
      </c>
      <c r="E613" s="7">
        <v>45625</v>
      </c>
      <c r="F613" t="s">
        <v>21</v>
      </c>
      <c r="G613">
        <v>0</v>
      </c>
      <c r="H613" t="s">
        <v>22</v>
      </c>
      <c r="I613" t="s">
        <v>16</v>
      </c>
      <c r="J613" t="s">
        <v>16</v>
      </c>
      <c r="K613" t="str">
        <f>VLOOKUP(C613,CheckName!A:B,2,0)</f>
        <v>Add</v>
      </c>
      <c r="M613">
        <f>DAY(RejectionData[[#This Row],[RejectionDate]])</f>
        <v>29</v>
      </c>
    </row>
    <row r="614" spans="1:13">
      <c r="A614" t="s">
        <v>88</v>
      </c>
      <c r="B614" t="s">
        <v>901</v>
      </c>
      <c r="C614" t="s">
        <v>12</v>
      </c>
      <c r="D614" t="s">
        <v>38</v>
      </c>
      <c r="E614" s="7">
        <v>45625</v>
      </c>
      <c r="F614" t="s">
        <v>39</v>
      </c>
      <c r="G614">
        <v>0</v>
      </c>
      <c r="H614" t="s">
        <v>42</v>
      </c>
      <c r="I614" t="s">
        <v>16</v>
      </c>
      <c r="J614" t="s">
        <v>16</v>
      </c>
      <c r="K614" t="str">
        <f>VLOOKUP(C614,CheckName!A:B,2,0)</f>
        <v>Emp</v>
      </c>
      <c r="M614">
        <f>DAY(RejectionData[[#This Row],[RejectionDate]])</f>
        <v>29</v>
      </c>
    </row>
    <row r="615" spans="1:13">
      <c r="A615" t="s">
        <v>682</v>
      </c>
      <c r="B615" t="s">
        <v>902</v>
      </c>
      <c r="C615" t="s">
        <v>125</v>
      </c>
      <c r="D615" t="s">
        <v>38</v>
      </c>
      <c r="E615" s="7">
        <v>45625</v>
      </c>
      <c r="F615" t="s">
        <v>39</v>
      </c>
      <c r="G615">
        <v>0</v>
      </c>
      <c r="H615" t="s">
        <v>42</v>
      </c>
      <c r="I615" t="s">
        <v>16</v>
      </c>
      <c r="J615" t="s">
        <v>16</v>
      </c>
      <c r="K615" t="str">
        <f>VLOOKUP(C615,CheckName!A:B,2,0)</f>
        <v>Emp</v>
      </c>
      <c r="M615">
        <f>DAY(RejectionData[[#This Row],[RejectionDate]])</f>
        <v>29</v>
      </c>
    </row>
    <row r="616" spans="1:13">
      <c r="A616" t="s">
        <v>165</v>
      </c>
      <c r="B616" t="s">
        <v>903</v>
      </c>
      <c r="C616" t="s">
        <v>54</v>
      </c>
      <c r="D616" t="s">
        <v>13</v>
      </c>
      <c r="E616" s="7">
        <v>45625</v>
      </c>
      <c r="F616" t="s">
        <v>759</v>
      </c>
      <c r="G616">
        <v>0</v>
      </c>
      <c r="H616" t="s">
        <v>15</v>
      </c>
      <c r="I616" t="s">
        <v>16</v>
      </c>
      <c r="J616" t="s">
        <v>16</v>
      </c>
      <c r="K616" t="str">
        <f>VLOOKUP(C616,CheckName!A:B,2,0)</f>
        <v>Edu</v>
      </c>
      <c r="M616">
        <f>DAY(RejectionData[[#This Row],[RejectionDate]])</f>
        <v>29</v>
      </c>
    </row>
    <row r="617" spans="1:13">
      <c r="A617" t="s">
        <v>461</v>
      </c>
      <c r="B617" t="s">
        <v>904</v>
      </c>
      <c r="C617" t="s">
        <v>125</v>
      </c>
      <c r="D617" t="s">
        <v>26</v>
      </c>
      <c r="E617" s="7">
        <v>45625</v>
      </c>
      <c r="F617" t="s">
        <v>222</v>
      </c>
      <c r="G617">
        <v>0</v>
      </c>
      <c r="H617" t="s">
        <v>30</v>
      </c>
      <c r="I617" t="s">
        <v>16</v>
      </c>
      <c r="J617" t="s">
        <v>16</v>
      </c>
      <c r="K617" t="str">
        <f>VLOOKUP(C617,CheckName!A:B,2,0)</f>
        <v>Emp</v>
      </c>
      <c r="M617">
        <f>DAY(RejectionData[[#This Row],[RejectionDate]])</f>
        <v>29</v>
      </c>
    </row>
    <row r="618" spans="1:13">
      <c r="A618" t="s">
        <v>91</v>
      </c>
      <c r="B618" t="s">
        <v>905</v>
      </c>
      <c r="C618" t="s">
        <v>12</v>
      </c>
      <c r="D618" t="s">
        <v>26</v>
      </c>
      <c r="E618" s="7">
        <v>45625</v>
      </c>
      <c r="F618" t="s">
        <v>222</v>
      </c>
      <c r="G618">
        <v>0</v>
      </c>
      <c r="H618" t="s">
        <v>22</v>
      </c>
      <c r="I618" t="s">
        <v>16</v>
      </c>
      <c r="J618" t="s">
        <v>16</v>
      </c>
      <c r="K618" t="str">
        <f>VLOOKUP(C618,CheckName!A:B,2,0)</f>
        <v>Emp</v>
      </c>
      <c r="M618">
        <f>DAY(RejectionData[[#This Row],[RejectionDate]])</f>
        <v>29</v>
      </c>
    </row>
    <row r="619" spans="1:13">
      <c r="A619" t="s">
        <v>84</v>
      </c>
      <c r="B619" t="s">
        <v>906</v>
      </c>
      <c r="C619" t="s">
        <v>54</v>
      </c>
      <c r="D619" t="s">
        <v>26</v>
      </c>
      <c r="E619" s="7">
        <v>45625</v>
      </c>
      <c r="F619" t="s">
        <v>444</v>
      </c>
      <c r="G619">
        <v>0</v>
      </c>
      <c r="H619" t="s">
        <v>27</v>
      </c>
      <c r="I619" t="s">
        <v>16</v>
      </c>
      <c r="J619" t="s">
        <v>16</v>
      </c>
      <c r="K619" t="str">
        <f>VLOOKUP(C619,CheckName!A:B,2,0)</f>
        <v>Edu</v>
      </c>
      <c r="M619">
        <f>DAY(RejectionData[[#This Row],[RejectionDate]])</f>
        <v>29</v>
      </c>
    </row>
    <row r="620" spans="1:13">
      <c r="A620" t="s">
        <v>362</v>
      </c>
      <c r="B620" t="s">
        <v>907</v>
      </c>
      <c r="C620" t="s">
        <v>25</v>
      </c>
      <c r="D620" t="s">
        <v>26</v>
      </c>
      <c r="E620" s="7">
        <v>45625</v>
      </c>
      <c r="F620" t="s">
        <v>66</v>
      </c>
      <c r="G620">
        <v>0</v>
      </c>
      <c r="H620" t="s">
        <v>22</v>
      </c>
      <c r="I620" t="s">
        <v>16</v>
      </c>
      <c r="J620" t="s">
        <v>16</v>
      </c>
      <c r="K620" t="str">
        <f>VLOOKUP(C620,CheckName!A:B,2,0)</f>
        <v>Add</v>
      </c>
      <c r="M620">
        <f>DAY(RejectionData[[#This Row],[RejectionDate]])</f>
        <v>29</v>
      </c>
    </row>
    <row r="621" spans="1:13">
      <c r="A621" t="s">
        <v>362</v>
      </c>
      <c r="B621" t="s">
        <v>908</v>
      </c>
      <c r="C621" t="s">
        <v>25</v>
      </c>
      <c r="D621" t="s">
        <v>26</v>
      </c>
      <c r="E621" s="7">
        <v>45625</v>
      </c>
      <c r="F621" t="s">
        <v>66</v>
      </c>
      <c r="G621">
        <v>0</v>
      </c>
      <c r="H621" t="s">
        <v>95</v>
      </c>
      <c r="I621" t="s">
        <v>16</v>
      </c>
      <c r="J621" t="s">
        <v>16</v>
      </c>
      <c r="K621" t="str">
        <f>VLOOKUP(C621,CheckName!A:B,2,0)</f>
        <v>Add</v>
      </c>
      <c r="M621">
        <f>DAY(RejectionData[[#This Row],[RejectionDate]])</f>
        <v>29</v>
      </c>
    </row>
    <row r="622" spans="1:13">
      <c r="A622" t="s">
        <v>362</v>
      </c>
      <c r="B622" t="s">
        <v>909</v>
      </c>
      <c r="C622" t="s">
        <v>25</v>
      </c>
      <c r="D622" t="s">
        <v>26</v>
      </c>
      <c r="E622" s="7">
        <v>45625</v>
      </c>
      <c r="F622" t="s">
        <v>66</v>
      </c>
      <c r="G622">
        <v>0</v>
      </c>
      <c r="H622" t="s">
        <v>95</v>
      </c>
      <c r="I622" t="s">
        <v>16</v>
      </c>
      <c r="J622" t="s">
        <v>16</v>
      </c>
      <c r="K622" t="str">
        <f>VLOOKUP(C622,CheckName!A:B,2,0)</f>
        <v>Add</v>
      </c>
      <c r="M622">
        <f>DAY(RejectionData[[#This Row],[RejectionDate]])</f>
        <v>29</v>
      </c>
    </row>
    <row r="623" spans="1:13">
      <c r="A623" t="s">
        <v>362</v>
      </c>
      <c r="B623" t="s">
        <v>910</v>
      </c>
      <c r="C623" t="s">
        <v>25</v>
      </c>
      <c r="D623" t="s">
        <v>26</v>
      </c>
      <c r="E623" s="7">
        <v>45625</v>
      </c>
      <c r="F623" t="s">
        <v>66</v>
      </c>
      <c r="G623">
        <v>0</v>
      </c>
      <c r="H623" t="s">
        <v>95</v>
      </c>
      <c r="I623" t="s">
        <v>16</v>
      </c>
      <c r="J623" t="s">
        <v>16</v>
      </c>
      <c r="K623" t="str">
        <f>VLOOKUP(C623,CheckName!A:B,2,0)</f>
        <v>Add</v>
      </c>
      <c r="M623">
        <f>DAY(RejectionData[[#This Row],[RejectionDate]])</f>
        <v>29</v>
      </c>
    </row>
    <row r="624" spans="1:13">
      <c r="A624" t="s">
        <v>119</v>
      </c>
      <c r="B624" t="s">
        <v>911</v>
      </c>
      <c r="C624" t="s">
        <v>36</v>
      </c>
      <c r="D624" t="s">
        <v>51</v>
      </c>
      <c r="E624" s="7">
        <v>45625</v>
      </c>
      <c r="F624" t="s">
        <v>194</v>
      </c>
      <c r="G624">
        <v>0</v>
      </c>
      <c r="H624" t="s">
        <v>53</v>
      </c>
      <c r="I624" t="s">
        <v>16</v>
      </c>
      <c r="J624" t="s">
        <v>16</v>
      </c>
      <c r="K624" t="str">
        <f>VLOOKUP(C624,CheckName!A:B,2,0)</f>
        <v>Emp</v>
      </c>
      <c r="M624">
        <f>DAY(RejectionData[[#This Row],[RejectionDate]])</f>
        <v>29</v>
      </c>
    </row>
    <row r="625" spans="1:13">
      <c r="A625" t="s">
        <v>119</v>
      </c>
      <c r="B625" t="s">
        <v>911</v>
      </c>
      <c r="C625" t="s">
        <v>125</v>
      </c>
      <c r="D625" t="s">
        <v>51</v>
      </c>
      <c r="E625" s="7">
        <v>45625</v>
      </c>
      <c r="F625" t="s">
        <v>194</v>
      </c>
      <c r="G625">
        <v>0</v>
      </c>
      <c r="H625" t="s">
        <v>53</v>
      </c>
      <c r="I625" t="s">
        <v>16</v>
      </c>
      <c r="J625" t="s">
        <v>16</v>
      </c>
      <c r="K625" t="str">
        <f>VLOOKUP(C625,CheckName!A:B,2,0)</f>
        <v>Emp</v>
      </c>
      <c r="M625">
        <f>DAY(RejectionData[[#This Row],[RejectionDate]])</f>
        <v>29</v>
      </c>
    </row>
    <row r="626" spans="1:13">
      <c r="A626" t="s">
        <v>912</v>
      </c>
      <c r="B626" t="s">
        <v>913</v>
      </c>
      <c r="C626" t="s">
        <v>54</v>
      </c>
      <c r="D626" t="s">
        <v>51</v>
      </c>
      <c r="E626" s="7">
        <v>45625</v>
      </c>
      <c r="F626" t="s">
        <v>194</v>
      </c>
      <c r="G626">
        <v>0</v>
      </c>
      <c r="H626" t="s">
        <v>53</v>
      </c>
      <c r="I626" t="s">
        <v>16</v>
      </c>
      <c r="J626" t="s">
        <v>16</v>
      </c>
      <c r="K626" t="str">
        <f>VLOOKUP(C626,CheckName!A:B,2,0)</f>
        <v>Edu</v>
      </c>
      <c r="M626">
        <f>DAY(RejectionData[[#This Row],[RejectionDate]])</f>
        <v>29</v>
      </c>
    </row>
    <row r="627" spans="1:13">
      <c r="A627" t="s">
        <v>912</v>
      </c>
      <c r="B627" t="s">
        <v>914</v>
      </c>
      <c r="C627" t="s">
        <v>36</v>
      </c>
      <c r="D627" t="s">
        <v>51</v>
      </c>
      <c r="E627" s="7">
        <v>45625</v>
      </c>
      <c r="F627" t="s">
        <v>194</v>
      </c>
      <c r="G627">
        <v>0</v>
      </c>
      <c r="H627" t="s">
        <v>53</v>
      </c>
      <c r="I627" t="s">
        <v>16</v>
      </c>
      <c r="J627" t="s">
        <v>16</v>
      </c>
      <c r="K627" t="str">
        <f>VLOOKUP(C627,CheckName!A:B,2,0)</f>
        <v>Emp</v>
      </c>
      <c r="M627">
        <f>DAY(RejectionData[[#This Row],[RejectionDate]])</f>
        <v>29</v>
      </c>
    </row>
    <row r="628" spans="1:13">
      <c r="A628" t="s">
        <v>912</v>
      </c>
      <c r="B628" t="s">
        <v>914</v>
      </c>
      <c r="C628" t="s">
        <v>125</v>
      </c>
      <c r="D628" t="s">
        <v>51</v>
      </c>
      <c r="E628" s="7">
        <v>45625</v>
      </c>
      <c r="F628" t="s">
        <v>194</v>
      </c>
      <c r="G628">
        <v>0</v>
      </c>
      <c r="H628" t="s">
        <v>53</v>
      </c>
      <c r="I628" t="s">
        <v>16</v>
      </c>
      <c r="J628" t="s">
        <v>16</v>
      </c>
      <c r="K628" t="str">
        <f>VLOOKUP(C628,CheckName!A:B,2,0)</f>
        <v>Emp</v>
      </c>
      <c r="M628">
        <f>DAY(RejectionData[[#This Row],[RejectionDate]])</f>
        <v>29</v>
      </c>
    </row>
    <row r="629" spans="1:13">
      <c r="A629" t="s">
        <v>40</v>
      </c>
      <c r="B629" t="s">
        <v>915</v>
      </c>
      <c r="C629" t="s">
        <v>59</v>
      </c>
      <c r="D629" t="s">
        <v>51</v>
      </c>
      <c r="E629" s="7">
        <v>45625</v>
      </c>
      <c r="F629" t="s">
        <v>194</v>
      </c>
      <c r="G629">
        <v>0</v>
      </c>
      <c r="H629" t="s">
        <v>53</v>
      </c>
      <c r="I629" t="s">
        <v>16</v>
      </c>
      <c r="J629" t="s">
        <v>16</v>
      </c>
      <c r="K629" t="str">
        <f>VLOOKUP(C629,CheckName!A:B,2,0)</f>
        <v>Special Check</v>
      </c>
      <c r="M629">
        <f>DAY(RejectionData[[#This Row],[RejectionDate]])</f>
        <v>29</v>
      </c>
    </row>
    <row r="630" spans="1:13">
      <c r="A630" t="s">
        <v>100</v>
      </c>
      <c r="B630" t="s">
        <v>916</v>
      </c>
      <c r="C630" t="s">
        <v>359</v>
      </c>
      <c r="D630" t="s">
        <v>26</v>
      </c>
      <c r="E630" s="7">
        <v>45625</v>
      </c>
      <c r="F630" t="s">
        <v>380</v>
      </c>
      <c r="G630">
        <v>0</v>
      </c>
      <c r="H630" t="s">
        <v>22</v>
      </c>
      <c r="I630" t="s">
        <v>16</v>
      </c>
      <c r="J630" t="s">
        <v>16</v>
      </c>
      <c r="K630" t="str">
        <f>VLOOKUP(C630,CheckName!A:B,2,0)</f>
        <v>Emp</v>
      </c>
      <c r="M630">
        <f>DAY(RejectionData[[#This Row],[RejectionDate]])</f>
        <v>29</v>
      </c>
    </row>
    <row r="631" spans="1:13">
      <c r="A631" t="s">
        <v>100</v>
      </c>
      <c r="B631" t="s">
        <v>917</v>
      </c>
      <c r="C631" t="s">
        <v>775</v>
      </c>
      <c r="D631" t="s">
        <v>26</v>
      </c>
      <c r="E631" s="7">
        <v>45625</v>
      </c>
      <c r="F631" t="s">
        <v>380</v>
      </c>
      <c r="G631">
        <v>0</v>
      </c>
      <c r="H631" t="s">
        <v>27</v>
      </c>
      <c r="I631" t="s">
        <v>16</v>
      </c>
      <c r="J631" t="s">
        <v>16</v>
      </c>
      <c r="K631" t="str">
        <f>VLOOKUP(C631,CheckName!A:B,2,0)</f>
        <v>Emp</v>
      </c>
      <c r="M631">
        <f>DAY(RejectionData[[#This Row],[RejectionDate]])</f>
        <v>29</v>
      </c>
    </row>
    <row r="632" spans="1:13">
      <c r="A632" t="s">
        <v>160</v>
      </c>
      <c r="B632" t="s">
        <v>918</v>
      </c>
      <c r="C632" t="s">
        <v>36</v>
      </c>
      <c r="D632" t="s">
        <v>26</v>
      </c>
      <c r="E632" s="7">
        <v>45625</v>
      </c>
      <c r="F632" t="s">
        <v>83</v>
      </c>
      <c r="G632">
        <v>0</v>
      </c>
      <c r="H632" t="s">
        <v>27</v>
      </c>
      <c r="I632" t="s">
        <v>16</v>
      </c>
      <c r="J632" t="s">
        <v>16</v>
      </c>
      <c r="K632" t="str">
        <f>VLOOKUP(C632,CheckName!A:B,2,0)</f>
        <v>Emp</v>
      </c>
      <c r="M632">
        <f>DAY(RejectionData[[#This Row],[RejectionDate]])</f>
        <v>29</v>
      </c>
    </row>
    <row r="633" spans="1:13">
      <c r="A633" t="s">
        <v>160</v>
      </c>
      <c r="B633" t="s">
        <v>919</v>
      </c>
      <c r="C633" t="s">
        <v>36</v>
      </c>
      <c r="D633" t="s">
        <v>26</v>
      </c>
      <c r="E633" s="7">
        <v>45625</v>
      </c>
      <c r="F633" t="s">
        <v>355</v>
      </c>
      <c r="G633">
        <v>0</v>
      </c>
      <c r="H633" t="s">
        <v>27</v>
      </c>
      <c r="I633" t="s">
        <v>16</v>
      </c>
      <c r="J633" t="s">
        <v>16</v>
      </c>
      <c r="K633" t="str">
        <f>VLOOKUP(C633,CheckName!A:B,2,0)</f>
        <v>Emp</v>
      </c>
      <c r="M633">
        <f>DAY(RejectionData[[#This Row],[RejectionDate]])</f>
        <v>29</v>
      </c>
    </row>
    <row r="634" spans="1:13">
      <c r="A634" t="s">
        <v>160</v>
      </c>
      <c r="B634" t="s">
        <v>920</v>
      </c>
      <c r="C634" t="s">
        <v>125</v>
      </c>
      <c r="D634" t="s">
        <v>26</v>
      </c>
      <c r="E634" s="7">
        <v>45625</v>
      </c>
      <c r="F634" t="s">
        <v>355</v>
      </c>
      <c r="G634">
        <v>0</v>
      </c>
      <c r="H634" t="s">
        <v>27</v>
      </c>
      <c r="I634" t="s">
        <v>16</v>
      </c>
      <c r="J634" t="s">
        <v>16</v>
      </c>
      <c r="K634" t="str">
        <f>VLOOKUP(C634,CheckName!A:B,2,0)</f>
        <v>Emp</v>
      </c>
      <c r="M634">
        <f>DAY(RejectionData[[#This Row],[RejectionDate]])</f>
        <v>29</v>
      </c>
    </row>
    <row r="635" spans="1:13">
      <c r="A635" t="s">
        <v>461</v>
      </c>
      <c r="B635" t="s">
        <v>921</v>
      </c>
      <c r="C635" t="s">
        <v>54</v>
      </c>
      <c r="D635" t="s">
        <v>26</v>
      </c>
      <c r="E635" s="7">
        <v>45625</v>
      </c>
      <c r="F635" t="s">
        <v>94</v>
      </c>
      <c r="G635">
        <v>0</v>
      </c>
      <c r="H635" t="s">
        <v>22</v>
      </c>
      <c r="I635" t="s">
        <v>16</v>
      </c>
      <c r="J635" t="s">
        <v>16</v>
      </c>
      <c r="K635" t="str">
        <f>VLOOKUP(C635,CheckName!A:B,2,0)</f>
        <v>Edu</v>
      </c>
      <c r="M635">
        <f>DAY(RejectionData[[#This Row],[RejectionDate]])</f>
        <v>29</v>
      </c>
    </row>
    <row r="636" spans="1:13">
      <c r="A636" t="s">
        <v>288</v>
      </c>
      <c r="B636" t="s">
        <v>922</v>
      </c>
      <c r="C636" t="s">
        <v>54</v>
      </c>
      <c r="D636" t="s">
        <v>26</v>
      </c>
      <c r="E636" s="7">
        <v>45625</v>
      </c>
      <c r="F636" t="s">
        <v>103</v>
      </c>
      <c r="G636">
        <v>0</v>
      </c>
      <c r="H636" t="s">
        <v>22</v>
      </c>
      <c r="I636" t="s">
        <v>16</v>
      </c>
      <c r="J636" t="s">
        <v>16</v>
      </c>
      <c r="K636" t="str">
        <f>VLOOKUP(C636,CheckName!A:B,2,0)</f>
        <v>Edu</v>
      </c>
      <c r="M636">
        <f>DAY(RejectionData[[#This Row],[RejectionDate]])</f>
        <v>29</v>
      </c>
    </row>
    <row r="637" spans="1:13">
      <c r="A637" t="s">
        <v>517</v>
      </c>
      <c r="B637" t="s">
        <v>923</v>
      </c>
      <c r="C637" t="s">
        <v>93</v>
      </c>
      <c r="D637" t="s">
        <v>13</v>
      </c>
      <c r="E637" s="7">
        <v>45625</v>
      </c>
      <c r="F637" t="s">
        <v>819</v>
      </c>
      <c r="G637">
        <v>0</v>
      </c>
      <c r="H637" t="s">
        <v>15</v>
      </c>
      <c r="I637" t="s">
        <v>16</v>
      </c>
      <c r="J637" t="s">
        <v>16</v>
      </c>
      <c r="K637" t="str">
        <f>VLOOKUP(C637,CheckName!A:B,2,0)</f>
        <v>Edu</v>
      </c>
      <c r="M637">
        <f>DAY(RejectionData[[#This Row],[RejectionDate]])</f>
        <v>29</v>
      </c>
    </row>
    <row r="638" spans="1:13">
      <c r="A638" t="s">
        <v>510</v>
      </c>
      <c r="B638" t="s">
        <v>924</v>
      </c>
      <c r="C638" t="s">
        <v>54</v>
      </c>
      <c r="D638" t="s">
        <v>13</v>
      </c>
      <c r="E638" s="7">
        <v>45625</v>
      </c>
      <c r="F638" t="s">
        <v>540</v>
      </c>
      <c r="G638">
        <v>0</v>
      </c>
      <c r="H638" t="s">
        <v>15</v>
      </c>
      <c r="I638" t="s">
        <v>16</v>
      </c>
      <c r="J638" t="s">
        <v>16</v>
      </c>
      <c r="K638" t="str">
        <f>VLOOKUP(C638,CheckName!A:B,2,0)</f>
        <v>Edu</v>
      </c>
      <c r="M638">
        <f>DAY(RejectionData[[#This Row],[RejectionDate]])</f>
        <v>29</v>
      </c>
    </row>
    <row r="639" spans="1:13">
      <c r="A639" t="s">
        <v>45</v>
      </c>
      <c r="B639" t="s">
        <v>925</v>
      </c>
      <c r="C639" t="s">
        <v>36</v>
      </c>
      <c r="D639" t="s">
        <v>26</v>
      </c>
      <c r="E639" s="7">
        <v>45625</v>
      </c>
      <c r="F639" t="s">
        <v>926</v>
      </c>
      <c r="G639">
        <v>0</v>
      </c>
      <c r="H639" t="s">
        <v>27</v>
      </c>
      <c r="I639" t="s">
        <v>16</v>
      </c>
      <c r="J639" t="s">
        <v>16</v>
      </c>
      <c r="K639" t="str">
        <f>VLOOKUP(C639,CheckName!A:B,2,0)</f>
        <v>Emp</v>
      </c>
      <c r="M639">
        <f>DAY(RejectionData[[#This Row],[RejectionDate]])</f>
        <v>29</v>
      </c>
    </row>
    <row r="640" spans="1:13">
      <c r="A640" t="s">
        <v>40</v>
      </c>
      <c r="B640" t="s">
        <v>927</v>
      </c>
      <c r="C640" t="s">
        <v>12</v>
      </c>
      <c r="D640" t="s">
        <v>26</v>
      </c>
      <c r="E640" s="7">
        <v>45625</v>
      </c>
      <c r="F640" t="s">
        <v>148</v>
      </c>
      <c r="G640">
        <v>0</v>
      </c>
      <c r="H640" t="s">
        <v>27</v>
      </c>
      <c r="I640" t="s">
        <v>16</v>
      </c>
      <c r="J640" t="s">
        <v>16</v>
      </c>
      <c r="K640" t="str">
        <f>VLOOKUP(C640,CheckName!A:B,2,0)</f>
        <v>Emp</v>
      </c>
      <c r="M640">
        <f>DAY(RejectionData[[#This Row],[RejectionDate]])</f>
        <v>29</v>
      </c>
    </row>
    <row r="641" spans="1:13">
      <c r="A641" t="s">
        <v>100</v>
      </c>
      <c r="B641" t="s">
        <v>928</v>
      </c>
      <c r="C641" t="s">
        <v>929</v>
      </c>
      <c r="D641" t="s">
        <v>38</v>
      </c>
      <c r="E641" s="7">
        <v>45625</v>
      </c>
      <c r="F641" t="s">
        <v>118</v>
      </c>
      <c r="G641">
        <v>0</v>
      </c>
      <c r="H641" t="s">
        <v>27</v>
      </c>
      <c r="I641" t="s">
        <v>16</v>
      </c>
      <c r="J641" t="s">
        <v>16</v>
      </c>
      <c r="K641" t="str">
        <f>VLOOKUP(C641,CheckName!A:B,2,0)</f>
        <v>Investigation</v>
      </c>
      <c r="M641">
        <f>DAY(RejectionData[[#This Row],[RejectionDate]])</f>
        <v>29</v>
      </c>
    </row>
    <row r="642" spans="1:13">
      <c r="A642" t="s">
        <v>312</v>
      </c>
      <c r="B642" t="s">
        <v>931</v>
      </c>
      <c r="C642" t="s">
        <v>25</v>
      </c>
      <c r="D642" t="s">
        <v>20</v>
      </c>
      <c r="E642" s="7">
        <v>45625</v>
      </c>
      <c r="F642" t="s">
        <v>129</v>
      </c>
      <c r="G642">
        <v>0</v>
      </c>
      <c r="H642" t="s">
        <v>22</v>
      </c>
      <c r="I642" t="s">
        <v>16</v>
      </c>
      <c r="J642" t="s">
        <v>16</v>
      </c>
      <c r="K642" t="str">
        <f>VLOOKUP(C642,CheckName!A:B,2,0)</f>
        <v>Add</v>
      </c>
      <c r="M642">
        <f>DAY(RejectionData[[#This Row],[RejectionDate]])</f>
        <v>29</v>
      </c>
    </row>
    <row r="643" spans="1:13">
      <c r="A643" t="s">
        <v>306</v>
      </c>
      <c r="B643" t="s">
        <v>932</v>
      </c>
      <c r="C643" t="s">
        <v>54</v>
      </c>
      <c r="D643" t="s">
        <v>26</v>
      </c>
      <c r="E643" s="7">
        <v>45625</v>
      </c>
      <c r="F643" t="s">
        <v>309</v>
      </c>
      <c r="G643">
        <v>0</v>
      </c>
      <c r="H643" t="s">
        <v>27</v>
      </c>
      <c r="I643" t="s">
        <v>16</v>
      </c>
      <c r="J643" t="s">
        <v>16</v>
      </c>
      <c r="K643" t="str">
        <f>VLOOKUP(C643,CheckName!A:B,2,0)</f>
        <v>Edu</v>
      </c>
      <c r="M643">
        <f>DAY(RejectionData[[#This Row],[RejectionDate]])</f>
        <v>29</v>
      </c>
    </row>
    <row r="644" spans="1:13">
      <c r="A644" t="s">
        <v>200</v>
      </c>
      <c r="B644" t="s">
        <v>933</v>
      </c>
      <c r="C644" t="s">
        <v>25</v>
      </c>
      <c r="D644" t="s">
        <v>20</v>
      </c>
      <c r="E644" s="7">
        <v>45625</v>
      </c>
      <c r="F644" t="s">
        <v>129</v>
      </c>
      <c r="G644">
        <v>0</v>
      </c>
      <c r="H644" t="s">
        <v>22</v>
      </c>
      <c r="I644" t="s">
        <v>16</v>
      </c>
      <c r="J644" t="s">
        <v>16</v>
      </c>
      <c r="K644" t="str">
        <f>VLOOKUP(C644,CheckName!A:B,2,0)</f>
        <v>Add</v>
      </c>
      <c r="M644">
        <f>DAY(RejectionData[[#This Row],[RejectionDate]])</f>
        <v>29</v>
      </c>
    </row>
    <row r="645" spans="1:13">
      <c r="A645" t="s">
        <v>934</v>
      </c>
      <c r="B645" t="s">
        <v>935</v>
      </c>
      <c r="C645" t="s">
        <v>19</v>
      </c>
      <c r="D645" t="s">
        <v>20</v>
      </c>
      <c r="E645" s="7">
        <v>45625</v>
      </c>
      <c r="F645" t="s">
        <v>129</v>
      </c>
      <c r="G645">
        <v>0</v>
      </c>
      <c r="H645" t="s">
        <v>22</v>
      </c>
      <c r="I645" t="s">
        <v>16</v>
      </c>
      <c r="J645" t="s">
        <v>16</v>
      </c>
      <c r="K645" t="str">
        <f>VLOOKUP(C645,CheckName!A:B,2,0)</f>
        <v>Add</v>
      </c>
      <c r="M645">
        <f>DAY(RejectionData[[#This Row],[RejectionDate]])</f>
        <v>29</v>
      </c>
    </row>
    <row r="646" spans="1:13">
      <c r="A646" t="s">
        <v>160</v>
      </c>
      <c r="B646" t="s">
        <v>936</v>
      </c>
      <c r="C646" t="s">
        <v>125</v>
      </c>
      <c r="D646" t="s">
        <v>26</v>
      </c>
      <c r="E646" s="7">
        <v>45625</v>
      </c>
      <c r="F646" t="s">
        <v>126</v>
      </c>
      <c r="G646">
        <v>0</v>
      </c>
      <c r="H646" t="s">
        <v>27</v>
      </c>
      <c r="I646" t="s">
        <v>16</v>
      </c>
      <c r="J646" t="s">
        <v>16</v>
      </c>
      <c r="K646" t="str">
        <f>VLOOKUP(C646,CheckName!A:B,2,0)</f>
        <v>Emp</v>
      </c>
      <c r="M646">
        <f>DAY(RejectionData[[#This Row],[RejectionDate]])</f>
        <v>29</v>
      </c>
    </row>
    <row r="647" spans="1:13">
      <c r="A647" t="s">
        <v>45</v>
      </c>
      <c r="B647" t="s">
        <v>937</v>
      </c>
      <c r="C647" t="s">
        <v>125</v>
      </c>
      <c r="D647" t="s">
        <v>13</v>
      </c>
      <c r="E647" s="7">
        <v>45624</v>
      </c>
      <c r="F647" t="s">
        <v>819</v>
      </c>
      <c r="G647">
        <v>1</v>
      </c>
      <c r="H647" t="s">
        <v>15</v>
      </c>
      <c r="I647" t="s">
        <v>16</v>
      </c>
      <c r="J647" t="s">
        <v>16</v>
      </c>
      <c r="K647" t="str">
        <f>VLOOKUP(C647,CheckName!A:B,2,0)</f>
        <v>Emp</v>
      </c>
      <c r="M647">
        <f>DAY(RejectionData[[#This Row],[RejectionDate]])</f>
        <v>28</v>
      </c>
    </row>
    <row r="648" spans="1:13">
      <c r="A648" t="s">
        <v>180</v>
      </c>
      <c r="B648" t="s">
        <v>938</v>
      </c>
      <c r="C648" t="s">
        <v>12</v>
      </c>
      <c r="D648" t="s">
        <v>26</v>
      </c>
      <c r="E648" s="7">
        <v>45624</v>
      </c>
      <c r="F648" t="s">
        <v>182</v>
      </c>
      <c r="G648">
        <v>1</v>
      </c>
      <c r="H648" t="s">
        <v>27</v>
      </c>
      <c r="I648" t="s">
        <v>16</v>
      </c>
      <c r="J648" t="s">
        <v>16</v>
      </c>
      <c r="K648" t="str">
        <f>VLOOKUP(C648,CheckName!A:B,2,0)</f>
        <v>Emp</v>
      </c>
      <c r="M648">
        <f>DAY(RejectionData[[#This Row],[RejectionDate]])</f>
        <v>28</v>
      </c>
    </row>
    <row r="649" spans="1:13">
      <c r="A649" t="s">
        <v>465</v>
      </c>
      <c r="B649" t="s">
        <v>939</v>
      </c>
      <c r="C649" t="s">
        <v>12</v>
      </c>
      <c r="D649" t="s">
        <v>38</v>
      </c>
      <c r="E649" s="7">
        <v>45624</v>
      </c>
      <c r="F649" t="s">
        <v>39</v>
      </c>
      <c r="G649">
        <v>1</v>
      </c>
      <c r="H649" t="s">
        <v>42</v>
      </c>
      <c r="I649" t="s">
        <v>16</v>
      </c>
      <c r="J649" t="s">
        <v>16</v>
      </c>
      <c r="K649" t="str">
        <f>VLOOKUP(C649,CheckName!A:B,2,0)</f>
        <v>Emp</v>
      </c>
      <c r="M649">
        <f>DAY(RejectionData[[#This Row],[RejectionDate]])</f>
        <v>28</v>
      </c>
    </row>
    <row r="650" spans="1:13">
      <c r="A650" t="s">
        <v>91</v>
      </c>
      <c r="B650" t="s">
        <v>940</v>
      </c>
      <c r="C650" t="s">
        <v>93</v>
      </c>
      <c r="D650" t="s">
        <v>26</v>
      </c>
      <c r="E650" s="7">
        <v>45623</v>
      </c>
      <c r="F650" t="s">
        <v>458</v>
      </c>
      <c r="G650">
        <v>2</v>
      </c>
      <c r="H650" t="s">
        <v>22</v>
      </c>
      <c r="I650" t="s">
        <v>16</v>
      </c>
      <c r="J650" t="s">
        <v>16</v>
      </c>
      <c r="K650" t="str">
        <f>VLOOKUP(C650,CheckName!A:B,2,0)</f>
        <v>Edu</v>
      </c>
      <c r="M650">
        <f>DAY(RejectionData[[#This Row],[RejectionDate]])</f>
        <v>27</v>
      </c>
    </row>
    <row r="651" spans="1:13">
      <c r="A651" t="s">
        <v>40</v>
      </c>
      <c r="B651" t="s">
        <v>941</v>
      </c>
      <c r="C651" t="s">
        <v>12</v>
      </c>
      <c r="D651" t="s">
        <v>26</v>
      </c>
      <c r="E651" s="7">
        <v>45622</v>
      </c>
      <c r="F651" t="s">
        <v>115</v>
      </c>
      <c r="G651">
        <v>3</v>
      </c>
      <c r="H651" t="s">
        <v>27</v>
      </c>
      <c r="I651" t="s">
        <v>16</v>
      </c>
      <c r="J651" t="s">
        <v>16</v>
      </c>
      <c r="K651" t="str">
        <f>VLOOKUP(C651,CheckName!A:B,2,0)</f>
        <v>Emp</v>
      </c>
      <c r="M651">
        <f>DAY(RejectionData[[#This Row],[RejectionDate]])</f>
        <v>26</v>
      </c>
    </row>
    <row r="652" spans="1:13">
      <c r="A652" t="s">
        <v>40</v>
      </c>
      <c r="B652" t="s">
        <v>942</v>
      </c>
      <c r="C652" t="s">
        <v>12</v>
      </c>
      <c r="D652" t="s">
        <v>26</v>
      </c>
      <c r="E652" s="7">
        <v>45622</v>
      </c>
      <c r="F652" t="s">
        <v>148</v>
      </c>
      <c r="G652">
        <v>3</v>
      </c>
      <c r="H652" t="s">
        <v>27</v>
      </c>
      <c r="I652" t="s">
        <v>16</v>
      </c>
      <c r="J652" t="s">
        <v>16</v>
      </c>
      <c r="K652" t="str">
        <f>VLOOKUP(C652,CheckName!A:B,2,0)</f>
        <v>Emp</v>
      </c>
      <c r="M652">
        <f>DAY(RejectionData[[#This Row],[RejectionDate]])</f>
        <v>26</v>
      </c>
    </row>
    <row r="653" spans="1:13">
      <c r="A653" t="s">
        <v>60</v>
      </c>
      <c r="B653" t="s">
        <v>943</v>
      </c>
      <c r="C653" t="s">
        <v>12</v>
      </c>
      <c r="D653" t="s">
        <v>26</v>
      </c>
      <c r="E653" s="7">
        <v>45625</v>
      </c>
      <c r="F653" t="s">
        <v>325</v>
      </c>
      <c r="G653">
        <v>0</v>
      </c>
      <c r="H653" t="s">
        <v>27</v>
      </c>
      <c r="I653" t="s">
        <v>16</v>
      </c>
      <c r="J653" t="s">
        <v>16</v>
      </c>
      <c r="K653" t="str">
        <f>VLOOKUP(C653,CheckName!A:B,2,0)</f>
        <v>Emp</v>
      </c>
      <c r="M653">
        <f>DAY(RejectionData[[#This Row],[RejectionDate]])</f>
        <v>29</v>
      </c>
    </row>
    <row r="654" spans="1:13">
      <c r="A654" t="s">
        <v>64</v>
      </c>
      <c r="B654" t="s">
        <v>944</v>
      </c>
      <c r="C654" t="s">
        <v>25</v>
      </c>
      <c r="D654" t="s">
        <v>26</v>
      </c>
      <c r="E654" s="7">
        <v>45625</v>
      </c>
      <c r="F654" t="s">
        <v>21</v>
      </c>
      <c r="G654">
        <v>0</v>
      </c>
      <c r="H654" t="s">
        <v>27</v>
      </c>
      <c r="I654" t="s">
        <v>16</v>
      </c>
      <c r="J654" t="s">
        <v>16</v>
      </c>
      <c r="K654" t="str">
        <f>VLOOKUP(C654,CheckName!A:B,2,0)</f>
        <v>Add</v>
      </c>
      <c r="M654">
        <f>DAY(RejectionData[[#This Row],[RejectionDate]])</f>
        <v>29</v>
      </c>
    </row>
    <row r="655" spans="1:13">
      <c r="A655" t="s">
        <v>945</v>
      </c>
      <c r="B655" t="s">
        <v>946</v>
      </c>
      <c r="C655" t="s">
        <v>25</v>
      </c>
      <c r="D655" t="s">
        <v>20</v>
      </c>
      <c r="E655" s="7">
        <v>45625</v>
      </c>
      <c r="F655" t="s">
        <v>21</v>
      </c>
      <c r="G655">
        <v>0</v>
      </c>
      <c r="H655" t="s">
        <v>22</v>
      </c>
      <c r="I655" t="s">
        <v>16</v>
      </c>
      <c r="J655" t="s">
        <v>16</v>
      </c>
      <c r="K655" t="str">
        <f>VLOOKUP(C655,CheckName!A:B,2,0)</f>
        <v>Add</v>
      </c>
      <c r="M655">
        <f>DAY(RejectionData[[#This Row],[RejectionDate]])</f>
        <v>29</v>
      </c>
    </row>
    <row r="656" spans="1:13">
      <c r="A656" t="s">
        <v>200</v>
      </c>
      <c r="B656" t="s">
        <v>947</v>
      </c>
      <c r="C656" t="s">
        <v>25</v>
      </c>
      <c r="D656" t="s">
        <v>26</v>
      </c>
      <c r="E656" s="7">
        <v>45625</v>
      </c>
      <c r="F656" t="s">
        <v>273</v>
      </c>
      <c r="G656">
        <v>0</v>
      </c>
      <c r="H656" t="s">
        <v>27</v>
      </c>
      <c r="I656" t="s">
        <v>16</v>
      </c>
      <c r="J656" t="s">
        <v>16</v>
      </c>
      <c r="K656" t="str">
        <f>VLOOKUP(C656,CheckName!A:B,2,0)</f>
        <v>Add</v>
      </c>
      <c r="M656">
        <f>DAY(RejectionData[[#This Row],[RejectionDate]])</f>
        <v>29</v>
      </c>
    </row>
    <row r="657" spans="1:13">
      <c r="A657" t="s">
        <v>288</v>
      </c>
      <c r="B657" t="s">
        <v>948</v>
      </c>
      <c r="C657" t="s">
        <v>112</v>
      </c>
      <c r="D657" t="s">
        <v>26</v>
      </c>
      <c r="E657" s="7">
        <v>45625</v>
      </c>
      <c r="F657" t="s">
        <v>37</v>
      </c>
      <c r="G657">
        <v>0</v>
      </c>
      <c r="H657" t="s">
        <v>27</v>
      </c>
      <c r="I657" t="s">
        <v>16</v>
      </c>
      <c r="J657" t="s">
        <v>16</v>
      </c>
      <c r="K657" t="str">
        <f>VLOOKUP(C657,CheckName!A:B,2,0)</f>
        <v>Emp</v>
      </c>
      <c r="M657">
        <f>DAY(RejectionData[[#This Row],[RejectionDate]])</f>
        <v>29</v>
      </c>
    </row>
    <row r="658" spans="1:13">
      <c r="A658" t="s">
        <v>419</v>
      </c>
      <c r="B658" t="s">
        <v>949</v>
      </c>
      <c r="C658" t="s">
        <v>106</v>
      </c>
      <c r="D658" t="s">
        <v>38</v>
      </c>
      <c r="E658" s="7">
        <v>45625</v>
      </c>
      <c r="F658" t="s">
        <v>39</v>
      </c>
      <c r="G658">
        <v>0</v>
      </c>
      <c r="H658" t="s">
        <v>42</v>
      </c>
      <c r="I658" t="s">
        <v>16</v>
      </c>
      <c r="J658" t="s">
        <v>16</v>
      </c>
      <c r="K658" t="str">
        <f>VLOOKUP(C658,CheckName!A:B,2,0)</f>
        <v>Ref</v>
      </c>
      <c r="M658">
        <f>DAY(RejectionData[[#This Row],[RejectionDate]])</f>
        <v>29</v>
      </c>
    </row>
    <row r="659" spans="1:13">
      <c r="A659" t="s">
        <v>45</v>
      </c>
      <c r="B659" t="s">
        <v>950</v>
      </c>
      <c r="C659" t="s">
        <v>36</v>
      </c>
      <c r="D659" t="s">
        <v>26</v>
      </c>
      <c r="E659" s="7">
        <v>45625</v>
      </c>
      <c r="F659" t="s">
        <v>224</v>
      </c>
      <c r="G659">
        <v>0</v>
      </c>
      <c r="H659" t="s">
        <v>22</v>
      </c>
      <c r="I659" t="s">
        <v>16</v>
      </c>
      <c r="J659" t="s">
        <v>16</v>
      </c>
      <c r="K659" t="str">
        <f>VLOOKUP(C659,CheckName!A:B,2,0)</f>
        <v>Emp</v>
      </c>
      <c r="M659">
        <f>DAY(RejectionData[[#This Row],[RejectionDate]])</f>
        <v>29</v>
      </c>
    </row>
    <row r="660" spans="1:13">
      <c r="A660" t="s">
        <v>45</v>
      </c>
      <c r="B660" t="s">
        <v>951</v>
      </c>
      <c r="C660" t="s">
        <v>36</v>
      </c>
      <c r="D660" t="s">
        <v>26</v>
      </c>
      <c r="E660" s="7">
        <v>45625</v>
      </c>
      <c r="F660" t="s">
        <v>224</v>
      </c>
      <c r="G660">
        <v>0</v>
      </c>
      <c r="H660" t="s">
        <v>22</v>
      </c>
      <c r="I660" t="s">
        <v>16</v>
      </c>
      <c r="J660" t="s">
        <v>16</v>
      </c>
      <c r="K660" t="str">
        <f>VLOOKUP(C660,CheckName!A:B,2,0)</f>
        <v>Emp</v>
      </c>
      <c r="M660">
        <f>DAY(RejectionData[[#This Row],[RejectionDate]])</f>
        <v>29</v>
      </c>
    </row>
    <row r="661" spans="1:13">
      <c r="A661" t="s">
        <v>45</v>
      </c>
      <c r="B661" t="s">
        <v>952</v>
      </c>
      <c r="C661" t="s">
        <v>12</v>
      </c>
      <c r="D661" t="s">
        <v>26</v>
      </c>
      <c r="E661" s="7">
        <v>45625</v>
      </c>
      <c r="F661" t="s">
        <v>222</v>
      </c>
      <c r="G661">
        <v>0</v>
      </c>
      <c r="H661" t="s">
        <v>27</v>
      </c>
      <c r="I661" t="s">
        <v>16</v>
      </c>
      <c r="J661" t="s">
        <v>16</v>
      </c>
      <c r="K661" t="str">
        <f>VLOOKUP(C661,CheckName!A:B,2,0)</f>
        <v>Emp</v>
      </c>
      <c r="M661">
        <f>DAY(RejectionData[[#This Row],[RejectionDate]])</f>
        <v>29</v>
      </c>
    </row>
    <row r="662" spans="1:13">
      <c r="A662" t="s">
        <v>45</v>
      </c>
      <c r="B662" t="s">
        <v>953</v>
      </c>
      <c r="C662" t="s">
        <v>12</v>
      </c>
      <c r="D662" t="s">
        <v>26</v>
      </c>
      <c r="E662" s="7">
        <v>45625</v>
      </c>
      <c r="F662" t="s">
        <v>222</v>
      </c>
      <c r="G662">
        <v>0</v>
      </c>
      <c r="H662" t="s">
        <v>27</v>
      </c>
      <c r="I662" t="s">
        <v>16</v>
      </c>
      <c r="J662" t="s">
        <v>16</v>
      </c>
      <c r="K662" t="str">
        <f>VLOOKUP(C662,CheckName!A:B,2,0)</f>
        <v>Emp</v>
      </c>
      <c r="M662">
        <f>DAY(RejectionData[[#This Row],[RejectionDate]])</f>
        <v>29</v>
      </c>
    </row>
    <row r="663" spans="1:13">
      <c r="A663" t="s">
        <v>84</v>
      </c>
      <c r="B663" t="s">
        <v>881</v>
      </c>
      <c r="C663" t="s">
        <v>36</v>
      </c>
      <c r="D663" t="s">
        <v>26</v>
      </c>
      <c r="E663" s="7">
        <v>45625</v>
      </c>
      <c r="F663" t="s">
        <v>222</v>
      </c>
      <c r="G663">
        <v>0</v>
      </c>
      <c r="H663" t="s">
        <v>27</v>
      </c>
      <c r="I663" t="s">
        <v>16</v>
      </c>
      <c r="J663" t="s">
        <v>16</v>
      </c>
      <c r="K663" t="str">
        <f>VLOOKUP(C663,CheckName!A:B,2,0)</f>
        <v>Emp</v>
      </c>
      <c r="M663">
        <f>DAY(RejectionData[[#This Row],[RejectionDate]])</f>
        <v>29</v>
      </c>
    </row>
    <row r="664" spans="1:13">
      <c r="A664" t="s">
        <v>84</v>
      </c>
      <c r="B664" t="s">
        <v>652</v>
      </c>
      <c r="C664" t="s">
        <v>125</v>
      </c>
      <c r="D664" t="s">
        <v>26</v>
      </c>
      <c r="E664" s="7">
        <v>45625</v>
      </c>
      <c r="F664" t="s">
        <v>222</v>
      </c>
      <c r="G664">
        <v>0</v>
      </c>
      <c r="H664" t="s">
        <v>22</v>
      </c>
      <c r="I664" t="s">
        <v>16</v>
      </c>
      <c r="J664" t="s">
        <v>16</v>
      </c>
      <c r="K664" t="str">
        <f>VLOOKUP(C664,CheckName!A:B,2,0)</f>
        <v>Emp</v>
      </c>
      <c r="M664">
        <f>DAY(RejectionData[[#This Row],[RejectionDate]])</f>
        <v>29</v>
      </c>
    </row>
    <row r="665" spans="1:13">
      <c r="A665" t="s">
        <v>360</v>
      </c>
      <c r="B665" t="s">
        <v>954</v>
      </c>
      <c r="C665" t="s">
        <v>12</v>
      </c>
      <c r="D665" t="s">
        <v>26</v>
      </c>
      <c r="E665" s="7">
        <v>45625</v>
      </c>
      <c r="F665" t="s">
        <v>222</v>
      </c>
      <c r="G665">
        <v>0</v>
      </c>
      <c r="H665" t="s">
        <v>27</v>
      </c>
      <c r="I665" t="s">
        <v>16</v>
      </c>
      <c r="J665" t="s">
        <v>16</v>
      </c>
      <c r="K665" t="str">
        <f>VLOOKUP(C665,CheckName!A:B,2,0)</f>
        <v>Emp</v>
      </c>
      <c r="M665">
        <f>DAY(RejectionData[[#This Row],[RejectionDate]])</f>
        <v>29</v>
      </c>
    </row>
    <row r="666" spans="1:13">
      <c r="A666" t="s">
        <v>362</v>
      </c>
      <c r="B666" t="s">
        <v>955</v>
      </c>
      <c r="C666" t="s">
        <v>25</v>
      </c>
      <c r="D666" t="s">
        <v>26</v>
      </c>
      <c r="E666" s="7">
        <v>45625</v>
      </c>
      <c r="F666" t="s">
        <v>66</v>
      </c>
      <c r="G666">
        <v>0</v>
      </c>
      <c r="H666" t="s">
        <v>95</v>
      </c>
      <c r="I666" t="s">
        <v>16</v>
      </c>
      <c r="J666" t="s">
        <v>16</v>
      </c>
      <c r="K666" t="str">
        <f>VLOOKUP(C666,CheckName!A:B,2,0)</f>
        <v>Add</v>
      </c>
      <c r="M666">
        <f>DAY(RejectionData[[#This Row],[RejectionDate]])</f>
        <v>29</v>
      </c>
    </row>
    <row r="667" spans="1:13">
      <c r="A667" t="s">
        <v>362</v>
      </c>
      <c r="B667" t="s">
        <v>956</v>
      </c>
      <c r="C667" t="s">
        <v>25</v>
      </c>
      <c r="D667" t="s">
        <v>26</v>
      </c>
      <c r="E667" s="7">
        <v>45625</v>
      </c>
      <c r="F667" t="s">
        <v>66</v>
      </c>
      <c r="G667">
        <v>0</v>
      </c>
      <c r="H667" t="s">
        <v>95</v>
      </c>
      <c r="I667" t="s">
        <v>16</v>
      </c>
      <c r="J667" t="s">
        <v>16</v>
      </c>
      <c r="K667" t="str">
        <f>VLOOKUP(C667,CheckName!A:B,2,0)</f>
        <v>Add</v>
      </c>
      <c r="M667">
        <f>DAY(RejectionData[[#This Row],[RejectionDate]])</f>
        <v>29</v>
      </c>
    </row>
    <row r="668" spans="1:13">
      <c r="A668" t="s">
        <v>362</v>
      </c>
      <c r="B668" t="s">
        <v>957</v>
      </c>
      <c r="C668" t="s">
        <v>25</v>
      </c>
      <c r="D668" t="s">
        <v>26</v>
      </c>
      <c r="E668" s="7">
        <v>45625</v>
      </c>
      <c r="F668" t="s">
        <v>66</v>
      </c>
      <c r="G668">
        <v>0</v>
      </c>
      <c r="H668" t="s">
        <v>30</v>
      </c>
      <c r="I668" t="s">
        <v>16</v>
      </c>
      <c r="J668" t="s">
        <v>16</v>
      </c>
      <c r="K668" t="str">
        <f>VLOOKUP(C668,CheckName!A:B,2,0)</f>
        <v>Add</v>
      </c>
      <c r="M668">
        <f>DAY(RejectionData[[#This Row],[RejectionDate]])</f>
        <v>29</v>
      </c>
    </row>
    <row r="669" spans="1:13">
      <c r="A669" t="s">
        <v>88</v>
      </c>
      <c r="B669" t="s">
        <v>958</v>
      </c>
      <c r="C669" t="s">
        <v>25</v>
      </c>
      <c r="D669" t="s">
        <v>26</v>
      </c>
      <c r="E669" s="7">
        <v>45625</v>
      </c>
      <c r="F669" t="s">
        <v>66</v>
      </c>
      <c r="G669">
        <v>0</v>
      </c>
      <c r="H669" t="s">
        <v>22</v>
      </c>
      <c r="I669" t="s">
        <v>16</v>
      </c>
      <c r="J669" t="s">
        <v>16</v>
      </c>
      <c r="K669" t="str">
        <f>VLOOKUP(C669,CheckName!A:B,2,0)</f>
        <v>Add</v>
      </c>
      <c r="M669">
        <f>DAY(RejectionData[[#This Row],[RejectionDate]])</f>
        <v>29</v>
      </c>
    </row>
    <row r="670" spans="1:13">
      <c r="A670" t="s">
        <v>281</v>
      </c>
      <c r="B670" t="s">
        <v>959</v>
      </c>
      <c r="C670" t="s">
        <v>54</v>
      </c>
      <c r="D670" t="s">
        <v>26</v>
      </c>
      <c r="E670" s="7">
        <v>45625</v>
      </c>
      <c r="F670" t="s">
        <v>63</v>
      </c>
      <c r="G670">
        <v>0</v>
      </c>
      <c r="H670" t="s">
        <v>22</v>
      </c>
      <c r="I670" t="s">
        <v>16</v>
      </c>
      <c r="J670" t="s">
        <v>16</v>
      </c>
      <c r="K670" t="str">
        <f>VLOOKUP(C670,CheckName!A:B,2,0)</f>
        <v>Edu</v>
      </c>
      <c r="M670">
        <f>DAY(RejectionData[[#This Row],[RejectionDate]])</f>
        <v>29</v>
      </c>
    </row>
    <row r="671" spans="1:13">
      <c r="A671" t="s">
        <v>131</v>
      </c>
      <c r="B671" t="s">
        <v>960</v>
      </c>
      <c r="C671" t="s">
        <v>19</v>
      </c>
      <c r="D671" t="s">
        <v>26</v>
      </c>
      <c r="E671" s="7">
        <v>45625</v>
      </c>
      <c r="F671" t="s">
        <v>66</v>
      </c>
      <c r="G671">
        <v>0</v>
      </c>
      <c r="H671" t="s">
        <v>27</v>
      </c>
      <c r="I671" t="s">
        <v>16</v>
      </c>
      <c r="J671" t="s">
        <v>16</v>
      </c>
      <c r="K671" t="str">
        <f>VLOOKUP(C671,CheckName!A:B,2,0)</f>
        <v>Add</v>
      </c>
      <c r="M671">
        <f>DAY(RejectionData[[#This Row],[RejectionDate]])</f>
        <v>29</v>
      </c>
    </row>
    <row r="672" spans="1:13">
      <c r="A672" t="s">
        <v>84</v>
      </c>
      <c r="B672" t="s">
        <v>961</v>
      </c>
      <c r="C672" t="s">
        <v>19</v>
      </c>
      <c r="D672" t="s">
        <v>26</v>
      </c>
      <c r="E672" s="7">
        <v>45625</v>
      </c>
      <c r="F672" t="s">
        <v>66</v>
      </c>
      <c r="G672">
        <v>0</v>
      </c>
      <c r="H672" t="s">
        <v>27</v>
      </c>
      <c r="I672" t="s">
        <v>16</v>
      </c>
      <c r="J672" t="s">
        <v>16</v>
      </c>
      <c r="K672" t="str">
        <f>VLOOKUP(C672,CheckName!A:B,2,0)</f>
        <v>Add</v>
      </c>
      <c r="M672">
        <f>DAY(RejectionData[[#This Row],[RejectionDate]])</f>
        <v>29</v>
      </c>
    </row>
    <row r="673" spans="1:13">
      <c r="A673" t="s">
        <v>84</v>
      </c>
      <c r="B673" t="s">
        <v>962</v>
      </c>
      <c r="C673" t="s">
        <v>19</v>
      </c>
      <c r="D673" t="s">
        <v>26</v>
      </c>
      <c r="E673" s="7">
        <v>45625</v>
      </c>
      <c r="F673" t="s">
        <v>66</v>
      </c>
      <c r="G673">
        <v>0</v>
      </c>
      <c r="H673" t="s">
        <v>27</v>
      </c>
      <c r="I673" t="s">
        <v>16</v>
      </c>
      <c r="J673" t="s">
        <v>16</v>
      </c>
      <c r="K673" t="str">
        <f>VLOOKUP(C673,CheckName!A:B,2,0)</f>
        <v>Add</v>
      </c>
      <c r="M673">
        <f>DAY(RejectionData[[#This Row],[RejectionDate]])</f>
        <v>29</v>
      </c>
    </row>
    <row r="674" spans="1:13">
      <c r="A674" t="s">
        <v>963</v>
      </c>
      <c r="B674" t="s">
        <v>964</v>
      </c>
      <c r="C674" t="s">
        <v>965</v>
      </c>
      <c r="D674" t="s">
        <v>20</v>
      </c>
      <c r="E674" s="7">
        <v>45625</v>
      </c>
      <c r="F674" t="s">
        <v>62</v>
      </c>
      <c r="G674">
        <v>0</v>
      </c>
      <c r="H674" t="s">
        <v>22</v>
      </c>
      <c r="I674" t="s">
        <v>16</v>
      </c>
      <c r="J674" t="s">
        <v>16</v>
      </c>
      <c r="K674" t="str">
        <f>VLOOKUP(C674,CheckName!A:B,2,0)</f>
        <v>Add</v>
      </c>
      <c r="M674">
        <f>DAY(RejectionData[[#This Row],[RejectionDate]])</f>
        <v>29</v>
      </c>
    </row>
    <row r="675" spans="1:13">
      <c r="A675" t="s">
        <v>64</v>
      </c>
      <c r="B675" t="s">
        <v>966</v>
      </c>
      <c r="C675" t="s">
        <v>19</v>
      </c>
      <c r="D675" t="s">
        <v>26</v>
      </c>
      <c r="E675" s="7">
        <v>45625</v>
      </c>
      <c r="F675" t="s">
        <v>62</v>
      </c>
      <c r="G675">
        <v>0</v>
      </c>
      <c r="H675" t="s">
        <v>27</v>
      </c>
      <c r="I675" t="s">
        <v>16</v>
      </c>
      <c r="J675" t="s">
        <v>16</v>
      </c>
      <c r="K675" t="str">
        <f>VLOOKUP(C675,CheckName!A:B,2,0)</f>
        <v>Add</v>
      </c>
      <c r="M675">
        <f>DAY(RejectionData[[#This Row],[RejectionDate]])</f>
        <v>29</v>
      </c>
    </row>
    <row r="676" spans="1:13">
      <c r="A676" t="s">
        <v>967</v>
      </c>
      <c r="B676" t="s">
        <v>968</v>
      </c>
      <c r="C676" t="s">
        <v>965</v>
      </c>
      <c r="D676" t="s">
        <v>20</v>
      </c>
      <c r="E676" s="7">
        <v>45625</v>
      </c>
      <c r="F676" t="s">
        <v>62</v>
      </c>
      <c r="G676">
        <v>0</v>
      </c>
      <c r="H676" t="s">
        <v>22</v>
      </c>
      <c r="I676" t="s">
        <v>16</v>
      </c>
      <c r="J676" t="s">
        <v>16</v>
      </c>
      <c r="K676" t="str">
        <f>VLOOKUP(C676,CheckName!A:B,2,0)</f>
        <v>Add</v>
      </c>
      <c r="M676">
        <f>DAY(RejectionData[[#This Row],[RejectionDate]])</f>
        <v>29</v>
      </c>
    </row>
    <row r="677" spans="1:13">
      <c r="A677" t="s">
        <v>510</v>
      </c>
      <c r="B677" t="s">
        <v>969</v>
      </c>
      <c r="C677" t="s">
        <v>71</v>
      </c>
      <c r="D677" t="s">
        <v>13</v>
      </c>
      <c r="E677" s="7">
        <v>45625</v>
      </c>
      <c r="F677" t="s">
        <v>706</v>
      </c>
      <c r="G677">
        <v>0</v>
      </c>
      <c r="H677" t="s">
        <v>15</v>
      </c>
      <c r="I677" t="s">
        <v>16</v>
      </c>
      <c r="J677" t="s">
        <v>16</v>
      </c>
      <c r="K677" t="str">
        <f>VLOOKUP(C677,CheckName!A:B,2,0)</f>
        <v>CRC</v>
      </c>
      <c r="M677">
        <f>DAY(RejectionData[[#This Row],[RejectionDate]])</f>
        <v>29</v>
      </c>
    </row>
    <row r="678" spans="1:13">
      <c r="A678" t="s">
        <v>510</v>
      </c>
      <c r="B678" t="s">
        <v>970</v>
      </c>
      <c r="C678" t="s">
        <v>54</v>
      </c>
      <c r="D678" t="s">
        <v>13</v>
      </c>
      <c r="E678" s="7">
        <v>45625</v>
      </c>
      <c r="F678" t="s">
        <v>574</v>
      </c>
      <c r="G678">
        <v>0</v>
      </c>
      <c r="H678" t="s">
        <v>15</v>
      </c>
      <c r="I678" t="s">
        <v>16</v>
      </c>
      <c r="J678" t="s">
        <v>16</v>
      </c>
      <c r="K678" t="str">
        <f>VLOOKUP(C678,CheckName!A:B,2,0)</f>
        <v>Edu</v>
      </c>
      <c r="M678">
        <f>DAY(RejectionData[[#This Row],[RejectionDate]])</f>
        <v>29</v>
      </c>
    </row>
    <row r="679" spans="1:13">
      <c r="A679" t="s">
        <v>510</v>
      </c>
      <c r="B679" t="s">
        <v>971</v>
      </c>
      <c r="C679" t="s">
        <v>56</v>
      </c>
      <c r="D679" t="s">
        <v>13</v>
      </c>
      <c r="E679" s="7">
        <v>45625</v>
      </c>
      <c r="F679" t="s">
        <v>706</v>
      </c>
      <c r="G679">
        <v>0</v>
      </c>
      <c r="H679" t="s">
        <v>15</v>
      </c>
      <c r="I679" t="s">
        <v>16</v>
      </c>
      <c r="J679" t="s">
        <v>16</v>
      </c>
      <c r="K679" t="str">
        <f>VLOOKUP(C679,CheckName!A:B,2,0)</f>
        <v>Special Check</v>
      </c>
      <c r="M679">
        <f>DAY(RejectionData[[#This Row],[RejectionDate]])</f>
        <v>29</v>
      </c>
    </row>
    <row r="680" spans="1:13">
      <c r="A680" t="s">
        <v>45</v>
      </c>
      <c r="B680" t="s">
        <v>972</v>
      </c>
      <c r="C680" t="s">
        <v>36</v>
      </c>
      <c r="D680" t="s">
        <v>13</v>
      </c>
      <c r="E680" s="7">
        <v>45625</v>
      </c>
      <c r="F680" t="s">
        <v>706</v>
      </c>
      <c r="G680">
        <v>0</v>
      </c>
      <c r="H680" t="s">
        <v>15</v>
      </c>
      <c r="I680" t="s">
        <v>16</v>
      </c>
      <c r="J680" t="s">
        <v>16</v>
      </c>
      <c r="K680" t="str">
        <f>VLOOKUP(C680,CheckName!A:B,2,0)</f>
        <v>Emp</v>
      </c>
      <c r="M680">
        <f>DAY(RejectionData[[#This Row],[RejectionDate]])</f>
        <v>29</v>
      </c>
    </row>
    <row r="681" spans="1:13">
      <c r="A681" t="s">
        <v>96</v>
      </c>
      <c r="B681" t="s">
        <v>973</v>
      </c>
      <c r="C681" t="s">
        <v>36</v>
      </c>
      <c r="D681" t="s">
        <v>26</v>
      </c>
      <c r="E681" s="7">
        <v>45625</v>
      </c>
      <c r="F681" t="s">
        <v>191</v>
      </c>
      <c r="G681">
        <v>0</v>
      </c>
      <c r="H681" t="s">
        <v>27</v>
      </c>
      <c r="I681" t="s">
        <v>16</v>
      </c>
      <c r="J681" t="s">
        <v>16</v>
      </c>
      <c r="K681" t="str">
        <f>VLOOKUP(C681,CheckName!A:B,2,0)</f>
        <v>Emp</v>
      </c>
      <c r="M681">
        <f>DAY(RejectionData[[#This Row],[RejectionDate]])</f>
        <v>29</v>
      </c>
    </row>
    <row r="682" spans="1:13">
      <c r="A682" t="s">
        <v>96</v>
      </c>
      <c r="B682" t="s">
        <v>973</v>
      </c>
      <c r="C682" t="s">
        <v>125</v>
      </c>
      <c r="D682" t="s">
        <v>26</v>
      </c>
      <c r="E682" s="7">
        <v>45625</v>
      </c>
      <c r="F682" t="s">
        <v>191</v>
      </c>
      <c r="G682">
        <v>0</v>
      </c>
      <c r="H682" t="s">
        <v>27</v>
      </c>
      <c r="I682" t="s">
        <v>16</v>
      </c>
      <c r="J682" t="s">
        <v>16</v>
      </c>
      <c r="K682" t="str">
        <f>VLOOKUP(C682,CheckName!A:B,2,0)</f>
        <v>Emp</v>
      </c>
      <c r="M682">
        <f>DAY(RejectionData[[#This Row],[RejectionDate]])</f>
        <v>29</v>
      </c>
    </row>
    <row r="683" spans="1:13">
      <c r="A683" t="s">
        <v>682</v>
      </c>
      <c r="B683" t="s">
        <v>974</v>
      </c>
      <c r="C683" t="s">
        <v>12</v>
      </c>
      <c r="D683" t="s">
        <v>26</v>
      </c>
      <c r="E683" s="7">
        <v>45625</v>
      </c>
      <c r="F683" t="s">
        <v>191</v>
      </c>
      <c r="G683">
        <v>0</v>
      </c>
      <c r="H683" t="s">
        <v>27</v>
      </c>
      <c r="I683" t="s">
        <v>16</v>
      </c>
      <c r="J683" t="s">
        <v>16</v>
      </c>
      <c r="K683" t="str">
        <f>VLOOKUP(C683,CheckName!A:B,2,0)</f>
        <v>Emp</v>
      </c>
      <c r="M683">
        <f>DAY(RejectionData[[#This Row],[RejectionDate]])</f>
        <v>29</v>
      </c>
    </row>
    <row r="684" spans="1:13">
      <c r="A684" t="s">
        <v>34</v>
      </c>
      <c r="B684" t="s">
        <v>975</v>
      </c>
      <c r="C684" t="s">
        <v>12</v>
      </c>
      <c r="D684" t="s">
        <v>26</v>
      </c>
      <c r="E684" s="7">
        <v>45625</v>
      </c>
      <c r="F684" t="s">
        <v>196</v>
      </c>
      <c r="G684">
        <v>0</v>
      </c>
      <c r="H684" t="s">
        <v>27</v>
      </c>
      <c r="I684" t="s">
        <v>16</v>
      </c>
      <c r="J684" t="s">
        <v>16</v>
      </c>
      <c r="K684" t="str">
        <f>VLOOKUP(C684,CheckName!A:B,2,0)</f>
        <v>Emp</v>
      </c>
      <c r="M684">
        <f>DAY(RejectionData[[#This Row],[RejectionDate]])</f>
        <v>29</v>
      </c>
    </row>
    <row r="685" spans="1:13">
      <c r="A685" t="s">
        <v>160</v>
      </c>
      <c r="B685" t="s">
        <v>976</v>
      </c>
      <c r="C685" t="s">
        <v>125</v>
      </c>
      <c r="D685" t="s">
        <v>26</v>
      </c>
      <c r="E685" s="7">
        <v>45625</v>
      </c>
      <c r="F685" t="s">
        <v>196</v>
      </c>
      <c r="G685">
        <v>0</v>
      </c>
      <c r="H685" t="s">
        <v>22</v>
      </c>
      <c r="I685" t="s">
        <v>16</v>
      </c>
      <c r="J685" t="s">
        <v>16</v>
      </c>
      <c r="K685" t="str">
        <f>VLOOKUP(C685,CheckName!A:B,2,0)</f>
        <v>Emp</v>
      </c>
      <c r="M685">
        <f>DAY(RejectionData[[#This Row],[RejectionDate]])</f>
        <v>29</v>
      </c>
    </row>
    <row r="686" spans="1:13">
      <c r="A686" t="s">
        <v>977</v>
      </c>
      <c r="B686" t="s">
        <v>978</v>
      </c>
      <c r="C686" t="s">
        <v>56</v>
      </c>
      <c r="D686" t="s">
        <v>51</v>
      </c>
      <c r="E686" s="7">
        <v>45625</v>
      </c>
      <c r="F686" t="s">
        <v>194</v>
      </c>
      <c r="G686">
        <v>0</v>
      </c>
      <c r="H686" t="s">
        <v>53</v>
      </c>
      <c r="I686" t="s">
        <v>16</v>
      </c>
      <c r="J686" t="s">
        <v>16</v>
      </c>
      <c r="K686" t="str">
        <f>VLOOKUP(C686,CheckName!A:B,2,0)</f>
        <v>Special Check</v>
      </c>
      <c r="M686">
        <f>DAY(RejectionData[[#This Row],[RejectionDate]])</f>
        <v>29</v>
      </c>
    </row>
    <row r="687" spans="1:13">
      <c r="A687" t="s">
        <v>40</v>
      </c>
      <c r="B687" t="s">
        <v>915</v>
      </c>
      <c r="C687" t="s">
        <v>12</v>
      </c>
      <c r="D687" t="s">
        <v>51</v>
      </c>
      <c r="E687" s="7">
        <v>45625</v>
      </c>
      <c r="F687" t="s">
        <v>194</v>
      </c>
      <c r="G687">
        <v>0</v>
      </c>
      <c r="H687" t="s">
        <v>53</v>
      </c>
      <c r="I687" t="s">
        <v>16</v>
      </c>
      <c r="J687" t="s">
        <v>16</v>
      </c>
      <c r="K687" t="str">
        <f>VLOOKUP(C687,CheckName!A:B,2,0)</f>
        <v>Emp</v>
      </c>
      <c r="M687">
        <f>DAY(RejectionData[[#This Row],[RejectionDate]])</f>
        <v>29</v>
      </c>
    </row>
    <row r="688" spans="1:13">
      <c r="A688" t="s">
        <v>360</v>
      </c>
      <c r="B688" t="s">
        <v>979</v>
      </c>
      <c r="C688" t="s">
        <v>980</v>
      </c>
      <c r="D688" t="s">
        <v>51</v>
      </c>
      <c r="E688" s="7">
        <v>45625</v>
      </c>
      <c r="F688" t="s">
        <v>194</v>
      </c>
      <c r="G688">
        <v>0</v>
      </c>
      <c r="H688" t="s">
        <v>53</v>
      </c>
      <c r="I688" t="s">
        <v>16</v>
      </c>
      <c r="J688" t="s">
        <v>16</v>
      </c>
      <c r="K688" t="str">
        <f>VLOOKUP(C688,CheckName!A:B,2,0)</f>
        <v>Add</v>
      </c>
      <c r="M688">
        <f>DAY(RejectionData[[#This Row],[RejectionDate]])</f>
        <v>29</v>
      </c>
    </row>
    <row r="689" spans="1:13">
      <c r="A689" t="s">
        <v>45</v>
      </c>
      <c r="B689" t="s">
        <v>981</v>
      </c>
      <c r="C689" t="s">
        <v>25</v>
      </c>
      <c r="D689" t="s">
        <v>20</v>
      </c>
      <c r="E689" s="7">
        <v>45625</v>
      </c>
      <c r="F689" t="s">
        <v>76</v>
      </c>
      <c r="G689">
        <v>0</v>
      </c>
      <c r="H689" t="s">
        <v>30</v>
      </c>
      <c r="I689" t="s">
        <v>16</v>
      </c>
      <c r="J689" t="s">
        <v>16</v>
      </c>
      <c r="K689" t="str">
        <f>VLOOKUP(C689,CheckName!A:B,2,0)</f>
        <v>Add</v>
      </c>
      <c r="M689">
        <f>DAY(RejectionData[[#This Row],[RejectionDate]])</f>
        <v>29</v>
      </c>
    </row>
    <row r="690" spans="1:13">
      <c r="A690" t="s">
        <v>216</v>
      </c>
      <c r="B690" t="s">
        <v>982</v>
      </c>
      <c r="C690" t="s">
        <v>59</v>
      </c>
      <c r="D690" t="s">
        <v>51</v>
      </c>
      <c r="E690" s="7">
        <v>45625</v>
      </c>
      <c r="F690" t="s">
        <v>509</v>
      </c>
      <c r="G690">
        <v>0</v>
      </c>
      <c r="H690" t="s">
        <v>53</v>
      </c>
      <c r="I690" t="s">
        <v>16</v>
      </c>
      <c r="J690" t="s">
        <v>16</v>
      </c>
      <c r="K690" t="str">
        <f>VLOOKUP(C690,CheckName!A:B,2,0)</f>
        <v>Special Check</v>
      </c>
      <c r="M690">
        <f>DAY(RejectionData[[#This Row],[RejectionDate]])</f>
        <v>29</v>
      </c>
    </row>
    <row r="691" spans="1:13">
      <c r="A691" t="s">
        <v>60</v>
      </c>
      <c r="B691" t="s">
        <v>943</v>
      </c>
      <c r="C691" t="s">
        <v>36</v>
      </c>
      <c r="D691" t="s">
        <v>26</v>
      </c>
      <c r="E691" s="7">
        <v>45625</v>
      </c>
      <c r="F691" t="s">
        <v>431</v>
      </c>
      <c r="G691">
        <v>0</v>
      </c>
      <c r="H691" t="s">
        <v>27</v>
      </c>
      <c r="I691" t="s">
        <v>16</v>
      </c>
      <c r="J691" t="s">
        <v>16</v>
      </c>
      <c r="K691" t="str">
        <f>VLOOKUP(C691,CheckName!A:B,2,0)</f>
        <v>Emp</v>
      </c>
      <c r="M691">
        <f>DAY(RejectionData[[#This Row],[RejectionDate]])</f>
        <v>29</v>
      </c>
    </row>
    <row r="692" spans="1:13">
      <c r="A692" t="s">
        <v>465</v>
      </c>
      <c r="B692" t="s">
        <v>570</v>
      </c>
      <c r="C692" t="s">
        <v>36</v>
      </c>
      <c r="D692" t="s">
        <v>26</v>
      </c>
      <c r="E692" s="7">
        <v>45625</v>
      </c>
      <c r="F692" t="s">
        <v>608</v>
      </c>
      <c r="G692">
        <v>0</v>
      </c>
      <c r="H692" t="s">
        <v>27</v>
      </c>
      <c r="I692" t="s">
        <v>16</v>
      </c>
      <c r="J692" t="s">
        <v>16</v>
      </c>
      <c r="K692" t="str">
        <f>VLOOKUP(C692,CheckName!A:B,2,0)</f>
        <v>Emp</v>
      </c>
      <c r="M692">
        <f>DAY(RejectionData[[#This Row],[RejectionDate]])</f>
        <v>29</v>
      </c>
    </row>
    <row r="693" spans="1:13">
      <c r="A693" t="s">
        <v>45</v>
      </c>
      <c r="B693" t="s">
        <v>983</v>
      </c>
      <c r="C693" t="s">
        <v>12</v>
      </c>
      <c r="D693" t="s">
        <v>26</v>
      </c>
      <c r="E693" s="7">
        <v>45625</v>
      </c>
      <c r="F693" t="s">
        <v>179</v>
      </c>
      <c r="G693">
        <v>0</v>
      </c>
      <c r="H693" t="s">
        <v>27</v>
      </c>
      <c r="I693" t="s">
        <v>16</v>
      </c>
      <c r="J693" t="s">
        <v>16</v>
      </c>
      <c r="K693" t="str">
        <f>VLOOKUP(C693,CheckName!A:B,2,0)</f>
        <v>Emp</v>
      </c>
      <c r="M693">
        <f>DAY(RejectionData[[#This Row],[RejectionDate]])</f>
        <v>29</v>
      </c>
    </row>
    <row r="694" spans="1:13">
      <c r="A694" t="s">
        <v>984</v>
      </c>
      <c r="B694" t="s">
        <v>985</v>
      </c>
      <c r="C694" t="s">
        <v>467</v>
      </c>
      <c r="D694" t="s">
        <v>13</v>
      </c>
      <c r="E694" s="7">
        <v>45625</v>
      </c>
      <c r="F694" t="s">
        <v>530</v>
      </c>
      <c r="G694">
        <v>0</v>
      </c>
      <c r="H694" t="s">
        <v>15</v>
      </c>
      <c r="I694" t="s">
        <v>16</v>
      </c>
      <c r="J694" t="s">
        <v>16</v>
      </c>
      <c r="K694" t="str">
        <f>VLOOKUP(C694,CheckName!A:B,2,0)</f>
        <v>Special Check</v>
      </c>
      <c r="M694">
        <f>DAY(RejectionData[[#This Row],[RejectionDate]])</f>
        <v>29</v>
      </c>
    </row>
    <row r="695" spans="1:13">
      <c r="A695" t="s">
        <v>986</v>
      </c>
      <c r="B695" t="s">
        <v>987</v>
      </c>
      <c r="C695" t="s">
        <v>49</v>
      </c>
      <c r="D695" t="s">
        <v>13</v>
      </c>
      <c r="E695" s="7">
        <v>45625</v>
      </c>
      <c r="F695" t="s">
        <v>530</v>
      </c>
      <c r="G695">
        <v>0</v>
      </c>
      <c r="H695" t="s">
        <v>15</v>
      </c>
      <c r="I695" t="s">
        <v>16</v>
      </c>
      <c r="J695" t="s">
        <v>16</v>
      </c>
      <c r="K695" t="str">
        <f>VLOOKUP(C695,CheckName!A:B,2,0)</f>
        <v>CRC</v>
      </c>
      <c r="M695">
        <f>DAY(RejectionData[[#This Row],[RejectionDate]])</f>
        <v>29</v>
      </c>
    </row>
    <row r="696" spans="1:13">
      <c r="A696" t="s">
        <v>157</v>
      </c>
      <c r="B696" t="s">
        <v>988</v>
      </c>
      <c r="C696" t="s">
        <v>59</v>
      </c>
      <c r="D696" t="s">
        <v>13</v>
      </c>
      <c r="E696" s="7">
        <v>45625</v>
      </c>
      <c r="F696" t="s">
        <v>530</v>
      </c>
      <c r="G696">
        <v>0</v>
      </c>
      <c r="H696" t="s">
        <v>15</v>
      </c>
      <c r="I696" t="s">
        <v>16</v>
      </c>
      <c r="J696" t="s">
        <v>16</v>
      </c>
      <c r="K696" t="str">
        <f>VLOOKUP(C696,CheckName!A:B,2,0)</f>
        <v>Special Check</v>
      </c>
      <c r="M696">
        <f>DAY(RejectionData[[#This Row],[RejectionDate]])</f>
        <v>29</v>
      </c>
    </row>
    <row r="697" spans="1:13">
      <c r="A697" t="s">
        <v>157</v>
      </c>
      <c r="B697" t="s">
        <v>988</v>
      </c>
      <c r="C697" t="s">
        <v>56</v>
      </c>
      <c r="D697" t="s">
        <v>13</v>
      </c>
      <c r="E697" s="7">
        <v>45625</v>
      </c>
      <c r="F697" t="s">
        <v>530</v>
      </c>
      <c r="G697">
        <v>0</v>
      </c>
      <c r="H697" t="s">
        <v>15</v>
      </c>
      <c r="I697" t="s">
        <v>16</v>
      </c>
      <c r="J697" t="s">
        <v>16</v>
      </c>
      <c r="K697" t="str">
        <f>VLOOKUP(C697,CheckName!A:B,2,0)</f>
        <v>Special Check</v>
      </c>
      <c r="M697">
        <f>DAY(RejectionData[[#This Row],[RejectionDate]])</f>
        <v>29</v>
      </c>
    </row>
    <row r="698" spans="1:13">
      <c r="A698" t="s">
        <v>157</v>
      </c>
      <c r="B698" t="s">
        <v>988</v>
      </c>
      <c r="C698" t="s">
        <v>989</v>
      </c>
      <c r="D698" t="s">
        <v>13</v>
      </c>
      <c r="E698" s="7">
        <v>45625</v>
      </c>
      <c r="F698" t="s">
        <v>530</v>
      </c>
      <c r="G698">
        <v>0</v>
      </c>
      <c r="H698" t="s">
        <v>15</v>
      </c>
      <c r="I698" t="s">
        <v>16</v>
      </c>
      <c r="J698" t="s">
        <v>16</v>
      </c>
      <c r="K698" t="str">
        <f>VLOOKUP(C698,CheckName!A:B,2,0)</f>
        <v>Special Check</v>
      </c>
      <c r="M698">
        <f>DAY(RejectionData[[#This Row],[RejectionDate]])</f>
        <v>29</v>
      </c>
    </row>
    <row r="699" spans="1:13">
      <c r="A699" t="s">
        <v>157</v>
      </c>
      <c r="B699" t="s">
        <v>988</v>
      </c>
      <c r="C699" t="s">
        <v>122</v>
      </c>
      <c r="D699" t="s">
        <v>13</v>
      </c>
      <c r="E699" s="7">
        <v>45625</v>
      </c>
      <c r="F699" t="s">
        <v>530</v>
      </c>
      <c r="G699">
        <v>0</v>
      </c>
      <c r="H699" t="s">
        <v>15</v>
      </c>
      <c r="I699" t="s">
        <v>16</v>
      </c>
      <c r="J699" t="s">
        <v>16</v>
      </c>
      <c r="K699" t="str">
        <f>VLOOKUP(C699,CheckName!A:B,2,0)</f>
        <v>Special Check</v>
      </c>
      <c r="M699">
        <f>DAY(RejectionData[[#This Row],[RejectionDate]])</f>
        <v>29</v>
      </c>
    </row>
    <row r="700" spans="1:13">
      <c r="A700" t="s">
        <v>510</v>
      </c>
      <c r="B700" t="s">
        <v>990</v>
      </c>
      <c r="C700" t="s">
        <v>71</v>
      </c>
      <c r="D700" t="s">
        <v>13</v>
      </c>
      <c r="E700" s="7">
        <v>45625</v>
      </c>
      <c r="F700" t="s">
        <v>530</v>
      </c>
      <c r="G700">
        <v>0</v>
      </c>
      <c r="H700" t="s">
        <v>15</v>
      </c>
      <c r="I700" t="s">
        <v>16</v>
      </c>
      <c r="J700" t="s">
        <v>16</v>
      </c>
      <c r="K700" t="str">
        <f>VLOOKUP(C700,CheckName!A:B,2,0)</f>
        <v>CRC</v>
      </c>
      <c r="M700">
        <f>DAY(RejectionData[[#This Row],[RejectionDate]])</f>
        <v>29</v>
      </c>
    </row>
    <row r="701" spans="1:13">
      <c r="A701" t="s">
        <v>510</v>
      </c>
      <c r="B701" t="s">
        <v>991</v>
      </c>
      <c r="C701" t="s">
        <v>71</v>
      </c>
      <c r="D701" t="s">
        <v>13</v>
      </c>
      <c r="E701" s="7">
        <v>45625</v>
      </c>
      <c r="F701" t="s">
        <v>530</v>
      </c>
      <c r="G701">
        <v>0</v>
      </c>
      <c r="H701" t="s">
        <v>15</v>
      </c>
      <c r="I701" t="s">
        <v>16</v>
      </c>
      <c r="J701" t="s">
        <v>16</v>
      </c>
      <c r="K701" t="str">
        <f>VLOOKUP(C701,CheckName!A:B,2,0)</f>
        <v>CRC</v>
      </c>
      <c r="M701">
        <f>DAY(RejectionData[[#This Row],[RejectionDate]])</f>
        <v>29</v>
      </c>
    </row>
    <row r="702" spans="1:13">
      <c r="A702" t="s">
        <v>644</v>
      </c>
      <c r="B702" t="s">
        <v>992</v>
      </c>
      <c r="C702" t="s">
        <v>36</v>
      </c>
      <c r="D702" t="s">
        <v>26</v>
      </c>
      <c r="E702" s="7">
        <v>45625</v>
      </c>
      <c r="F702" t="s">
        <v>311</v>
      </c>
      <c r="G702">
        <v>0</v>
      </c>
      <c r="H702" t="s">
        <v>27</v>
      </c>
      <c r="I702" t="s">
        <v>16</v>
      </c>
      <c r="J702" t="s">
        <v>16</v>
      </c>
      <c r="K702" t="str">
        <f>VLOOKUP(C702,CheckName!A:B,2,0)</f>
        <v>Emp</v>
      </c>
      <c r="M702">
        <f>DAY(RejectionData[[#This Row],[RejectionDate]])</f>
        <v>29</v>
      </c>
    </row>
    <row r="703" spans="1:13">
      <c r="A703" t="s">
        <v>912</v>
      </c>
      <c r="B703" t="s">
        <v>993</v>
      </c>
      <c r="C703" t="s">
        <v>12</v>
      </c>
      <c r="D703" t="s">
        <v>26</v>
      </c>
      <c r="E703" s="7">
        <v>45625</v>
      </c>
      <c r="F703" t="s">
        <v>721</v>
      </c>
      <c r="G703">
        <v>0</v>
      </c>
      <c r="H703" t="s">
        <v>27</v>
      </c>
      <c r="I703" t="s">
        <v>16</v>
      </c>
      <c r="J703" t="s">
        <v>16</v>
      </c>
      <c r="K703" t="str">
        <f>VLOOKUP(C703,CheckName!A:B,2,0)</f>
        <v>Emp</v>
      </c>
      <c r="M703">
        <f>DAY(RejectionData[[#This Row],[RejectionDate]])</f>
        <v>29</v>
      </c>
    </row>
    <row r="704" spans="1:13">
      <c r="A704" t="s">
        <v>671</v>
      </c>
      <c r="B704" t="s">
        <v>994</v>
      </c>
      <c r="C704" t="s">
        <v>54</v>
      </c>
      <c r="D704" t="s">
        <v>26</v>
      </c>
      <c r="E704" s="7">
        <v>45625</v>
      </c>
      <c r="F704" t="s">
        <v>94</v>
      </c>
      <c r="G704">
        <v>0</v>
      </c>
      <c r="H704" t="s">
        <v>27</v>
      </c>
      <c r="I704" t="s">
        <v>16</v>
      </c>
      <c r="J704" t="s">
        <v>16</v>
      </c>
      <c r="K704" t="str">
        <f>VLOOKUP(C704,CheckName!A:B,2,0)</f>
        <v>Edu</v>
      </c>
      <c r="M704">
        <f>DAY(RejectionData[[#This Row],[RejectionDate]])</f>
        <v>29</v>
      </c>
    </row>
    <row r="705" spans="1:13">
      <c r="A705" t="s">
        <v>402</v>
      </c>
      <c r="B705" t="s">
        <v>995</v>
      </c>
      <c r="C705" t="s">
        <v>12</v>
      </c>
      <c r="D705" t="s">
        <v>26</v>
      </c>
      <c r="E705" s="7">
        <v>45625</v>
      </c>
      <c r="F705" t="s">
        <v>169</v>
      </c>
      <c r="G705">
        <v>0</v>
      </c>
      <c r="H705" t="s">
        <v>27</v>
      </c>
      <c r="I705" t="s">
        <v>16</v>
      </c>
      <c r="J705" t="s">
        <v>16</v>
      </c>
      <c r="K705" t="str">
        <f>VLOOKUP(C705,CheckName!A:B,2,0)</f>
        <v>Emp</v>
      </c>
      <c r="M705">
        <f>DAY(RejectionData[[#This Row],[RejectionDate]])</f>
        <v>29</v>
      </c>
    </row>
    <row r="706" spans="1:13">
      <c r="A706" t="s">
        <v>996</v>
      </c>
      <c r="B706" t="s">
        <v>997</v>
      </c>
      <c r="C706" t="s">
        <v>112</v>
      </c>
      <c r="D706" t="s">
        <v>26</v>
      </c>
      <c r="E706" s="7">
        <v>45625</v>
      </c>
      <c r="F706" t="s">
        <v>162</v>
      </c>
      <c r="G706">
        <v>0</v>
      </c>
      <c r="H706" t="s">
        <v>22</v>
      </c>
      <c r="I706" t="s">
        <v>16</v>
      </c>
      <c r="J706" t="s">
        <v>16</v>
      </c>
      <c r="K706" t="str">
        <f>VLOOKUP(C706,CheckName!A:B,2,0)</f>
        <v>Emp</v>
      </c>
      <c r="M706">
        <f>DAY(RejectionData[[#This Row],[RejectionDate]])</f>
        <v>29</v>
      </c>
    </row>
    <row r="707" spans="1:13">
      <c r="A707" t="s">
        <v>465</v>
      </c>
      <c r="B707" t="s">
        <v>998</v>
      </c>
      <c r="C707" t="s">
        <v>36</v>
      </c>
      <c r="D707" t="s">
        <v>26</v>
      </c>
      <c r="E707" s="7">
        <v>45625</v>
      </c>
      <c r="F707" t="s">
        <v>162</v>
      </c>
      <c r="G707">
        <v>0</v>
      </c>
      <c r="H707" t="s">
        <v>22</v>
      </c>
      <c r="I707" t="s">
        <v>16</v>
      </c>
      <c r="J707" t="s">
        <v>16</v>
      </c>
      <c r="K707" t="str">
        <f>VLOOKUP(C707,CheckName!A:B,2,0)</f>
        <v>Emp</v>
      </c>
      <c r="M707">
        <f>DAY(RejectionData[[#This Row],[RejectionDate]])</f>
        <v>29</v>
      </c>
    </row>
    <row r="708" spans="1:13">
      <c r="A708" t="s">
        <v>999</v>
      </c>
      <c r="B708" t="s">
        <v>1000</v>
      </c>
      <c r="C708" t="s">
        <v>12</v>
      </c>
      <c r="D708" t="s">
        <v>26</v>
      </c>
      <c r="E708" s="7">
        <v>45625</v>
      </c>
      <c r="F708" t="s">
        <v>301</v>
      </c>
      <c r="G708">
        <v>0</v>
      </c>
      <c r="H708" t="s">
        <v>22</v>
      </c>
      <c r="I708" t="s">
        <v>16</v>
      </c>
      <c r="J708" t="s">
        <v>16</v>
      </c>
      <c r="K708" t="str">
        <f>VLOOKUP(C708,CheckName!A:B,2,0)</f>
        <v>Emp</v>
      </c>
      <c r="M708">
        <f>DAY(RejectionData[[#This Row],[RejectionDate]])</f>
        <v>29</v>
      </c>
    </row>
    <row r="709" spans="1:13">
      <c r="A709" t="s">
        <v>1001</v>
      </c>
      <c r="B709" t="s">
        <v>1002</v>
      </c>
      <c r="C709" t="s">
        <v>12</v>
      </c>
      <c r="D709" t="s">
        <v>26</v>
      </c>
      <c r="E709" s="7">
        <v>45625</v>
      </c>
      <c r="F709" t="s">
        <v>301</v>
      </c>
      <c r="G709">
        <v>0</v>
      </c>
      <c r="H709" t="s">
        <v>27</v>
      </c>
      <c r="I709" t="s">
        <v>16</v>
      </c>
      <c r="J709" t="s">
        <v>16</v>
      </c>
      <c r="K709" t="str">
        <f>VLOOKUP(C709,CheckName!A:B,2,0)</f>
        <v>Emp</v>
      </c>
      <c r="M709">
        <f>DAY(RejectionData[[#This Row],[RejectionDate]])</f>
        <v>29</v>
      </c>
    </row>
    <row r="710" spans="1:13">
      <c r="A710" t="s">
        <v>84</v>
      </c>
      <c r="B710" t="s">
        <v>1003</v>
      </c>
      <c r="C710" t="s">
        <v>112</v>
      </c>
      <c r="D710" t="s">
        <v>26</v>
      </c>
      <c r="E710" s="7">
        <v>45625</v>
      </c>
      <c r="F710" t="s">
        <v>110</v>
      </c>
      <c r="G710">
        <v>0</v>
      </c>
      <c r="H710" t="s">
        <v>27</v>
      </c>
      <c r="I710" t="s">
        <v>16</v>
      </c>
      <c r="J710" t="s">
        <v>16</v>
      </c>
      <c r="K710" t="str">
        <f>VLOOKUP(C710,CheckName!A:B,2,0)</f>
        <v>Emp</v>
      </c>
      <c r="M710">
        <f>DAY(RejectionData[[#This Row],[RejectionDate]])</f>
        <v>29</v>
      </c>
    </row>
    <row r="711" spans="1:13">
      <c r="A711" t="s">
        <v>1004</v>
      </c>
      <c r="B711" t="s">
        <v>1005</v>
      </c>
      <c r="C711" t="s">
        <v>12</v>
      </c>
      <c r="D711" t="s">
        <v>26</v>
      </c>
      <c r="E711" s="7">
        <v>45625</v>
      </c>
      <c r="F711" t="s">
        <v>301</v>
      </c>
      <c r="G711">
        <v>0</v>
      </c>
      <c r="H711" t="s">
        <v>27</v>
      </c>
      <c r="I711" t="s">
        <v>16</v>
      </c>
      <c r="J711" t="s">
        <v>16</v>
      </c>
      <c r="K711" t="str">
        <f>VLOOKUP(C711,CheckName!A:B,2,0)</f>
        <v>Emp</v>
      </c>
      <c r="M711">
        <f>DAY(RejectionData[[#This Row],[RejectionDate]])</f>
        <v>29</v>
      </c>
    </row>
    <row r="712" spans="1:13">
      <c r="A712" t="s">
        <v>749</v>
      </c>
      <c r="B712" t="s">
        <v>1006</v>
      </c>
      <c r="C712" t="s">
        <v>12</v>
      </c>
      <c r="D712" t="s">
        <v>26</v>
      </c>
      <c r="E712" s="7">
        <v>45625</v>
      </c>
      <c r="F712" t="s">
        <v>141</v>
      </c>
      <c r="G712">
        <v>0</v>
      </c>
      <c r="H712" t="s">
        <v>27</v>
      </c>
      <c r="I712" t="s">
        <v>16</v>
      </c>
      <c r="J712" t="s">
        <v>16</v>
      </c>
      <c r="K712" t="str">
        <f>VLOOKUP(C712,CheckName!A:B,2,0)</f>
        <v>Emp</v>
      </c>
      <c r="M712">
        <f>DAY(RejectionData[[#This Row],[RejectionDate]])</f>
        <v>29</v>
      </c>
    </row>
    <row r="713" spans="1:13">
      <c r="A713" t="s">
        <v>1007</v>
      </c>
      <c r="B713" t="s">
        <v>1008</v>
      </c>
      <c r="C713" t="s">
        <v>12</v>
      </c>
      <c r="D713" t="s">
        <v>26</v>
      </c>
      <c r="E713" s="7">
        <v>45625</v>
      </c>
      <c r="F713" t="s">
        <v>115</v>
      </c>
      <c r="G713">
        <v>0</v>
      </c>
      <c r="H713" t="s">
        <v>27</v>
      </c>
      <c r="I713" t="s">
        <v>16</v>
      </c>
      <c r="J713" t="s">
        <v>16</v>
      </c>
      <c r="K713" t="str">
        <f>VLOOKUP(C713,CheckName!A:B,2,0)</f>
        <v>Emp</v>
      </c>
      <c r="M713">
        <f>DAY(RejectionData[[#This Row],[RejectionDate]])</f>
        <v>29</v>
      </c>
    </row>
    <row r="714" spans="1:13">
      <c r="A714" t="s">
        <v>45</v>
      </c>
      <c r="B714" t="s">
        <v>1009</v>
      </c>
      <c r="C714" t="s">
        <v>36</v>
      </c>
      <c r="D714" t="s">
        <v>26</v>
      </c>
      <c r="E714" s="7">
        <v>45625</v>
      </c>
      <c r="F714" t="s">
        <v>926</v>
      </c>
      <c r="G714">
        <v>0</v>
      </c>
      <c r="H714" t="s">
        <v>27</v>
      </c>
      <c r="I714" t="s">
        <v>16</v>
      </c>
      <c r="J714" t="s">
        <v>16</v>
      </c>
      <c r="K714" t="str">
        <f>VLOOKUP(C714,CheckName!A:B,2,0)</f>
        <v>Emp</v>
      </c>
      <c r="M714">
        <f>DAY(RejectionData[[#This Row],[RejectionDate]])</f>
        <v>29</v>
      </c>
    </row>
    <row r="715" spans="1:13">
      <c r="A715" t="s">
        <v>45</v>
      </c>
      <c r="B715" t="s">
        <v>1010</v>
      </c>
      <c r="C715" t="s">
        <v>12</v>
      </c>
      <c r="D715" t="s">
        <v>26</v>
      </c>
      <c r="E715" s="7">
        <v>45625</v>
      </c>
      <c r="F715" t="s">
        <v>926</v>
      </c>
      <c r="G715">
        <v>0</v>
      </c>
      <c r="H715" t="s">
        <v>27</v>
      </c>
      <c r="I715" t="s">
        <v>16</v>
      </c>
      <c r="J715" t="s">
        <v>16</v>
      </c>
      <c r="K715" t="str">
        <f>VLOOKUP(C715,CheckName!A:B,2,0)</f>
        <v>Emp</v>
      </c>
      <c r="M715">
        <f>DAY(RejectionData[[#This Row],[RejectionDate]])</f>
        <v>29</v>
      </c>
    </row>
    <row r="716" spans="1:13">
      <c r="A716" t="s">
        <v>299</v>
      </c>
      <c r="B716" t="s">
        <v>1011</v>
      </c>
      <c r="C716" t="s">
        <v>12</v>
      </c>
      <c r="D716" t="s">
        <v>26</v>
      </c>
      <c r="E716" s="7">
        <v>45625</v>
      </c>
      <c r="F716" t="s">
        <v>151</v>
      </c>
      <c r="G716">
        <v>0</v>
      </c>
      <c r="H716" t="s">
        <v>130</v>
      </c>
      <c r="I716" t="s">
        <v>16</v>
      </c>
      <c r="J716" t="s">
        <v>16</v>
      </c>
      <c r="K716" t="str">
        <f>VLOOKUP(C716,CheckName!A:B,2,0)</f>
        <v>Emp</v>
      </c>
      <c r="M716">
        <f>DAY(RejectionData[[#This Row],[RejectionDate]])</f>
        <v>29</v>
      </c>
    </row>
    <row r="717" spans="1:13">
      <c r="A717" t="s">
        <v>510</v>
      </c>
      <c r="B717" t="s">
        <v>1012</v>
      </c>
      <c r="C717" t="s">
        <v>71</v>
      </c>
      <c r="D717" t="s">
        <v>13</v>
      </c>
      <c r="E717" s="7">
        <v>45625</v>
      </c>
      <c r="F717" t="s">
        <v>1013</v>
      </c>
      <c r="G717">
        <v>0</v>
      </c>
      <c r="H717" t="s">
        <v>15</v>
      </c>
      <c r="I717" t="s">
        <v>16</v>
      </c>
      <c r="J717" t="s">
        <v>16</v>
      </c>
      <c r="K717" t="str">
        <f>VLOOKUP(C717,CheckName!A:B,2,0)</f>
        <v>CRC</v>
      </c>
      <c r="M717">
        <f>DAY(RejectionData[[#This Row],[RejectionDate]])</f>
        <v>29</v>
      </c>
    </row>
    <row r="718" spans="1:13">
      <c r="A718" t="s">
        <v>139</v>
      </c>
      <c r="B718" t="s">
        <v>1014</v>
      </c>
      <c r="C718" t="s">
        <v>25</v>
      </c>
      <c r="D718" t="s">
        <v>20</v>
      </c>
      <c r="E718" s="7">
        <v>45625</v>
      </c>
      <c r="F718" t="s">
        <v>129</v>
      </c>
      <c r="G718">
        <v>0</v>
      </c>
      <c r="H718" t="s">
        <v>22</v>
      </c>
      <c r="I718" t="s">
        <v>16</v>
      </c>
      <c r="J718" t="s">
        <v>16</v>
      </c>
      <c r="K718" t="str">
        <f>VLOOKUP(C718,CheckName!A:B,2,0)</f>
        <v>Add</v>
      </c>
      <c r="M718">
        <f>DAY(RejectionData[[#This Row],[RejectionDate]])</f>
        <v>29</v>
      </c>
    </row>
    <row r="719" spans="1:13">
      <c r="A719" t="s">
        <v>582</v>
      </c>
      <c r="B719" t="s">
        <v>1015</v>
      </c>
      <c r="C719" t="s">
        <v>12</v>
      </c>
      <c r="D719" t="s">
        <v>26</v>
      </c>
      <c r="E719" s="7">
        <v>45625</v>
      </c>
      <c r="F719" t="s">
        <v>126</v>
      </c>
      <c r="G719">
        <v>0</v>
      </c>
      <c r="H719" t="s">
        <v>27</v>
      </c>
      <c r="I719" t="s">
        <v>16</v>
      </c>
      <c r="J719" t="s">
        <v>16</v>
      </c>
      <c r="K719" t="str">
        <f>VLOOKUP(C719,CheckName!A:B,2,0)</f>
        <v>Emp</v>
      </c>
      <c r="M719">
        <f>DAY(RejectionData[[#This Row],[RejectionDate]])</f>
        <v>29</v>
      </c>
    </row>
    <row r="720" spans="1:13">
      <c r="A720" t="s">
        <v>1016</v>
      </c>
      <c r="B720" t="s">
        <v>1017</v>
      </c>
      <c r="C720" t="s">
        <v>25</v>
      </c>
      <c r="D720" t="s">
        <v>20</v>
      </c>
      <c r="E720" s="7">
        <v>45625</v>
      </c>
      <c r="F720" t="s">
        <v>129</v>
      </c>
      <c r="G720">
        <v>0</v>
      </c>
      <c r="H720" t="s">
        <v>22</v>
      </c>
      <c r="I720" t="s">
        <v>16</v>
      </c>
      <c r="J720" t="s">
        <v>16</v>
      </c>
      <c r="K720" t="str">
        <f>VLOOKUP(C720,CheckName!A:B,2,0)</f>
        <v>Add</v>
      </c>
      <c r="M720">
        <f>DAY(RejectionData[[#This Row],[RejectionDate]])</f>
        <v>29</v>
      </c>
    </row>
    <row r="721" spans="1:13">
      <c r="A721" t="s">
        <v>1018</v>
      </c>
      <c r="B721" t="s">
        <v>1019</v>
      </c>
      <c r="C721" t="s">
        <v>25</v>
      </c>
      <c r="D721" t="s">
        <v>20</v>
      </c>
      <c r="E721" s="7">
        <v>45625</v>
      </c>
      <c r="F721" t="s">
        <v>129</v>
      </c>
      <c r="G721">
        <v>0</v>
      </c>
      <c r="H721" t="s">
        <v>22</v>
      </c>
      <c r="I721" t="s">
        <v>16</v>
      </c>
      <c r="J721" t="s">
        <v>16</v>
      </c>
      <c r="K721" t="str">
        <f>VLOOKUP(C721,CheckName!A:B,2,0)</f>
        <v>Add</v>
      </c>
      <c r="M721">
        <f>DAY(RejectionData[[#This Row],[RejectionDate]])</f>
        <v>29</v>
      </c>
    </row>
    <row r="722" spans="1:13">
      <c r="A722" t="s">
        <v>200</v>
      </c>
      <c r="B722" t="s">
        <v>1020</v>
      </c>
      <c r="C722" t="s">
        <v>25</v>
      </c>
      <c r="D722" t="s">
        <v>20</v>
      </c>
      <c r="E722" s="7">
        <v>45625</v>
      </c>
      <c r="F722" t="s">
        <v>129</v>
      </c>
      <c r="G722">
        <v>0</v>
      </c>
      <c r="H722" t="s">
        <v>22</v>
      </c>
      <c r="I722" t="s">
        <v>16</v>
      </c>
      <c r="J722" t="s">
        <v>16</v>
      </c>
      <c r="K722" t="str">
        <f>VLOOKUP(C722,CheckName!A:B,2,0)</f>
        <v>Add</v>
      </c>
      <c r="M722">
        <f>DAY(RejectionData[[#This Row],[RejectionDate]])</f>
        <v>29</v>
      </c>
    </row>
    <row r="723" spans="1:13">
      <c r="A723" t="s">
        <v>200</v>
      </c>
      <c r="B723" t="s">
        <v>1021</v>
      </c>
      <c r="C723" t="s">
        <v>25</v>
      </c>
      <c r="D723" t="s">
        <v>20</v>
      </c>
      <c r="E723" s="7">
        <v>45625</v>
      </c>
      <c r="F723" t="s">
        <v>129</v>
      </c>
      <c r="G723">
        <v>0</v>
      </c>
      <c r="H723" t="s">
        <v>22</v>
      </c>
      <c r="I723" t="s">
        <v>16</v>
      </c>
      <c r="J723" t="s">
        <v>16</v>
      </c>
      <c r="K723" t="str">
        <f>VLOOKUP(C723,CheckName!A:B,2,0)</f>
        <v>Add</v>
      </c>
      <c r="M723">
        <f>DAY(RejectionData[[#This Row],[RejectionDate]])</f>
        <v>29</v>
      </c>
    </row>
    <row r="724" spans="1:13">
      <c r="A724" t="s">
        <v>200</v>
      </c>
      <c r="B724" t="s">
        <v>1022</v>
      </c>
      <c r="C724" t="s">
        <v>25</v>
      </c>
      <c r="D724" t="s">
        <v>20</v>
      </c>
      <c r="E724" s="7">
        <v>45625</v>
      </c>
      <c r="F724" t="s">
        <v>129</v>
      </c>
      <c r="G724">
        <v>0</v>
      </c>
      <c r="H724" t="s">
        <v>27</v>
      </c>
      <c r="I724" t="s">
        <v>16</v>
      </c>
      <c r="J724" t="s">
        <v>16</v>
      </c>
      <c r="K724" t="str">
        <f>VLOOKUP(C724,CheckName!A:B,2,0)</f>
        <v>Add</v>
      </c>
      <c r="M724">
        <f>DAY(RejectionData[[#This Row],[RejectionDate]])</f>
        <v>29</v>
      </c>
    </row>
    <row r="725" spans="1:13">
      <c r="A725" t="s">
        <v>142</v>
      </c>
      <c r="B725" t="s">
        <v>1023</v>
      </c>
      <c r="C725" t="s">
        <v>36</v>
      </c>
      <c r="D725" t="s">
        <v>26</v>
      </c>
      <c r="E725" s="7">
        <v>45624</v>
      </c>
      <c r="F725" t="s">
        <v>151</v>
      </c>
      <c r="G725">
        <v>1</v>
      </c>
      <c r="H725" t="s">
        <v>27</v>
      </c>
      <c r="I725" t="s">
        <v>16</v>
      </c>
      <c r="J725" t="s">
        <v>16</v>
      </c>
      <c r="K725" t="str">
        <f>VLOOKUP(C725,CheckName!A:B,2,0)</f>
        <v>Emp</v>
      </c>
      <c r="M725">
        <f>DAY(RejectionData[[#This Row],[RejectionDate]])</f>
        <v>28</v>
      </c>
    </row>
    <row r="726" spans="1:13">
      <c r="A726" t="s">
        <v>1024</v>
      </c>
      <c r="B726" t="s">
        <v>1025</v>
      </c>
      <c r="C726" t="s">
        <v>1026</v>
      </c>
      <c r="D726" t="s">
        <v>26</v>
      </c>
      <c r="E726" s="7">
        <v>45624</v>
      </c>
      <c r="F726" t="s">
        <v>215</v>
      </c>
      <c r="G726">
        <v>1</v>
      </c>
      <c r="H726" t="s">
        <v>30</v>
      </c>
      <c r="I726" t="s">
        <v>16</v>
      </c>
      <c r="J726" t="s">
        <v>16</v>
      </c>
      <c r="K726" t="str">
        <f>VLOOKUP(C726,CheckName!A:B,2,0)</f>
        <v>Edu</v>
      </c>
      <c r="M726">
        <f>DAY(RejectionData[[#This Row],[RejectionDate]])</f>
        <v>28</v>
      </c>
    </row>
    <row r="727" spans="1:13">
      <c r="A727" t="s">
        <v>963</v>
      </c>
      <c r="B727" t="s">
        <v>1027</v>
      </c>
      <c r="C727" t="s">
        <v>12</v>
      </c>
      <c r="D727" t="s">
        <v>26</v>
      </c>
      <c r="E727" s="7">
        <v>45624</v>
      </c>
      <c r="F727" t="s">
        <v>694</v>
      </c>
      <c r="G727">
        <v>1</v>
      </c>
      <c r="H727" t="s">
        <v>27</v>
      </c>
      <c r="I727" t="s">
        <v>16</v>
      </c>
      <c r="J727" t="s">
        <v>16</v>
      </c>
      <c r="K727" t="str">
        <f>VLOOKUP(C727,CheckName!A:B,2,0)</f>
        <v>Emp</v>
      </c>
      <c r="M727">
        <f>DAY(RejectionData[[#This Row],[RejectionDate]])</f>
        <v>28</v>
      </c>
    </row>
    <row r="728" spans="1:13">
      <c r="A728" t="s">
        <v>1028</v>
      </c>
      <c r="B728" t="s">
        <v>1029</v>
      </c>
      <c r="C728" t="s">
        <v>467</v>
      </c>
      <c r="D728" t="s">
        <v>13</v>
      </c>
      <c r="E728" s="7">
        <v>45623</v>
      </c>
      <c r="F728" t="s">
        <v>706</v>
      </c>
      <c r="G728">
        <v>2</v>
      </c>
      <c r="H728" t="s">
        <v>130</v>
      </c>
      <c r="I728" t="s">
        <v>16</v>
      </c>
      <c r="J728" t="s">
        <v>16</v>
      </c>
      <c r="K728" t="str">
        <f>VLOOKUP(C728,CheckName!A:B,2,0)</f>
        <v>Special Check</v>
      </c>
      <c r="M728">
        <f>DAY(RejectionData[[#This Row],[RejectionDate]])</f>
        <v>27</v>
      </c>
    </row>
    <row r="729" spans="1:13">
      <c r="A729" t="s">
        <v>186</v>
      </c>
      <c r="B729" t="s">
        <v>1030</v>
      </c>
      <c r="C729" t="s">
        <v>54</v>
      </c>
      <c r="D729" t="s">
        <v>26</v>
      </c>
      <c r="E729" s="7">
        <v>45623</v>
      </c>
      <c r="F729" t="s">
        <v>103</v>
      </c>
      <c r="G729">
        <v>2</v>
      </c>
      <c r="H729" t="s">
        <v>27</v>
      </c>
      <c r="I729" t="s">
        <v>16</v>
      </c>
      <c r="J729" t="s">
        <v>16</v>
      </c>
      <c r="K729" t="str">
        <f>VLOOKUP(C729,CheckName!A:B,2,0)</f>
        <v>Edu</v>
      </c>
      <c r="M729">
        <f>DAY(RejectionData[[#This Row],[RejectionDate]])</f>
        <v>27</v>
      </c>
    </row>
    <row r="730" spans="1:13">
      <c r="A730" t="s">
        <v>1031</v>
      </c>
      <c r="B730" t="s">
        <v>1032</v>
      </c>
      <c r="C730" t="s">
        <v>36</v>
      </c>
      <c r="D730" t="s">
        <v>26</v>
      </c>
      <c r="E730" s="7">
        <v>45623</v>
      </c>
      <c r="F730" t="s">
        <v>301</v>
      </c>
      <c r="G730">
        <v>2</v>
      </c>
      <c r="H730" t="s">
        <v>130</v>
      </c>
      <c r="I730" t="s">
        <v>16</v>
      </c>
      <c r="J730" t="s">
        <v>16</v>
      </c>
      <c r="K730" t="str">
        <f>VLOOKUP(C730,CheckName!A:B,2,0)</f>
        <v>Emp</v>
      </c>
      <c r="M730">
        <f>DAY(RejectionData[[#This Row],[RejectionDate]])</f>
        <v>27</v>
      </c>
    </row>
    <row r="731" spans="1:13">
      <c r="A731" t="s">
        <v>100</v>
      </c>
      <c r="B731" t="s">
        <v>1033</v>
      </c>
      <c r="C731" t="s">
        <v>359</v>
      </c>
      <c r="D731" t="s">
        <v>26</v>
      </c>
      <c r="E731" s="7">
        <v>45622</v>
      </c>
      <c r="F731" t="s">
        <v>380</v>
      </c>
      <c r="G731">
        <v>3</v>
      </c>
      <c r="H731" t="s">
        <v>27</v>
      </c>
      <c r="I731" t="s">
        <v>16</v>
      </c>
      <c r="J731" t="s">
        <v>16</v>
      </c>
      <c r="K731" t="str">
        <f>VLOOKUP(C731,CheckName!A:B,2,0)</f>
        <v>Emp</v>
      </c>
      <c r="M731">
        <f>DAY(RejectionData[[#This Row],[RejectionDate]])</f>
        <v>26</v>
      </c>
    </row>
    <row r="732" spans="1:13">
      <c r="A732" t="s">
        <v>189</v>
      </c>
      <c r="B732" t="s">
        <v>1034</v>
      </c>
      <c r="C732" t="s">
        <v>220</v>
      </c>
      <c r="D732" t="s">
        <v>13</v>
      </c>
      <c r="E732" s="7">
        <v>45628</v>
      </c>
      <c r="F732" t="s">
        <v>14</v>
      </c>
      <c r="G732">
        <v>0</v>
      </c>
      <c r="H732" t="s">
        <v>15</v>
      </c>
      <c r="I732" t="s">
        <v>16</v>
      </c>
      <c r="J732" t="s">
        <v>16</v>
      </c>
      <c r="K732" t="str">
        <f>VLOOKUP(C732,CheckName!A:B,2,0)</f>
        <v>Ref</v>
      </c>
      <c r="M732">
        <f>DAY(RejectionData[[#This Row],[RejectionDate]])</f>
        <v>2</v>
      </c>
    </row>
    <row r="733" spans="1:13">
      <c r="A733" t="s">
        <v>189</v>
      </c>
      <c r="B733" t="s">
        <v>1034</v>
      </c>
      <c r="C733" t="s">
        <v>36</v>
      </c>
      <c r="D733" t="s">
        <v>13</v>
      </c>
      <c r="E733" s="7">
        <v>45628</v>
      </c>
      <c r="F733" t="s">
        <v>14</v>
      </c>
      <c r="G733">
        <v>0</v>
      </c>
      <c r="H733" t="s">
        <v>15</v>
      </c>
      <c r="I733" t="s">
        <v>16</v>
      </c>
      <c r="J733" t="s">
        <v>16</v>
      </c>
      <c r="K733" t="str">
        <f>VLOOKUP(C733,CheckName!A:B,2,0)</f>
        <v>Emp</v>
      </c>
      <c r="M733">
        <f>DAY(RejectionData[[#This Row],[RejectionDate]])</f>
        <v>2</v>
      </c>
    </row>
    <row r="734" spans="1:13">
      <c r="A734" t="s">
        <v>189</v>
      </c>
      <c r="B734" t="s">
        <v>1034</v>
      </c>
      <c r="C734" t="s">
        <v>54</v>
      </c>
      <c r="D734" t="s">
        <v>13</v>
      </c>
      <c r="E734" s="7">
        <v>45628</v>
      </c>
      <c r="F734" t="s">
        <v>14</v>
      </c>
      <c r="G734">
        <v>0</v>
      </c>
      <c r="H734" t="s">
        <v>15</v>
      </c>
      <c r="I734" t="s">
        <v>16</v>
      </c>
      <c r="J734" t="s">
        <v>16</v>
      </c>
      <c r="K734" t="str">
        <f>VLOOKUP(C734,CheckName!A:B,2,0)</f>
        <v>Edu</v>
      </c>
      <c r="M734">
        <f>DAY(RejectionData[[#This Row],[RejectionDate]])</f>
        <v>2</v>
      </c>
    </row>
    <row r="735" spans="1:13">
      <c r="A735" t="s">
        <v>189</v>
      </c>
      <c r="B735" t="s">
        <v>1034</v>
      </c>
      <c r="C735" t="s">
        <v>12</v>
      </c>
      <c r="D735" t="s">
        <v>13</v>
      </c>
      <c r="E735" s="7">
        <v>45628</v>
      </c>
      <c r="F735" t="s">
        <v>14</v>
      </c>
      <c r="G735">
        <v>0</v>
      </c>
      <c r="H735" t="s">
        <v>15</v>
      </c>
      <c r="I735" t="s">
        <v>16</v>
      </c>
      <c r="J735" t="s">
        <v>16</v>
      </c>
      <c r="K735" t="str">
        <f>VLOOKUP(C735,CheckName!A:B,2,0)</f>
        <v>Emp</v>
      </c>
      <c r="M735">
        <f>DAY(RejectionData[[#This Row],[RejectionDate]])</f>
        <v>2</v>
      </c>
    </row>
    <row r="736" spans="1:13">
      <c r="A736" t="s">
        <v>189</v>
      </c>
      <c r="B736" t="s">
        <v>1034</v>
      </c>
      <c r="C736" t="s">
        <v>106</v>
      </c>
      <c r="D736" t="s">
        <v>13</v>
      </c>
      <c r="E736" s="7">
        <v>45628</v>
      </c>
      <c r="F736" t="s">
        <v>14</v>
      </c>
      <c r="G736">
        <v>0</v>
      </c>
      <c r="H736" t="s">
        <v>15</v>
      </c>
      <c r="I736" t="s">
        <v>16</v>
      </c>
      <c r="J736" t="s">
        <v>16</v>
      </c>
      <c r="K736" t="str">
        <f>VLOOKUP(C736,CheckName!A:B,2,0)</f>
        <v>Ref</v>
      </c>
      <c r="M736">
        <f>DAY(RejectionData[[#This Row],[RejectionDate]])</f>
        <v>2</v>
      </c>
    </row>
    <row r="737" spans="1:13">
      <c r="A737" t="s">
        <v>599</v>
      </c>
      <c r="B737" t="s">
        <v>600</v>
      </c>
      <c r="C737" t="s">
        <v>12</v>
      </c>
      <c r="D737" t="s">
        <v>13</v>
      </c>
      <c r="E737" s="7">
        <v>45628</v>
      </c>
      <c r="F737" t="s">
        <v>14</v>
      </c>
      <c r="G737">
        <v>0</v>
      </c>
      <c r="H737" t="s">
        <v>15</v>
      </c>
      <c r="I737" t="s">
        <v>16</v>
      </c>
      <c r="J737" t="s">
        <v>16</v>
      </c>
      <c r="K737" t="str">
        <f>VLOOKUP(C737,CheckName!A:B,2,0)</f>
        <v>Emp</v>
      </c>
      <c r="M737">
        <f>DAY(RejectionData[[#This Row],[RejectionDate]])</f>
        <v>2</v>
      </c>
    </row>
    <row r="738" spans="1:13">
      <c r="A738" t="s">
        <v>64</v>
      </c>
      <c r="B738" t="s">
        <v>254</v>
      </c>
      <c r="C738" t="s">
        <v>54</v>
      </c>
      <c r="D738" t="s">
        <v>13</v>
      </c>
      <c r="E738" s="7">
        <v>45628</v>
      </c>
      <c r="F738" t="s">
        <v>14</v>
      </c>
      <c r="G738">
        <v>0</v>
      </c>
      <c r="H738" t="s">
        <v>15</v>
      </c>
      <c r="I738" t="s">
        <v>16</v>
      </c>
      <c r="J738" t="s">
        <v>16</v>
      </c>
      <c r="K738" t="str">
        <f>VLOOKUP(C738,CheckName!A:B,2,0)</f>
        <v>Edu</v>
      </c>
      <c r="M738">
        <f>DAY(RejectionData[[#This Row],[RejectionDate]])</f>
        <v>2</v>
      </c>
    </row>
    <row r="739" spans="1:13">
      <c r="A739" t="s">
        <v>160</v>
      </c>
      <c r="B739" t="s">
        <v>1035</v>
      </c>
      <c r="C739" t="s">
        <v>19</v>
      </c>
      <c r="D739" t="s">
        <v>20</v>
      </c>
      <c r="E739" s="7">
        <v>45628</v>
      </c>
      <c r="F739" t="s">
        <v>21</v>
      </c>
      <c r="G739">
        <v>0</v>
      </c>
      <c r="H739" t="s">
        <v>22</v>
      </c>
      <c r="I739" t="s">
        <v>16</v>
      </c>
      <c r="J739" t="s">
        <v>16</v>
      </c>
      <c r="K739" t="str">
        <f>VLOOKUP(C739,CheckName!A:B,2,0)</f>
        <v>Add</v>
      </c>
      <c r="M739">
        <f>DAY(RejectionData[[#This Row],[RejectionDate]])</f>
        <v>2</v>
      </c>
    </row>
    <row r="740" spans="1:13">
      <c r="A740" t="s">
        <v>160</v>
      </c>
      <c r="B740" t="s">
        <v>1036</v>
      </c>
      <c r="C740" t="s">
        <v>19</v>
      </c>
      <c r="D740" t="s">
        <v>20</v>
      </c>
      <c r="E740" s="7">
        <v>45628</v>
      </c>
      <c r="F740" t="s">
        <v>21</v>
      </c>
      <c r="G740">
        <v>0</v>
      </c>
      <c r="H740" t="s">
        <v>22</v>
      </c>
      <c r="I740" t="s">
        <v>16</v>
      </c>
      <c r="J740" t="s">
        <v>16</v>
      </c>
      <c r="K740" t="str">
        <f>VLOOKUP(C740,CheckName!A:B,2,0)</f>
        <v>Add</v>
      </c>
      <c r="M740">
        <f>DAY(RejectionData[[#This Row],[RejectionDate]])</f>
        <v>2</v>
      </c>
    </row>
    <row r="741" spans="1:13">
      <c r="A741" t="s">
        <v>360</v>
      </c>
      <c r="B741" t="s">
        <v>1037</v>
      </c>
      <c r="C741" t="s">
        <v>980</v>
      </c>
      <c r="D741" t="s">
        <v>20</v>
      </c>
      <c r="E741" s="7">
        <v>45628</v>
      </c>
      <c r="F741" t="s">
        <v>21</v>
      </c>
      <c r="G741">
        <v>0</v>
      </c>
      <c r="H741" t="s">
        <v>22</v>
      </c>
      <c r="I741" t="s">
        <v>16</v>
      </c>
      <c r="J741" t="s">
        <v>16</v>
      </c>
      <c r="K741" t="str">
        <f>VLOOKUP(C741,CheckName!A:B,2,0)</f>
        <v>Add</v>
      </c>
      <c r="M741">
        <f>DAY(RejectionData[[#This Row],[RejectionDate]])</f>
        <v>2</v>
      </c>
    </row>
    <row r="742" spans="1:13">
      <c r="A742" t="s">
        <v>360</v>
      </c>
      <c r="B742" t="s">
        <v>1038</v>
      </c>
      <c r="C742" t="s">
        <v>112</v>
      </c>
      <c r="D742" t="s">
        <v>26</v>
      </c>
      <c r="E742" s="7">
        <v>45628</v>
      </c>
      <c r="F742" t="s">
        <v>325</v>
      </c>
      <c r="G742">
        <v>0</v>
      </c>
      <c r="H742" t="s">
        <v>130</v>
      </c>
      <c r="I742" t="s">
        <v>16</v>
      </c>
      <c r="J742" t="s">
        <v>16</v>
      </c>
      <c r="K742" t="str">
        <f>VLOOKUP(C742,CheckName!A:B,2,0)</f>
        <v>Emp</v>
      </c>
      <c r="M742">
        <f>DAY(RejectionData[[#This Row],[RejectionDate]])</f>
        <v>2</v>
      </c>
    </row>
    <row r="743" spans="1:13">
      <c r="A743" t="s">
        <v>510</v>
      </c>
      <c r="B743" t="s">
        <v>1039</v>
      </c>
      <c r="C743" t="s">
        <v>19</v>
      </c>
      <c r="D743" t="s">
        <v>20</v>
      </c>
      <c r="E743" s="7">
        <v>45628</v>
      </c>
      <c r="F743" t="s">
        <v>21</v>
      </c>
      <c r="G743">
        <v>0</v>
      </c>
      <c r="H743" t="s">
        <v>22</v>
      </c>
      <c r="I743" t="s">
        <v>16</v>
      </c>
      <c r="J743" t="s">
        <v>16</v>
      </c>
      <c r="K743" t="str">
        <f>VLOOKUP(C743,CheckName!A:B,2,0)</f>
        <v>Add</v>
      </c>
      <c r="M743">
        <f>DAY(RejectionData[[#This Row],[RejectionDate]])</f>
        <v>2</v>
      </c>
    </row>
    <row r="744" spans="1:13">
      <c r="A744" t="s">
        <v>1040</v>
      </c>
      <c r="B744" t="s">
        <v>1041</v>
      </c>
      <c r="C744" t="s">
        <v>19</v>
      </c>
      <c r="D744" t="s">
        <v>20</v>
      </c>
      <c r="E744" s="7">
        <v>45628</v>
      </c>
      <c r="F744" t="s">
        <v>21</v>
      </c>
      <c r="G744">
        <v>0</v>
      </c>
      <c r="H744" t="s">
        <v>22</v>
      </c>
      <c r="I744" t="s">
        <v>16</v>
      </c>
      <c r="J744" t="s">
        <v>16</v>
      </c>
      <c r="K744" t="str">
        <f>VLOOKUP(C744,CheckName!A:B,2,0)</f>
        <v>Add</v>
      </c>
      <c r="M744">
        <f>DAY(RejectionData[[#This Row],[RejectionDate]])</f>
        <v>2</v>
      </c>
    </row>
    <row r="745" spans="1:13">
      <c r="A745" t="s">
        <v>203</v>
      </c>
      <c r="B745" t="s">
        <v>1042</v>
      </c>
      <c r="C745" t="s">
        <v>36</v>
      </c>
      <c r="D745" t="s">
        <v>26</v>
      </c>
      <c r="E745" s="7">
        <v>45628</v>
      </c>
      <c r="F745" t="s">
        <v>325</v>
      </c>
      <c r="G745">
        <v>0</v>
      </c>
      <c r="H745" t="s">
        <v>27</v>
      </c>
      <c r="I745" t="s">
        <v>16</v>
      </c>
      <c r="J745" t="s">
        <v>16</v>
      </c>
      <c r="K745" t="str">
        <f>VLOOKUP(C745,CheckName!A:B,2,0)</f>
        <v>Emp</v>
      </c>
      <c r="M745">
        <f>DAY(RejectionData[[#This Row],[RejectionDate]])</f>
        <v>2</v>
      </c>
    </row>
    <row r="746" spans="1:13">
      <c r="A746" t="s">
        <v>306</v>
      </c>
      <c r="B746" t="s">
        <v>1043</v>
      </c>
      <c r="C746" t="s">
        <v>54</v>
      </c>
      <c r="D746" t="s">
        <v>26</v>
      </c>
      <c r="E746" s="7">
        <v>45628</v>
      </c>
      <c r="F746" t="s">
        <v>663</v>
      </c>
      <c r="G746">
        <v>0</v>
      </c>
      <c r="H746" t="s">
        <v>27</v>
      </c>
      <c r="I746" t="s">
        <v>16</v>
      </c>
      <c r="J746" t="s">
        <v>16</v>
      </c>
      <c r="K746" t="str">
        <f>VLOOKUP(C746,CheckName!A:B,2,0)</f>
        <v>Edu</v>
      </c>
      <c r="M746">
        <f>DAY(RejectionData[[#This Row],[RejectionDate]])</f>
        <v>2</v>
      </c>
    </row>
    <row r="747" spans="1:13">
      <c r="A747" t="s">
        <v>306</v>
      </c>
      <c r="B747" t="s">
        <v>1044</v>
      </c>
      <c r="C747" t="s">
        <v>54</v>
      </c>
      <c r="D747" t="s">
        <v>26</v>
      </c>
      <c r="E747" s="7">
        <v>45628</v>
      </c>
      <c r="F747" t="s">
        <v>663</v>
      </c>
      <c r="G747">
        <v>0</v>
      </c>
      <c r="H747" t="s">
        <v>27</v>
      </c>
      <c r="I747" t="s">
        <v>16</v>
      </c>
      <c r="J747" t="s">
        <v>16</v>
      </c>
      <c r="K747" t="str">
        <f>VLOOKUP(C747,CheckName!A:B,2,0)</f>
        <v>Edu</v>
      </c>
      <c r="M747">
        <f>DAY(RejectionData[[#This Row],[RejectionDate]])</f>
        <v>2</v>
      </c>
    </row>
    <row r="748" spans="1:13">
      <c r="A748" t="s">
        <v>306</v>
      </c>
      <c r="B748" t="s">
        <v>1045</v>
      </c>
      <c r="C748" t="s">
        <v>54</v>
      </c>
      <c r="D748" t="s">
        <v>26</v>
      </c>
      <c r="E748" s="7">
        <v>45628</v>
      </c>
      <c r="F748" t="s">
        <v>663</v>
      </c>
      <c r="G748">
        <v>0</v>
      </c>
      <c r="H748" t="s">
        <v>27</v>
      </c>
      <c r="I748" t="s">
        <v>16</v>
      </c>
      <c r="J748" t="s">
        <v>16</v>
      </c>
      <c r="K748" t="str">
        <f>VLOOKUP(C748,CheckName!A:B,2,0)</f>
        <v>Edu</v>
      </c>
      <c r="M748">
        <f>DAY(RejectionData[[#This Row],[RejectionDate]])</f>
        <v>2</v>
      </c>
    </row>
    <row r="749" spans="1:13">
      <c r="A749" t="s">
        <v>452</v>
      </c>
      <c r="B749" t="s">
        <v>1046</v>
      </c>
      <c r="C749" t="s">
        <v>19</v>
      </c>
      <c r="D749" t="s">
        <v>20</v>
      </c>
      <c r="E749" s="7">
        <v>45628</v>
      </c>
      <c r="F749" t="s">
        <v>21</v>
      </c>
      <c r="G749">
        <v>0</v>
      </c>
      <c r="H749" t="s">
        <v>22</v>
      </c>
      <c r="I749" t="s">
        <v>16</v>
      </c>
      <c r="J749" t="s">
        <v>16</v>
      </c>
      <c r="K749" t="str">
        <f>VLOOKUP(C749,CheckName!A:B,2,0)</f>
        <v>Add</v>
      </c>
      <c r="M749">
        <f>DAY(RejectionData[[#This Row],[RejectionDate]])</f>
        <v>2</v>
      </c>
    </row>
    <row r="750" spans="1:13">
      <c r="A750" t="s">
        <v>88</v>
      </c>
      <c r="B750" t="s">
        <v>1047</v>
      </c>
      <c r="C750" t="s">
        <v>12</v>
      </c>
      <c r="D750" t="s">
        <v>51</v>
      </c>
      <c r="E750" s="7">
        <v>45628</v>
      </c>
      <c r="F750" t="s">
        <v>555</v>
      </c>
      <c r="G750">
        <v>0</v>
      </c>
      <c r="H750" t="s">
        <v>53</v>
      </c>
      <c r="I750" t="s">
        <v>16</v>
      </c>
      <c r="J750" t="s">
        <v>16</v>
      </c>
      <c r="K750" t="str">
        <f>VLOOKUP(C750,CheckName!A:B,2,0)</f>
        <v>Emp</v>
      </c>
      <c r="M750">
        <f>DAY(RejectionData[[#This Row],[RejectionDate]])</f>
        <v>2</v>
      </c>
    </row>
    <row r="751" spans="1:13">
      <c r="A751" t="s">
        <v>100</v>
      </c>
      <c r="B751" t="s">
        <v>1048</v>
      </c>
      <c r="C751" t="s">
        <v>255</v>
      </c>
      <c r="D751" t="s">
        <v>51</v>
      </c>
      <c r="E751" s="7">
        <v>45628</v>
      </c>
      <c r="F751" t="s">
        <v>555</v>
      </c>
      <c r="G751">
        <v>0</v>
      </c>
      <c r="H751" t="s">
        <v>53</v>
      </c>
      <c r="I751" t="s">
        <v>16</v>
      </c>
      <c r="J751" t="s">
        <v>16</v>
      </c>
      <c r="K751" t="str">
        <f>VLOOKUP(C751,CheckName!A:B,2,0)</f>
        <v>Special Check</v>
      </c>
      <c r="M751">
        <f>DAY(RejectionData[[#This Row],[RejectionDate]])</f>
        <v>2</v>
      </c>
    </row>
    <row r="752" spans="1:13">
      <c r="A752" t="s">
        <v>680</v>
      </c>
      <c r="B752" t="s">
        <v>1049</v>
      </c>
      <c r="C752" t="s">
        <v>56</v>
      </c>
      <c r="D752" t="s">
        <v>13</v>
      </c>
      <c r="E752" s="7">
        <v>45628</v>
      </c>
      <c r="F752" t="s">
        <v>230</v>
      </c>
      <c r="G752">
        <v>0</v>
      </c>
      <c r="H752" t="s">
        <v>15</v>
      </c>
      <c r="I752" t="s">
        <v>16</v>
      </c>
      <c r="J752" t="s">
        <v>16</v>
      </c>
      <c r="K752" t="str">
        <f>VLOOKUP(C752,CheckName!A:B,2,0)</f>
        <v>Special Check</v>
      </c>
      <c r="M752">
        <f>DAY(RejectionData[[#This Row],[RejectionDate]])</f>
        <v>2</v>
      </c>
    </row>
    <row r="753" spans="1:13">
      <c r="A753" t="s">
        <v>47</v>
      </c>
      <c r="B753" t="s">
        <v>1050</v>
      </c>
      <c r="C753" t="s">
        <v>56</v>
      </c>
      <c r="D753" t="s">
        <v>13</v>
      </c>
      <c r="E753" s="7">
        <v>45628</v>
      </c>
      <c r="F753" t="s">
        <v>1051</v>
      </c>
      <c r="G753">
        <v>0</v>
      </c>
      <c r="H753" t="s">
        <v>15</v>
      </c>
      <c r="I753" t="s">
        <v>16</v>
      </c>
      <c r="J753" t="s">
        <v>16</v>
      </c>
      <c r="K753" t="str">
        <f>VLOOKUP(C753,CheckName!A:B,2,0)</f>
        <v>Special Check</v>
      </c>
      <c r="M753">
        <f>DAY(RejectionData[[#This Row],[RejectionDate]])</f>
        <v>2</v>
      </c>
    </row>
    <row r="754" spans="1:13">
      <c r="A754" t="s">
        <v>84</v>
      </c>
      <c r="B754" t="s">
        <v>443</v>
      </c>
      <c r="C754" t="s">
        <v>36</v>
      </c>
      <c r="D754" t="s">
        <v>38</v>
      </c>
      <c r="E754" s="7">
        <v>45628</v>
      </c>
      <c r="F754" t="s">
        <v>39</v>
      </c>
      <c r="G754">
        <v>0</v>
      </c>
      <c r="H754" t="s">
        <v>42</v>
      </c>
      <c r="I754" t="s">
        <v>16</v>
      </c>
      <c r="J754" t="s">
        <v>16</v>
      </c>
      <c r="K754" t="str">
        <f>VLOOKUP(C754,CheckName!A:B,2,0)</f>
        <v>Emp</v>
      </c>
      <c r="M754">
        <f>DAY(RejectionData[[#This Row],[RejectionDate]])</f>
        <v>2</v>
      </c>
    </row>
    <row r="755" spans="1:13">
      <c r="A755" t="s">
        <v>119</v>
      </c>
      <c r="B755" t="s">
        <v>1052</v>
      </c>
      <c r="C755" t="s">
        <v>36</v>
      </c>
      <c r="D755" t="s">
        <v>38</v>
      </c>
      <c r="E755" s="7">
        <v>45628</v>
      </c>
      <c r="F755" t="s">
        <v>39</v>
      </c>
      <c r="G755">
        <v>0</v>
      </c>
      <c r="H755" t="s">
        <v>42</v>
      </c>
      <c r="I755" t="s">
        <v>16</v>
      </c>
      <c r="J755" t="s">
        <v>16</v>
      </c>
      <c r="K755" t="str">
        <f>VLOOKUP(C755,CheckName!A:B,2,0)</f>
        <v>Emp</v>
      </c>
      <c r="M755">
        <f>DAY(RejectionData[[#This Row],[RejectionDate]])</f>
        <v>2</v>
      </c>
    </row>
    <row r="756" spans="1:13">
      <c r="A756" t="s">
        <v>160</v>
      </c>
      <c r="B756" t="s">
        <v>1053</v>
      </c>
      <c r="C756" t="s">
        <v>125</v>
      </c>
      <c r="D756" t="s">
        <v>26</v>
      </c>
      <c r="E756" s="7">
        <v>45628</v>
      </c>
      <c r="F756" t="s">
        <v>222</v>
      </c>
      <c r="G756">
        <v>0</v>
      </c>
      <c r="H756" t="s">
        <v>22</v>
      </c>
      <c r="I756" t="s">
        <v>16</v>
      </c>
      <c r="J756" t="s">
        <v>16</v>
      </c>
      <c r="K756" t="str">
        <f>VLOOKUP(C756,CheckName!A:B,2,0)</f>
        <v>Emp</v>
      </c>
      <c r="M756">
        <f>DAY(RejectionData[[#This Row],[RejectionDate]])</f>
        <v>2</v>
      </c>
    </row>
    <row r="757" spans="1:13">
      <c r="A757" t="s">
        <v>999</v>
      </c>
      <c r="B757" t="s">
        <v>1054</v>
      </c>
      <c r="C757" t="s">
        <v>12</v>
      </c>
      <c r="D757" t="s">
        <v>26</v>
      </c>
      <c r="E757" s="7">
        <v>45628</v>
      </c>
      <c r="F757" t="s">
        <v>1055</v>
      </c>
      <c r="G757">
        <v>0</v>
      </c>
      <c r="H757" t="s">
        <v>27</v>
      </c>
      <c r="I757" t="s">
        <v>16</v>
      </c>
      <c r="J757" t="s">
        <v>16</v>
      </c>
      <c r="K757" t="str">
        <f>VLOOKUP(C757,CheckName!A:B,2,0)</f>
        <v>Emp</v>
      </c>
      <c r="M757">
        <f>DAY(RejectionData[[#This Row],[RejectionDate]])</f>
        <v>2</v>
      </c>
    </row>
    <row r="758" spans="1:13">
      <c r="A758" t="s">
        <v>1056</v>
      </c>
      <c r="B758" t="s">
        <v>1057</v>
      </c>
      <c r="C758" t="s">
        <v>12</v>
      </c>
      <c r="D758" t="s">
        <v>26</v>
      </c>
      <c r="E758" s="7">
        <v>45628</v>
      </c>
      <c r="F758" t="s">
        <v>222</v>
      </c>
      <c r="G758">
        <v>0</v>
      </c>
      <c r="H758" t="s">
        <v>27</v>
      </c>
      <c r="I758" t="s">
        <v>16</v>
      </c>
      <c r="J758" t="s">
        <v>16</v>
      </c>
      <c r="K758" t="str">
        <f>VLOOKUP(C758,CheckName!A:B,2,0)</f>
        <v>Emp</v>
      </c>
      <c r="M758">
        <f>DAY(RejectionData[[#This Row],[RejectionDate]])</f>
        <v>2</v>
      </c>
    </row>
    <row r="759" spans="1:13">
      <c r="A759" t="s">
        <v>934</v>
      </c>
      <c r="B759" t="s">
        <v>1058</v>
      </c>
      <c r="C759" t="s">
        <v>12</v>
      </c>
      <c r="D759" t="s">
        <v>26</v>
      </c>
      <c r="E759" s="7">
        <v>45628</v>
      </c>
      <c r="F759" t="s">
        <v>222</v>
      </c>
      <c r="G759">
        <v>0</v>
      </c>
      <c r="H759" t="s">
        <v>27</v>
      </c>
      <c r="I759" t="s">
        <v>16</v>
      </c>
      <c r="J759" t="s">
        <v>16</v>
      </c>
      <c r="K759" t="str">
        <f>VLOOKUP(C759,CheckName!A:B,2,0)</f>
        <v>Emp</v>
      </c>
      <c r="M759">
        <f>DAY(RejectionData[[#This Row],[RejectionDate]])</f>
        <v>2</v>
      </c>
    </row>
    <row r="760" spans="1:13">
      <c r="A760" t="s">
        <v>402</v>
      </c>
      <c r="B760" t="s">
        <v>1059</v>
      </c>
      <c r="C760" t="s">
        <v>54</v>
      </c>
      <c r="D760" t="s">
        <v>26</v>
      </c>
      <c r="E760" s="7">
        <v>45628</v>
      </c>
      <c r="F760" t="s">
        <v>63</v>
      </c>
      <c r="G760">
        <v>0</v>
      </c>
      <c r="H760" t="s">
        <v>22</v>
      </c>
      <c r="I760" t="s">
        <v>16</v>
      </c>
      <c r="J760" t="s">
        <v>16</v>
      </c>
      <c r="K760" t="str">
        <f>VLOOKUP(C760,CheckName!A:B,2,0)</f>
        <v>Edu</v>
      </c>
      <c r="M760">
        <f>DAY(RejectionData[[#This Row],[RejectionDate]])</f>
        <v>2</v>
      </c>
    </row>
    <row r="761" spans="1:13">
      <c r="A761" t="s">
        <v>84</v>
      </c>
      <c r="B761" t="s">
        <v>1060</v>
      </c>
      <c r="C761" t="s">
        <v>19</v>
      </c>
      <c r="D761" t="s">
        <v>26</v>
      </c>
      <c r="E761" s="7">
        <v>45628</v>
      </c>
      <c r="F761" t="s">
        <v>66</v>
      </c>
      <c r="G761">
        <v>0</v>
      </c>
      <c r="H761" t="s">
        <v>27</v>
      </c>
      <c r="I761" t="s">
        <v>16</v>
      </c>
      <c r="J761" t="s">
        <v>16</v>
      </c>
      <c r="K761" t="str">
        <f>VLOOKUP(C761,CheckName!A:B,2,0)</f>
        <v>Add</v>
      </c>
      <c r="M761">
        <f>DAY(RejectionData[[#This Row],[RejectionDate]])</f>
        <v>2</v>
      </c>
    </row>
    <row r="762" spans="1:13">
      <c r="A762" t="s">
        <v>84</v>
      </c>
      <c r="B762" t="s">
        <v>1061</v>
      </c>
      <c r="C762" t="s">
        <v>54</v>
      </c>
      <c r="D762" t="s">
        <v>26</v>
      </c>
      <c r="E762" s="7">
        <v>45628</v>
      </c>
      <c r="F762" t="s">
        <v>444</v>
      </c>
      <c r="G762">
        <v>0</v>
      </c>
      <c r="H762" t="s">
        <v>27</v>
      </c>
      <c r="I762" t="s">
        <v>16</v>
      </c>
      <c r="J762" t="s">
        <v>16</v>
      </c>
      <c r="K762" t="str">
        <f>VLOOKUP(C762,CheckName!A:B,2,0)</f>
        <v>Edu</v>
      </c>
      <c r="M762">
        <f>DAY(RejectionData[[#This Row],[RejectionDate]])</f>
        <v>2</v>
      </c>
    </row>
    <row r="763" spans="1:13">
      <c r="A763" t="s">
        <v>186</v>
      </c>
      <c r="B763" t="s">
        <v>1062</v>
      </c>
      <c r="C763" t="s">
        <v>54</v>
      </c>
      <c r="D763" t="s">
        <v>26</v>
      </c>
      <c r="E763" s="7">
        <v>45628</v>
      </c>
      <c r="F763" t="s">
        <v>63</v>
      </c>
      <c r="G763">
        <v>0</v>
      </c>
      <c r="H763" t="s">
        <v>27</v>
      </c>
      <c r="I763" t="s">
        <v>16</v>
      </c>
      <c r="J763" t="s">
        <v>16</v>
      </c>
      <c r="K763" t="str">
        <f>VLOOKUP(C763,CheckName!A:B,2,0)</f>
        <v>Edu</v>
      </c>
      <c r="M763">
        <f>DAY(RejectionData[[#This Row],[RejectionDate]])</f>
        <v>2</v>
      </c>
    </row>
    <row r="764" spans="1:13">
      <c r="A764" t="s">
        <v>203</v>
      </c>
      <c r="B764" t="s">
        <v>1063</v>
      </c>
      <c r="C764" t="s">
        <v>19</v>
      </c>
      <c r="D764" t="s">
        <v>20</v>
      </c>
      <c r="E764" s="7">
        <v>45628</v>
      </c>
      <c r="F764" t="s">
        <v>62</v>
      </c>
      <c r="G764">
        <v>0</v>
      </c>
      <c r="H764" t="s">
        <v>22</v>
      </c>
      <c r="I764" t="s">
        <v>16</v>
      </c>
      <c r="J764" t="s">
        <v>16</v>
      </c>
      <c r="K764" t="str">
        <f>VLOOKUP(C764,CheckName!A:B,2,0)</f>
        <v>Add</v>
      </c>
      <c r="M764">
        <f>DAY(RejectionData[[#This Row],[RejectionDate]])</f>
        <v>2</v>
      </c>
    </row>
    <row r="765" spans="1:13">
      <c r="A765" t="s">
        <v>45</v>
      </c>
      <c r="B765" t="s">
        <v>1064</v>
      </c>
      <c r="C765" t="s">
        <v>25</v>
      </c>
      <c r="D765" t="s">
        <v>20</v>
      </c>
      <c r="E765" s="7">
        <v>45628</v>
      </c>
      <c r="F765" t="s">
        <v>62</v>
      </c>
      <c r="G765">
        <v>0</v>
      </c>
      <c r="H765" t="s">
        <v>27</v>
      </c>
      <c r="I765" t="s">
        <v>16</v>
      </c>
      <c r="J765" t="s">
        <v>16</v>
      </c>
      <c r="K765" t="str">
        <f>VLOOKUP(C765,CheckName!A:B,2,0)</f>
        <v>Add</v>
      </c>
      <c r="M765">
        <f>DAY(RejectionData[[#This Row],[RejectionDate]])</f>
        <v>2</v>
      </c>
    </row>
    <row r="766" spans="1:13">
      <c r="A766" t="s">
        <v>211</v>
      </c>
      <c r="B766" t="s">
        <v>1065</v>
      </c>
      <c r="C766" t="s">
        <v>71</v>
      </c>
      <c r="D766" t="s">
        <v>51</v>
      </c>
      <c r="E766" s="7">
        <v>45628</v>
      </c>
      <c r="F766" t="s">
        <v>194</v>
      </c>
      <c r="G766">
        <v>0</v>
      </c>
      <c r="H766" t="s">
        <v>15</v>
      </c>
      <c r="I766" t="s">
        <v>16</v>
      </c>
      <c r="J766" t="s">
        <v>16</v>
      </c>
      <c r="K766" t="str">
        <f>VLOOKUP(C766,CheckName!A:B,2,0)</f>
        <v>CRC</v>
      </c>
      <c r="M766">
        <f>DAY(RejectionData[[#This Row],[RejectionDate]])</f>
        <v>2</v>
      </c>
    </row>
    <row r="767" spans="1:13">
      <c r="A767" t="s">
        <v>211</v>
      </c>
      <c r="B767" t="s">
        <v>1066</v>
      </c>
      <c r="C767" t="s">
        <v>71</v>
      </c>
      <c r="D767" t="s">
        <v>51</v>
      </c>
      <c r="E767" s="7">
        <v>45628</v>
      </c>
      <c r="F767" t="s">
        <v>194</v>
      </c>
      <c r="G767">
        <v>0</v>
      </c>
      <c r="H767" t="s">
        <v>15</v>
      </c>
      <c r="I767" t="s">
        <v>16</v>
      </c>
      <c r="J767" t="s">
        <v>16</v>
      </c>
      <c r="K767" t="str">
        <f>VLOOKUP(C767,CheckName!A:B,2,0)</f>
        <v>CRC</v>
      </c>
      <c r="M767">
        <f>DAY(RejectionData[[#This Row],[RejectionDate]])</f>
        <v>2</v>
      </c>
    </row>
    <row r="768" spans="1:13">
      <c r="A768" t="s">
        <v>45</v>
      </c>
      <c r="B768" t="s">
        <v>1067</v>
      </c>
      <c r="C768" t="s">
        <v>1068</v>
      </c>
      <c r="D768" t="s">
        <v>13</v>
      </c>
      <c r="E768" s="7">
        <v>45628</v>
      </c>
      <c r="F768" t="s">
        <v>706</v>
      </c>
      <c r="G768">
        <v>0</v>
      </c>
      <c r="H768" t="s">
        <v>15</v>
      </c>
      <c r="I768" t="s">
        <v>16</v>
      </c>
      <c r="J768" t="s">
        <v>16</v>
      </c>
      <c r="K768" t="str">
        <f>VLOOKUP(C768,CheckName!A:B,2,0)</f>
        <v>Special Check</v>
      </c>
      <c r="M768">
        <f>DAY(RejectionData[[#This Row],[RejectionDate]])</f>
        <v>2</v>
      </c>
    </row>
    <row r="769" spans="1:13">
      <c r="A769" t="s">
        <v>45</v>
      </c>
      <c r="B769" t="s">
        <v>1069</v>
      </c>
      <c r="C769" t="s">
        <v>12</v>
      </c>
      <c r="D769" t="s">
        <v>13</v>
      </c>
      <c r="E769" s="7">
        <v>45628</v>
      </c>
      <c r="F769" t="s">
        <v>706</v>
      </c>
      <c r="G769">
        <v>0</v>
      </c>
      <c r="H769" t="s">
        <v>15</v>
      </c>
      <c r="I769" t="s">
        <v>16</v>
      </c>
      <c r="J769" t="s">
        <v>16</v>
      </c>
      <c r="K769" t="str">
        <f>VLOOKUP(C769,CheckName!A:B,2,0)</f>
        <v>Emp</v>
      </c>
      <c r="M769">
        <f>DAY(RejectionData[[#This Row],[RejectionDate]])</f>
        <v>2</v>
      </c>
    </row>
    <row r="770" spans="1:13">
      <c r="A770" t="s">
        <v>1070</v>
      </c>
      <c r="B770" t="s">
        <v>1071</v>
      </c>
      <c r="C770" t="s">
        <v>36</v>
      </c>
      <c r="D770" t="s">
        <v>13</v>
      </c>
      <c r="E770" s="7">
        <v>45628</v>
      </c>
      <c r="F770" t="s">
        <v>574</v>
      </c>
      <c r="G770">
        <v>0</v>
      </c>
      <c r="H770" t="s">
        <v>130</v>
      </c>
      <c r="I770" t="s">
        <v>16</v>
      </c>
      <c r="J770" t="s">
        <v>16</v>
      </c>
      <c r="K770" t="str">
        <f>VLOOKUP(C770,CheckName!A:B,2,0)</f>
        <v>Emp</v>
      </c>
      <c r="M770">
        <f>DAY(RejectionData[[#This Row],[RejectionDate]])</f>
        <v>2</v>
      </c>
    </row>
    <row r="771" spans="1:13">
      <c r="A771" t="s">
        <v>320</v>
      </c>
      <c r="B771" t="s">
        <v>1072</v>
      </c>
      <c r="C771" t="s">
        <v>55</v>
      </c>
      <c r="D771" t="s">
        <v>26</v>
      </c>
      <c r="E771" s="7">
        <v>45628</v>
      </c>
      <c r="F771" t="s">
        <v>188</v>
      </c>
      <c r="G771">
        <v>0</v>
      </c>
      <c r="H771" t="s">
        <v>27</v>
      </c>
      <c r="I771" t="s">
        <v>16</v>
      </c>
      <c r="J771" t="s">
        <v>16</v>
      </c>
      <c r="K771" t="str">
        <f>VLOOKUP(C771,CheckName!A:B,2,0)</f>
        <v>Edu</v>
      </c>
      <c r="M771">
        <f>DAY(RejectionData[[#This Row],[RejectionDate]])</f>
        <v>2</v>
      </c>
    </row>
    <row r="772" spans="1:13">
      <c r="A772" t="s">
        <v>165</v>
      </c>
      <c r="B772" t="s">
        <v>1073</v>
      </c>
      <c r="C772" t="s">
        <v>125</v>
      </c>
      <c r="D772" t="s">
        <v>26</v>
      </c>
      <c r="E772" s="7">
        <v>45628</v>
      </c>
      <c r="F772" t="s">
        <v>196</v>
      </c>
      <c r="G772">
        <v>0</v>
      </c>
      <c r="H772" t="s">
        <v>27</v>
      </c>
      <c r="I772" t="s">
        <v>16</v>
      </c>
      <c r="J772" t="s">
        <v>16</v>
      </c>
      <c r="K772" t="str">
        <f>VLOOKUP(C772,CheckName!A:B,2,0)</f>
        <v>Emp</v>
      </c>
      <c r="M772">
        <f>DAY(RejectionData[[#This Row],[RejectionDate]])</f>
        <v>2</v>
      </c>
    </row>
    <row r="773" spans="1:13">
      <c r="A773" t="s">
        <v>139</v>
      </c>
      <c r="B773" t="s">
        <v>1074</v>
      </c>
      <c r="C773" t="s">
        <v>12</v>
      </c>
      <c r="D773" t="s">
        <v>26</v>
      </c>
      <c r="E773" s="7">
        <v>45628</v>
      </c>
      <c r="F773" t="s">
        <v>83</v>
      </c>
      <c r="G773">
        <v>0</v>
      </c>
      <c r="H773" t="s">
        <v>27</v>
      </c>
      <c r="I773" t="s">
        <v>16</v>
      </c>
      <c r="J773" t="s">
        <v>16</v>
      </c>
      <c r="K773" t="str">
        <f>VLOOKUP(C773,CheckName!A:B,2,0)</f>
        <v>Emp</v>
      </c>
      <c r="M773">
        <f>DAY(RejectionData[[#This Row],[RejectionDate]])</f>
        <v>2</v>
      </c>
    </row>
    <row r="774" spans="1:13">
      <c r="A774" t="s">
        <v>419</v>
      </c>
      <c r="B774" t="s">
        <v>1075</v>
      </c>
      <c r="C774" t="s">
        <v>125</v>
      </c>
      <c r="D774" t="s">
        <v>26</v>
      </c>
      <c r="E774" s="7">
        <v>45628</v>
      </c>
      <c r="F774" t="s">
        <v>355</v>
      </c>
      <c r="G774">
        <v>0</v>
      </c>
      <c r="H774" t="s">
        <v>22</v>
      </c>
      <c r="I774" t="s">
        <v>16</v>
      </c>
      <c r="J774" t="s">
        <v>16</v>
      </c>
      <c r="K774" t="str">
        <f>VLOOKUP(C774,CheckName!A:B,2,0)</f>
        <v>Emp</v>
      </c>
      <c r="M774">
        <f>DAY(RejectionData[[#This Row],[RejectionDate]])</f>
        <v>2</v>
      </c>
    </row>
    <row r="775" spans="1:13">
      <c r="A775" t="s">
        <v>100</v>
      </c>
      <c r="B775" t="s">
        <v>1076</v>
      </c>
      <c r="C775" t="s">
        <v>775</v>
      </c>
      <c r="D775" t="s">
        <v>26</v>
      </c>
      <c r="E775" s="7">
        <v>45628</v>
      </c>
      <c r="F775" t="s">
        <v>380</v>
      </c>
      <c r="G775">
        <v>0</v>
      </c>
      <c r="H775" t="s">
        <v>27</v>
      </c>
      <c r="I775" t="s">
        <v>16</v>
      </c>
      <c r="J775" t="s">
        <v>16</v>
      </c>
      <c r="K775" t="str">
        <f>VLOOKUP(C775,CheckName!A:B,2,0)</f>
        <v>Emp</v>
      </c>
      <c r="M775">
        <f>DAY(RejectionData[[#This Row],[RejectionDate]])</f>
        <v>2</v>
      </c>
    </row>
    <row r="776" spans="1:13">
      <c r="A776" t="s">
        <v>100</v>
      </c>
      <c r="B776" t="s">
        <v>1077</v>
      </c>
      <c r="C776" t="s">
        <v>775</v>
      </c>
      <c r="D776" t="s">
        <v>26</v>
      </c>
      <c r="E776" s="7">
        <v>45628</v>
      </c>
      <c r="F776" t="s">
        <v>380</v>
      </c>
      <c r="G776">
        <v>0</v>
      </c>
      <c r="H776" t="s">
        <v>27</v>
      </c>
      <c r="I776" t="s">
        <v>16</v>
      </c>
      <c r="J776" t="s">
        <v>16</v>
      </c>
      <c r="K776" t="str">
        <f>VLOOKUP(C776,CheckName!A:B,2,0)</f>
        <v>Emp</v>
      </c>
      <c r="M776">
        <f>DAY(RejectionData[[#This Row],[RejectionDate]])</f>
        <v>2</v>
      </c>
    </row>
    <row r="777" spans="1:13">
      <c r="A777" t="s">
        <v>100</v>
      </c>
      <c r="B777" t="s">
        <v>1078</v>
      </c>
      <c r="C777" t="s">
        <v>357</v>
      </c>
      <c r="D777" t="s">
        <v>26</v>
      </c>
      <c r="E777" s="7">
        <v>45628</v>
      </c>
      <c r="F777" t="s">
        <v>380</v>
      </c>
      <c r="G777">
        <v>0</v>
      </c>
      <c r="H777" t="s">
        <v>30</v>
      </c>
      <c r="I777" t="s">
        <v>16</v>
      </c>
      <c r="J777" t="s">
        <v>16</v>
      </c>
      <c r="K777" t="str">
        <f>VLOOKUP(C777,CheckName!A:B,2,0)</f>
        <v>Emp</v>
      </c>
      <c r="M777">
        <f>DAY(RejectionData[[#This Row],[RejectionDate]])</f>
        <v>2</v>
      </c>
    </row>
    <row r="778" spans="1:13">
      <c r="A778" t="s">
        <v>893</v>
      </c>
      <c r="B778" t="s">
        <v>1079</v>
      </c>
      <c r="C778" t="s">
        <v>12</v>
      </c>
      <c r="D778" t="s">
        <v>26</v>
      </c>
      <c r="E778" s="7">
        <v>45628</v>
      </c>
      <c r="F778" t="s">
        <v>83</v>
      </c>
      <c r="G778">
        <v>0</v>
      </c>
      <c r="H778" t="s">
        <v>27</v>
      </c>
      <c r="I778" t="s">
        <v>16</v>
      </c>
      <c r="J778" t="s">
        <v>16</v>
      </c>
      <c r="K778" t="str">
        <f>VLOOKUP(C778,CheckName!A:B,2,0)</f>
        <v>Emp</v>
      </c>
      <c r="M778">
        <f>DAY(RejectionData[[#This Row],[RejectionDate]])</f>
        <v>2</v>
      </c>
    </row>
    <row r="779" spans="1:13">
      <c r="A779" t="s">
        <v>1080</v>
      </c>
      <c r="B779" t="s">
        <v>1081</v>
      </c>
      <c r="C779" t="s">
        <v>54</v>
      </c>
      <c r="D779" t="s">
        <v>26</v>
      </c>
      <c r="E779" s="7">
        <v>45628</v>
      </c>
      <c r="F779" t="s">
        <v>351</v>
      </c>
      <c r="G779">
        <v>0</v>
      </c>
      <c r="H779" t="s">
        <v>27</v>
      </c>
      <c r="I779" t="s">
        <v>16</v>
      </c>
      <c r="J779" t="s">
        <v>16</v>
      </c>
      <c r="K779" t="str">
        <f>VLOOKUP(C779,CheckName!A:B,2,0)</f>
        <v>Edu</v>
      </c>
      <c r="M779">
        <f>DAY(RejectionData[[#This Row],[RejectionDate]])</f>
        <v>2</v>
      </c>
    </row>
    <row r="780" spans="1:13">
      <c r="A780" t="s">
        <v>137</v>
      </c>
      <c r="B780" t="s">
        <v>1082</v>
      </c>
      <c r="C780" t="s">
        <v>12</v>
      </c>
      <c r="D780" t="s">
        <v>26</v>
      </c>
      <c r="E780" s="7">
        <v>45628</v>
      </c>
      <c r="F780" t="s">
        <v>83</v>
      </c>
      <c r="G780">
        <v>0</v>
      </c>
      <c r="H780" t="s">
        <v>27</v>
      </c>
      <c r="I780" t="s">
        <v>16</v>
      </c>
      <c r="J780" t="s">
        <v>16</v>
      </c>
      <c r="K780" t="str">
        <f>VLOOKUP(C780,CheckName!A:B,2,0)</f>
        <v>Emp</v>
      </c>
      <c r="M780">
        <f>DAY(RejectionData[[#This Row],[RejectionDate]])</f>
        <v>2</v>
      </c>
    </row>
    <row r="781" spans="1:13">
      <c r="A781" t="s">
        <v>133</v>
      </c>
      <c r="B781" t="s">
        <v>1083</v>
      </c>
      <c r="C781" t="s">
        <v>36</v>
      </c>
      <c r="D781" t="s">
        <v>26</v>
      </c>
      <c r="E781" s="7">
        <v>45628</v>
      </c>
      <c r="F781" t="s">
        <v>83</v>
      </c>
      <c r="G781">
        <v>0</v>
      </c>
      <c r="H781" t="s">
        <v>27</v>
      </c>
      <c r="I781" t="s">
        <v>16</v>
      </c>
      <c r="J781" t="s">
        <v>16</v>
      </c>
      <c r="K781" t="str">
        <f>VLOOKUP(C781,CheckName!A:B,2,0)</f>
        <v>Emp</v>
      </c>
      <c r="M781">
        <f>DAY(RejectionData[[#This Row],[RejectionDate]])</f>
        <v>2</v>
      </c>
    </row>
    <row r="782" spans="1:13">
      <c r="A782" t="s">
        <v>165</v>
      </c>
      <c r="B782" t="s">
        <v>1084</v>
      </c>
      <c r="C782" t="s">
        <v>125</v>
      </c>
      <c r="D782" t="s">
        <v>26</v>
      </c>
      <c r="E782" s="7">
        <v>45628</v>
      </c>
      <c r="F782" t="s">
        <v>277</v>
      </c>
      <c r="G782">
        <v>0</v>
      </c>
      <c r="H782" t="s">
        <v>27</v>
      </c>
      <c r="I782" t="s">
        <v>16</v>
      </c>
      <c r="J782" t="s">
        <v>16</v>
      </c>
      <c r="K782" t="str">
        <f>VLOOKUP(C782,CheckName!A:B,2,0)</f>
        <v>Emp</v>
      </c>
      <c r="M782">
        <f>DAY(RejectionData[[#This Row],[RejectionDate]])</f>
        <v>2</v>
      </c>
    </row>
    <row r="783" spans="1:13">
      <c r="A783" t="s">
        <v>216</v>
      </c>
      <c r="B783" t="s">
        <v>1085</v>
      </c>
      <c r="C783" t="s">
        <v>56</v>
      </c>
      <c r="D783" t="s">
        <v>13</v>
      </c>
      <c r="E783" s="7">
        <v>45628</v>
      </c>
      <c r="F783" t="s">
        <v>844</v>
      </c>
      <c r="G783">
        <v>0</v>
      </c>
      <c r="H783" t="s">
        <v>15</v>
      </c>
      <c r="I783" t="s">
        <v>16</v>
      </c>
      <c r="J783" t="s">
        <v>16</v>
      </c>
      <c r="K783" t="str">
        <f>VLOOKUP(C783,CheckName!A:B,2,0)</f>
        <v>Special Check</v>
      </c>
      <c r="M783">
        <f>DAY(RejectionData[[#This Row],[RejectionDate]])</f>
        <v>2</v>
      </c>
    </row>
    <row r="784" spans="1:13">
      <c r="A784" t="s">
        <v>306</v>
      </c>
      <c r="B784" t="s">
        <v>1086</v>
      </c>
      <c r="C784" t="s">
        <v>125</v>
      </c>
      <c r="D784" t="s">
        <v>13</v>
      </c>
      <c r="E784" s="7">
        <v>45628</v>
      </c>
      <c r="F784" t="s">
        <v>844</v>
      </c>
      <c r="G784">
        <v>0</v>
      </c>
      <c r="H784" t="s">
        <v>505</v>
      </c>
      <c r="I784" t="s">
        <v>16</v>
      </c>
      <c r="J784" t="s">
        <v>16</v>
      </c>
      <c r="K784" t="str">
        <f>VLOOKUP(C784,CheckName!A:B,2,0)</f>
        <v>Emp</v>
      </c>
      <c r="M784">
        <f>DAY(RejectionData[[#This Row],[RejectionDate]])</f>
        <v>2</v>
      </c>
    </row>
    <row r="785" spans="1:13">
      <c r="A785" t="s">
        <v>306</v>
      </c>
      <c r="B785" t="s">
        <v>1087</v>
      </c>
      <c r="C785" t="s">
        <v>71</v>
      </c>
      <c r="D785" t="s">
        <v>13</v>
      </c>
      <c r="E785" s="7">
        <v>45628</v>
      </c>
      <c r="F785" t="s">
        <v>844</v>
      </c>
      <c r="G785">
        <v>0</v>
      </c>
      <c r="H785" t="s">
        <v>15</v>
      </c>
      <c r="I785" t="s">
        <v>16</v>
      </c>
      <c r="J785" t="s">
        <v>16</v>
      </c>
      <c r="K785" t="str">
        <f>VLOOKUP(C785,CheckName!A:B,2,0)</f>
        <v>CRC</v>
      </c>
      <c r="M785">
        <f>DAY(RejectionData[[#This Row],[RejectionDate]])</f>
        <v>2</v>
      </c>
    </row>
    <row r="786" spans="1:13">
      <c r="A786" t="s">
        <v>306</v>
      </c>
      <c r="B786" t="s">
        <v>1087</v>
      </c>
      <c r="C786" t="s">
        <v>59</v>
      </c>
      <c r="D786" t="s">
        <v>13</v>
      </c>
      <c r="E786" s="7">
        <v>45628</v>
      </c>
      <c r="F786" t="s">
        <v>844</v>
      </c>
      <c r="G786">
        <v>0</v>
      </c>
      <c r="H786" t="s">
        <v>15</v>
      </c>
      <c r="I786" t="s">
        <v>16</v>
      </c>
      <c r="J786" t="s">
        <v>16</v>
      </c>
      <c r="K786" t="str">
        <f>VLOOKUP(C786,CheckName!A:B,2,0)</f>
        <v>Special Check</v>
      </c>
      <c r="M786">
        <f>DAY(RejectionData[[#This Row],[RejectionDate]])</f>
        <v>2</v>
      </c>
    </row>
    <row r="787" spans="1:13">
      <c r="A787" t="s">
        <v>1088</v>
      </c>
      <c r="B787" t="s">
        <v>1089</v>
      </c>
      <c r="C787" t="s">
        <v>12</v>
      </c>
      <c r="D787" t="s">
        <v>13</v>
      </c>
      <c r="E787" s="7">
        <v>45628</v>
      </c>
      <c r="F787" t="s">
        <v>530</v>
      </c>
      <c r="G787">
        <v>0</v>
      </c>
      <c r="H787" t="s">
        <v>15</v>
      </c>
      <c r="I787" t="s">
        <v>16</v>
      </c>
      <c r="J787" t="s">
        <v>16</v>
      </c>
      <c r="K787" t="str">
        <f>VLOOKUP(C787,CheckName!A:B,2,0)</f>
        <v>Emp</v>
      </c>
      <c r="M787">
        <f>DAY(RejectionData[[#This Row],[RejectionDate]])</f>
        <v>2</v>
      </c>
    </row>
    <row r="788" spans="1:13">
      <c r="A788" t="s">
        <v>1090</v>
      </c>
      <c r="B788" t="s">
        <v>1091</v>
      </c>
      <c r="C788" t="s">
        <v>54</v>
      </c>
      <c r="D788" t="s">
        <v>26</v>
      </c>
      <c r="E788" s="7">
        <v>45628</v>
      </c>
      <c r="F788" t="s">
        <v>94</v>
      </c>
      <c r="G788">
        <v>0</v>
      </c>
      <c r="H788" t="s">
        <v>27</v>
      </c>
      <c r="I788" t="s">
        <v>16</v>
      </c>
      <c r="J788" t="s">
        <v>16</v>
      </c>
      <c r="K788" t="str">
        <f>VLOOKUP(C788,CheckName!A:B,2,0)</f>
        <v>Edu</v>
      </c>
      <c r="M788">
        <f>DAY(RejectionData[[#This Row],[RejectionDate]])</f>
        <v>2</v>
      </c>
    </row>
    <row r="789" spans="1:13">
      <c r="A789" t="s">
        <v>1092</v>
      </c>
      <c r="B789" t="s">
        <v>1093</v>
      </c>
      <c r="C789" t="s">
        <v>54</v>
      </c>
      <c r="D789" t="s">
        <v>26</v>
      </c>
      <c r="E789" s="7">
        <v>45628</v>
      </c>
      <c r="F789" t="s">
        <v>94</v>
      </c>
      <c r="G789">
        <v>0</v>
      </c>
      <c r="H789" t="s">
        <v>95</v>
      </c>
      <c r="I789" t="s">
        <v>16</v>
      </c>
      <c r="J789" t="s">
        <v>16</v>
      </c>
      <c r="K789" t="str">
        <f>VLOOKUP(C789,CheckName!A:B,2,0)</f>
        <v>Edu</v>
      </c>
      <c r="M789">
        <f>DAY(RejectionData[[#This Row],[RejectionDate]])</f>
        <v>2</v>
      </c>
    </row>
    <row r="790" spans="1:13">
      <c r="A790" t="s">
        <v>142</v>
      </c>
      <c r="B790" t="s">
        <v>1094</v>
      </c>
      <c r="C790" t="s">
        <v>54</v>
      </c>
      <c r="D790" t="s">
        <v>13</v>
      </c>
      <c r="E790" s="7">
        <v>45628</v>
      </c>
      <c r="F790" t="s">
        <v>98</v>
      </c>
      <c r="G790">
        <v>0</v>
      </c>
      <c r="H790" t="s">
        <v>15</v>
      </c>
      <c r="I790" t="s">
        <v>16</v>
      </c>
      <c r="J790" t="s">
        <v>16</v>
      </c>
      <c r="K790" t="str">
        <f>VLOOKUP(C790,CheckName!A:B,2,0)</f>
        <v>Edu</v>
      </c>
      <c r="M790">
        <f>DAY(RejectionData[[#This Row],[RejectionDate]])</f>
        <v>2</v>
      </c>
    </row>
    <row r="791" spans="1:13">
      <c r="A791" t="s">
        <v>142</v>
      </c>
      <c r="B791" t="s">
        <v>1095</v>
      </c>
      <c r="C791" t="s">
        <v>54</v>
      </c>
      <c r="D791" t="s">
        <v>13</v>
      </c>
      <c r="E791" s="7">
        <v>45628</v>
      </c>
      <c r="F791" t="s">
        <v>98</v>
      </c>
      <c r="G791">
        <v>0</v>
      </c>
      <c r="H791" t="s">
        <v>15</v>
      </c>
      <c r="I791" t="s">
        <v>16</v>
      </c>
      <c r="J791" t="s">
        <v>16</v>
      </c>
      <c r="K791" t="str">
        <f>VLOOKUP(C791,CheckName!A:B,2,0)</f>
        <v>Edu</v>
      </c>
      <c r="M791">
        <f>DAY(RejectionData[[#This Row],[RejectionDate]])</f>
        <v>2</v>
      </c>
    </row>
    <row r="792" spans="1:13">
      <c r="A792" t="s">
        <v>45</v>
      </c>
      <c r="B792" t="s">
        <v>1096</v>
      </c>
      <c r="C792" t="s">
        <v>12</v>
      </c>
      <c r="D792" t="s">
        <v>13</v>
      </c>
      <c r="E792" s="7">
        <v>45628</v>
      </c>
      <c r="F792" t="s">
        <v>98</v>
      </c>
      <c r="G792">
        <v>0</v>
      </c>
      <c r="H792" t="s">
        <v>15</v>
      </c>
      <c r="I792" t="s">
        <v>16</v>
      </c>
      <c r="J792" t="s">
        <v>16</v>
      </c>
      <c r="K792" t="str">
        <f>VLOOKUP(C792,CheckName!A:B,2,0)</f>
        <v>Emp</v>
      </c>
      <c r="M792">
        <f>DAY(RejectionData[[#This Row],[RejectionDate]])</f>
        <v>2</v>
      </c>
    </row>
    <row r="793" spans="1:13">
      <c r="A793" t="s">
        <v>996</v>
      </c>
      <c r="B793" t="s">
        <v>1097</v>
      </c>
      <c r="C793" t="s">
        <v>1098</v>
      </c>
      <c r="D793" t="s">
        <v>26</v>
      </c>
      <c r="E793" s="7">
        <v>45628</v>
      </c>
      <c r="F793" t="s">
        <v>538</v>
      </c>
      <c r="G793">
        <v>0</v>
      </c>
      <c r="H793" t="s">
        <v>27</v>
      </c>
      <c r="I793" t="s">
        <v>16</v>
      </c>
      <c r="J793" t="s">
        <v>16</v>
      </c>
      <c r="K793" t="str">
        <f>VLOOKUP(C793,CheckName!A:B,2,0)</f>
        <v>Edu</v>
      </c>
      <c r="M793">
        <f>DAY(RejectionData[[#This Row],[RejectionDate]])</f>
        <v>2</v>
      </c>
    </row>
    <row r="794" spans="1:13">
      <c r="A794" t="s">
        <v>81</v>
      </c>
      <c r="B794" t="s">
        <v>1099</v>
      </c>
      <c r="C794" t="s">
        <v>54</v>
      </c>
      <c r="D794" t="s">
        <v>13</v>
      </c>
      <c r="E794" s="7">
        <v>45628</v>
      </c>
      <c r="F794" t="s">
        <v>781</v>
      </c>
      <c r="G794">
        <v>0</v>
      </c>
      <c r="H794" t="s">
        <v>130</v>
      </c>
      <c r="I794" t="s">
        <v>16</v>
      </c>
      <c r="J794" t="s">
        <v>16</v>
      </c>
      <c r="K794" t="str">
        <f>VLOOKUP(C794,CheckName!A:B,2,0)</f>
        <v>Edu</v>
      </c>
      <c r="M794">
        <f>DAY(RejectionData[[#This Row],[RejectionDate]])</f>
        <v>2</v>
      </c>
    </row>
    <row r="795" spans="1:13">
      <c r="A795" t="s">
        <v>510</v>
      </c>
      <c r="B795" t="s">
        <v>1100</v>
      </c>
      <c r="C795" t="s">
        <v>54</v>
      </c>
      <c r="D795" t="s">
        <v>13</v>
      </c>
      <c r="E795" s="7">
        <v>45628</v>
      </c>
      <c r="F795" t="s">
        <v>819</v>
      </c>
      <c r="G795">
        <v>0</v>
      </c>
      <c r="H795" t="s">
        <v>15</v>
      </c>
      <c r="I795" t="s">
        <v>16</v>
      </c>
      <c r="J795" t="s">
        <v>16</v>
      </c>
      <c r="K795" t="str">
        <f>VLOOKUP(C795,CheckName!A:B,2,0)</f>
        <v>Edu</v>
      </c>
      <c r="M795">
        <f>DAY(RejectionData[[#This Row],[RejectionDate]])</f>
        <v>2</v>
      </c>
    </row>
    <row r="796" spans="1:13">
      <c r="A796" t="s">
        <v>73</v>
      </c>
      <c r="B796" t="s">
        <v>1101</v>
      </c>
      <c r="C796" t="s">
        <v>54</v>
      </c>
      <c r="D796" t="s">
        <v>13</v>
      </c>
      <c r="E796" s="7">
        <v>45628</v>
      </c>
      <c r="F796" t="s">
        <v>781</v>
      </c>
      <c r="G796">
        <v>0</v>
      </c>
      <c r="H796" t="s">
        <v>15</v>
      </c>
      <c r="I796" t="s">
        <v>16</v>
      </c>
      <c r="J796" t="s">
        <v>16</v>
      </c>
      <c r="K796" t="str">
        <f>VLOOKUP(C796,CheckName!A:B,2,0)</f>
        <v>Edu</v>
      </c>
      <c r="M796">
        <f>DAY(RejectionData[[#This Row],[RejectionDate]])</f>
        <v>2</v>
      </c>
    </row>
    <row r="797" spans="1:13">
      <c r="A797" t="s">
        <v>216</v>
      </c>
      <c r="B797" t="s">
        <v>1102</v>
      </c>
      <c r="C797" t="s">
        <v>1103</v>
      </c>
      <c r="D797" t="s">
        <v>38</v>
      </c>
      <c r="E797" s="7">
        <v>45628</v>
      </c>
      <c r="F797" t="s">
        <v>108</v>
      </c>
      <c r="G797">
        <v>0</v>
      </c>
      <c r="H797" t="s">
        <v>42</v>
      </c>
      <c r="I797" t="s">
        <v>16</v>
      </c>
      <c r="J797" t="s">
        <v>16</v>
      </c>
      <c r="K797" t="str">
        <f>VLOOKUP(C797,CheckName!A:B,2,0)</f>
        <v>CRC</v>
      </c>
      <c r="M797">
        <f>DAY(RejectionData[[#This Row],[RejectionDate]])</f>
        <v>2</v>
      </c>
    </row>
    <row r="798" spans="1:13">
      <c r="A798" t="s">
        <v>216</v>
      </c>
      <c r="B798" t="s">
        <v>1102</v>
      </c>
      <c r="C798" t="s">
        <v>1104</v>
      </c>
      <c r="D798" t="s">
        <v>38</v>
      </c>
      <c r="E798" s="7">
        <v>45628</v>
      </c>
      <c r="F798" t="s">
        <v>108</v>
      </c>
      <c r="G798">
        <v>0</v>
      </c>
      <c r="H798" t="s">
        <v>42</v>
      </c>
      <c r="I798" t="s">
        <v>16</v>
      </c>
      <c r="J798" t="s">
        <v>16</v>
      </c>
      <c r="K798" t="str">
        <f>VLOOKUP(C798,CheckName!A:B,2,0)</f>
        <v>CRC</v>
      </c>
      <c r="M798">
        <f>DAY(RejectionData[[#This Row],[RejectionDate]])</f>
        <v>2</v>
      </c>
    </row>
    <row r="799" spans="1:13">
      <c r="A799" t="s">
        <v>216</v>
      </c>
      <c r="B799" t="s">
        <v>1102</v>
      </c>
      <c r="C799" t="s">
        <v>49</v>
      </c>
      <c r="D799" t="s">
        <v>38</v>
      </c>
      <c r="E799" s="7">
        <v>45628</v>
      </c>
      <c r="F799" t="s">
        <v>108</v>
      </c>
      <c r="G799">
        <v>0</v>
      </c>
      <c r="H799" t="s">
        <v>42</v>
      </c>
      <c r="I799" t="s">
        <v>16</v>
      </c>
      <c r="J799" t="s">
        <v>16</v>
      </c>
      <c r="K799" t="str">
        <f>VLOOKUP(C799,CheckName!A:B,2,0)</f>
        <v>CRC</v>
      </c>
      <c r="M799">
        <f>DAY(RejectionData[[#This Row],[RejectionDate]])</f>
        <v>2</v>
      </c>
    </row>
    <row r="800" spans="1:13">
      <c r="A800" t="s">
        <v>299</v>
      </c>
      <c r="B800" t="s">
        <v>1105</v>
      </c>
      <c r="C800" t="s">
        <v>93</v>
      </c>
      <c r="D800" t="s">
        <v>13</v>
      </c>
      <c r="E800" s="7">
        <v>45628</v>
      </c>
      <c r="F800" t="s">
        <v>156</v>
      </c>
      <c r="G800">
        <v>0</v>
      </c>
      <c r="H800" t="s">
        <v>15</v>
      </c>
      <c r="I800" t="s">
        <v>16</v>
      </c>
      <c r="J800" t="s">
        <v>16</v>
      </c>
      <c r="K800" t="str">
        <f>VLOOKUP(C800,CheckName!A:B,2,0)</f>
        <v>Edu</v>
      </c>
      <c r="M800">
        <f>DAY(RejectionData[[#This Row],[RejectionDate]])</f>
        <v>2</v>
      </c>
    </row>
    <row r="801" spans="1:13">
      <c r="A801" t="s">
        <v>84</v>
      </c>
      <c r="B801" t="s">
        <v>1106</v>
      </c>
      <c r="C801" t="s">
        <v>12</v>
      </c>
      <c r="D801" t="s">
        <v>26</v>
      </c>
      <c r="E801" s="7">
        <v>45628</v>
      </c>
      <c r="F801" t="s">
        <v>110</v>
      </c>
      <c r="G801">
        <v>0</v>
      </c>
      <c r="H801" t="s">
        <v>130</v>
      </c>
      <c r="I801" t="s">
        <v>16</v>
      </c>
      <c r="J801" t="s">
        <v>16</v>
      </c>
      <c r="K801" t="str">
        <f>VLOOKUP(C801,CheckName!A:B,2,0)</f>
        <v>Emp</v>
      </c>
      <c r="M801">
        <f>DAY(RejectionData[[#This Row],[RejectionDate]])</f>
        <v>2</v>
      </c>
    </row>
    <row r="802" spans="1:13">
      <c r="A802" t="s">
        <v>1107</v>
      </c>
      <c r="B802" t="s">
        <v>1108</v>
      </c>
      <c r="C802" t="s">
        <v>12</v>
      </c>
      <c r="D802" t="s">
        <v>26</v>
      </c>
      <c r="E802" s="7">
        <v>45628</v>
      </c>
      <c r="F802" t="s">
        <v>110</v>
      </c>
      <c r="G802">
        <v>0</v>
      </c>
      <c r="H802" t="s">
        <v>27</v>
      </c>
      <c r="I802" t="s">
        <v>16</v>
      </c>
      <c r="J802" t="s">
        <v>16</v>
      </c>
      <c r="K802" t="str">
        <f>VLOOKUP(C802,CheckName!A:B,2,0)</f>
        <v>Emp</v>
      </c>
      <c r="M802">
        <f>DAY(RejectionData[[#This Row],[RejectionDate]])</f>
        <v>2</v>
      </c>
    </row>
    <row r="803" spans="1:13">
      <c r="A803" t="s">
        <v>749</v>
      </c>
      <c r="B803" t="s">
        <v>1109</v>
      </c>
      <c r="C803" t="s">
        <v>19</v>
      </c>
      <c r="D803" t="s">
        <v>26</v>
      </c>
      <c r="E803" s="7">
        <v>45628</v>
      </c>
      <c r="F803" t="s">
        <v>129</v>
      </c>
      <c r="G803">
        <v>0</v>
      </c>
      <c r="H803" t="s">
        <v>27</v>
      </c>
      <c r="I803" t="s">
        <v>16</v>
      </c>
      <c r="J803" t="s">
        <v>16</v>
      </c>
      <c r="K803" t="str">
        <f>VLOOKUP(C803,CheckName!A:B,2,0)</f>
        <v>Add</v>
      </c>
      <c r="M803">
        <f>DAY(RejectionData[[#This Row],[RejectionDate]])</f>
        <v>2</v>
      </c>
    </row>
    <row r="804" spans="1:13">
      <c r="A804" t="s">
        <v>1110</v>
      </c>
      <c r="B804" t="s">
        <v>1111</v>
      </c>
      <c r="C804" t="s">
        <v>965</v>
      </c>
      <c r="D804" t="s">
        <v>26</v>
      </c>
      <c r="E804" s="7">
        <v>45628</v>
      </c>
      <c r="F804" t="s">
        <v>129</v>
      </c>
      <c r="G804">
        <v>0</v>
      </c>
      <c r="H804" t="s">
        <v>27</v>
      </c>
      <c r="I804" t="s">
        <v>16</v>
      </c>
      <c r="J804" t="s">
        <v>16</v>
      </c>
      <c r="K804" t="str">
        <f>VLOOKUP(C804,CheckName!A:B,2,0)</f>
        <v>Add</v>
      </c>
      <c r="M804">
        <f>DAY(RejectionData[[#This Row],[RejectionDate]])</f>
        <v>2</v>
      </c>
    </row>
    <row r="805" spans="1:13">
      <c r="A805" t="s">
        <v>160</v>
      </c>
      <c r="B805" t="s">
        <v>1112</v>
      </c>
      <c r="C805" t="s">
        <v>19</v>
      </c>
      <c r="D805" t="s">
        <v>20</v>
      </c>
      <c r="E805" s="7">
        <v>45626</v>
      </c>
      <c r="F805" t="s">
        <v>129</v>
      </c>
      <c r="G805">
        <v>2</v>
      </c>
      <c r="H805" t="s">
        <v>22</v>
      </c>
      <c r="I805" t="s">
        <v>16</v>
      </c>
      <c r="J805" t="s">
        <v>16</v>
      </c>
      <c r="K805" t="str">
        <f>VLOOKUP(C805,CheckName!A:B,2,0)</f>
        <v>Add</v>
      </c>
      <c r="M805">
        <f>DAY(RejectionData[[#This Row],[RejectionDate]])</f>
        <v>30</v>
      </c>
    </row>
    <row r="806" spans="1:13">
      <c r="A806" t="s">
        <v>137</v>
      </c>
      <c r="B806" t="s">
        <v>1113</v>
      </c>
      <c r="C806" t="s">
        <v>25</v>
      </c>
      <c r="D806" t="s">
        <v>26</v>
      </c>
      <c r="E806" s="7">
        <v>45626</v>
      </c>
      <c r="F806" t="s">
        <v>129</v>
      </c>
      <c r="G806">
        <v>2</v>
      </c>
      <c r="H806" t="s">
        <v>27</v>
      </c>
      <c r="I806" t="s">
        <v>16</v>
      </c>
      <c r="J806" t="s">
        <v>16</v>
      </c>
      <c r="K806" t="str">
        <f>VLOOKUP(C806,CheckName!A:B,2,0)</f>
        <v>Add</v>
      </c>
      <c r="M806">
        <f>DAY(RejectionData[[#This Row],[RejectionDate]])</f>
        <v>30</v>
      </c>
    </row>
    <row r="807" spans="1:13">
      <c r="A807" t="s">
        <v>137</v>
      </c>
      <c r="B807" t="s">
        <v>1114</v>
      </c>
      <c r="C807" t="s">
        <v>25</v>
      </c>
      <c r="D807" t="s">
        <v>20</v>
      </c>
      <c r="E807" s="7">
        <v>45626</v>
      </c>
      <c r="F807" t="s">
        <v>129</v>
      </c>
      <c r="G807">
        <v>2</v>
      </c>
      <c r="H807" t="s">
        <v>22</v>
      </c>
      <c r="I807" t="s">
        <v>16</v>
      </c>
      <c r="J807" t="s">
        <v>16</v>
      </c>
      <c r="K807" t="str">
        <f>VLOOKUP(C807,CheckName!A:B,2,0)</f>
        <v>Add</v>
      </c>
      <c r="M807">
        <f>DAY(RejectionData[[#This Row],[RejectionDate]])</f>
        <v>30</v>
      </c>
    </row>
    <row r="808" spans="1:13">
      <c r="A808" t="s">
        <v>200</v>
      </c>
      <c r="B808" t="s">
        <v>1115</v>
      </c>
      <c r="C808" t="s">
        <v>25</v>
      </c>
      <c r="D808" t="s">
        <v>20</v>
      </c>
      <c r="E808" s="7">
        <v>45626</v>
      </c>
      <c r="F808" t="s">
        <v>129</v>
      </c>
      <c r="G808">
        <v>2</v>
      </c>
      <c r="H808" t="s">
        <v>22</v>
      </c>
      <c r="I808" t="s">
        <v>16</v>
      </c>
      <c r="J808" t="s">
        <v>16</v>
      </c>
      <c r="K808" t="str">
        <f>VLOOKUP(C808,CheckName!A:B,2,0)</f>
        <v>Add</v>
      </c>
      <c r="M808">
        <f>DAY(RejectionData[[#This Row],[RejectionDate]])</f>
        <v>30</v>
      </c>
    </row>
    <row r="809" spans="1:13">
      <c r="A809" t="s">
        <v>317</v>
      </c>
      <c r="B809" t="s">
        <v>860</v>
      </c>
      <c r="C809" t="s">
        <v>19</v>
      </c>
      <c r="D809" t="s">
        <v>20</v>
      </c>
      <c r="E809" s="7">
        <v>45626</v>
      </c>
      <c r="F809" t="s">
        <v>129</v>
      </c>
      <c r="G809">
        <v>2</v>
      </c>
      <c r="H809" t="s">
        <v>22</v>
      </c>
      <c r="I809" t="s">
        <v>16</v>
      </c>
      <c r="J809" t="s">
        <v>16</v>
      </c>
      <c r="K809" t="str">
        <f>VLOOKUP(C809,CheckName!A:B,2,0)</f>
        <v>Add</v>
      </c>
      <c r="M809">
        <f>DAY(RejectionData[[#This Row],[RejectionDate]])</f>
        <v>30</v>
      </c>
    </row>
    <row r="810" spans="1:13">
      <c r="A810" t="s">
        <v>1116</v>
      </c>
      <c r="B810" t="s">
        <v>1117</v>
      </c>
      <c r="C810" t="s">
        <v>25</v>
      </c>
      <c r="D810" t="s">
        <v>20</v>
      </c>
      <c r="E810" s="7">
        <v>45626</v>
      </c>
      <c r="F810" t="s">
        <v>129</v>
      </c>
      <c r="G810">
        <v>2</v>
      </c>
      <c r="H810" t="s">
        <v>27</v>
      </c>
      <c r="I810" t="s">
        <v>16</v>
      </c>
      <c r="J810" t="s">
        <v>16</v>
      </c>
      <c r="K810" t="str">
        <f>VLOOKUP(C810,CheckName!A:B,2,0)</f>
        <v>Add</v>
      </c>
      <c r="M810">
        <f>DAY(RejectionData[[#This Row],[RejectionDate]])</f>
        <v>30</v>
      </c>
    </row>
    <row r="811" spans="1:13">
      <c r="A811" t="s">
        <v>245</v>
      </c>
      <c r="B811" t="s">
        <v>454</v>
      </c>
      <c r="C811" t="s">
        <v>19</v>
      </c>
      <c r="D811" t="s">
        <v>20</v>
      </c>
      <c r="E811" s="7">
        <v>45626</v>
      </c>
      <c r="F811" t="s">
        <v>129</v>
      </c>
      <c r="G811">
        <v>2</v>
      </c>
      <c r="H811" t="s">
        <v>22</v>
      </c>
      <c r="I811" t="s">
        <v>16</v>
      </c>
      <c r="J811" t="s">
        <v>16</v>
      </c>
      <c r="K811" t="str">
        <f>VLOOKUP(C811,CheckName!A:B,2,0)</f>
        <v>Add</v>
      </c>
      <c r="M811">
        <f>DAY(RejectionData[[#This Row],[RejectionDate]])</f>
        <v>30</v>
      </c>
    </row>
    <row r="812" spans="1:13">
      <c r="A812" t="s">
        <v>160</v>
      </c>
      <c r="B812" t="s">
        <v>1118</v>
      </c>
      <c r="C812" t="s">
        <v>125</v>
      </c>
      <c r="D812" t="s">
        <v>26</v>
      </c>
      <c r="E812" s="7">
        <v>45626</v>
      </c>
      <c r="F812" t="s">
        <v>169</v>
      </c>
      <c r="G812">
        <v>2</v>
      </c>
      <c r="H812" t="s">
        <v>22</v>
      </c>
      <c r="I812" t="s">
        <v>16</v>
      </c>
      <c r="J812" t="s">
        <v>16</v>
      </c>
      <c r="K812" t="str">
        <f>VLOOKUP(C812,CheckName!A:B,2,0)</f>
        <v>Emp</v>
      </c>
      <c r="M812">
        <f>DAY(RejectionData[[#This Row],[RejectionDate]])</f>
        <v>30</v>
      </c>
    </row>
    <row r="813" spans="1:13">
      <c r="A813" t="s">
        <v>100</v>
      </c>
      <c r="B813" t="s">
        <v>1119</v>
      </c>
      <c r="C813" t="s">
        <v>102</v>
      </c>
      <c r="D813" t="s">
        <v>26</v>
      </c>
      <c r="E813" s="7">
        <v>45626</v>
      </c>
      <c r="F813" t="s">
        <v>535</v>
      </c>
      <c r="G813">
        <v>2</v>
      </c>
      <c r="H813" t="s">
        <v>30</v>
      </c>
      <c r="I813" t="s">
        <v>16</v>
      </c>
      <c r="J813" t="s">
        <v>16</v>
      </c>
      <c r="K813" t="str">
        <f>VLOOKUP(C813,CheckName!A:B,2,0)</f>
        <v>Edu</v>
      </c>
      <c r="M813">
        <f>DAY(RejectionData[[#This Row],[RejectionDate]])</f>
        <v>30</v>
      </c>
    </row>
    <row r="814" spans="1:13">
      <c r="A814" t="s">
        <v>45</v>
      </c>
      <c r="B814" t="s">
        <v>1120</v>
      </c>
      <c r="C814" t="s">
        <v>19</v>
      </c>
      <c r="D814" t="s">
        <v>20</v>
      </c>
      <c r="E814" s="7">
        <v>45626</v>
      </c>
      <c r="F814" t="s">
        <v>76</v>
      </c>
      <c r="G814">
        <v>2</v>
      </c>
      <c r="H814" t="s">
        <v>22</v>
      </c>
      <c r="I814" t="s">
        <v>16</v>
      </c>
      <c r="J814" t="s">
        <v>16</v>
      </c>
      <c r="K814" t="str">
        <f>VLOOKUP(C814,CheckName!A:B,2,0)</f>
        <v>Add</v>
      </c>
      <c r="M814">
        <f>DAY(RejectionData[[#This Row],[RejectionDate]])</f>
        <v>30</v>
      </c>
    </row>
    <row r="815" spans="1:13">
      <c r="A815" t="s">
        <v>160</v>
      </c>
      <c r="B815" t="s">
        <v>1121</v>
      </c>
      <c r="C815" t="s">
        <v>93</v>
      </c>
      <c r="D815" t="s">
        <v>26</v>
      </c>
      <c r="E815" s="7">
        <v>45626</v>
      </c>
      <c r="F815" t="s">
        <v>188</v>
      </c>
      <c r="G815">
        <v>2</v>
      </c>
      <c r="H815" t="s">
        <v>27</v>
      </c>
      <c r="I815" t="s">
        <v>16</v>
      </c>
      <c r="J815" t="s">
        <v>16</v>
      </c>
      <c r="K815" t="str">
        <f>VLOOKUP(C815,CheckName!A:B,2,0)</f>
        <v>Edu</v>
      </c>
      <c r="M815">
        <f>DAY(RejectionData[[#This Row],[RejectionDate]])</f>
        <v>30</v>
      </c>
    </row>
    <row r="816" spans="1:13">
      <c r="A816" t="s">
        <v>200</v>
      </c>
      <c r="B816" t="s">
        <v>1122</v>
      </c>
      <c r="C816" t="s">
        <v>25</v>
      </c>
      <c r="D816" t="s">
        <v>26</v>
      </c>
      <c r="E816" s="7">
        <v>45626</v>
      </c>
      <c r="F816" t="s">
        <v>62</v>
      </c>
      <c r="G816">
        <v>2</v>
      </c>
      <c r="H816" t="s">
        <v>27</v>
      </c>
      <c r="I816" t="s">
        <v>16</v>
      </c>
      <c r="J816" t="s">
        <v>16</v>
      </c>
      <c r="K816" t="str">
        <f>VLOOKUP(C816,CheckName!A:B,2,0)</f>
        <v>Add</v>
      </c>
      <c r="M816">
        <f>DAY(RejectionData[[#This Row],[RejectionDate]])</f>
        <v>30</v>
      </c>
    </row>
    <row r="817" spans="1:13">
      <c r="A817" t="s">
        <v>1116</v>
      </c>
      <c r="B817" t="s">
        <v>1123</v>
      </c>
      <c r="C817" t="s">
        <v>19</v>
      </c>
      <c r="D817" t="s">
        <v>20</v>
      </c>
      <c r="E817" s="7">
        <v>45626</v>
      </c>
      <c r="F817" t="s">
        <v>62</v>
      </c>
      <c r="G817">
        <v>2</v>
      </c>
      <c r="H817" t="s">
        <v>27</v>
      </c>
      <c r="I817" t="s">
        <v>16</v>
      </c>
      <c r="J817" t="s">
        <v>16</v>
      </c>
      <c r="K817" t="str">
        <f>VLOOKUP(C817,CheckName!A:B,2,0)</f>
        <v>Add</v>
      </c>
      <c r="M817">
        <f>DAY(RejectionData[[#This Row],[RejectionDate]])</f>
        <v>30</v>
      </c>
    </row>
    <row r="818" spans="1:13">
      <c r="A818" t="s">
        <v>1124</v>
      </c>
      <c r="B818" t="s">
        <v>1125</v>
      </c>
      <c r="C818" t="s">
        <v>25</v>
      </c>
      <c r="D818" t="s">
        <v>20</v>
      </c>
      <c r="E818" s="7">
        <v>45626</v>
      </c>
      <c r="F818" t="s">
        <v>62</v>
      </c>
      <c r="G818">
        <v>2</v>
      </c>
      <c r="H818" t="s">
        <v>27</v>
      </c>
      <c r="I818" t="s">
        <v>16</v>
      </c>
      <c r="J818" t="s">
        <v>16</v>
      </c>
      <c r="K818" t="str">
        <f>VLOOKUP(C818,CheckName!A:B,2,0)</f>
        <v>Add</v>
      </c>
      <c r="M818">
        <f>DAY(RejectionData[[#This Row],[RejectionDate]])</f>
        <v>30</v>
      </c>
    </row>
    <row r="819" spans="1:13">
      <c r="A819" t="s">
        <v>73</v>
      </c>
      <c r="B819" t="s">
        <v>1126</v>
      </c>
      <c r="C819" t="s">
        <v>54</v>
      </c>
      <c r="D819" t="s">
        <v>26</v>
      </c>
      <c r="E819" s="7">
        <v>45626</v>
      </c>
      <c r="F819" t="s">
        <v>63</v>
      </c>
      <c r="G819">
        <v>2</v>
      </c>
      <c r="H819" t="s">
        <v>27</v>
      </c>
      <c r="I819" t="s">
        <v>16</v>
      </c>
      <c r="J819" t="s">
        <v>16</v>
      </c>
      <c r="K819" t="str">
        <f>VLOOKUP(C819,CheckName!A:B,2,0)</f>
        <v>Edu</v>
      </c>
      <c r="M819">
        <f>DAY(RejectionData[[#This Row],[RejectionDate]])</f>
        <v>30</v>
      </c>
    </row>
    <row r="820" spans="1:13">
      <c r="A820" t="s">
        <v>133</v>
      </c>
      <c r="B820" t="s">
        <v>1127</v>
      </c>
      <c r="C820" t="s">
        <v>25</v>
      </c>
      <c r="D820" t="s">
        <v>20</v>
      </c>
      <c r="E820" s="7">
        <v>45625</v>
      </c>
      <c r="F820" t="s">
        <v>62</v>
      </c>
      <c r="G820">
        <v>3</v>
      </c>
      <c r="H820" t="s">
        <v>22</v>
      </c>
      <c r="I820" t="s">
        <v>16</v>
      </c>
      <c r="J820" t="s">
        <v>16</v>
      </c>
      <c r="K820" t="str">
        <f>VLOOKUP(C820,CheckName!A:B,2,0)</f>
        <v>Add</v>
      </c>
      <c r="M820">
        <f>DAY(RejectionData[[#This Row],[RejectionDate]])</f>
        <v>29</v>
      </c>
    </row>
    <row r="821" spans="1:13">
      <c r="A821" t="s">
        <v>288</v>
      </c>
      <c r="B821" t="s">
        <v>1128</v>
      </c>
      <c r="C821" t="s">
        <v>36</v>
      </c>
      <c r="D821" t="s">
        <v>26</v>
      </c>
      <c r="E821" s="7">
        <v>45625</v>
      </c>
      <c r="F821" t="s">
        <v>694</v>
      </c>
      <c r="G821">
        <v>3</v>
      </c>
      <c r="H821" t="s">
        <v>27</v>
      </c>
      <c r="I821" t="s">
        <v>16</v>
      </c>
      <c r="J821" t="s">
        <v>16</v>
      </c>
      <c r="K821" t="str">
        <f>VLOOKUP(C821,CheckName!A:B,2,0)</f>
        <v>Emp</v>
      </c>
      <c r="M821">
        <f>DAY(RejectionData[[#This Row],[RejectionDate]])</f>
        <v>29</v>
      </c>
    </row>
    <row r="822" spans="1:13">
      <c r="A822" t="s">
        <v>1129</v>
      </c>
      <c r="B822" t="s">
        <v>1130</v>
      </c>
      <c r="C822" t="s">
        <v>93</v>
      </c>
      <c r="D822" t="s">
        <v>26</v>
      </c>
      <c r="E822" s="7">
        <v>45625</v>
      </c>
      <c r="F822" t="s">
        <v>63</v>
      </c>
      <c r="G822">
        <v>3</v>
      </c>
      <c r="H822" t="s">
        <v>27</v>
      </c>
      <c r="I822" t="s">
        <v>16</v>
      </c>
      <c r="J822" t="s">
        <v>16</v>
      </c>
      <c r="K822" t="str">
        <f>VLOOKUP(C822,CheckName!A:B,2,0)</f>
        <v>Edu</v>
      </c>
      <c r="M822">
        <f>DAY(RejectionData[[#This Row],[RejectionDate]])</f>
        <v>29</v>
      </c>
    </row>
    <row r="823" spans="1:13">
      <c r="A823" t="s">
        <v>1131</v>
      </c>
      <c r="B823" t="s">
        <v>1132</v>
      </c>
      <c r="C823" t="s">
        <v>12</v>
      </c>
      <c r="D823" t="s">
        <v>26</v>
      </c>
      <c r="E823" s="7">
        <v>45625</v>
      </c>
      <c r="F823" t="s">
        <v>1055</v>
      </c>
      <c r="G823">
        <v>3</v>
      </c>
      <c r="H823" t="s">
        <v>22</v>
      </c>
      <c r="I823" t="s">
        <v>16</v>
      </c>
      <c r="J823" t="s">
        <v>16</v>
      </c>
      <c r="K823" t="str">
        <f>VLOOKUP(C823,CheckName!A:B,2,0)</f>
        <v>Emp</v>
      </c>
      <c r="M823">
        <f>DAY(RejectionData[[#This Row],[RejectionDate]])</f>
        <v>29</v>
      </c>
    </row>
    <row r="824" spans="1:13">
      <c r="A824" t="s">
        <v>465</v>
      </c>
      <c r="B824" t="s">
        <v>1133</v>
      </c>
      <c r="C824" t="s">
        <v>12</v>
      </c>
      <c r="D824" t="s">
        <v>38</v>
      </c>
      <c r="E824" s="7">
        <v>45625</v>
      </c>
      <c r="F824" t="s">
        <v>39</v>
      </c>
      <c r="G824">
        <v>3</v>
      </c>
      <c r="H824" t="s">
        <v>42</v>
      </c>
      <c r="I824" t="s">
        <v>16</v>
      </c>
      <c r="J824" t="s">
        <v>16</v>
      </c>
      <c r="K824" t="str">
        <f>VLOOKUP(C824,CheckName!A:B,2,0)</f>
        <v>Emp</v>
      </c>
      <c r="M824">
        <f>DAY(RejectionData[[#This Row],[RejectionDate]])</f>
        <v>29</v>
      </c>
    </row>
    <row r="825" spans="1:13">
      <c r="A825" t="s">
        <v>133</v>
      </c>
      <c r="B825" t="s">
        <v>1134</v>
      </c>
      <c r="C825" t="s">
        <v>36</v>
      </c>
      <c r="D825" t="s">
        <v>13</v>
      </c>
      <c r="E825" s="7">
        <v>45625</v>
      </c>
      <c r="F825" t="s">
        <v>14</v>
      </c>
      <c r="G825">
        <v>3</v>
      </c>
      <c r="H825" t="s">
        <v>15</v>
      </c>
      <c r="I825" t="s">
        <v>16</v>
      </c>
      <c r="J825" t="s">
        <v>16</v>
      </c>
      <c r="K825" t="str">
        <f>VLOOKUP(C825,CheckName!A:B,2,0)</f>
        <v>Emp</v>
      </c>
      <c r="M825">
        <f>DAY(RejectionData[[#This Row],[RejectionDate]])</f>
        <v>29</v>
      </c>
    </row>
    <row r="826" spans="1:13">
      <c r="A826" t="s">
        <v>360</v>
      </c>
      <c r="B826" t="s">
        <v>1135</v>
      </c>
      <c r="C826" t="s">
        <v>36</v>
      </c>
      <c r="D826" t="s">
        <v>26</v>
      </c>
      <c r="E826" s="7">
        <v>45625</v>
      </c>
      <c r="F826" t="s">
        <v>325</v>
      </c>
      <c r="G826">
        <v>3</v>
      </c>
      <c r="H826" t="s">
        <v>27</v>
      </c>
      <c r="I826" t="s">
        <v>16</v>
      </c>
      <c r="J826" t="s">
        <v>16</v>
      </c>
      <c r="K826" t="str">
        <f>VLOOKUP(C826,CheckName!A:B,2,0)</f>
        <v>Emp</v>
      </c>
      <c r="M826">
        <f>DAY(RejectionData[[#This Row],[RejectionDate]])</f>
        <v>29</v>
      </c>
    </row>
    <row r="827" spans="1:13">
      <c r="A827" t="s">
        <v>211</v>
      </c>
      <c r="B827" t="s">
        <v>1136</v>
      </c>
      <c r="C827" t="s">
        <v>12</v>
      </c>
      <c r="D827" t="s">
        <v>26</v>
      </c>
      <c r="E827" s="7">
        <v>45625</v>
      </c>
      <c r="F827" t="s">
        <v>184</v>
      </c>
      <c r="G827">
        <v>3</v>
      </c>
      <c r="H827" t="s">
        <v>27</v>
      </c>
      <c r="I827" t="s">
        <v>16</v>
      </c>
      <c r="J827" t="s">
        <v>16</v>
      </c>
      <c r="K827" t="str">
        <f>VLOOKUP(C827,CheckName!A:B,2,0)</f>
        <v>Emp</v>
      </c>
      <c r="M827">
        <f>DAY(RejectionData[[#This Row],[RejectionDate]])</f>
        <v>29</v>
      </c>
    </row>
    <row r="828" spans="1:13">
      <c r="A828" t="s">
        <v>664</v>
      </c>
      <c r="B828" t="s">
        <v>1137</v>
      </c>
      <c r="C828" t="s">
        <v>12</v>
      </c>
      <c r="D828" t="s">
        <v>26</v>
      </c>
      <c r="E828" s="7">
        <v>45625</v>
      </c>
      <c r="F828" t="s">
        <v>355</v>
      </c>
      <c r="G828">
        <v>3</v>
      </c>
      <c r="H828" t="s">
        <v>130</v>
      </c>
      <c r="I828" t="s">
        <v>16</v>
      </c>
      <c r="J828" t="s">
        <v>16</v>
      </c>
      <c r="K828" t="str">
        <f>VLOOKUP(C828,CheckName!A:B,2,0)</f>
        <v>Emp</v>
      </c>
      <c r="M828">
        <f>DAY(RejectionData[[#This Row],[RejectionDate]])</f>
        <v>29</v>
      </c>
    </row>
    <row r="829" spans="1:13">
      <c r="A829" t="s">
        <v>1107</v>
      </c>
      <c r="B829" t="s">
        <v>1138</v>
      </c>
      <c r="C829" t="s">
        <v>12</v>
      </c>
      <c r="D829" t="s">
        <v>26</v>
      </c>
      <c r="E829" s="7">
        <v>45625</v>
      </c>
      <c r="F829" t="s">
        <v>1139</v>
      </c>
      <c r="G829">
        <v>3</v>
      </c>
      <c r="H829" t="s">
        <v>30</v>
      </c>
      <c r="I829" t="s">
        <v>16</v>
      </c>
      <c r="J829" t="s">
        <v>16</v>
      </c>
      <c r="K829" t="str">
        <f>VLOOKUP(C829,CheckName!A:B,2,0)</f>
        <v>Emp</v>
      </c>
      <c r="M829">
        <f>DAY(RejectionData[[#This Row],[RejectionDate]])</f>
        <v>29</v>
      </c>
    </row>
    <row r="830" spans="1:13">
      <c r="A830" t="s">
        <v>1140</v>
      </c>
      <c r="B830" t="s">
        <v>1141</v>
      </c>
      <c r="C830" t="s">
        <v>54</v>
      </c>
      <c r="D830" t="s">
        <v>26</v>
      </c>
      <c r="E830" s="7">
        <v>45625</v>
      </c>
      <c r="F830" t="s">
        <v>94</v>
      </c>
      <c r="G830">
        <v>3</v>
      </c>
      <c r="H830" t="s">
        <v>22</v>
      </c>
      <c r="I830" t="s">
        <v>16</v>
      </c>
      <c r="J830" t="s">
        <v>16</v>
      </c>
      <c r="K830" t="str">
        <f>VLOOKUP(C830,CheckName!A:B,2,0)</f>
        <v>Edu</v>
      </c>
      <c r="M830">
        <f>DAY(RejectionData[[#This Row],[RejectionDate]])</f>
        <v>29</v>
      </c>
    </row>
    <row r="831" spans="1:13">
      <c r="A831" t="s">
        <v>73</v>
      </c>
      <c r="B831" t="s">
        <v>1142</v>
      </c>
      <c r="C831" t="s">
        <v>12</v>
      </c>
      <c r="D831" t="s">
        <v>26</v>
      </c>
      <c r="E831" s="7">
        <v>45625</v>
      </c>
      <c r="F831" t="s">
        <v>169</v>
      </c>
      <c r="G831">
        <v>3</v>
      </c>
      <c r="H831" t="s">
        <v>27</v>
      </c>
      <c r="I831" t="s">
        <v>16</v>
      </c>
      <c r="J831" t="s">
        <v>16</v>
      </c>
      <c r="K831" t="str">
        <f>VLOOKUP(C831,CheckName!A:B,2,0)</f>
        <v>Emp</v>
      </c>
      <c r="M831">
        <f>DAY(RejectionData[[#This Row],[RejectionDate]])</f>
        <v>29</v>
      </c>
    </row>
    <row r="832" spans="1:13">
      <c r="A832" t="s">
        <v>250</v>
      </c>
      <c r="B832" t="s">
        <v>1143</v>
      </c>
      <c r="C832" t="s">
        <v>220</v>
      </c>
      <c r="D832" t="s">
        <v>26</v>
      </c>
      <c r="E832" s="7">
        <v>45625</v>
      </c>
      <c r="F832" t="s">
        <v>330</v>
      </c>
      <c r="G832">
        <v>3</v>
      </c>
      <c r="H832" t="s">
        <v>22</v>
      </c>
      <c r="I832" t="s">
        <v>16</v>
      </c>
      <c r="J832" t="s">
        <v>16</v>
      </c>
      <c r="K832" t="str">
        <f>VLOOKUP(C832,CheckName!A:B,2,0)</f>
        <v>Ref</v>
      </c>
      <c r="M832">
        <f>DAY(RejectionData[[#This Row],[RejectionDate]])</f>
        <v>29</v>
      </c>
    </row>
    <row r="833" spans="1:13">
      <c r="A833" t="s">
        <v>362</v>
      </c>
      <c r="B833" t="s">
        <v>1144</v>
      </c>
      <c r="C833" t="s">
        <v>12</v>
      </c>
      <c r="D833" t="s">
        <v>26</v>
      </c>
      <c r="E833" s="7">
        <v>45625</v>
      </c>
      <c r="F833" t="s">
        <v>126</v>
      </c>
      <c r="G833">
        <v>3</v>
      </c>
      <c r="H833" t="s">
        <v>27</v>
      </c>
      <c r="I833" t="s">
        <v>16</v>
      </c>
      <c r="J833" t="s">
        <v>16</v>
      </c>
      <c r="K833" t="str">
        <f>VLOOKUP(C833,CheckName!A:B,2,0)</f>
        <v>Emp</v>
      </c>
      <c r="M833">
        <f>DAY(RejectionData[[#This Row],[RejectionDate]])</f>
        <v>29</v>
      </c>
    </row>
    <row r="834" spans="1:13">
      <c r="A834" t="s">
        <v>40</v>
      </c>
      <c r="B834" t="s">
        <v>1145</v>
      </c>
      <c r="C834" t="s">
        <v>12</v>
      </c>
      <c r="D834" t="s">
        <v>26</v>
      </c>
      <c r="E834" s="7">
        <v>45625</v>
      </c>
      <c r="F834" t="s">
        <v>148</v>
      </c>
      <c r="G834">
        <v>3</v>
      </c>
      <c r="H834" t="s">
        <v>27</v>
      </c>
      <c r="I834" t="s">
        <v>16</v>
      </c>
      <c r="J834" t="s">
        <v>16</v>
      </c>
      <c r="K834" t="str">
        <f>VLOOKUP(C834,CheckName!A:B,2,0)</f>
        <v>Emp</v>
      </c>
      <c r="M834">
        <f>DAY(RejectionData[[#This Row],[RejectionDate]])</f>
        <v>29</v>
      </c>
    </row>
    <row r="835" spans="1:13">
      <c r="A835" t="s">
        <v>176</v>
      </c>
      <c r="B835" t="s">
        <v>1146</v>
      </c>
      <c r="C835" t="s">
        <v>220</v>
      </c>
      <c r="D835" t="s">
        <v>26</v>
      </c>
      <c r="E835" s="7">
        <v>45625</v>
      </c>
      <c r="F835" t="s">
        <v>294</v>
      </c>
      <c r="G835">
        <v>3</v>
      </c>
      <c r="H835" t="s">
        <v>27</v>
      </c>
      <c r="I835" t="s">
        <v>16</v>
      </c>
      <c r="J835" t="s">
        <v>16</v>
      </c>
      <c r="K835" t="str">
        <f>VLOOKUP(C835,CheckName!A:B,2,0)</f>
        <v>Ref</v>
      </c>
      <c r="M835">
        <f>DAY(RejectionData[[#This Row],[RejectionDate]])</f>
        <v>29</v>
      </c>
    </row>
    <row r="836" spans="1:13">
      <c r="A836" t="s">
        <v>250</v>
      </c>
      <c r="B836" t="s">
        <v>1147</v>
      </c>
      <c r="C836" t="s">
        <v>106</v>
      </c>
      <c r="D836" t="s">
        <v>26</v>
      </c>
      <c r="E836" s="7">
        <v>45625</v>
      </c>
      <c r="F836" t="s">
        <v>294</v>
      </c>
      <c r="G836">
        <v>3</v>
      </c>
      <c r="H836" t="s">
        <v>130</v>
      </c>
      <c r="I836" t="s">
        <v>16</v>
      </c>
      <c r="J836" t="s">
        <v>16</v>
      </c>
      <c r="K836" t="str">
        <f>VLOOKUP(C836,CheckName!A:B,2,0)</f>
        <v>Ref</v>
      </c>
      <c r="M836">
        <f>DAY(RejectionData[[#This Row],[RejectionDate]])</f>
        <v>29</v>
      </c>
    </row>
    <row r="837" spans="1:13">
      <c r="A837" t="s">
        <v>878</v>
      </c>
      <c r="B837" t="s">
        <v>1148</v>
      </c>
      <c r="C837" t="s">
        <v>19</v>
      </c>
      <c r="D837" t="s">
        <v>13</v>
      </c>
      <c r="E837" s="7">
        <v>45629</v>
      </c>
      <c r="F837" t="s">
        <v>14</v>
      </c>
      <c r="G837">
        <v>0</v>
      </c>
      <c r="H837" t="s">
        <v>15</v>
      </c>
      <c r="I837" t="s">
        <v>16</v>
      </c>
      <c r="J837" t="s">
        <v>16</v>
      </c>
      <c r="K837" t="str">
        <f>VLOOKUP(C837,CheckName!A:B,2,0)</f>
        <v>Add</v>
      </c>
      <c r="M837">
        <f>DAY(RejectionData[[#This Row],[RejectionDate]])</f>
        <v>3</v>
      </c>
    </row>
    <row r="838" spans="1:13">
      <c r="A838" t="s">
        <v>360</v>
      </c>
      <c r="B838" t="s">
        <v>1149</v>
      </c>
      <c r="C838" t="s">
        <v>980</v>
      </c>
      <c r="D838" t="s">
        <v>20</v>
      </c>
      <c r="E838" s="7">
        <v>45629</v>
      </c>
      <c r="F838" t="s">
        <v>21</v>
      </c>
      <c r="G838">
        <v>0</v>
      </c>
      <c r="H838" t="s">
        <v>27</v>
      </c>
      <c r="I838" t="s">
        <v>16</v>
      </c>
      <c r="J838" t="s">
        <v>16</v>
      </c>
      <c r="K838" t="str">
        <f>VLOOKUP(C838,CheckName!A:B,2,0)</f>
        <v>Add</v>
      </c>
      <c r="M838">
        <f>DAY(RejectionData[[#This Row],[RejectionDate]])</f>
        <v>3</v>
      </c>
    </row>
    <row r="839" spans="1:13">
      <c r="A839" t="s">
        <v>360</v>
      </c>
      <c r="B839" t="s">
        <v>1150</v>
      </c>
      <c r="C839" t="s">
        <v>980</v>
      </c>
      <c r="D839" t="s">
        <v>20</v>
      </c>
      <c r="E839" s="7">
        <v>45629</v>
      </c>
      <c r="F839" t="s">
        <v>21</v>
      </c>
      <c r="G839">
        <v>0</v>
      </c>
      <c r="H839" t="s">
        <v>27</v>
      </c>
      <c r="I839" t="s">
        <v>16</v>
      </c>
      <c r="J839" t="s">
        <v>16</v>
      </c>
      <c r="K839" t="str">
        <f>VLOOKUP(C839,CheckName!A:B,2,0)</f>
        <v>Add</v>
      </c>
      <c r="M839">
        <f>DAY(RejectionData[[#This Row],[RejectionDate]])</f>
        <v>3</v>
      </c>
    </row>
    <row r="840" spans="1:13">
      <c r="A840" t="s">
        <v>963</v>
      </c>
      <c r="B840" t="s">
        <v>1151</v>
      </c>
      <c r="C840" t="s">
        <v>965</v>
      </c>
      <c r="D840" t="s">
        <v>20</v>
      </c>
      <c r="E840" s="7">
        <v>45629</v>
      </c>
      <c r="F840" t="s">
        <v>21</v>
      </c>
      <c r="G840">
        <v>0</v>
      </c>
      <c r="H840" t="s">
        <v>22</v>
      </c>
      <c r="I840" t="s">
        <v>16</v>
      </c>
      <c r="J840" t="s">
        <v>16</v>
      </c>
      <c r="K840" t="str">
        <f>VLOOKUP(C840,CheckName!A:B,2,0)</f>
        <v>Add</v>
      </c>
      <c r="M840">
        <f>DAY(RejectionData[[#This Row],[RejectionDate]])</f>
        <v>3</v>
      </c>
    </row>
    <row r="841" spans="1:13">
      <c r="A841" t="s">
        <v>1018</v>
      </c>
      <c r="B841" t="s">
        <v>1152</v>
      </c>
      <c r="C841" t="s">
        <v>25</v>
      </c>
      <c r="D841" t="s">
        <v>20</v>
      </c>
      <c r="E841" s="7">
        <v>45629</v>
      </c>
      <c r="F841" t="s">
        <v>21</v>
      </c>
      <c r="G841">
        <v>0</v>
      </c>
      <c r="H841" t="s">
        <v>22</v>
      </c>
      <c r="I841" t="s">
        <v>16</v>
      </c>
      <c r="J841" t="s">
        <v>16</v>
      </c>
      <c r="K841" t="str">
        <f>VLOOKUP(C841,CheckName!A:B,2,0)</f>
        <v>Add</v>
      </c>
      <c r="M841">
        <f>DAY(RejectionData[[#This Row],[RejectionDate]])</f>
        <v>3</v>
      </c>
    </row>
    <row r="842" spans="1:13">
      <c r="A842" t="s">
        <v>245</v>
      </c>
      <c r="B842" t="s">
        <v>1153</v>
      </c>
      <c r="C842" t="s">
        <v>19</v>
      </c>
      <c r="D842" t="s">
        <v>20</v>
      </c>
      <c r="E842" s="7">
        <v>45629</v>
      </c>
      <c r="F842" t="s">
        <v>21</v>
      </c>
      <c r="G842">
        <v>0</v>
      </c>
      <c r="H842" t="s">
        <v>130</v>
      </c>
      <c r="I842" t="s">
        <v>16</v>
      </c>
      <c r="J842" t="s">
        <v>16</v>
      </c>
      <c r="K842" t="str">
        <f>VLOOKUP(C842,CheckName!A:B,2,0)</f>
        <v>Add</v>
      </c>
      <c r="M842">
        <f>DAY(RejectionData[[#This Row],[RejectionDate]])</f>
        <v>3</v>
      </c>
    </row>
    <row r="843" spans="1:13">
      <c r="A843" t="s">
        <v>165</v>
      </c>
      <c r="B843" t="s">
        <v>1154</v>
      </c>
      <c r="C843" t="s">
        <v>689</v>
      </c>
      <c r="D843" t="s">
        <v>26</v>
      </c>
      <c r="E843" s="7">
        <v>45629</v>
      </c>
      <c r="F843" t="s">
        <v>236</v>
      </c>
      <c r="G843">
        <v>0</v>
      </c>
      <c r="H843" t="s">
        <v>27</v>
      </c>
      <c r="I843" t="s">
        <v>16</v>
      </c>
      <c r="J843" t="s">
        <v>16</v>
      </c>
      <c r="K843" t="str">
        <f>VLOOKUP(C843,CheckName!A:B,2,0)</f>
        <v>Special Check</v>
      </c>
      <c r="M843">
        <f>DAY(RejectionData[[#This Row],[RejectionDate]])</f>
        <v>3</v>
      </c>
    </row>
    <row r="844" spans="1:13">
      <c r="A844" t="s">
        <v>165</v>
      </c>
      <c r="B844" t="s">
        <v>1155</v>
      </c>
      <c r="C844" t="s">
        <v>689</v>
      </c>
      <c r="D844" t="s">
        <v>26</v>
      </c>
      <c r="E844" s="7">
        <v>45629</v>
      </c>
      <c r="F844" t="s">
        <v>236</v>
      </c>
      <c r="G844">
        <v>0</v>
      </c>
      <c r="H844" t="s">
        <v>27</v>
      </c>
      <c r="I844" t="s">
        <v>16</v>
      </c>
      <c r="J844" t="s">
        <v>16</v>
      </c>
      <c r="K844" t="str">
        <f>VLOOKUP(C844,CheckName!A:B,2,0)</f>
        <v>Special Check</v>
      </c>
      <c r="M844">
        <f>DAY(RejectionData[[#This Row],[RejectionDate]])</f>
        <v>3</v>
      </c>
    </row>
    <row r="845" spans="1:13">
      <c r="A845" t="s">
        <v>242</v>
      </c>
      <c r="B845" t="s">
        <v>475</v>
      </c>
      <c r="C845" t="s">
        <v>25</v>
      </c>
      <c r="D845" t="s">
        <v>26</v>
      </c>
      <c r="E845" s="7">
        <v>45629</v>
      </c>
      <c r="F845" t="s">
        <v>273</v>
      </c>
      <c r="G845">
        <v>0</v>
      </c>
      <c r="H845" t="s">
        <v>27</v>
      </c>
      <c r="I845" t="s">
        <v>16</v>
      </c>
      <c r="J845" t="s">
        <v>16</v>
      </c>
      <c r="K845" t="str">
        <f>VLOOKUP(C845,CheckName!A:B,2,0)</f>
        <v>Add</v>
      </c>
      <c r="M845">
        <f>DAY(RejectionData[[#This Row],[RejectionDate]])</f>
        <v>3</v>
      </c>
    </row>
    <row r="846" spans="1:13">
      <c r="A846" t="s">
        <v>1110</v>
      </c>
      <c r="B846" t="s">
        <v>1156</v>
      </c>
      <c r="C846" t="s">
        <v>965</v>
      </c>
      <c r="D846" t="s">
        <v>20</v>
      </c>
      <c r="E846" s="7">
        <v>45629</v>
      </c>
      <c r="F846" t="s">
        <v>21</v>
      </c>
      <c r="G846">
        <v>0</v>
      </c>
      <c r="H846" t="s">
        <v>22</v>
      </c>
      <c r="I846" t="s">
        <v>16</v>
      </c>
      <c r="J846" t="s">
        <v>16</v>
      </c>
      <c r="K846" t="str">
        <f>VLOOKUP(C846,CheckName!A:B,2,0)</f>
        <v>Add</v>
      </c>
      <c r="M846">
        <f>DAY(RejectionData[[#This Row],[RejectionDate]])</f>
        <v>3</v>
      </c>
    </row>
    <row r="847" spans="1:13">
      <c r="A847" t="s">
        <v>1110</v>
      </c>
      <c r="B847" t="s">
        <v>1157</v>
      </c>
      <c r="C847" t="s">
        <v>965</v>
      </c>
      <c r="D847" t="s">
        <v>20</v>
      </c>
      <c r="E847" s="7">
        <v>45629</v>
      </c>
      <c r="F847" t="s">
        <v>21</v>
      </c>
      <c r="G847">
        <v>0</v>
      </c>
      <c r="H847" t="s">
        <v>22</v>
      </c>
      <c r="I847" t="s">
        <v>16</v>
      </c>
      <c r="J847" t="s">
        <v>16</v>
      </c>
      <c r="K847" t="str">
        <f>VLOOKUP(C847,CheckName!A:B,2,0)</f>
        <v>Add</v>
      </c>
      <c r="M847">
        <f>DAY(RejectionData[[#This Row],[RejectionDate]])</f>
        <v>3</v>
      </c>
    </row>
    <row r="848" spans="1:13">
      <c r="A848" t="s">
        <v>263</v>
      </c>
      <c r="B848" t="s">
        <v>1158</v>
      </c>
      <c r="C848" t="s">
        <v>19</v>
      </c>
      <c r="D848" t="s">
        <v>20</v>
      </c>
      <c r="E848" s="7">
        <v>45629</v>
      </c>
      <c r="F848" t="s">
        <v>21</v>
      </c>
      <c r="G848">
        <v>0</v>
      </c>
      <c r="H848" t="s">
        <v>22</v>
      </c>
      <c r="I848" t="s">
        <v>16</v>
      </c>
      <c r="J848" t="s">
        <v>16</v>
      </c>
      <c r="K848" t="str">
        <f>VLOOKUP(C848,CheckName!A:B,2,0)</f>
        <v>Add</v>
      </c>
      <c r="M848">
        <f>DAY(RejectionData[[#This Row],[RejectionDate]])</f>
        <v>3</v>
      </c>
    </row>
    <row r="849" spans="1:13">
      <c r="A849" t="s">
        <v>100</v>
      </c>
      <c r="B849" t="s">
        <v>1159</v>
      </c>
      <c r="C849" t="s">
        <v>357</v>
      </c>
      <c r="D849" t="s">
        <v>51</v>
      </c>
      <c r="E849" s="7">
        <v>45629</v>
      </c>
      <c r="F849" t="s">
        <v>555</v>
      </c>
      <c r="G849">
        <v>0</v>
      </c>
      <c r="H849" t="s">
        <v>53</v>
      </c>
      <c r="I849" t="s">
        <v>16</v>
      </c>
      <c r="J849" t="s">
        <v>16</v>
      </c>
      <c r="K849" t="str">
        <f>VLOOKUP(C849,CheckName!A:B,2,0)</f>
        <v>Emp</v>
      </c>
      <c r="M849">
        <f>DAY(RejectionData[[#This Row],[RejectionDate]])</f>
        <v>3</v>
      </c>
    </row>
    <row r="850" spans="1:13">
      <c r="A850" t="s">
        <v>1160</v>
      </c>
      <c r="B850" t="s">
        <v>1161</v>
      </c>
      <c r="C850" t="s">
        <v>12</v>
      </c>
      <c r="D850" t="s">
        <v>38</v>
      </c>
      <c r="E850" s="7">
        <v>45629</v>
      </c>
      <c r="F850" t="s">
        <v>39</v>
      </c>
      <c r="G850">
        <v>0</v>
      </c>
      <c r="H850" t="s">
        <v>42</v>
      </c>
      <c r="I850" t="s">
        <v>16</v>
      </c>
      <c r="J850" t="s">
        <v>16</v>
      </c>
      <c r="K850" t="str">
        <f>VLOOKUP(C850,CheckName!A:B,2,0)</f>
        <v>Emp</v>
      </c>
      <c r="M850">
        <f>DAY(RejectionData[[#This Row],[RejectionDate]])</f>
        <v>3</v>
      </c>
    </row>
    <row r="851" spans="1:13">
      <c r="A851" t="s">
        <v>131</v>
      </c>
      <c r="B851" t="s">
        <v>1162</v>
      </c>
      <c r="C851" t="s">
        <v>269</v>
      </c>
      <c r="D851" t="s">
        <v>13</v>
      </c>
      <c r="E851" s="7">
        <v>45629</v>
      </c>
      <c r="F851" t="s">
        <v>759</v>
      </c>
      <c r="G851">
        <v>0</v>
      </c>
      <c r="H851" t="s">
        <v>15</v>
      </c>
      <c r="I851" t="s">
        <v>16</v>
      </c>
      <c r="J851" t="s">
        <v>16</v>
      </c>
      <c r="K851" t="str">
        <f>VLOOKUP(C851,CheckName!A:B,2,0)</f>
        <v>Emp</v>
      </c>
      <c r="M851">
        <f>DAY(RejectionData[[#This Row],[RejectionDate]])</f>
        <v>3</v>
      </c>
    </row>
    <row r="852" spans="1:13">
      <c r="A852" t="s">
        <v>88</v>
      </c>
      <c r="B852" t="s">
        <v>1163</v>
      </c>
      <c r="C852" t="s">
        <v>25</v>
      </c>
      <c r="D852" t="s">
        <v>26</v>
      </c>
      <c r="E852" s="7">
        <v>45629</v>
      </c>
      <c r="F852" t="s">
        <v>66</v>
      </c>
      <c r="G852">
        <v>0</v>
      </c>
      <c r="H852" t="s">
        <v>22</v>
      </c>
      <c r="I852" t="s">
        <v>16</v>
      </c>
      <c r="J852" t="s">
        <v>16</v>
      </c>
      <c r="K852" t="str">
        <f>VLOOKUP(C852,CheckName!A:B,2,0)</f>
        <v>Add</v>
      </c>
      <c r="M852">
        <f>DAY(RejectionData[[#This Row],[RejectionDate]])</f>
        <v>3</v>
      </c>
    </row>
    <row r="853" spans="1:13">
      <c r="A853" t="s">
        <v>88</v>
      </c>
      <c r="B853" t="s">
        <v>1164</v>
      </c>
      <c r="C853" t="s">
        <v>25</v>
      </c>
      <c r="D853" t="s">
        <v>26</v>
      </c>
      <c r="E853" s="7">
        <v>45629</v>
      </c>
      <c r="F853" t="s">
        <v>66</v>
      </c>
      <c r="G853">
        <v>0</v>
      </c>
      <c r="H853" t="s">
        <v>22</v>
      </c>
      <c r="I853" t="s">
        <v>16</v>
      </c>
      <c r="J853" t="s">
        <v>16</v>
      </c>
      <c r="K853" t="str">
        <f>VLOOKUP(C853,CheckName!A:B,2,0)</f>
        <v>Add</v>
      </c>
      <c r="M853">
        <f>DAY(RejectionData[[#This Row],[RejectionDate]])</f>
        <v>3</v>
      </c>
    </row>
    <row r="854" spans="1:13">
      <c r="A854" t="s">
        <v>627</v>
      </c>
      <c r="B854" t="s">
        <v>1165</v>
      </c>
      <c r="C854" t="s">
        <v>25</v>
      </c>
      <c r="D854" t="s">
        <v>26</v>
      </c>
      <c r="E854" s="7">
        <v>45629</v>
      </c>
      <c r="F854" t="s">
        <v>66</v>
      </c>
      <c r="G854">
        <v>0</v>
      </c>
      <c r="H854" t="s">
        <v>27</v>
      </c>
      <c r="I854" t="s">
        <v>16</v>
      </c>
      <c r="J854" t="s">
        <v>16</v>
      </c>
      <c r="K854" t="str">
        <f>VLOOKUP(C854,CheckName!A:B,2,0)</f>
        <v>Add</v>
      </c>
      <c r="M854">
        <f>DAY(RejectionData[[#This Row],[RejectionDate]])</f>
        <v>3</v>
      </c>
    </row>
    <row r="855" spans="1:13">
      <c r="A855" t="s">
        <v>1110</v>
      </c>
      <c r="B855" t="s">
        <v>1166</v>
      </c>
      <c r="C855" t="s">
        <v>965</v>
      </c>
      <c r="D855" t="s">
        <v>26</v>
      </c>
      <c r="E855" s="7">
        <v>45629</v>
      </c>
      <c r="F855" t="s">
        <v>66</v>
      </c>
      <c r="G855">
        <v>0</v>
      </c>
      <c r="H855" t="s">
        <v>27</v>
      </c>
      <c r="I855" t="s">
        <v>16</v>
      </c>
      <c r="J855" t="s">
        <v>16</v>
      </c>
      <c r="K855" t="str">
        <f>VLOOKUP(C855,CheckName!A:B,2,0)</f>
        <v>Add</v>
      </c>
      <c r="M855">
        <f>DAY(RejectionData[[#This Row],[RejectionDate]])</f>
        <v>3</v>
      </c>
    </row>
    <row r="856" spans="1:13">
      <c r="A856" t="s">
        <v>1110</v>
      </c>
      <c r="B856" t="s">
        <v>1167</v>
      </c>
      <c r="C856" t="s">
        <v>965</v>
      </c>
      <c r="D856" t="s">
        <v>26</v>
      </c>
      <c r="E856" s="7">
        <v>45629</v>
      </c>
      <c r="F856" t="s">
        <v>62</v>
      </c>
      <c r="G856">
        <v>0</v>
      </c>
      <c r="H856" t="s">
        <v>27</v>
      </c>
      <c r="I856" t="s">
        <v>16</v>
      </c>
      <c r="J856" t="s">
        <v>16</v>
      </c>
      <c r="K856" t="str">
        <f>VLOOKUP(C856,CheckName!A:B,2,0)</f>
        <v>Add</v>
      </c>
      <c r="M856">
        <f>DAY(RejectionData[[#This Row],[RejectionDate]])</f>
        <v>3</v>
      </c>
    </row>
    <row r="857" spans="1:13">
      <c r="A857" t="s">
        <v>362</v>
      </c>
      <c r="B857" t="s">
        <v>1168</v>
      </c>
      <c r="C857" t="s">
        <v>25</v>
      </c>
      <c r="D857" t="s">
        <v>26</v>
      </c>
      <c r="E857" s="7">
        <v>45629</v>
      </c>
      <c r="F857" t="s">
        <v>66</v>
      </c>
      <c r="G857">
        <v>0</v>
      </c>
      <c r="H857" t="s">
        <v>1169</v>
      </c>
      <c r="I857" t="s">
        <v>16</v>
      </c>
      <c r="J857" t="s">
        <v>16</v>
      </c>
      <c r="K857" t="str">
        <f>VLOOKUP(C857,CheckName!A:B,2,0)</f>
        <v>Add</v>
      </c>
      <c r="M857">
        <f>DAY(RejectionData[[#This Row],[RejectionDate]])</f>
        <v>3</v>
      </c>
    </row>
    <row r="858" spans="1:13">
      <c r="A858" t="s">
        <v>362</v>
      </c>
      <c r="B858" t="s">
        <v>1170</v>
      </c>
      <c r="C858" t="s">
        <v>25</v>
      </c>
      <c r="D858" t="s">
        <v>26</v>
      </c>
      <c r="E858" s="7">
        <v>45629</v>
      </c>
      <c r="F858" t="s">
        <v>66</v>
      </c>
      <c r="G858">
        <v>0</v>
      </c>
      <c r="H858" t="s">
        <v>27</v>
      </c>
      <c r="I858" t="s">
        <v>16</v>
      </c>
      <c r="J858" t="s">
        <v>16</v>
      </c>
      <c r="K858" t="str">
        <f>VLOOKUP(C858,CheckName!A:B,2,0)</f>
        <v>Add</v>
      </c>
      <c r="M858">
        <f>DAY(RejectionData[[#This Row],[RejectionDate]])</f>
        <v>3</v>
      </c>
    </row>
    <row r="859" spans="1:13">
      <c r="A859" t="s">
        <v>362</v>
      </c>
      <c r="B859" t="s">
        <v>1171</v>
      </c>
      <c r="C859" t="s">
        <v>25</v>
      </c>
      <c r="D859" t="s">
        <v>26</v>
      </c>
      <c r="E859" s="7">
        <v>45629</v>
      </c>
      <c r="F859" t="s">
        <v>66</v>
      </c>
      <c r="G859">
        <v>0</v>
      </c>
      <c r="H859" t="s">
        <v>27</v>
      </c>
      <c r="I859" t="s">
        <v>16</v>
      </c>
      <c r="J859" t="s">
        <v>16</v>
      </c>
      <c r="K859" t="str">
        <f>VLOOKUP(C859,CheckName!A:B,2,0)</f>
        <v>Add</v>
      </c>
      <c r="M859">
        <f>DAY(RejectionData[[#This Row],[RejectionDate]])</f>
        <v>3</v>
      </c>
    </row>
    <row r="860" spans="1:13">
      <c r="A860" t="s">
        <v>100</v>
      </c>
      <c r="B860" t="s">
        <v>1172</v>
      </c>
      <c r="C860" t="s">
        <v>102</v>
      </c>
      <c r="D860" t="s">
        <v>13</v>
      </c>
      <c r="E860" s="7">
        <v>45629</v>
      </c>
      <c r="F860" t="s">
        <v>98</v>
      </c>
      <c r="G860">
        <v>0</v>
      </c>
      <c r="H860" t="s">
        <v>15</v>
      </c>
      <c r="I860" t="s">
        <v>16</v>
      </c>
      <c r="J860" t="s">
        <v>16</v>
      </c>
      <c r="K860" t="str">
        <f>VLOOKUP(C860,CheckName!A:B,2,0)</f>
        <v>Edu</v>
      </c>
      <c r="M860">
        <f>DAY(RejectionData[[#This Row],[RejectionDate]])</f>
        <v>3</v>
      </c>
    </row>
    <row r="861" spans="1:13">
      <c r="A861" t="s">
        <v>1173</v>
      </c>
      <c r="B861" t="s">
        <v>1174</v>
      </c>
      <c r="C861" t="s">
        <v>106</v>
      </c>
      <c r="D861" t="s">
        <v>26</v>
      </c>
      <c r="E861" s="7">
        <v>45629</v>
      </c>
      <c r="F861" t="s">
        <v>330</v>
      </c>
      <c r="G861">
        <v>0</v>
      </c>
      <c r="H861" t="s">
        <v>27</v>
      </c>
      <c r="I861" t="s">
        <v>16</v>
      </c>
      <c r="J861" t="s">
        <v>16</v>
      </c>
      <c r="K861" t="str">
        <f>VLOOKUP(C861,CheckName!A:B,2,0)</f>
        <v>Ref</v>
      </c>
      <c r="M861">
        <f>DAY(RejectionData[[#This Row],[RejectionDate]])</f>
        <v>3</v>
      </c>
    </row>
    <row r="862" spans="1:13">
      <c r="A862" t="s">
        <v>510</v>
      </c>
      <c r="B862" t="s">
        <v>1175</v>
      </c>
      <c r="C862" t="s">
        <v>54</v>
      </c>
      <c r="D862" t="s">
        <v>26</v>
      </c>
      <c r="E862" s="7">
        <v>45629</v>
      </c>
      <c r="F862" t="s">
        <v>103</v>
      </c>
      <c r="G862">
        <v>0</v>
      </c>
      <c r="H862" t="s">
        <v>27</v>
      </c>
      <c r="I862" t="s">
        <v>16</v>
      </c>
      <c r="J862" t="s">
        <v>16</v>
      </c>
      <c r="K862" t="str">
        <f>VLOOKUP(C862,CheckName!A:B,2,0)</f>
        <v>Edu</v>
      </c>
      <c r="M862">
        <f>DAY(RejectionData[[#This Row],[RejectionDate]])</f>
        <v>3</v>
      </c>
    </row>
    <row r="863" spans="1:13">
      <c r="A863" t="s">
        <v>116</v>
      </c>
      <c r="B863" t="s">
        <v>1176</v>
      </c>
      <c r="C863" t="s">
        <v>49</v>
      </c>
      <c r="D863" t="s">
        <v>13</v>
      </c>
      <c r="E863" s="7">
        <v>45629</v>
      </c>
      <c r="F863" t="s">
        <v>819</v>
      </c>
      <c r="G863">
        <v>0</v>
      </c>
      <c r="H863" t="s">
        <v>30</v>
      </c>
      <c r="I863" t="s">
        <v>16</v>
      </c>
      <c r="J863" t="s">
        <v>16</v>
      </c>
      <c r="K863" t="str">
        <f>VLOOKUP(C863,CheckName!A:B,2,0)</f>
        <v>CRC</v>
      </c>
      <c r="M863">
        <f>DAY(RejectionData[[#This Row],[RejectionDate]])</f>
        <v>3</v>
      </c>
    </row>
    <row r="864" spans="1:13">
      <c r="A864" t="s">
        <v>216</v>
      </c>
      <c r="B864" t="s">
        <v>1177</v>
      </c>
      <c r="C864" t="s">
        <v>71</v>
      </c>
      <c r="D864" t="s">
        <v>13</v>
      </c>
      <c r="E864" s="7">
        <v>45629</v>
      </c>
      <c r="F864" t="s">
        <v>819</v>
      </c>
      <c r="G864">
        <v>0</v>
      </c>
      <c r="H864" t="s">
        <v>15</v>
      </c>
      <c r="I864" t="s">
        <v>16</v>
      </c>
      <c r="J864" t="s">
        <v>16</v>
      </c>
      <c r="K864" t="str">
        <f>VLOOKUP(C864,CheckName!A:B,2,0)</f>
        <v>CRC</v>
      </c>
      <c r="M864">
        <f>DAY(RejectionData[[#This Row],[RejectionDate]])</f>
        <v>3</v>
      </c>
    </row>
    <row r="865" spans="1:13">
      <c r="A865" t="s">
        <v>160</v>
      </c>
      <c r="B865" t="s">
        <v>1178</v>
      </c>
      <c r="C865" t="s">
        <v>36</v>
      </c>
      <c r="D865" t="s">
        <v>26</v>
      </c>
      <c r="E865" s="7">
        <v>45629</v>
      </c>
      <c r="F865" t="s">
        <v>301</v>
      </c>
      <c r="G865">
        <v>0</v>
      </c>
      <c r="H865" t="s">
        <v>27</v>
      </c>
      <c r="I865" t="s">
        <v>16</v>
      </c>
      <c r="J865" t="s">
        <v>16</v>
      </c>
      <c r="K865" t="str">
        <f>VLOOKUP(C865,CheckName!A:B,2,0)</f>
        <v>Emp</v>
      </c>
      <c r="M865">
        <f>DAY(RejectionData[[#This Row],[RejectionDate]])</f>
        <v>3</v>
      </c>
    </row>
    <row r="866" spans="1:13">
      <c r="A866" t="s">
        <v>84</v>
      </c>
      <c r="B866" t="s">
        <v>1179</v>
      </c>
      <c r="C866" t="s">
        <v>112</v>
      </c>
      <c r="D866" t="s">
        <v>26</v>
      </c>
      <c r="E866" s="7">
        <v>45629</v>
      </c>
      <c r="F866" t="s">
        <v>110</v>
      </c>
      <c r="G866">
        <v>0</v>
      </c>
      <c r="H866" t="s">
        <v>22</v>
      </c>
      <c r="I866" t="s">
        <v>16</v>
      </c>
      <c r="J866" t="s">
        <v>16</v>
      </c>
      <c r="K866" t="str">
        <f>VLOOKUP(C866,CheckName!A:B,2,0)</f>
        <v>Emp</v>
      </c>
      <c r="M866">
        <f>DAY(RejectionData[[#This Row],[RejectionDate]])</f>
        <v>3</v>
      </c>
    </row>
    <row r="867" spans="1:13">
      <c r="A867" t="s">
        <v>84</v>
      </c>
      <c r="B867" t="s">
        <v>1179</v>
      </c>
      <c r="C867" t="s">
        <v>125</v>
      </c>
      <c r="D867" t="s">
        <v>26</v>
      </c>
      <c r="E867" s="7">
        <v>45629</v>
      </c>
      <c r="F867" t="s">
        <v>110</v>
      </c>
      <c r="G867">
        <v>0</v>
      </c>
      <c r="H867" t="s">
        <v>22</v>
      </c>
      <c r="I867" t="s">
        <v>16</v>
      </c>
      <c r="J867" t="s">
        <v>16</v>
      </c>
      <c r="K867" t="str">
        <f>VLOOKUP(C867,CheckName!A:B,2,0)</f>
        <v>Emp</v>
      </c>
      <c r="M867">
        <f>DAY(RejectionData[[#This Row],[RejectionDate]])</f>
        <v>3</v>
      </c>
    </row>
    <row r="868" spans="1:13">
      <c r="A868" t="s">
        <v>415</v>
      </c>
      <c r="B868" t="s">
        <v>1180</v>
      </c>
      <c r="C868" t="s">
        <v>12</v>
      </c>
      <c r="D868" t="s">
        <v>13</v>
      </c>
      <c r="E868" s="7">
        <v>45629</v>
      </c>
      <c r="F868" t="s">
        <v>540</v>
      </c>
      <c r="G868">
        <v>0</v>
      </c>
      <c r="H868" t="s">
        <v>15</v>
      </c>
      <c r="I868" t="s">
        <v>16</v>
      </c>
      <c r="J868" t="s">
        <v>16</v>
      </c>
      <c r="K868" t="str">
        <f>VLOOKUP(C868,CheckName!A:B,2,0)</f>
        <v>Emp</v>
      </c>
      <c r="M868">
        <f>DAY(RejectionData[[#This Row],[RejectionDate]])</f>
        <v>3</v>
      </c>
    </row>
    <row r="869" spans="1:13">
      <c r="A869" t="s">
        <v>306</v>
      </c>
      <c r="B869" t="s">
        <v>633</v>
      </c>
      <c r="C869" t="s">
        <v>71</v>
      </c>
      <c r="D869" t="s">
        <v>26</v>
      </c>
      <c r="E869" s="7">
        <v>45629</v>
      </c>
      <c r="F869" t="s">
        <v>118</v>
      </c>
      <c r="G869">
        <v>0</v>
      </c>
      <c r="H869" t="s">
        <v>27</v>
      </c>
      <c r="I869" t="s">
        <v>16</v>
      </c>
      <c r="J869" t="s">
        <v>16</v>
      </c>
      <c r="K869" t="str">
        <f>VLOOKUP(C869,CheckName!A:B,2,0)</f>
        <v>CRC</v>
      </c>
      <c r="M869">
        <f>DAY(RejectionData[[#This Row],[RejectionDate]])</f>
        <v>3</v>
      </c>
    </row>
    <row r="870" spans="1:13">
      <c r="A870" t="s">
        <v>1181</v>
      </c>
      <c r="B870" t="s">
        <v>1182</v>
      </c>
      <c r="C870" t="s">
        <v>12</v>
      </c>
      <c r="D870" t="s">
        <v>26</v>
      </c>
      <c r="E870" s="7">
        <v>45629</v>
      </c>
      <c r="F870" t="s">
        <v>115</v>
      </c>
      <c r="G870">
        <v>0</v>
      </c>
      <c r="H870" t="s">
        <v>27</v>
      </c>
      <c r="I870" t="s">
        <v>16</v>
      </c>
      <c r="J870" t="s">
        <v>16</v>
      </c>
      <c r="K870" t="str">
        <f>VLOOKUP(C870,CheckName!A:B,2,0)</f>
        <v>Emp</v>
      </c>
      <c r="M870">
        <f>DAY(RejectionData[[#This Row],[RejectionDate]])</f>
        <v>3</v>
      </c>
    </row>
    <row r="871" spans="1:13">
      <c r="A871" t="s">
        <v>100</v>
      </c>
      <c r="B871" t="s">
        <v>1183</v>
      </c>
      <c r="C871" t="s">
        <v>1184</v>
      </c>
      <c r="D871" t="s">
        <v>38</v>
      </c>
      <c r="E871" s="7">
        <v>45629</v>
      </c>
      <c r="F871" t="s">
        <v>118</v>
      </c>
      <c r="G871">
        <v>0</v>
      </c>
      <c r="H871" t="s">
        <v>42</v>
      </c>
      <c r="I871" t="s">
        <v>16</v>
      </c>
      <c r="J871" t="s">
        <v>16</v>
      </c>
      <c r="K871" t="str">
        <f>VLOOKUP(C871,CheckName!A:B,2,0)</f>
        <v>Investigation</v>
      </c>
      <c r="M871">
        <f>DAY(RejectionData[[#This Row],[RejectionDate]])</f>
        <v>3</v>
      </c>
    </row>
    <row r="872" spans="1:13">
      <c r="A872" t="s">
        <v>100</v>
      </c>
      <c r="B872" t="s">
        <v>1185</v>
      </c>
      <c r="C872" t="s">
        <v>929</v>
      </c>
      <c r="D872" t="s">
        <v>38</v>
      </c>
      <c r="E872" s="7">
        <v>45629</v>
      </c>
      <c r="F872" t="s">
        <v>118</v>
      </c>
      <c r="G872">
        <v>0</v>
      </c>
      <c r="H872" t="s">
        <v>42</v>
      </c>
      <c r="I872" t="s">
        <v>16</v>
      </c>
      <c r="J872" t="s">
        <v>16</v>
      </c>
      <c r="K872" t="str">
        <f>VLOOKUP(C872,CheckName!A:B,2,0)</f>
        <v>Investigation</v>
      </c>
      <c r="M872">
        <f>DAY(RejectionData[[#This Row],[RejectionDate]])</f>
        <v>3</v>
      </c>
    </row>
    <row r="873" spans="1:13">
      <c r="A873" t="s">
        <v>283</v>
      </c>
      <c r="B873" t="s">
        <v>1186</v>
      </c>
      <c r="C873" t="s">
        <v>12</v>
      </c>
      <c r="D873" t="s">
        <v>26</v>
      </c>
      <c r="E873" s="7">
        <v>45628</v>
      </c>
      <c r="F873" t="s">
        <v>1187</v>
      </c>
      <c r="G873">
        <v>1</v>
      </c>
      <c r="H873" t="s">
        <v>22</v>
      </c>
      <c r="I873" t="s">
        <v>16</v>
      </c>
      <c r="J873" t="s">
        <v>16</v>
      </c>
      <c r="K873" t="str">
        <f>VLOOKUP(C873,CheckName!A:B,2,0)</f>
        <v>Emp</v>
      </c>
      <c r="M873">
        <f>DAY(RejectionData[[#This Row],[RejectionDate]])</f>
        <v>2</v>
      </c>
    </row>
    <row r="874" spans="1:13">
      <c r="A874" t="s">
        <v>263</v>
      </c>
      <c r="B874" t="s">
        <v>1188</v>
      </c>
      <c r="C874" t="s">
        <v>36</v>
      </c>
      <c r="D874" t="s">
        <v>26</v>
      </c>
      <c r="E874" s="7">
        <v>45628</v>
      </c>
      <c r="F874" t="s">
        <v>148</v>
      </c>
      <c r="G874">
        <v>1</v>
      </c>
      <c r="H874" t="s">
        <v>22</v>
      </c>
      <c r="I874" t="s">
        <v>16</v>
      </c>
      <c r="J874" t="s">
        <v>16</v>
      </c>
      <c r="K874" t="str">
        <f>VLOOKUP(C874,CheckName!A:B,2,0)</f>
        <v>Emp</v>
      </c>
      <c r="M874">
        <f>DAY(RejectionData[[#This Row],[RejectionDate]])</f>
        <v>2</v>
      </c>
    </row>
    <row r="875" spans="1:13">
      <c r="A875" t="s">
        <v>1110</v>
      </c>
      <c r="B875" t="s">
        <v>1189</v>
      </c>
      <c r="C875" t="s">
        <v>965</v>
      </c>
      <c r="D875" t="s">
        <v>26</v>
      </c>
      <c r="E875" s="7">
        <v>45628</v>
      </c>
      <c r="F875" t="s">
        <v>1190</v>
      </c>
      <c r="G875">
        <v>1</v>
      </c>
      <c r="H875" t="s">
        <v>27</v>
      </c>
      <c r="I875" t="s">
        <v>16</v>
      </c>
      <c r="J875" t="s">
        <v>16</v>
      </c>
      <c r="K875" t="str">
        <f>VLOOKUP(C875,CheckName!A:B,2,0)</f>
        <v>Add</v>
      </c>
      <c r="M875">
        <f>DAY(RejectionData[[#This Row],[RejectionDate]])</f>
        <v>2</v>
      </c>
    </row>
    <row r="876" spans="1:13">
      <c r="A876" t="s">
        <v>499</v>
      </c>
      <c r="B876" t="s">
        <v>1191</v>
      </c>
      <c r="C876" t="s">
        <v>125</v>
      </c>
      <c r="D876" t="s">
        <v>26</v>
      </c>
      <c r="E876" s="7">
        <v>45628</v>
      </c>
      <c r="F876" t="s">
        <v>542</v>
      </c>
      <c r="G876">
        <v>1</v>
      </c>
      <c r="H876" t="s">
        <v>27</v>
      </c>
      <c r="I876" t="s">
        <v>16</v>
      </c>
      <c r="J876" t="s">
        <v>16</v>
      </c>
      <c r="K876" t="str">
        <f>VLOOKUP(C876,CheckName!A:B,2,0)</f>
        <v>Emp</v>
      </c>
      <c r="M876">
        <f>DAY(RejectionData[[#This Row],[RejectionDate]])</f>
        <v>2</v>
      </c>
    </row>
    <row r="877" spans="1:13">
      <c r="A877" t="s">
        <v>1192</v>
      </c>
      <c r="B877" t="s">
        <v>1193</v>
      </c>
      <c r="C877" t="s">
        <v>12</v>
      </c>
      <c r="D877" t="s">
        <v>26</v>
      </c>
      <c r="E877" s="7">
        <v>45628</v>
      </c>
      <c r="F877" t="s">
        <v>148</v>
      </c>
      <c r="G877">
        <v>1</v>
      </c>
      <c r="H877" t="s">
        <v>22</v>
      </c>
      <c r="I877" t="s">
        <v>16</v>
      </c>
      <c r="J877" t="s">
        <v>16</v>
      </c>
      <c r="K877" t="str">
        <f>VLOOKUP(C877,CheckName!A:B,2,0)</f>
        <v>Emp</v>
      </c>
      <c r="M877">
        <f>DAY(RejectionData[[#This Row],[RejectionDate]])</f>
        <v>2</v>
      </c>
    </row>
    <row r="878" spans="1:13">
      <c r="A878" t="s">
        <v>45</v>
      </c>
      <c r="B878" t="s">
        <v>1194</v>
      </c>
      <c r="C878" t="s">
        <v>54</v>
      </c>
      <c r="D878" t="s">
        <v>13</v>
      </c>
      <c r="E878" s="7">
        <v>45628</v>
      </c>
      <c r="F878" t="s">
        <v>1013</v>
      </c>
      <c r="G878">
        <v>1</v>
      </c>
      <c r="H878" t="s">
        <v>15</v>
      </c>
      <c r="I878" t="s">
        <v>16</v>
      </c>
      <c r="J878" t="s">
        <v>16</v>
      </c>
      <c r="K878" t="str">
        <f>VLOOKUP(C878,CheckName!A:B,2,0)</f>
        <v>Edu</v>
      </c>
      <c r="M878">
        <f>DAY(RejectionData[[#This Row],[RejectionDate]])</f>
        <v>2</v>
      </c>
    </row>
    <row r="879" spans="1:13">
      <c r="A879" t="s">
        <v>967</v>
      </c>
      <c r="B879" t="s">
        <v>1195</v>
      </c>
      <c r="C879" t="s">
        <v>965</v>
      </c>
      <c r="D879" t="s">
        <v>20</v>
      </c>
      <c r="E879" s="7">
        <v>45628</v>
      </c>
      <c r="F879" t="s">
        <v>129</v>
      </c>
      <c r="G879">
        <v>1</v>
      </c>
      <c r="H879" t="s">
        <v>22</v>
      </c>
      <c r="I879" t="s">
        <v>16</v>
      </c>
      <c r="J879" t="s">
        <v>16</v>
      </c>
      <c r="K879" t="str">
        <f>VLOOKUP(C879,CheckName!A:B,2,0)</f>
        <v>Add</v>
      </c>
      <c r="M879">
        <f>DAY(RejectionData[[#This Row],[RejectionDate]])</f>
        <v>2</v>
      </c>
    </row>
    <row r="880" spans="1:13">
      <c r="A880" t="s">
        <v>131</v>
      </c>
      <c r="B880" t="s">
        <v>1196</v>
      </c>
      <c r="C880" t="s">
        <v>19</v>
      </c>
      <c r="D880" t="s">
        <v>20</v>
      </c>
      <c r="E880" s="7">
        <v>45628</v>
      </c>
      <c r="F880" t="s">
        <v>129</v>
      </c>
      <c r="G880">
        <v>1</v>
      </c>
      <c r="H880" t="s">
        <v>22</v>
      </c>
      <c r="I880" t="s">
        <v>16</v>
      </c>
      <c r="J880" t="s">
        <v>16</v>
      </c>
      <c r="K880" t="str">
        <f>VLOOKUP(C880,CheckName!A:B,2,0)</f>
        <v>Add</v>
      </c>
      <c r="M880">
        <f>DAY(RejectionData[[#This Row],[RejectionDate]])</f>
        <v>2</v>
      </c>
    </row>
    <row r="881" spans="1:13">
      <c r="A881" t="s">
        <v>1197</v>
      </c>
      <c r="B881" t="s">
        <v>1198</v>
      </c>
      <c r="C881" t="s">
        <v>19</v>
      </c>
      <c r="D881" t="s">
        <v>20</v>
      </c>
      <c r="E881" s="7">
        <v>45628</v>
      </c>
      <c r="F881" t="s">
        <v>129</v>
      </c>
      <c r="G881">
        <v>1</v>
      </c>
      <c r="H881" t="s">
        <v>22</v>
      </c>
      <c r="I881" t="s">
        <v>16</v>
      </c>
      <c r="J881" t="s">
        <v>16</v>
      </c>
      <c r="K881" t="str">
        <f>VLOOKUP(C881,CheckName!A:B,2,0)</f>
        <v>Add</v>
      </c>
      <c r="M881">
        <f>DAY(RejectionData[[#This Row],[RejectionDate]])</f>
        <v>2</v>
      </c>
    </row>
    <row r="882" spans="1:13">
      <c r="A882" t="s">
        <v>45</v>
      </c>
      <c r="B882" t="s">
        <v>1199</v>
      </c>
      <c r="C882" t="s">
        <v>36</v>
      </c>
      <c r="D882" t="s">
        <v>26</v>
      </c>
      <c r="E882" s="7">
        <v>45628</v>
      </c>
      <c r="F882" t="s">
        <v>126</v>
      </c>
      <c r="G882">
        <v>1</v>
      </c>
      <c r="H882" t="s">
        <v>27</v>
      </c>
      <c r="I882" t="s">
        <v>16</v>
      </c>
      <c r="J882" t="s">
        <v>16</v>
      </c>
      <c r="K882" t="str">
        <f>VLOOKUP(C882,CheckName!A:B,2,0)</f>
        <v>Emp</v>
      </c>
      <c r="M882">
        <f>DAY(RejectionData[[#This Row],[RejectionDate]])</f>
        <v>2</v>
      </c>
    </row>
    <row r="883" spans="1:13">
      <c r="A883" t="s">
        <v>446</v>
      </c>
      <c r="B883" t="s">
        <v>1200</v>
      </c>
      <c r="C883" t="s">
        <v>36</v>
      </c>
      <c r="D883" t="s">
        <v>26</v>
      </c>
      <c r="E883" s="7">
        <v>45628</v>
      </c>
      <c r="F883" t="s">
        <v>159</v>
      </c>
      <c r="G883">
        <v>1</v>
      </c>
      <c r="H883" t="s">
        <v>27</v>
      </c>
      <c r="I883" t="s">
        <v>16</v>
      </c>
      <c r="J883" t="s">
        <v>16</v>
      </c>
      <c r="K883" t="str">
        <f>VLOOKUP(C883,CheckName!A:B,2,0)</f>
        <v>Emp</v>
      </c>
      <c r="M883">
        <f>DAY(RejectionData[[#This Row],[RejectionDate]])</f>
        <v>2</v>
      </c>
    </row>
    <row r="884" spans="1:13">
      <c r="A884" t="s">
        <v>306</v>
      </c>
      <c r="B884" t="s">
        <v>1201</v>
      </c>
      <c r="C884" t="s">
        <v>25</v>
      </c>
      <c r="D884" t="s">
        <v>13</v>
      </c>
      <c r="E884" s="7">
        <v>45628</v>
      </c>
      <c r="F884" t="s">
        <v>844</v>
      </c>
      <c r="G884">
        <v>1</v>
      </c>
      <c r="H884" t="s">
        <v>15</v>
      </c>
      <c r="I884" t="s">
        <v>16</v>
      </c>
      <c r="J884" t="s">
        <v>16</v>
      </c>
      <c r="K884" t="str">
        <f>VLOOKUP(C884,CheckName!A:B,2,0)</f>
        <v>Add</v>
      </c>
      <c r="M884">
        <f>DAY(RejectionData[[#This Row],[RejectionDate]])</f>
        <v>2</v>
      </c>
    </row>
    <row r="885" spans="1:13">
      <c r="A885" t="s">
        <v>306</v>
      </c>
      <c r="B885" t="s">
        <v>1201</v>
      </c>
      <c r="C885" t="s">
        <v>19</v>
      </c>
      <c r="D885" t="s">
        <v>13</v>
      </c>
      <c r="E885" s="7">
        <v>45628</v>
      </c>
      <c r="F885" t="s">
        <v>844</v>
      </c>
      <c r="G885">
        <v>1</v>
      </c>
      <c r="H885" t="s">
        <v>15</v>
      </c>
      <c r="I885" t="s">
        <v>16</v>
      </c>
      <c r="J885" t="s">
        <v>16</v>
      </c>
      <c r="K885" t="str">
        <f>VLOOKUP(C885,CheckName!A:B,2,0)</f>
        <v>Add</v>
      </c>
      <c r="M885">
        <f>DAY(RejectionData[[#This Row],[RejectionDate]])</f>
        <v>2</v>
      </c>
    </row>
    <row r="886" spans="1:13">
      <c r="A886" t="s">
        <v>306</v>
      </c>
      <c r="B886" t="s">
        <v>1202</v>
      </c>
      <c r="C886" t="s">
        <v>49</v>
      </c>
      <c r="D886" t="s">
        <v>13</v>
      </c>
      <c r="E886" s="7">
        <v>45628</v>
      </c>
      <c r="F886" t="s">
        <v>844</v>
      </c>
      <c r="G886">
        <v>1</v>
      </c>
      <c r="H886" t="s">
        <v>15</v>
      </c>
      <c r="I886" t="s">
        <v>16</v>
      </c>
      <c r="J886" t="s">
        <v>16</v>
      </c>
      <c r="K886" t="str">
        <f>VLOOKUP(C886,CheckName!A:B,2,0)</f>
        <v>CRC</v>
      </c>
      <c r="M886">
        <f>DAY(RejectionData[[#This Row],[RejectionDate]])</f>
        <v>2</v>
      </c>
    </row>
    <row r="887" spans="1:13">
      <c r="A887" t="s">
        <v>306</v>
      </c>
      <c r="B887" t="s">
        <v>1203</v>
      </c>
      <c r="C887" t="s">
        <v>531</v>
      </c>
      <c r="D887" t="s">
        <v>13</v>
      </c>
      <c r="E887" s="7">
        <v>45628</v>
      </c>
      <c r="F887" t="s">
        <v>844</v>
      </c>
      <c r="G887">
        <v>1</v>
      </c>
      <c r="H887" t="s">
        <v>15</v>
      </c>
      <c r="I887" t="s">
        <v>16</v>
      </c>
      <c r="J887" t="s">
        <v>16</v>
      </c>
      <c r="K887" t="str">
        <f>VLOOKUP(C887,CheckName!A:B,2,0)</f>
        <v>Special Check</v>
      </c>
      <c r="M887">
        <f>DAY(RejectionData[[#This Row],[RejectionDate]])</f>
        <v>2</v>
      </c>
    </row>
    <row r="888" spans="1:13">
      <c r="A888" t="s">
        <v>306</v>
      </c>
      <c r="B888" t="s">
        <v>1203</v>
      </c>
      <c r="C888" t="s">
        <v>533</v>
      </c>
      <c r="D888" t="s">
        <v>13</v>
      </c>
      <c r="E888" s="7">
        <v>45628</v>
      </c>
      <c r="F888" t="s">
        <v>844</v>
      </c>
      <c r="G888">
        <v>1</v>
      </c>
      <c r="H888" t="s">
        <v>15</v>
      </c>
      <c r="I888" t="s">
        <v>16</v>
      </c>
      <c r="J888" t="s">
        <v>16</v>
      </c>
      <c r="K888" t="str">
        <f>VLOOKUP(C888,CheckName!A:B,2,0)</f>
        <v>CRC</v>
      </c>
      <c r="M888">
        <f>DAY(RejectionData[[#This Row],[RejectionDate]])</f>
        <v>2</v>
      </c>
    </row>
    <row r="889" spans="1:13">
      <c r="A889" t="s">
        <v>1204</v>
      </c>
      <c r="B889" t="s">
        <v>1205</v>
      </c>
      <c r="C889" t="s">
        <v>36</v>
      </c>
      <c r="D889" t="s">
        <v>51</v>
      </c>
      <c r="E889" s="7">
        <v>45628</v>
      </c>
      <c r="F889" t="s">
        <v>194</v>
      </c>
      <c r="G889">
        <v>1</v>
      </c>
      <c r="H889" t="s">
        <v>53</v>
      </c>
      <c r="I889" t="s">
        <v>16</v>
      </c>
      <c r="J889" t="s">
        <v>16</v>
      </c>
      <c r="K889" t="str">
        <f>VLOOKUP(C889,CheckName!A:B,2,0)</f>
        <v>Emp</v>
      </c>
      <c r="M889">
        <f>DAY(RejectionData[[#This Row],[RejectionDate]])</f>
        <v>2</v>
      </c>
    </row>
    <row r="890" spans="1:13">
      <c r="A890" t="s">
        <v>1204</v>
      </c>
      <c r="B890" t="s">
        <v>1205</v>
      </c>
      <c r="C890" t="s">
        <v>12</v>
      </c>
      <c r="D890" t="s">
        <v>51</v>
      </c>
      <c r="E890" s="7">
        <v>45628</v>
      </c>
      <c r="F890" t="s">
        <v>194</v>
      </c>
      <c r="G890">
        <v>1</v>
      </c>
      <c r="H890" t="s">
        <v>53</v>
      </c>
      <c r="I890" t="s">
        <v>16</v>
      </c>
      <c r="J890" t="s">
        <v>16</v>
      </c>
      <c r="K890" t="str">
        <f>VLOOKUP(C890,CheckName!A:B,2,0)</f>
        <v>Emp</v>
      </c>
      <c r="M890">
        <f>DAY(RejectionData[[#This Row],[RejectionDate]])</f>
        <v>2</v>
      </c>
    </row>
    <row r="891" spans="1:13">
      <c r="A891" t="s">
        <v>216</v>
      </c>
      <c r="B891" t="s">
        <v>864</v>
      </c>
      <c r="C891" t="s">
        <v>19</v>
      </c>
      <c r="D891" t="s">
        <v>26</v>
      </c>
      <c r="E891" s="7">
        <v>45628</v>
      </c>
      <c r="F891" t="s">
        <v>1206</v>
      </c>
      <c r="G891">
        <v>1</v>
      </c>
      <c r="H891" t="s">
        <v>15</v>
      </c>
      <c r="I891" t="s">
        <v>16</v>
      </c>
      <c r="J891" t="s">
        <v>16</v>
      </c>
      <c r="K891" t="str">
        <f>VLOOKUP(C891,CheckName!A:B,2,0)</f>
        <v>Add</v>
      </c>
      <c r="M891">
        <f>DAY(RejectionData[[#This Row],[RejectionDate]])</f>
        <v>2</v>
      </c>
    </row>
    <row r="892" spans="1:13">
      <c r="A892" t="s">
        <v>180</v>
      </c>
      <c r="B892" t="s">
        <v>1207</v>
      </c>
      <c r="C892" t="s">
        <v>12</v>
      </c>
      <c r="D892" t="s">
        <v>26</v>
      </c>
      <c r="E892" s="7">
        <v>45628</v>
      </c>
      <c r="F892" t="s">
        <v>191</v>
      </c>
      <c r="G892">
        <v>1</v>
      </c>
      <c r="H892" t="s">
        <v>27</v>
      </c>
      <c r="I892" t="s">
        <v>16</v>
      </c>
      <c r="J892" t="s">
        <v>16</v>
      </c>
      <c r="K892" t="str">
        <f>VLOOKUP(C892,CheckName!A:B,2,0)</f>
        <v>Emp</v>
      </c>
      <c r="M892">
        <f>DAY(RejectionData[[#This Row],[RejectionDate]])</f>
        <v>2</v>
      </c>
    </row>
    <row r="893" spans="1:13">
      <c r="A893" t="s">
        <v>306</v>
      </c>
      <c r="B893" t="s">
        <v>880</v>
      </c>
      <c r="C893" t="s">
        <v>12</v>
      </c>
      <c r="D893" t="s">
        <v>26</v>
      </c>
      <c r="E893" s="7">
        <v>45628</v>
      </c>
      <c r="F893" t="s">
        <v>277</v>
      </c>
      <c r="G893">
        <v>1</v>
      </c>
      <c r="H893" t="s">
        <v>27</v>
      </c>
      <c r="I893" t="s">
        <v>16</v>
      </c>
      <c r="J893" t="s">
        <v>16</v>
      </c>
      <c r="K893" t="str">
        <f>VLOOKUP(C893,CheckName!A:B,2,0)</f>
        <v>Emp</v>
      </c>
      <c r="M893">
        <f>DAY(RejectionData[[#This Row],[RejectionDate]])</f>
        <v>2</v>
      </c>
    </row>
    <row r="894" spans="1:13">
      <c r="A894" t="s">
        <v>176</v>
      </c>
      <c r="B894" t="s">
        <v>1208</v>
      </c>
      <c r="C894" t="s">
        <v>12</v>
      </c>
      <c r="D894" t="s">
        <v>26</v>
      </c>
      <c r="E894" s="7">
        <v>45628</v>
      </c>
      <c r="F894" t="s">
        <v>83</v>
      </c>
      <c r="G894">
        <v>1</v>
      </c>
      <c r="H894" t="s">
        <v>27</v>
      </c>
      <c r="I894" t="s">
        <v>16</v>
      </c>
      <c r="J894" t="s">
        <v>16</v>
      </c>
      <c r="K894" t="str">
        <f>VLOOKUP(C894,CheckName!A:B,2,0)</f>
        <v>Emp</v>
      </c>
      <c r="M894">
        <f>DAY(RejectionData[[#This Row],[RejectionDate]])</f>
        <v>2</v>
      </c>
    </row>
    <row r="895" spans="1:13">
      <c r="A895" t="s">
        <v>100</v>
      </c>
      <c r="B895" t="s">
        <v>1209</v>
      </c>
      <c r="C895" t="s">
        <v>359</v>
      </c>
      <c r="D895" t="s">
        <v>26</v>
      </c>
      <c r="E895" s="7">
        <v>45628</v>
      </c>
      <c r="F895" t="s">
        <v>380</v>
      </c>
      <c r="G895">
        <v>1</v>
      </c>
      <c r="H895" t="s">
        <v>30</v>
      </c>
      <c r="I895" t="s">
        <v>16</v>
      </c>
      <c r="J895" t="s">
        <v>16</v>
      </c>
      <c r="K895" t="str">
        <f>VLOOKUP(C895,CheckName!A:B,2,0)</f>
        <v>Emp</v>
      </c>
      <c r="M895">
        <f>DAY(RejectionData[[#This Row],[RejectionDate]])</f>
        <v>2</v>
      </c>
    </row>
    <row r="896" spans="1:13">
      <c r="A896" t="s">
        <v>228</v>
      </c>
      <c r="B896" t="s">
        <v>1210</v>
      </c>
      <c r="C896" t="s">
        <v>12</v>
      </c>
      <c r="D896" t="s">
        <v>26</v>
      </c>
      <c r="E896" s="7">
        <v>45628</v>
      </c>
      <c r="F896" t="s">
        <v>83</v>
      </c>
      <c r="G896">
        <v>1</v>
      </c>
      <c r="H896" t="s">
        <v>27</v>
      </c>
      <c r="I896" t="s">
        <v>16</v>
      </c>
      <c r="J896" t="s">
        <v>16</v>
      </c>
      <c r="K896" t="str">
        <f>VLOOKUP(C896,CheckName!A:B,2,0)</f>
        <v>Emp</v>
      </c>
      <c r="M896">
        <f>DAY(RejectionData[[#This Row],[RejectionDate]])</f>
        <v>2</v>
      </c>
    </row>
    <row r="897" spans="1:13">
      <c r="A897" t="s">
        <v>697</v>
      </c>
      <c r="B897" t="s">
        <v>1211</v>
      </c>
      <c r="C897" t="s">
        <v>125</v>
      </c>
      <c r="D897" t="s">
        <v>26</v>
      </c>
      <c r="E897" s="7">
        <v>45628</v>
      </c>
      <c r="F897" t="s">
        <v>614</v>
      </c>
      <c r="G897">
        <v>1</v>
      </c>
      <c r="H897" t="s">
        <v>27</v>
      </c>
      <c r="I897" t="s">
        <v>16</v>
      </c>
      <c r="J897" t="s">
        <v>16</v>
      </c>
      <c r="K897" t="str">
        <f>VLOOKUP(C897,CheckName!A:B,2,0)</f>
        <v>Emp</v>
      </c>
      <c r="M897">
        <f>DAY(RejectionData[[#This Row],[RejectionDate]])</f>
        <v>2</v>
      </c>
    </row>
    <row r="898" spans="1:13">
      <c r="A898" t="s">
        <v>599</v>
      </c>
      <c r="B898" t="s">
        <v>1212</v>
      </c>
      <c r="C898" t="s">
        <v>12</v>
      </c>
      <c r="D898" t="s">
        <v>26</v>
      </c>
      <c r="E898" s="7">
        <v>45628</v>
      </c>
      <c r="F898" t="s">
        <v>182</v>
      </c>
      <c r="G898">
        <v>1</v>
      </c>
      <c r="H898" t="s">
        <v>27</v>
      </c>
      <c r="I898" t="s">
        <v>16</v>
      </c>
      <c r="J898" t="s">
        <v>16</v>
      </c>
      <c r="K898" t="str">
        <f>VLOOKUP(C898,CheckName!A:B,2,0)</f>
        <v>Emp</v>
      </c>
      <c r="M898">
        <f>DAY(RejectionData[[#This Row],[RejectionDate]])</f>
        <v>2</v>
      </c>
    </row>
    <row r="899" spans="1:13">
      <c r="A899" t="s">
        <v>461</v>
      </c>
      <c r="B899" t="s">
        <v>1213</v>
      </c>
      <c r="C899" t="s">
        <v>36</v>
      </c>
      <c r="D899" t="s">
        <v>26</v>
      </c>
      <c r="E899" s="7">
        <v>45628</v>
      </c>
      <c r="F899" t="s">
        <v>614</v>
      </c>
      <c r="G899">
        <v>1</v>
      </c>
      <c r="H899" t="s">
        <v>27</v>
      </c>
      <c r="I899" t="s">
        <v>16</v>
      </c>
      <c r="J899" t="s">
        <v>16</v>
      </c>
      <c r="K899" t="str">
        <f>VLOOKUP(C899,CheckName!A:B,2,0)</f>
        <v>Emp</v>
      </c>
      <c r="M899">
        <f>DAY(RejectionData[[#This Row],[RejectionDate]])</f>
        <v>2</v>
      </c>
    </row>
    <row r="900" spans="1:13">
      <c r="A900" t="s">
        <v>45</v>
      </c>
      <c r="B900" t="s">
        <v>1214</v>
      </c>
      <c r="C900" t="s">
        <v>112</v>
      </c>
      <c r="D900" t="s">
        <v>26</v>
      </c>
      <c r="E900" s="7">
        <v>45628</v>
      </c>
      <c r="F900" t="s">
        <v>83</v>
      </c>
      <c r="G900">
        <v>1</v>
      </c>
      <c r="H900" t="s">
        <v>22</v>
      </c>
      <c r="I900" t="s">
        <v>16</v>
      </c>
      <c r="J900" t="s">
        <v>16</v>
      </c>
      <c r="K900" t="str">
        <f>VLOOKUP(C900,CheckName!A:B,2,0)</f>
        <v>Emp</v>
      </c>
      <c r="M900">
        <f>DAY(RejectionData[[#This Row],[RejectionDate]])</f>
        <v>2</v>
      </c>
    </row>
    <row r="901" spans="1:13">
      <c r="A901" t="s">
        <v>362</v>
      </c>
      <c r="B901" t="s">
        <v>1215</v>
      </c>
      <c r="C901" t="s">
        <v>25</v>
      </c>
      <c r="D901" t="s">
        <v>26</v>
      </c>
      <c r="E901" s="7">
        <v>45628</v>
      </c>
      <c r="F901" t="s">
        <v>62</v>
      </c>
      <c r="G901">
        <v>1</v>
      </c>
      <c r="H901" t="s">
        <v>27</v>
      </c>
      <c r="I901" t="s">
        <v>16</v>
      </c>
      <c r="J901" t="s">
        <v>16</v>
      </c>
      <c r="K901" t="str">
        <f>VLOOKUP(C901,CheckName!A:B,2,0)</f>
        <v>Add</v>
      </c>
      <c r="M901">
        <f>DAY(RejectionData[[#This Row],[RejectionDate]])</f>
        <v>2</v>
      </c>
    </row>
    <row r="902" spans="1:13">
      <c r="A902" t="s">
        <v>84</v>
      </c>
      <c r="B902" t="s">
        <v>1216</v>
      </c>
      <c r="C902" t="s">
        <v>25</v>
      </c>
      <c r="D902" t="s">
        <v>26</v>
      </c>
      <c r="E902" s="7">
        <v>45628</v>
      </c>
      <c r="F902" t="s">
        <v>66</v>
      </c>
      <c r="G902">
        <v>1</v>
      </c>
      <c r="H902" t="s">
        <v>27</v>
      </c>
      <c r="I902" t="s">
        <v>16</v>
      </c>
      <c r="J902" t="s">
        <v>16</v>
      </c>
      <c r="K902" t="str">
        <f>VLOOKUP(C902,CheckName!A:B,2,0)</f>
        <v>Add</v>
      </c>
      <c r="M902">
        <f>DAY(RejectionData[[#This Row],[RejectionDate]])</f>
        <v>2</v>
      </c>
    </row>
    <row r="903" spans="1:13">
      <c r="A903" t="s">
        <v>45</v>
      </c>
      <c r="B903" t="s">
        <v>1217</v>
      </c>
      <c r="C903" t="s">
        <v>1218</v>
      </c>
      <c r="D903" t="s">
        <v>13</v>
      </c>
      <c r="E903" s="7">
        <v>45628</v>
      </c>
      <c r="F903" t="s">
        <v>1219</v>
      </c>
      <c r="G903">
        <v>1</v>
      </c>
      <c r="H903" t="s">
        <v>15</v>
      </c>
      <c r="I903" t="s">
        <v>16</v>
      </c>
      <c r="J903" t="s">
        <v>16</v>
      </c>
      <c r="K903" t="str">
        <f>VLOOKUP(C903,CheckName!A:B,2,0)</f>
        <v>Special Check</v>
      </c>
      <c r="M903">
        <f>DAY(RejectionData[[#This Row],[RejectionDate]])</f>
        <v>2</v>
      </c>
    </row>
    <row r="904" spans="1:13">
      <c r="A904" t="s">
        <v>306</v>
      </c>
      <c r="B904" t="s">
        <v>1220</v>
      </c>
      <c r="C904" t="s">
        <v>25</v>
      </c>
      <c r="D904" t="s">
        <v>26</v>
      </c>
      <c r="E904" s="7">
        <v>45628</v>
      </c>
      <c r="F904" t="s">
        <v>66</v>
      </c>
      <c r="G904">
        <v>1</v>
      </c>
      <c r="H904" t="s">
        <v>30</v>
      </c>
      <c r="I904" t="s">
        <v>16</v>
      </c>
      <c r="J904" t="s">
        <v>16</v>
      </c>
      <c r="K904" t="str">
        <f>VLOOKUP(C904,CheckName!A:B,2,0)</f>
        <v>Add</v>
      </c>
      <c r="M904">
        <f>DAY(RejectionData[[#This Row],[RejectionDate]])</f>
        <v>2</v>
      </c>
    </row>
    <row r="905" spans="1:13">
      <c r="A905" t="s">
        <v>1221</v>
      </c>
      <c r="B905" t="s">
        <v>1222</v>
      </c>
      <c r="C905" t="s">
        <v>19</v>
      </c>
      <c r="D905" t="s">
        <v>20</v>
      </c>
      <c r="E905" s="7">
        <v>45628</v>
      </c>
      <c r="F905" t="s">
        <v>66</v>
      </c>
      <c r="G905">
        <v>1</v>
      </c>
      <c r="H905" t="s">
        <v>22</v>
      </c>
      <c r="I905" t="s">
        <v>16</v>
      </c>
      <c r="J905" t="s">
        <v>16</v>
      </c>
      <c r="K905" t="str">
        <f>VLOOKUP(C905,CheckName!A:B,2,0)</f>
        <v>Add</v>
      </c>
      <c r="M905">
        <f>DAY(RejectionData[[#This Row],[RejectionDate]])</f>
        <v>2</v>
      </c>
    </row>
    <row r="906" spans="1:13">
      <c r="A906" t="s">
        <v>119</v>
      </c>
      <c r="B906" t="s">
        <v>1223</v>
      </c>
      <c r="C906" t="s">
        <v>25</v>
      </c>
      <c r="D906" t="s">
        <v>20</v>
      </c>
      <c r="E906" s="7">
        <v>45628</v>
      </c>
      <c r="F906" t="s">
        <v>62</v>
      </c>
      <c r="G906">
        <v>1</v>
      </c>
      <c r="H906" t="s">
        <v>27</v>
      </c>
      <c r="I906" t="s">
        <v>16</v>
      </c>
      <c r="J906" t="s">
        <v>16</v>
      </c>
      <c r="K906" t="str">
        <f>VLOOKUP(C906,CheckName!A:B,2,0)</f>
        <v>Add</v>
      </c>
      <c r="M906">
        <f>DAY(RejectionData[[#This Row],[RejectionDate]])</f>
        <v>2</v>
      </c>
    </row>
    <row r="907" spans="1:13">
      <c r="A907" t="s">
        <v>133</v>
      </c>
      <c r="B907" t="s">
        <v>1224</v>
      </c>
      <c r="C907" t="s">
        <v>25</v>
      </c>
      <c r="D907" t="s">
        <v>20</v>
      </c>
      <c r="E907" s="7">
        <v>45628</v>
      </c>
      <c r="F907" t="s">
        <v>62</v>
      </c>
      <c r="G907">
        <v>1</v>
      </c>
      <c r="H907" t="s">
        <v>22</v>
      </c>
      <c r="I907" t="s">
        <v>16</v>
      </c>
      <c r="J907" t="s">
        <v>16</v>
      </c>
      <c r="K907" t="str">
        <f>VLOOKUP(C907,CheckName!A:B,2,0)</f>
        <v>Add</v>
      </c>
      <c r="M907">
        <f>DAY(RejectionData[[#This Row],[RejectionDate]])</f>
        <v>2</v>
      </c>
    </row>
    <row r="908" spans="1:13">
      <c r="A908" t="s">
        <v>1225</v>
      </c>
      <c r="B908" t="s">
        <v>1226</v>
      </c>
      <c r="C908" t="s">
        <v>25</v>
      </c>
      <c r="D908" t="s">
        <v>20</v>
      </c>
      <c r="E908" s="7">
        <v>45628</v>
      </c>
      <c r="F908" t="s">
        <v>62</v>
      </c>
      <c r="G908">
        <v>1</v>
      </c>
      <c r="H908" t="s">
        <v>22</v>
      </c>
      <c r="I908" t="s">
        <v>16</v>
      </c>
      <c r="J908" t="s">
        <v>16</v>
      </c>
      <c r="K908" t="str">
        <f>VLOOKUP(C908,CheckName!A:B,2,0)</f>
        <v>Add</v>
      </c>
      <c r="M908">
        <f>DAY(RejectionData[[#This Row],[RejectionDate]])</f>
        <v>2</v>
      </c>
    </row>
    <row r="909" spans="1:13">
      <c r="A909" t="s">
        <v>47</v>
      </c>
      <c r="B909" t="s">
        <v>1050</v>
      </c>
      <c r="C909" t="s">
        <v>71</v>
      </c>
      <c r="D909" t="s">
        <v>13</v>
      </c>
      <c r="E909" s="7">
        <v>45628</v>
      </c>
      <c r="F909" t="s">
        <v>1051</v>
      </c>
      <c r="G909">
        <v>1</v>
      </c>
      <c r="H909" t="s">
        <v>15</v>
      </c>
      <c r="I909" t="s">
        <v>16</v>
      </c>
      <c r="J909" t="s">
        <v>16</v>
      </c>
      <c r="K909" t="str">
        <f>VLOOKUP(C909,CheckName!A:B,2,0)</f>
        <v>CRC</v>
      </c>
      <c r="M909">
        <f>DAY(RejectionData[[#This Row],[RejectionDate]])</f>
        <v>2</v>
      </c>
    </row>
    <row r="910" spans="1:13">
      <c r="A910" t="s">
        <v>353</v>
      </c>
      <c r="B910" t="s">
        <v>1227</v>
      </c>
      <c r="C910" t="s">
        <v>36</v>
      </c>
      <c r="D910" t="s">
        <v>13</v>
      </c>
      <c r="E910" s="7">
        <v>45628</v>
      </c>
      <c r="F910" t="s">
        <v>1228</v>
      </c>
      <c r="G910">
        <v>1</v>
      </c>
      <c r="H910" t="s">
        <v>15</v>
      </c>
      <c r="I910" t="s">
        <v>16</v>
      </c>
      <c r="J910" t="s">
        <v>16</v>
      </c>
      <c r="K910" t="str">
        <f>VLOOKUP(C910,CheckName!A:B,2,0)</f>
        <v>Emp</v>
      </c>
      <c r="M910">
        <f>DAY(RejectionData[[#This Row],[RejectionDate]])</f>
        <v>2</v>
      </c>
    </row>
    <row r="911" spans="1:13">
      <c r="A911" t="s">
        <v>211</v>
      </c>
      <c r="B911" t="s">
        <v>1229</v>
      </c>
      <c r="C911" t="s">
        <v>54</v>
      </c>
      <c r="D911" t="s">
        <v>26</v>
      </c>
      <c r="E911" s="7">
        <v>45628</v>
      </c>
      <c r="F911" t="s">
        <v>458</v>
      </c>
      <c r="G911">
        <v>1</v>
      </c>
      <c r="H911" t="s">
        <v>27</v>
      </c>
      <c r="I911" t="s">
        <v>16</v>
      </c>
      <c r="J911" t="s">
        <v>16</v>
      </c>
      <c r="K911" t="str">
        <f>VLOOKUP(C911,CheckName!A:B,2,0)</f>
        <v>Edu</v>
      </c>
      <c r="M911">
        <f>DAY(RejectionData[[#This Row],[RejectionDate]])</f>
        <v>2</v>
      </c>
    </row>
    <row r="912" spans="1:13">
      <c r="A912" t="s">
        <v>84</v>
      </c>
      <c r="B912" t="s">
        <v>1230</v>
      </c>
      <c r="C912" t="s">
        <v>467</v>
      </c>
      <c r="D912" t="s">
        <v>26</v>
      </c>
      <c r="E912" s="7">
        <v>45628</v>
      </c>
      <c r="F912" t="s">
        <v>236</v>
      </c>
      <c r="G912">
        <v>1</v>
      </c>
      <c r="H912" t="s">
        <v>27</v>
      </c>
      <c r="I912" t="s">
        <v>16</v>
      </c>
      <c r="J912" t="s">
        <v>16</v>
      </c>
      <c r="K912" t="str">
        <f>VLOOKUP(C912,CheckName!A:B,2,0)</f>
        <v>Special Check</v>
      </c>
      <c r="M912">
        <f>DAY(RejectionData[[#This Row],[RejectionDate]])</f>
        <v>2</v>
      </c>
    </row>
    <row r="913" spans="1:13">
      <c r="A913" t="s">
        <v>432</v>
      </c>
      <c r="B913" t="s">
        <v>1231</v>
      </c>
      <c r="C913" t="s">
        <v>467</v>
      </c>
      <c r="D913" t="s">
        <v>26</v>
      </c>
      <c r="E913" s="7">
        <v>45628</v>
      </c>
      <c r="F913" t="s">
        <v>236</v>
      </c>
      <c r="G913">
        <v>1</v>
      </c>
      <c r="H913" t="s">
        <v>27</v>
      </c>
      <c r="I913" t="s">
        <v>16</v>
      </c>
      <c r="J913" t="s">
        <v>16</v>
      </c>
      <c r="K913" t="str">
        <f>VLOOKUP(C913,CheckName!A:B,2,0)</f>
        <v>Special Check</v>
      </c>
      <c r="M913">
        <f>DAY(RejectionData[[#This Row],[RejectionDate]])</f>
        <v>2</v>
      </c>
    </row>
    <row r="914" spans="1:13">
      <c r="A914" t="s">
        <v>432</v>
      </c>
      <c r="B914" t="s">
        <v>1232</v>
      </c>
      <c r="C914" t="s">
        <v>467</v>
      </c>
      <c r="D914" t="s">
        <v>26</v>
      </c>
      <c r="E914" s="7">
        <v>45628</v>
      </c>
      <c r="F914" t="s">
        <v>236</v>
      </c>
      <c r="G914">
        <v>1</v>
      </c>
      <c r="H914" t="s">
        <v>27</v>
      </c>
      <c r="I914" t="s">
        <v>16</v>
      </c>
      <c r="J914" t="s">
        <v>16</v>
      </c>
      <c r="K914" t="str">
        <f>VLOOKUP(C914,CheckName!A:B,2,0)</f>
        <v>Special Check</v>
      </c>
      <c r="M914">
        <f>DAY(RejectionData[[#This Row],[RejectionDate]])</f>
        <v>2</v>
      </c>
    </row>
    <row r="915" spans="1:13">
      <c r="A915" t="s">
        <v>465</v>
      </c>
      <c r="B915" t="s">
        <v>1233</v>
      </c>
      <c r="C915" t="s">
        <v>467</v>
      </c>
      <c r="D915" t="s">
        <v>26</v>
      </c>
      <c r="E915" s="7">
        <v>45628</v>
      </c>
      <c r="F915" t="s">
        <v>236</v>
      </c>
      <c r="G915">
        <v>1</v>
      </c>
      <c r="H915" t="s">
        <v>22</v>
      </c>
      <c r="I915" t="s">
        <v>16</v>
      </c>
      <c r="J915" t="s">
        <v>16</v>
      </c>
      <c r="K915" t="str">
        <f>VLOOKUP(C915,CheckName!A:B,2,0)</f>
        <v>Special Check</v>
      </c>
      <c r="M915">
        <f>DAY(RejectionData[[#This Row],[RejectionDate]])</f>
        <v>2</v>
      </c>
    </row>
    <row r="916" spans="1:13">
      <c r="A916" t="s">
        <v>1110</v>
      </c>
      <c r="B916" t="s">
        <v>1234</v>
      </c>
      <c r="C916" t="s">
        <v>965</v>
      </c>
      <c r="D916" t="s">
        <v>26</v>
      </c>
      <c r="E916" s="7">
        <v>45628</v>
      </c>
      <c r="F916" t="s">
        <v>21</v>
      </c>
      <c r="G916">
        <v>1</v>
      </c>
      <c r="H916" t="s">
        <v>27</v>
      </c>
      <c r="I916" t="s">
        <v>16</v>
      </c>
      <c r="J916" t="s">
        <v>16</v>
      </c>
      <c r="K916" t="str">
        <f>VLOOKUP(C916,CheckName!A:B,2,0)</f>
        <v>Add</v>
      </c>
      <c r="M916">
        <f>DAY(RejectionData[[#This Row],[RejectionDate]])</f>
        <v>2</v>
      </c>
    </row>
    <row r="917" spans="1:13">
      <c r="A917" t="s">
        <v>64</v>
      </c>
      <c r="B917" t="s">
        <v>1235</v>
      </c>
      <c r="C917" t="s">
        <v>25</v>
      </c>
      <c r="D917" t="s">
        <v>26</v>
      </c>
      <c r="E917" s="7">
        <v>45628</v>
      </c>
      <c r="F917" t="s">
        <v>273</v>
      </c>
      <c r="G917">
        <v>1</v>
      </c>
      <c r="H917" t="s">
        <v>27</v>
      </c>
      <c r="I917" t="s">
        <v>16</v>
      </c>
      <c r="J917" t="s">
        <v>16</v>
      </c>
      <c r="K917" t="str">
        <f>VLOOKUP(C917,CheckName!A:B,2,0)</f>
        <v>Add</v>
      </c>
      <c r="M917">
        <f>DAY(RejectionData[[#This Row],[RejectionDate]])</f>
        <v>2</v>
      </c>
    </row>
    <row r="918" spans="1:13">
      <c r="A918" t="s">
        <v>203</v>
      </c>
      <c r="B918" t="s">
        <v>1236</v>
      </c>
      <c r="C918" t="s">
        <v>36</v>
      </c>
      <c r="D918" t="s">
        <v>26</v>
      </c>
      <c r="E918" s="7">
        <v>45628</v>
      </c>
      <c r="F918" t="s">
        <v>325</v>
      </c>
      <c r="G918">
        <v>1</v>
      </c>
      <c r="H918" t="s">
        <v>27</v>
      </c>
      <c r="I918" t="s">
        <v>16</v>
      </c>
      <c r="J918" t="s">
        <v>16</v>
      </c>
      <c r="K918" t="str">
        <f>VLOOKUP(C918,CheckName!A:B,2,0)</f>
        <v>Emp</v>
      </c>
      <c r="M918">
        <f>DAY(RejectionData[[#This Row],[RejectionDate]])</f>
        <v>2</v>
      </c>
    </row>
    <row r="919" spans="1:13">
      <c r="A919" t="s">
        <v>1237</v>
      </c>
      <c r="B919" t="s">
        <v>1238</v>
      </c>
      <c r="C919" t="s">
        <v>49</v>
      </c>
      <c r="D919" t="s">
        <v>13</v>
      </c>
      <c r="E919" s="7">
        <v>45628</v>
      </c>
      <c r="F919" t="s">
        <v>14</v>
      </c>
      <c r="G919">
        <v>1</v>
      </c>
      <c r="H919" t="s">
        <v>15</v>
      </c>
      <c r="I919" t="s">
        <v>16</v>
      </c>
      <c r="J919" t="s">
        <v>16</v>
      </c>
      <c r="K919" t="str">
        <f>VLOOKUP(C919,CheckName!A:B,2,0)</f>
        <v>CRC</v>
      </c>
      <c r="M919">
        <f>DAY(RejectionData[[#This Row],[RejectionDate]])</f>
        <v>2</v>
      </c>
    </row>
    <row r="920" spans="1:13">
      <c r="A920" t="s">
        <v>1237</v>
      </c>
      <c r="B920" t="s">
        <v>1238</v>
      </c>
      <c r="C920" t="s">
        <v>71</v>
      </c>
      <c r="D920" t="s">
        <v>13</v>
      </c>
      <c r="E920" s="7">
        <v>45628</v>
      </c>
      <c r="F920" t="s">
        <v>14</v>
      </c>
      <c r="G920">
        <v>1</v>
      </c>
      <c r="H920" t="s">
        <v>15</v>
      </c>
      <c r="I920" t="s">
        <v>16</v>
      </c>
      <c r="J920" t="s">
        <v>16</v>
      </c>
      <c r="K920" t="str">
        <f>VLOOKUP(C920,CheckName!A:B,2,0)</f>
        <v>CRC</v>
      </c>
      <c r="M920">
        <f>DAY(RejectionData[[#This Row],[RejectionDate]])</f>
        <v>2</v>
      </c>
    </row>
    <row r="921" spans="1:13">
      <c r="A921" t="s">
        <v>84</v>
      </c>
      <c r="B921" t="s">
        <v>1239</v>
      </c>
      <c r="C921" t="s">
        <v>12</v>
      </c>
      <c r="D921" t="s">
        <v>26</v>
      </c>
      <c r="E921" s="7">
        <v>45625</v>
      </c>
      <c r="F921" t="s">
        <v>151</v>
      </c>
      <c r="G921">
        <v>4</v>
      </c>
      <c r="H921" t="s">
        <v>27</v>
      </c>
      <c r="I921" t="s">
        <v>16</v>
      </c>
      <c r="J921" t="s">
        <v>16</v>
      </c>
      <c r="K921" t="str">
        <f>VLOOKUP(C921,CheckName!A:B,2,0)</f>
        <v>Emp</v>
      </c>
      <c r="M921">
        <f>DAY(RejectionData[[#This Row],[RejectionDate]])</f>
        <v>29</v>
      </c>
    </row>
    <row r="922" spans="1:13">
      <c r="A922" t="s">
        <v>186</v>
      </c>
      <c r="B922" t="s">
        <v>1240</v>
      </c>
      <c r="C922" t="s">
        <v>12</v>
      </c>
      <c r="D922" t="s">
        <v>26</v>
      </c>
      <c r="E922" s="7">
        <v>45625</v>
      </c>
      <c r="F922" t="s">
        <v>162</v>
      </c>
      <c r="G922">
        <v>4</v>
      </c>
      <c r="H922" t="s">
        <v>27</v>
      </c>
      <c r="I922" t="s">
        <v>16</v>
      </c>
      <c r="J922" t="s">
        <v>16</v>
      </c>
      <c r="K922" t="str">
        <f>VLOOKUP(C922,CheckName!A:B,2,0)</f>
        <v>Emp</v>
      </c>
      <c r="M922">
        <f>DAY(RejectionData[[#This Row],[RejectionDate]])</f>
        <v>29</v>
      </c>
    </row>
    <row r="923" spans="1:13">
      <c r="A923" t="s">
        <v>142</v>
      </c>
      <c r="B923" t="s">
        <v>1241</v>
      </c>
      <c r="C923" t="s">
        <v>125</v>
      </c>
      <c r="D923" t="s">
        <v>26</v>
      </c>
      <c r="E923" s="7">
        <v>45625</v>
      </c>
      <c r="F923" t="s">
        <v>191</v>
      </c>
      <c r="G923">
        <v>4</v>
      </c>
      <c r="H923" t="s">
        <v>22</v>
      </c>
      <c r="I923" t="s">
        <v>16</v>
      </c>
      <c r="J923" t="s">
        <v>16</v>
      </c>
      <c r="K923" t="str">
        <f>VLOOKUP(C923,CheckName!A:B,2,0)</f>
        <v>Emp</v>
      </c>
      <c r="M923">
        <f>DAY(RejectionData[[#This Row],[RejectionDate]])</f>
        <v>29</v>
      </c>
    </row>
    <row r="924" spans="1:13">
      <c r="A924" t="s">
        <v>64</v>
      </c>
      <c r="B924" t="s">
        <v>1242</v>
      </c>
      <c r="C924" t="s">
        <v>54</v>
      </c>
      <c r="D924" t="s">
        <v>26</v>
      </c>
      <c r="E924" s="7">
        <v>45625</v>
      </c>
      <c r="F924" t="s">
        <v>351</v>
      </c>
      <c r="G924">
        <v>4</v>
      </c>
      <c r="H924" t="s">
        <v>22</v>
      </c>
      <c r="I924" t="s">
        <v>16</v>
      </c>
      <c r="J924" t="s">
        <v>16</v>
      </c>
      <c r="K924" t="str">
        <f>VLOOKUP(C924,CheckName!A:B,2,0)</f>
        <v>Edu</v>
      </c>
      <c r="M924">
        <f>DAY(RejectionData[[#This Row],[RejectionDate]])</f>
        <v>29</v>
      </c>
    </row>
    <row r="925" spans="1:13">
      <c r="A925" t="s">
        <v>1110</v>
      </c>
      <c r="B925" t="s">
        <v>1243</v>
      </c>
      <c r="C925" t="s">
        <v>965</v>
      </c>
      <c r="D925" t="s">
        <v>26</v>
      </c>
      <c r="E925" s="7">
        <v>45624</v>
      </c>
      <c r="F925" t="s">
        <v>66</v>
      </c>
      <c r="G925">
        <v>5</v>
      </c>
      <c r="H925" t="s">
        <v>27</v>
      </c>
      <c r="I925" t="s">
        <v>16</v>
      </c>
      <c r="J925" t="s">
        <v>16</v>
      </c>
      <c r="K925" t="str">
        <f>VLOOKUP(C925,CheckName!A:B,2,0)</f>
        <v>Add</v>
      </c>
      <c r="M925">
        <f>DAY(RejectionData[[#This Row],[RejectionDate]])</f>
        <v>28</v>
      </c>
    </row>
    <row r="926" spans="1:13">
      <c r="A926" t="s">
        <v>306</v>
      </c>
      <c r="B926" t="s">
        <v>1244</v>
      </c>
      <c r="C926" t="s">
        <v>71</v>
      </c>
      <c r="D926" t="s">
        <v>13</v>
      </c>
      <c r="E926" s="7">
        <v>45624</v>
      </c>
      <c r="F926" t="s">
        <v>844</v>
      </c>
      <c r="G926">
        <v>5</v>
      </c>
      <c r="H926" t="s">
        <v>15</v>
      </c>
      <c r="I926" t="s">
        <v>16</v>
      </c>
      <c r="J926" t="s">
        <v>16</v>
      </c>
      <c r="K926" t="str">
        <f>VLOOKUP(C926,CheckName!A:B,2,0)</f>
        <v>CRC</v>
      </c>
      <c r="M926">
        <f>DAY(RejectionData[[#This Row],[RejectionDate]])</f>
        <v>28</v>
      </c>
    </row>
    <row r="927" spans="1:13">
      <c r="A927" t="s">
        <v>47</v>
      </c>
      <c r="B927" t="s">
        <v>1245</v>
      </c>
      <c r="C927" t="s">
        <v>71</v>
      </c>
      <c r="D927" t="s">
        <v>13</v>
      </c>
      <c r="E927" s="7">
        <v>45629</v>
      </c>
      <c r="F927" t="s">
        <v>14</v>
      </c>
      <c r="G927">
        <v>0</v>
      </c>
      <c r="H927" t="s">
        <v>15</v>
      </c>
      <c r="I927" t="s">
        <v>16</v>
      </c>
      <c r="J927" t="s">
        <v>16</v>
      </c>
      <c r="K927" t="str">
        <f>VLOOKUP(C927,CheckName!A:B,2,0)</f>
        <v>CRC</v>
      </c>
      <c r="M927">
        <f>DAY(RejectionData[[#This Row],[RejectionDate]])</f>
        <v>3</v>
      </c>
    </row>
    <row r="928" spans="1:13">
      <c r="A928" t="s">
        <v>1246</v>
      </c>
      <c r="B928" t="s">
        <v>1247</v>
      </c>
      <c r="C928" t="s">
        <v>12</v>
      </c>
      <c r="D928" t="s">
        <v>13</v>
      </c>
      <c r="E928" s="7">
        <v>45629</v>
      </c>
      <c r="F928" t="s">
        <v>249</v>
      </c>
      <c r="G928">
        <v>0</v>
      </c>
      <c r="H928" t="s">
        <v>15</v>
      </c>
      <c r="I928" t="s">
        <v>16</v>
      </c>
      <c r="J928" t="s">
        <v>16</v>
      </c>
      <c r="K928" t="str">
        <f>VLOOKUP(C928,CheckName!A:B,2,0)</f>
        <v>Emp</v>
      </c>
      <c r="M928">
        <f>DAY(RejectionData[[#This Row],[RejectionDate]])</f>
        <v>3</v>
      </c>
    </row>
    <row r="929" spans="1:13">
      <c r="A929" t="s">
        <v>1110</v>
      </c>
      <c r="B929" t="s">
        <v>1248</v>
      </c>
      <c r="C929" t="s">
        <v>965</v>
      </c>
      <c r="D929" t="s">
        <v>20</v>
      </c>
      <c r="E929" s="7">
        <v>45629</v>
      </c>
      <c r="F929" t="s">
        <v>21</v>
      </c>
      <c r="G929">
        <v>0</v>
      </c>
      <c r="H929" t="s">
        <v>22</v>
      </c>
      <c r="I929" t="s">
        <v>16</v>
      </c>
      <c r="J929" t="s">
        <v>16</v>
      </c>
      <c r="K929" t="str">
        <f>VLOOKUP(C929,CheckName!A:B,2,0)</f>
        <v>Add</v>
      </c>
      <c r="M929">
        <f>DAY(RejectionData[[#This Row],[RejectionDate]])</f>
        <v>3</v>
      </c>
    </row>
    <row r="930" spans="1:13">
      <c r="A930" t="s">
        <v>1110</v>
      </c>
      <c r="B930" t="s">
        <v>1249</v>
      </c>
      <c r="C930" t="s">
        <v>965</v>
      </c>
      <c r="D930" t="s">
        <v>20</v>
      </c>
      <c r="E930" s="7">
        <v>45629</v>
      </c>
      <c r="F930" t="s">
        <v>21</v>
      </c>
      <c r="G930">
        <v>0</v>
      </c>
      <c r="H930" t="s">
        <v>22</v>
      </c>
      <c r="I930" t="s">
        <v>16</v>
      </c>
      <c r="J930" t="s">
        <v>16</v>
      </c>
      <c r="K930" t="str">
        <f>VLOOKUP(C930,CheckName!A:B,2,0)</f>
        <v>Add</v>
      </c>
      <c r="M930">
        <f>DAY(RejectionData[[#This Row],[RejectionDate]])</f>
        <v>3</v>
      </c>
    </row>
    <row r="931" spans="1:13">
      <c r="A931" t="s">
        <v>1110</v>
      </c>
      <c r="B931" t="s">
        <v>1250</v>
      </c>
      <c r="C931" t="s">
        <v>965</v>
      </c>
      <c r="D931" t="s">
        <v>20</v>
      </c>
      <c r="E931" s="7">
        <v>45629</v>
      </c>
      <c r="F931" t="s">
        <v>21</v>
      </c>
      <c r="G931">
        <v>0</v>
      </c>
      <c r="H931" t="s">
        <v>22</v>
      </c>
      <c r="I931" t="s">
        <v>16</v>
      </c>
      <c r="J931" t="s">
        <v>16</v>
      </c>
      <c r="K931" t="str">
        <f>VLOOKUP(C931,CheckName!A:B,2,0)</f>
        <v>Add</v>
      </c>
      <c r="M931">
        <f>DAY(RejectionData[[#This Row],[RejectionDate]])</f>
        <v>3</v>
      </c>
    </row>
    <row r="932" spans="1:13">
      <c r="A932" t="s">
        <v>1110</v>
      </c>
      <c r="B932" t="s">
        <v>1251</v>
      </c>
      <c r="C932" t="s">
        <v>965</v>
      </c>
      <c r="D932" t="s">
        <v>20</v>
      </c>
      <c r="E932" s="7">
        <v>45629</v>
      </c>
      <c r="F932" t="s">
        <v>21</v>
      </c>
      <c r="G932">
        <v>0</v>
      </c>
      <c r="H932" t="s">
        <v>22</v>
      </c>
      <c r="I932" t="s">
        <v>16</v>
      </c>
      <c r="J932" t="s">
        <v>16</v>
      </c>
      <c r="K932" t="str">
        <f>VLOOKUP(C932,CheckName!A:B,2,0)</f>
        <v>Add</v>
      </c>
      <c r="M932">
        <f>DAY(RejectionData[[#This Row],[RejectionDate]])</f>
        <v>3</v>
      </c>
    </row>
    <row r="933" spans="1:13">
      <c r="A933" t="s">
        <v>64</v>
      </c>
      <c r="B933" t="s">
        <v>1252</v>
      </c>
      <c r="C933" t="s">
        <v>25</v>
      </c>
      <c r="D933" t="s">
        <v>20</v>
      </c>
      <c r="E933" s="7">
        <v>45629</v>
      </c>
      <c r="F933" t="s">
        <v>21</v>
      </c>
      <c r="G933">
        <v>0</v>
      </c>
      <c r="H933" t="s">
        <v>130</v>
      </c>
      <c r="I933" t="s">
        <v>16</v>
      </c>
      <c r="J933" t="s">
        <v>16</v>
      </c>
      <c r="K933" t="str">
        <f>VLOOKUP(C933,CheckName!A:B,2,0)</f>
        <v>Add</v>
      </c>
      <c r="M933">
        <f>DAY(RejectionData[[#This Row],[RejectionDate]])</f>
        <v>3</v>
      </c>
    </row>
    <row r="934" spans="1:13">
      <c r="A934" t="s">
        <v>1253</v>
      </c>
      <c r="B934" t="s">
        <v>1254</v>
      </c>
      <c r="C934" t="s">
        <v>12</v>
      </c>
      <c r="D934" t="s">
        <v>26</v>
      </c>
      <c r="E934" s="7">
        <v>45629</v>
      </c>
      <c r="F934" t="s">
        <v>37</v>
      </c>
      <c r="G934">
        <v>0</v>
      </c>
      <c r="H934" t="s">
        <v>27</v>
      </c>
      <c r="I934" t="s">
        <v>16</v>
      </c>
      <c r="J934" t="s">
        <v>16</v>
      </c>
      <c r="K934" t="str">
        <f>VLOOKUP(C934,CheckName!A:B,2,0)</f>
        <v>Emp</v>
      </c>
      <c r="M934">
        <f>DAY(RejectionData[[#This Row],[RejectionDate]])</f>
        <v>3</v>
      </c>
    </row>
    <row r="935" spans="1:13">
      <c r="A935" t="s">
        <v>163</v>
      </c>
      <c r="B935" t="s">
        <v>1255</v>
      </c>
      <c r="C935" t="s">
        <v>12</v>
      </c>
      <c r="D935" t="s">
        <v>38</v>
      </c>
      <c r="E935" s="7">
        <v>45629</v>
      </c>
      <c r="F935" t="s">
        <v>39</v>
      </c>
      <c r="G935">
        <v>0</v>
      </c>
      <c r="H935" t="s">
        <v>42</v>
      </c>
      <c r="I935" t="s">
        <v>16</v>
      </c>
      <c r="J935" t="s">
        <v>16</v>
      </c>
      <c r="K935" t="str">
        <f>VLOOKUP(C935,CheckName!A:B,2,0)</f>
        <v>Emp</v>
      </c>
      <c r="M935">
        <f>DAY(RejectionData[[#This Row],[RejectionDate]])</f>
        <v>3</v>
      </c>
    </row>
    <row r="936" spans="1:13">
      <c r="A936" t="s">
        <v>299</v>
      </c>
      <c r="B936" t="s">
        <v>303</v>
      </c>
      <c r="C936" t="s">
        <v>36</v>
      </c>
      <c r="D936" t="s">
        <v>38</v>
      </c>
      <c r="E936" s="7">
        <v>45629</v>
      </c>
      <c r="F936" t="s">
        <v>39</v>
      </c>
      <c r="G936">
        <v>0</v>
      </c>
      <c r="H936" t="s">
        <v>42</v>
      </c>
      <c r="I936" t="s">
        <v>16</v>
      </c>
      <c r="J936" t="s">
        <v>16</v>
      </c>
      <c r="K936" t="str">
        <f>VLOOKUP(C936,CheckName!A:B,2,0)</f>
        <v>Emp</v>
      </c>
      <c r="M936">
        <f>DAY(RejectionData[[#This Row],[RejectionDate]])</f>
        <v>3</v>
      </c>
    </row>
    <row r="937" spans="1:13">
      <c r="A937" t="s">
        <v>45</v>
      </c>
      <c r="B937" t="s">
        <v>1256</v>
      </c>
      <c r="C937" t="s">
        <v>125</v>
      </c>
      <c r="D937" t="s">
        <v>38</v>
      </c>
      <c r="E937" s="7">
        <v>45629</v>
      </c>
      <c r="F937" t="s">
        <v>39</v>
      </c>
      <c r="G937">
        <v>0</v>
      </c>
      <c r="H937" t="s">
        <v>42</v>
      </c>
      <c r="I937" t="s">
        <v>16</v>
      </c>
      <c r="J937" t="s">
        <v>16</v>
      </c>
      <c r="K937" t="str">
        <f>VLOOKUP(C937,CheckName!A:B,2,0)</f>
        <v>Emp</v>
      </c>
      <c r="M937">
        <f>DAY(RejectionData[[#This Row],[RejectionDate]])</f>
        <v>3</v>
      </c>
    </row>
    <row r="938" spans="1:13">
      <c r="A938" t="s">
        <v>45</v>
      </c>
      <c r="B938" t="s">
        <v>810</v>
      </c>
      <c r="C938" t="s">
        <v>125</v>
      </c>
      <c r="D938" t="s">
        <v>38</v>
      </c>
      <c r="E938" s="7">
        <v>45629</v>
      </c>
      <c r="F938" t="s">
        <v>39</v>
      </c>
      <c r="G938">
        <v>0</v>
      </c>
      <c r="H938" t="s">
        <v>42</v>
      </c>
      <c r="I938" t="s">
        <v>16</v>
      </c>
      <c r="J938" t="s">
        <v>16</v>
      </c>
      <c r="K938" t="str">
        <f>VLOOKUP(C938,CheckName!A:B,2,0)</f>
        <v>Emp</v>
      </c>
      <c r="M938">
        <f>DAY(RejectionData[[#This Row],[RejectionDate]])</f>
        <v>3</v>
      </c>
    </row>
    <row r="939" spans="1:13">
      <c r="A939" t="s">
        <v>47</v>
      </c>
      <c r="B939" t="s">
        <v>1257</v>
      </c>
      <c r="C939" t="s">
        <v>71</v>
      </c>
      <c r="D939" t="s">
        <v>13</v>
      </c>
      <c r="E939" s="7">
        <v>45629</v>
      </c>
      <c r="F939" t="s">
        <v>759</v>
      </c>
      <c r="G939">
        <v>0</v>
      </c>
      <c r="H939" t="s">
        <v>15</v>
      </c>
      <c r="I939" t="s">
        <v>16</v>
      </c>
      <c r="J939" t="s">
        <v>16</v>
      </c>
      <c r="K939" t="str">
        <f>VLOOKUP(C939,CheckName!A:B,2,0)</f>
        <v>CRC</v>
      </c>
      <c r="M939">
        <f>DAY(RejectionData[[#This Row],[RejectionDate]])</f>
        <v>3</v>
      </c>
    </row>
    <row r="940" spans="1:13">
      <c r="A940" t="s">
        <v>160</v>
      </c>
      <c r="B940" t="s">
        <v>1258</v>
      </c>
      <c r="C940" t="s">
        <v>36</v>
      </c>
      <c r="D940" t="s">
        <v>26</v>
      </c>
      <c r="E940" s="7">
        <v>45629</v>
      </c>
      <c r="F940" t="s">
        <v>222</v>
      </c>
      <c r="G940">
        <v>0</v>
      </c>
      <c r="H940" t="s">
        <v>27</v>
      </c>
      <c r="I940" t="s">
        <v>16</v>
      </c>
      <c r="J940" t="s">
        <v>16</v>
      </c>
      <c r="K940" t="str">
        <f>VLOOKUP(C940,CheckName!A:B,2,0)</f>
        <v>Emp</v>
      </c>
      <c r="M940">
        <f>DAY(RejectionData[[#This Row],[RejectionDate]])</f>
        <v>3</v>
      </c>
    </row>
    <row r="941" spans="1:13">
      <c r="A941" t="s">
        <v>1259</v>
      </c>
      <c r="B941" t="s">
        <v>1260</v>
      </c>
      <c r="C941" t="s">
        <v>12</v>
      </c>
      <c r="D941" t="s">
        <v>26</v>
      </c>
      <c r="E941" s="7">
        <v>45629</v>
      </c>
      <c r="F941" t="s">
        <v>1055</v>
      </c>
      <c r="G941">
        <v>0</v>
      </c>
      <c r="H941" t="s">
        <v>22</v>
      </c>
      <c r="I941" t="s">
        <v>16</v>
      </c>
      <c r="J941" t="s">
        <v>16</v>
      </c>
      <c r="K941" t="str">
        <f>VLOOKUP(C941,CheckName!A:B,2,0)</f>
        <v>Emp</v>
      </c>
      <c r="M941">
        <f>DAY(RejectionData[[#This Row],[RejectionDate]])</f>
        <v>3</v>
      </c>
    </row>
    <row r="942" spans="1:13">
      <c r="A942" t="s">
        <v>216</v>
      </c>
      <c r="B942" t="s">
        <v>1261</v>
      </c>
      <c r="C942" t="s">
        <v>54</v>
      </c>
      <c r="D942" t="s">
        <v>26</v>
      </c>
      <c r="E942" s="7">
        <v>45629</v>
      </c>
      <c r="F942" t="s">
        <v>63</v>
      </c>
      <c r="G942">
        <v>0</v>
      </c>
      <c r="H942" t="s">
        <v>27</v>
      </c>
      <c r="I942" t="s">
        <v>16</v>
      </c>
      <c r="J942" t="s">
        <v>16</v>
      </c>
      <c r="K942" t="str">
        <f>VLOOKUP(C942,CheckName!A:B,2,0)</f>
        <v>Edu</v>
      </c>
      <c r="M942">
        <f>DAY(RejectionData[[#This Row],[RejectionDate]])</f>
        <v>3</v>
      </c>
    </row>
    <row r="943" spans="1:13">
      <c r="A943" t="s">
        <v>165</v>
      </c>
      <c r="B943" t="s">
        <v>1262</v>
      </c>
      <c r="C943" t="s">
        <v>54</v>
      </c>
      <c r="D943" t="s">
        <v>26</v>
      </c>
      <c r="E943" s="7">
        <v>45629</v>
      </c>
      <c r="F943" t="s">
        <v>215</v>
      </c>
      <c r="G943">
        <v>0</v>
      </c>
      <c r="H943" t="s">
        <v>95</v>
      </c>
      <c r="I943" t="s">
        <v>16</v>
      </c>
      <c r="J943" t="s">
        <v>16</v>
      </c>
      <c r="K943" t="str">
        <f>VLOOKUP(C943,CheckName!A:B,2,0)</f>
        <v>Edu</v>
      </c>
      <c r="M943">
        <f>DAY(RejectionData[[#This Row],[RejectionDate]])</f>
        <v>3</v>
      </c>
    </row>
    <row r="944" spans="1:13">
      <c r="A944" t="s">
        <v>317</v>
      </c>
      <c r="B944" t="s">
        <v>1263</v>
      </c>
      <c r="C944" t="s">
        <v>19</v>
      </c>
      <c r="D944" t="s">
        <v>20</v>
      </c>
      <c r="E944" s="7">
        <v>45629</v>
      </c>
      <c r="F944" t="s">
        <v>62</v>
      </c>
      <c r="G944">
        <v>0</v>
      </c>
      <c r="H944" t="s">
        <v>22</v>
      </c>
      <c r="I944" t="s">
        <v>16</v>
      </c>
      <c r="J944" t="s">
        <v>16</v>
      </c>
      <c r="K944" t="str">
        <f>VLOOKUP(C944,CheckName!A:B,2,0)</f>
        <v>Add</v>
      </c>
      <c r="M944">
        <f>DAY(RejectionData[[#This Row],[RejectionDate]])</f>
        <v>3</v>
      </c>
    </row>
    <row r="945" spans="1:13">
      <c r="A945" t="s">
        <v>362</v>
      </c>
      <c r="B945" t="s">
        <v>1264</v>
      </c>
      <c r="C945" t="s">
        <v>25</v>
      </c>
      <c r="D945" t="s">
        <v>26</v>
      </c>
      <c r="E945" s="7">
        <v>45629</v>
      </c>
      <c r="F945" t="s">
        <v>66</v>
      </c>
      <c r="G945">
        <v>0</v>
      </c>
      <c r="H945" t="s">
        <v>95</v>
      </c>
      <c r="I945" t="s">
        <v>16</v>
      </c>
      <c r="J945" t="s">
        <v>16</v>
      </c>
      <c r="K945" t="str">
        <f>VLOOKUP(C945,CheckName!A:B,2,0)</f>
        <v>Add</v>
      </c>
      <c r="M945">
        <f>DAY(RejectionData[[#This Row],[RejectionDate]])</f>
        <v>3</v>
      </c>
    </row>
    <row r="946" spans="1:13">
      <c r="A946" t="s">
        <v>88</v>
      </c>
      <c r="B946" t="s">
        <v>1265</v>
      </c>
      <c r="C946" t="s">
        <v>25</v>
      </c>
      <c r="D946" t="s">
        <v>26</v>
      </c>
      <c r="E946" s="7">
        <v>45629</v>
      </c>
      <c r="F946" t="s">
        <v>66</v>
      </c>
      <c r="G946">
        <v>0</v>
      </c>
      <c r="H946" t="s">
        <v>95</v>
      </c>
      <c r="I946" t="s">
        <v>16</v>
      </c>
      <c r="J946" t="s">
        <v>16</v>
      </c>
      <c r="K946" t="str">
        <f>VLOOKUP(C946,CheckName!A:B,2,0)</f>
        <v>Add</v>
      </c>
      <c r="M946">
        <f>DAY(RejectionData[[#This Row],[RejectionDate]])</f>
        <v>3</v>
      </c>
    </row>
    <row r="947" spans="1:13">
      <c r="A947" t="s">
        <v>88</v>
      </c>
      <c r="B947" t="s">
        <v>1266</v>
      </c>
      <c r="C947" t="s">
        <v>25</v>
      </c>
      <c r="D947" t="s">
        <v>26</v>
      </c>
      <c r="E947" s="7">
        <v>45629</v>
      </c>
      <c r="F947" t="s">
        <v>66</v>
      </c>
      <c r="G947">
        <v>0</v>
      </c>
      <c r="H947" t="s">
        <v>22</v>
      </c>
      <c r="I947" t="s">
        <v>16</v>
      </c>
      <c r="J947" t="s">
        <v>16</v>
      </c>
      <c r="K947" t="str">
        <f>VLOOKUP(C947,CheckName!A:B,2,0)</f>
        <v>Add</v>
      </c>
      <c r="M947">
        <f>DAY(RejectionData[[#This Row],[RejectionDate]])</f>
        <v>3</v>
      </c>
    </row>
    <row r="948" spans="1:13">
      <c r="A948" t="s">
        <v>1267</v>
      </c>
      <c r="B948" t="s">
        <v>1268</v>
      </c>
      <c r="C948" t="s">
        <v>54</v>
      </c>
      <c r="D948" t="s">
        <v>26</v>
      </c>
      <c r="E948" s="7">
        <v>45629</v>
      </c>
      <c r="F948" t="s">
        <v>63</v>
      </c>
      <c r="G948">
        <v>0</v>
      </c>
      <c r="H948" t="s">
        <v>27</v>
      </c>
      <c r="I948" t="s">
        <v>16</v>
      </c>
      <c r="J948" t="s">
        <v>16</v>
      </c>
      <c r="K948" t="str">
        <f>VLOOKUP(C948,CheckName!A:B,2,0)</f>
        <v>Edu</v>
      </c>
      <c r="M948">
        <f>DAY(RejectionData[[#This Row],[RejectionDate]])</f>
        <v>3</v>
      </c>
    </row>
    <row r="949" spans="1:13">
      <c r="A949" t="s">
        <v>556</v>
      </c>
      <c r="B949" t="s">
        <v>1269</v>
      </c>
      <c r="C949" t="s">
        <v>54</v>
      </c>
      <c r="D949" t="s">
        <v>26</v>
      </c>
      <c r="E949" s="7">
        <v>45629</v>
      </c>
      <c r="F949" t="s">
        <v>215</v>
      </c>
      <c r="G949">
        <v>0</v>
      </c>
      <c r="H949" t="s">
        <v>27</v>
      </c>
      <c r="I949" t="s">
        <v>16</v>
      </c>
      <c r="J949" t="s">
        <v>16</v>
      </c>
      <c r="K949" t="str">
        <f>VLOOKUP(C949,CheckName!A:B,2,0)</f>
        <v>Edu</v>
      </c>
      <c r="M949">
        <f>DAY(RejectionData[[#This Row],[RejectionDate]])</f>
        <v>3</v>
      </c>
    </row>
    <row r="950" spans="1:13">
      <c r="A950" t="s">
        <v>461</v>
      </c>
      <c r="B950" t="s">
        <v>1270</v>
      </c>
      <c r="C950" t="s">
        <v>54</v>
      </c>
      <c r="D950" t="s">
        <v>26</v>
      </c>
      <c r="E950" s="7">
        <v>45629</v>
      </c>
      <c r="F950" t="s">
        <v>215</v>
      </c>
      <c r="G950">
        <v>0</v>
      </c>
      <c r="H950" t="s">
        <v>27</v>
      </c>
      <c r="I950" t="s">
        <v>16</v>
      </c>
      <c r="J950" t="s">
        <v>16</v>
      </c>
      <c r="K950" t="str">
        <f>VLOOKUP(C950,CheckName!A:B,2,0)</f>
        <v>Edu</v>
      </c>
      <c r="M950">
        <f>DAY(RejectionData[[#This Row],[RejectionDate]])</f>
        <v>3</v>
      </c>
    </row>
    <row r="951" spans="1:13">
      <c r="A951" t="s">
        <v>1271</v>
      </c>
      <c r="B951" t="s">
        <v>1272</v>
      </c>
      <c r="C951" t="s">
        <v>54</v>
      </c>
      <c r="D951" t="s">
        <v>26</v>
      </c>
      <c r="E951" s="7">
        <v>45629</v>
      </c>
      <c r="F951" t="s">
        <v>215</v>
      </c>
      <c r="G951">
        <v>0</v>
      </c>
      <c r="H951" t="s">
        <v>22</v>
      </c>
      <c r="I951" t="s">
        <v>16</v>
      </c>
      <c r="J951" t="s">
        <v>16</v>
      </c>
      <c r="K951" t="str">
        <f>VLOOKUP(C951,CheckName!A:B,2,0)</f>
        <v>Edu</v>
      </c>
      <c r="M951">
        <f>DAY(RejectionData[[#This Row],[RejectionDate]])</f>
        <v>3</v>
      </c>
    </row>
    <row r="952" spans="1:13">
      <c r="A952" t="s">
        <v>1273</v>
      </c>
      <c r="B952" t="s">
        <v>1274</v>
      </c>
      <c r="C952" t="s">
        <v>59</v>
      </c>
      <c r="D952" t="s">
        <v>13</v>
      </c>
      <c r="E952" s="7">
        <v>45629</v>
      </c>
      <c r="F952" t="s">
        <v>72</v>
      </c>
      <c r="G952">
        <v>0</v>
      </c>
      <c r="H952" t="s">
        <v>15</v>
      </c>
      <c r="I952" t="s">
        <v>16</v>
      </c>
      <c r="J952" t="s">
        <v>16</v>
      </c>
      <c r="K952" t="str">
        <f>VLOOKUP(C952,CheckName!A:B,2,0)</f>
        <v>Special Check</v>
      </c>
      <c r="M952">
        <f>DAY(RejectionData[[#This Row],[RejectionDate]])</f>
        <v>3</v>
      </c>
    </row>
    <row r="953" spans="1:13">
      <c r="A953" t="s">
        <v>281</v>
      </c>
      <c r="B953" t="s">
        <v>1275</v>
      </c>
      <c r="C953" t="s">
        <v>54</v>
      </c>
      <c r="D953" t="s">
        <v>13</v>
      </c>
      <c r="E953" s="7">
        <v>45629</v>
      </c>
      <c r="F953" t="s">
        <v>706</v>
      </c>
      <c r="G953">
        <v>0</v>
      </c>
      <c r="H953" t="s">
        <v>15</v>
      </c>
      <c r="I953" t="s">
        <v>16</v>
      </c>
      <c r="J953" t="s">
        <v>16</v>
      </c>
      <c r="K953" t="str">
        <f>VLOOKUP(C953,CheckName!A:B,2,0)</f>
        <v>Edu</v>
      </c>
      <c r="M953">
        <f>DAY(RejectionData[[#This Row],[RejectionDate]])</f>
        <v>3</v>
      </c>
    </row>
    <row r="954" spans="1:13">
      <c r="A954" t="s">
        <v>1276</v>
      </c>
      <c r="B954" t="s">
        <v>1277</v>
      </c>
      <c r="C954" t="s">
        <v>36</v>
      </c>
      <c r="D954" t="s">
        <v>13</v>
      </c>
      <c r="E954" s="7">
        <v>45629</v>
      </c>
      <c r="F954" t="s">
        <v>72</v>
      </c>
      <c r="G954">
        <v>0</v>
      </c>
      <c r="H954" t="s">
        <v>15</v>
      </c>
      <c r="I954" t="s">
        <v>16</v>
      </c>
      <c r="J954" t="s">
        <v>16</v>
      </c>
      <c r="K954" t="str">
        <f>VLOOKUP(C954,CheckName!A:B,2,0)</f>
        <v>Emp</v>
      </c>
      <c r="M954">
        <f>DAY(RejectionData[[#This Row],[RejectionDate]])</f>
        <v>3</v>
      </c>
    </row>
    <row r="955" spans="1:13">
      <c r="A955" t="s">
        <v>866</v>
      </c>
      <c r="B955" t="s">
        <v>1278</v>
      </c>
      <c r="C955" t="s">
        <v>54</v>
      </c>
      <c r="D955" t="s">
        <v>13</v>
      </c>
      <c r="E955" s="7">
        <v>45629</v>
      </c>
      <c r="F955" t="s">
        <v>72</v>
      </c>
      <c r="G955">
        <v>0</v>
      </c>
      <c r="H955" t="s">
        <v>15</v>
      </c>
      <c r="I955" t="s">
        <v>16</v>
      </c>
      <c r="J955" t="s">
        <v>16</v>
      </c>
      <c r="K955" t="str">
        <f>VLOOKUP(C955,CheckName!A:B,2,0)</f>
        <v>Edu</v>
      </c>
      <c r="M955">
        <f>DAY(RejectionData[[#This Row],[RejectionDate]])</f>
        <v>3</v>
      </c>
    </row>
    <row r="956" spans="1:13">
      <c r="A956" t="s">
        <v>69</v>
      </c>
      <c r="B956" t="s">
        <v>1279</v>
      </c>
      <c r="C956" t="s">
        <v>54</v>
      </c>
      <c r="D956" t="s">
        <v>26</v>
      </c>
      <c r="E956" s="7">
        <v>45629</v>
      </c>
      <c r="F956" t="s">
        <v>504</v>
      </c>
      <c r="G956">
        <v>0</v>
      </c>
      <c r="H956" t="s">
        <v>22</v>
      </c>
      <c r="I956" t="s">
        <v>16</v>
      </c>
      <c r="J956" t="s">
        <v>16</v>
      </c>
      <c r="K956" t="str">
        <f>VLOOKUP(C956,CheckName!A:B,2,0)</f>
        <v>Edu</v>
      </c>
      <c r="M956">
        <f>DAY(RejectionData[[#This Row],[RejectionDate]])</f>
        <v>3</v>
      </c>
    </row>
    <row r="957" spans="1:13">
      <c r="A957" t="s">
        <v>96</v>
      </c>
      <c r="B957" t="s">
        <v>1280</v>
      </c>
      <c r="C957" t="s">
        <v>12</v>
      </c>
      <c r="D957" t="s">
        <v>26</v>
      </c>
      <c r="E957" s="7">
        <v>45629</v>
      </c>
      <c r="F957" t="s">
        <v>191</v>
      </c>
      <c r="G957">
        <v>0</v>
      </c>
      <c r="H957" t="s">
        <v>425</v>
      </c>
      <c r="I957" t="s">
        <v>16</v>
      </c>
      <c r="J957" t="s">
        <v>16</v>
      </c>
      <c r="K957" t="str">
        <f>VLOOKUP(C957,CheckName!A:B,2,0)</f>
        <v>Emp</v>
      </c>
      <c r="M957">
        <f>DAY(RejectionData[[#This Row],[RejectionDate]])</f>
        <v>3</v>
      </c>
    </row>
    <row r="958" spans="1:13">
      <c r="A958" t="s">
        <v>96</v>
      </c>
      <c r="B958" t="s">
        <v>1281</v>
      </c>
      <c r="C958" t="s">
        <v>12</v>
      </c>
      <c r="D958" t="s">
        <v>26</v>
      </c>
      <c r="E958" s="7">
        <v>45629</v>
      </c>
      <c r="F958" t="s">
        <v>191</v>
      </c>
      <c r="G958">
        <v>0</v>
      </c>
      <c r="H958" t="s">
        <v>27</v>
      </c>
      <c r="I958" t="s">
        <v>16</v>
      </c>
      <c r="J958" t="s">
        <v>16</v>
      </c>
      <c r="K958" t="str">
        <f>VLOOKUP(C958,CheckName!A:B,2,0)</f>
        <v>Emp</v>
      </c>
      <c r="M958">
        <f>DAY(RejectionData[[#This Row],[RejectionDate]])</f>
        <v>3</v>
      </c>
    </row>
    <row r="959" spans="1:13">
      <c r="A959" t="s">
        <v>45</v>
      </c>
      <c r="B959" t="s">
        <v>1282</v>
      </c>
      <c r="C959" t="s">
        <v>54</v>
      </c>
      <c r="D959" t="s">
        <v>26</v>
      </c>
      <c r="E959" s="7">
        <v>45629</v>
      </c>
      <c r="F959" t="s">
        <v>852</v>
      </c>
      <c r="G959">
        <v>0</v>
      </c>
      <c r="H959" t="s">
        <v>27</v>
      </c>
      <c r="I959" t="s">
        <v>16</v>
      </c>
      <c r="J959" t="s">
        <v>16</v>
      </c>
      <c r="K959" t="str">
        <f>VLOOKUP(C959,CheckName!A:B,2,0)</f>
        <v>Edu</v>
      </c>
      <c r="M959">
        <f>DAY(RejectionData[[#This Row],[RejectionDate]])</f>
        <v>3</v>
      </c>
    </row>
    <row r="960" spans="1:13">
      <c r="A960" t="s">
        <v>45</v>
      </c>
      <c r="B960" t="s">
        <v>1283</v>
      </c>
      <c r="C960" t="s">
        <v>12</v>
      </c>
      <c r="D960" t="s">
        <v>26</v>
      </c>
      <c r="E960" s="7">
        <v>45629</v>
      </c>
      <c r="F960" t="s">
        <v>83</v>
      </c>
      <c r="G960">
        <v>0</v>
      </c>
      <c r="H960" t="s">
        <v>27</v>
      </c>
      <c r="I960" t="s">
        <v>16</v>
      </c>
      <c r="J960" t="s">
        <v>16</v>
      </c>
      <c r="K960" t="str">
        <f>VLOOKUP(C960,CheckName!A:B,2,0)</f>
        <v>Emp</v>
      </c>
      <c r="M960">
        <f>DAY(RejectionData[[#This Row],[RejectionDate]])</f>
        <v>3</v>
      </c>
    </row>
    <row r="961" spans="1:13">
      <c r="A961" t="s">
        <v>285</v>
      </c>
      <c r="B961" t="s">
        <v>1284</v>
      </c>
      <c r="C961" t="s">
        <v>125</v>
      </c>
      <c r="D961" t="s">
        <v>26</v>
      </c>
      <c r="E961" s="7">
        <v>45629</v>
      </c>
      <c r="F961" t="s">
        <v>355</v>
      </c>
      <c r="G961">
        <v>0</v>
      </c>
      <c r="H961" t="s">
        <v>27</v>
      </c>
      <c r="I961" t="s">
        <v>16</v>
      </c>
      <c r="J961" t="s">
        <v>16</v>
      </c>
      <c r="K961" t="str">
        <f>VLOOKUP(C961,CheckName!A:B,2,0)</f>
        <v>Emp</v>
      </c>
      <c r="M961">
        <f>DAY(RejectionData[[#This Row],[RejectionDate]])</f>
        <v>3</v>
      </c>
    </row>
    <row r="962" spans="1:13">
      <c r="A962" t="s">
        <v>285</v>
      </c>
      <c r="B962" t="s">
        <v>1284</v>
      </c>
      <c r="C962" t="s">
        <v>12</v>
      </c>
      <c r="D962" t="s">
        <v>26</v>
      </c>
      <c r="E962" s="7">
        <v>45629</v>
      </c>
      <c r="F962" t="s">
        <v>355</v>
      </c>
      <c r="G962">
        <v>0</v>
      </c>
      <c r="H962" t="s">
        <v>27</v>
      </c>
      <c r="I962" t="s">
        <v>16</v>
      </c>
      <c r="J962" t="s">
        <v>16</v>
      </c>
      <c r="K962" t="str">
        <f>VLOOKUP(C962,CheckName!A:B,2,0)</f>
        <v>Emp</v>
      </c>
      <c r="M962">
        <f>DAY(RejectionData[[#This Row],[RejectionDate]])</f>
        <v>3</v>
      </c>
    </row>
    <row r="963" spans="1:13">
      <c r="A963" t="s">
        <v>306</v>
      </c>
      <c r="B963" t="s">
        <v>1285</v>
      </c>
      <c r="C963" t="s">
        <v>59</v>
      </c>
      <c r="D963" t="s">
        <v>13</v>
      </c>
      <c r="E963" s="7">
        <v>45629</v>
      </c>
      <c r="F963" t="s">
        <v>427</v>
      </c>
      <c r="G963">
        <v>0</v>
      </c>
      <c r="H963" t="s">
        <v>15</v>
      </c>
      <c r="I963" t="s">
        <v>16</v>
      </c>
      <c r="J963" t="s">
        <v>16</v>
      </c>
      <c r="K963" t="str">
        <f>VLOOKUP(C963,CheckName!A:B,2,0)</f>
        <v>Special Check</v>
      </c>
      <c r="M963">
        <f>DAY(RejectionData[[#This Row],[RejectionDate]])</f>
        <v>3</v>
      </c>
    </row>
    <row r="964" spans="1:13">
      <c r="A964" t="s">
        <v>1092</v>
      </c>
      <c r="B964" t="s">
        <v>1286</v>
      </c>
      <c r="C964" t="s">
        <v>36</v>
      </c>
      <c r="D964" t="s">
        <v>26</v>
      </c>
      <c r="E964" s="7">
        <v>45629</v>
      </c>
      <c r="F964" t="s">
        <v>1139</v>
      </c>
      <c r="G964">
        <v>0</v>
      </c>
      <c r="H964" t="s">
        <v>27</v>
      </c>
      <c r="I964" t="s">
        <v>16</v>
      </c>
      <c r="J964" t="s">
        <v>16</v>
      </c>
      <c r="K964" t="str">
        <f>VLOOKUP(C964,CheckName!A:B,2,0)</f>
        <v>Emp</v>
      </c>
      <c r="M964">
        <f>DAY(RejectionData[[#This Row],[RejectionDate]])</f>
        <v>3</v>
      </c>
    </row>
    <row r="965" spans="1:13">
      <c r="A965" t="s">
        <v>45</v>
      </c>
      <c r="B965" t="s">
        <v>1287</v>
      </c>
      <c r="C965" t="s">
        <v>112</v>
      </c>
      <c r="D965" t="s">
        <v>26</v>
      </c>
      <c r="E965" s="7">
        <v>45629</v>
      </c>
      <c r="F965" t="s">
        <v>175</v>
      </c>
      <c r="G965">
        <v>0</v>
      </c>
      <c r="H965" t="s">
        <v>27</v>
      </c>
      <c r="I965" t="s">
        <v>16</v>
      </c>
      <c r="J965" t="s">
        <v>16</v>
      </c>
      <c r="K965" t="str">
        <f>VLOOKUP(C965,CheckName!A:B,2,0)</f>
        <v>Emp</v>
      </c>
      <c r="M965">
        <f>DAY(RejectionData[[#This Row],[RejectionDate]])</f>
        <v>3</v>
      </c>
    </row>
    <row r="966" spans="1:13">
      <c r="A966" t="s">
        <v>510</v>
      </c>
      <c r="B966" t="s">
        <v>1288</v>
      </c>
      <c r="C966" t="s">
        <v>54</v>
      </c>
      <c r="D966" t="s">
        <v>13</v>
      </c>
      <c r="E966" s="7">
        <v>45629</v>
      </c>
      <c r="F966" t="s">
        <v>98</v>
      </c>
      <c r="G966">
        <v>0</v>
      </c>
      <c r="H966" t="s">
        <v>15</v>
      </c>
      <c r="I966" t="s">
        <v>16</v>
      </c>
      <c r="J966" t="s">
        <v>16</v>
      </c>
      <c r="K966" t="str">
        <f>VLOOKUP(C966,CheckName!A:B,2,0)</f>
        <v>Edu</v>
      </c>
      <c r="M966">
        <f>DAY(RejectionData[[#This Row],[RejectionDate]])</f>
        <v>3</v>
      </c>
    </row>
    <row r="967" spans="1:13">
      <c r="A967" t="s">
        <v>144</v>
      </c>
      <c r="B967" t="s">
        <v>1289</v>
      </c>
      <c r="C967" t="s">
        <v>54</v>
      </c>
      <c r="D967" t="s">
        <v>26</v>
      </c>
      <c r="E967" s="7">
        <v>45629</v>
      </c>
      <c r="F967" t="s">
        <v>538</v>
      </c>
      <c r="G967">
        <v>0</v>
      </c>
      <c r="H967" t="s">
        <v>290</v>
      </c>
      <c r="I967" t="s">
        <v>16</v>
      </c>
      <c r="J967" t="s">
        <v>16</v>
      </c>
      <c r="K967" t="str">
        <f>VLOOKUP(C967,CheckName!A:B,2,0)</f>
        <v>Edu</v>
      </c>
      <c r="M967">
        <f>DAY(RejectionData[[#This Row],[RejectionDate]])</f>
        <v>3</v>
      </c>
    </row>
    <row r="968" spans="1:13">
      <c r="A968" t="s">
        <v>144</v>
      </c>
      <c r="B968" t="s">
        <v>1290</v>
      </c>
      <c r="C968" t="s">
        <v>54</v>
      </c>
      <c r="D968" t="s">
        <v>26</v>
      </c>
      <c r="E968" s="7">
        <v>45629</v>
      </c>
      <c r="F968" t="s">
        <v>538</v>
      </c>
      <c r="G968">
        <v>0</v>
      </c>
      <c r="H968" t="s">
        <v>95</v>
      </c>
      <c r="I968" t="s">
        <v>16</v>
      </c>
      <c r="J968" t="s">
        <v>16</v>
      </c>
      <c r="K968" t="str">
        <f>VLOOKUP(C968,CheckName!A:B,2,0)</f>
        <v>Edu</v>
      </c>
      <c r="M968">
        <f>DAY(RejectionData[[#This Row],[RejectionDate]])</f>
        <v>3</v>
      </c>
    </row>
    <row r="969" spans="1:13">
      <c r="A969" t="s">
        <v>144</v>
      </c>
      <c r="B969" t="s">
        <v>1291</v>
      </c>
      <c r="C969" t="s">
        <v>54</v>
      </c>
      <c r="D969" t="s">
        <v>26</v>
      </c>
      <c r="E969" s="7">
        <v>45629</v>
      </c>
      <c r="F969" t="s">
        <v>538</v>
      </c>
      <c r="G969">
        <v>0</v>
      </c>
      <c r="H969" t="s">
        <v>95</v>
      </c>
      <c r="I969" t="s">
        <v>16</v>
      </c>
      <c r="J969" t="s">
        <v>16</v>
      </c>
      <c r="K969" t="str">
        <f>VLOOKUP(C969,CheckName!A:B,2,0)</f>
        <v>Edu</v>
      </c>
      <c r="M969">
        <f>DAY(RejectionData[[#This Row],[RejectionDate]])</f>
        <v>3</v>
      </c>
    </row>
    <row r="970" spans="1:13">
      <c r="A970" t="s">
        <v>519</v>
      </c>
      <c r="B970" t="s">
        <v>1292</v>
      </c>
      <c r="C970" t="s">
        <v>1293</v>
      </c>
      <c r="D970" t="s">
        <v>26</v>
      </c>
      <c r="E970" s="7">
        <v>45629</v>
      </c>
      <c r="F970" t="s">
        <v>103</v>
      </c>
      <c r="G970">
        <v>0</v>
      </c>
      <c r="H970" t="s">
        <v>27</v>
      </c>
      <c r="I970" t="s">
        <v>16</v>
      </c>
      <c r="J970" t="s">
        <v>16</v>
      </c>
      <c r="K970" t="str">
        <f>VLOOKUP(C970,CheckName!A:B,2,0)</f>
        <v>Edu</v>
      </c>
      <c r="M970">
        <f>DAY(RejectionData[[#This Row],[RejectionDate]])</f>
        <v>3</v>
      </c>
    </row>
    <row r="971" spans="1:13">
      <c r="A971" t="s">
        <v>391</v>
      </c>
      <c r="B971" t="s">
        <v>1294</v>
      </c>
      <c r="C971" t="s">
        <v>12</v>
      </c>
      <c r="D971" t="s">
        <v>26</v>
      </c>
      <c r="E971" s="7">
        <v>45629</v>
      </c>
      <c r="F971" t="s">
        <v>159</v>
      </c>
      <c r="G971">
        <v>0</v>
      </c>
      <c r="H971" t="s">
        <v>27</v>
      </c>
      <c r="I971" t="s">
        <v>16</v>
      </c>
      <c r="J971" t="s">
        <v>16</v>
      </c>
      <c r="K971" t="str">
        <f>VLOOKUP(C971,CheckName!A:B,2,0)</f>
        <v>Emp</v>
      </c>
      <c r="M971">
        <f>DAY(RejectionData[[#This Row],[RejectionDate]])</f>
        <v>3</v>
      </c>
    </row>
    <row r="972" spans="1:13">
      <c r="A972" t="s">
        <v>1197</v>
      </c>
      <c r="B972" t="s">
        <v>1295</v>
      </c>
      <c r="C972" t="s">
        <v>1068</v>
      </c>
      <c r="D972" t="s">
        <v>38</v>
      </c>
      <c r="E972" s="7">
        <v>45629</v>
      </c>
      <c r="F972" t="s">
        <v>108</v>
      </c>
      <c r="G972">
        <v>0</v>
      </c>
      <c r="H972" t="s">
        <v>42</v>
      </c>
      <c r="I972" t="s">
        <v>16</v>
      </c>
      <c r="J972" t="s">
        <v>16</v>
      </c>
      <c r="K972" t="str">
        <f>VLOOKUP(C972,CheckName!A:B,2,0)</f>
        <v>Special Check</v>
      </c>
      <c r="M972">
        <f>DAY(RejectionData[[#This Row],[RejectionDate]])</f>
        <v>3</v>
      </c>
    </row>
    <row r="973" spans="1:13">
      <c r="A973" t="s">
        <v>160</v>
      </c>
      <c r="B973" t="s">
        <v>1296</v>
      </c>
      <c r="C973" t="s">
        <v>36</v>
      </c>
      <c r="D973" t="s">
        <v>26</v>
      </c>
      <c r="E973" s="7">
        <v>45629</v>
      </c>
      <c r="F973" t="s">
        <v>141</v>
      </c>
      <c r="G973">
        <v>0</v>
      </c>
      <c r="H973" t="s">
        <v>27</v>
      </c>
      <c r="I973" t="s">
        <v>16</v>
      </c>
      <c r="J973" t="s">
        <v>16</v>
      </c>
      <c r="K973" t="str">
        <f>VLOOKUP(C973,CheckName!A:B,2,0)</f>
        <v>Emp</v>
      </c>
      <c r="M973">
        <f>DAY(RejectionData[[#This Row],[RejectionDate]])</f>
        <v>3</v>
      </c>
    </row>
    <row r="974" spans="1:13">
      <c r="A974" t="s">
        <v>685</v>
      </c>
      <c r="B974" t="s">
        <v>1297</v>
      </c>
      <c r="C974" t="s">
        <v>71</v>
      </c>
      <c r="D974" t="s">
        <v>26</v>
      </c>
      <c r="E974" s="7">
        <v>45629</v>
      </c>
      <c r="F974" t="s">
        <v>118</v>
      </c>
      <c r="G974">
        <v>0</v>
      </c>
      <c r="H974" t="s">
        <v>130</v>
      </c>
      <c r="I974" t="s">
        <v>16</v>
      </c>
      <c r="J974" t="s">
        <v>16</v>
      </c>
      <c r="K974" t="str">
        <f>VLOOKUP(C974,CheckName!A:B,2,0)</f>
        <v>CRC</v>
      </c>
      <c r="M974">
        <f>DAY(RejectionData[[#This Row],[RejectionDate]])</f>
        <v>3</v>
      </c>
    </row>
    <row r="975" spans="1:13">
      <c r="A975" t="s">
        <v>1298</v>
      </c>
      <c r="B975" t="s">
        <v>1299</v>
      </c>
      <c r="C975" t="s">
        <v>12</v>
      </c>
      <c r="D975" t="s">
        <v>26</v>
      </c>
      <c r="E975" s="7">
        <v>45629</v>
      </c>
      <c r="F975" t="s">
        <v>148</v>
      </c>
      <c r="G975">
        <v>0</v>
      </c>
      <c r="H975" t="s">
        <v>27</v>
      </c>
      <c r="I975" t="s">
        <v>16</v>
      </c>
      <c r="J975" t="s">
        <v>16</v>
      </c>
      <c r="K975" t="str">
        <f>VLOOKUP(C975,CheckName!A:B,2,0)</f>
        <v>Emp</v>
      </c>
      <c r="M975">
        <f>DAY(RejectionData[[#This Row],[RejectionDate]])</f>
        <v>3</v>
      </c>
    </row>
    <row r="976" spans="1:13">
      <c r="A976" t="s">
        <v>510</v>
      </c>
      <c r="B976" t="s">
        <v>1300</v>
      </c>
      <c r="C976" t="s">
        <v>19</v>
      </c>
      <c r="D976" t="s">
        <v>20</v>
      </c>
      <c r="E976" s="7">
        <v>45629</v>
      </c>
      <c r="F976" t="s">
        <v>129</v>
      </c>
      <c r="G976">
        <v>0</v>
      </c>
      <c r="H976" t="s">
        <v>22</v>
      </c>
      <c r="I976" t="s">
        <v>16</v>
      </c>
      <c r="J976" t="s">
        <v>16</v>
      </c>
      <c r="K976" t="str">
        <f>VLOOKUP(C976,CheckName!A:B,2,0)</f>
        <v>Add</v>
      </c>
      <c r="M976">
        <f>DAY(RejectionData[[#This Row],[RejectionDate]])</f>
        <v>3</v>
      </c>
    </row>
    <row r="977" spans="1:13">
      <c r="A977" t="s">
        <v>137</v>
      </c>
      <c r="B977" t="s">
        <v>1301</v>
      </c>
      <c r="C977" t="s">
        <v>25</v>
      </c>
      <c r="D977" t="s">
        <v>20</v>
      </c>
      <c r="E977" s="7">
        <v>45629</v>
      </c>
      <c r="F977" t="s">
        <v>129</v>
      </c>
      <c r="G977">
        <v>0</v>
      </c>
      <c r="H977" t="s">
        <v>22</v>
      </c>
      <c r="I977" t="s">
        <v>16</v>
      </c>
      <c r="J977" t="s">
        <v>16</v>
      </c>
      <c r="K977" t="str">
        <f>VLOOKUP(C977,CheckName!A:B,2,0)</f>
        <v>Add</v>
      </c>
      <c r="M977">
        <f>DAY(RejectionData[[#This Row],[RejectionDate]])</f>
        <v>3</v>
      </c>
    </row>
    <row r="978" spans="1:13">
      <c r="A978" t="s">
        <v>1302</v>
      </c>
      <c r="B978" t="s">
        <v>1303</v>
      </c>
      <c r="C978" t="s">
        <v>54</v>
      </c>
      <c r="D978" t="s">
        <v>26</v>
      </c>
      <c r="E978" s="7">
        <v>45628</v>
      </c>
      <c r="F978" t="s">
        <v>1304</v>
      </c>
      <c r="G978">
        <v>1</v>
      </c>
      <c r="H978" t="s">
        <v>95</v>
      </c>
      <c r="I978" t="s">
        <v>16</v>
      </c>
      <c r="J978" t="s">
        <v>16</v>
      </c>
      <c r="K978" t="str">
        <f>VLOOKUP(C978,CheckName!A:B,2,0)</f>
        <v>Edu</v>
      </c>
      <c r="M978">
        <f>DAY(RejectionData[[#This Row],[RejectionDate]])</f>
        <v>2</v>
      </c>
    </row>
    <row r="979" spans="1:13">
      <c r="A979" t="s">
        <v>100</v>
      </c>
      <c r="B979" t="s">
        <v>1305</v>
      </c>
      <c r="C979" t="s">
        <v>775</v>
      </c>
      <c r="D979" t="s">
        <v>26</v>
      </c>
      <c r="E979" s="7">
        <v>45628</v>
      </c>
      <c r="F979" t="s">
        <v>380</v>
      </c>
      <c r="G979">
        <v>1</v>
      </c>
      <c r="H979" t="s">
        <v>27</v>
      </c>
      <c r="I979" t="s">
        <v>16</v>
      </c>
      <c r="J979" t="s">
        <v>16</v>
      </c>
      <c r="K979" t="str">
        <f>VLOOKUP(C979,CheckName!A:B,2,0)</f>
        <v>Emp</v>
      </c>
      <c r="M979">
        <f>DAY(RejectionData[[#This Row],[RejectionDate]])</f>
        <v>2</v>
      </c>
    </row>
    <row r="980" spans="1:13">
      <c r="A980" t="s">
        <v>1306</v>
      </c>
      <c r="B980" t="s">
        <v>1307</v>
      </c>
      <c r="C980" t="s">
        <v>125</v>
      </c>
      <c r="D980" t="s">
        <v>13</v>
      </c>
      <c r="E980" s="7">
        <v>45625</v>
      </c>
      <c r="F980" t="s">
        <v>230</v>
      </c>
      <c r="G980">
        <v>4</v>
      </c>
      <c r="H980" t="s">
        <v>15</v>
      </c>
      <c r="I980" t="s">
        <v>16</v>
      </c>
      <c r="J980" t="s">
        <v>16</v>
      </c>
      <c r="K980" t="str">
        <f>VLOOKUP(C980,CheckName!A:B,2,0)</f>
        <v>Emp</v>
      </c>
      <c r="M980">
        <f>DAY(RejectionData[[#This Row],[RejectionDate]])</f>
        <v>29</v>
      </c>
    </row>
    <row r="981" spans="1:13">
      <c r="A981" t="s">
        <v>45</v>
      </c>
      <c r="B981" t="s">
        <v>1308</v>
      </c>
      <c r="C981" t="s">
        <v>36</v>
      </c>
      <c r="D981" t="s">
        <v>26</v>
      </c>
      <c r="E981" s="7">
        <v>45622</v>
      </c>
      <c r="F981" t="s">
        <v>224</v>
      </c>
      <c r="G981">
        <v>7</v>
      </c>
      <c r="H981" t="s">
        <v>30</v>
      </c>
      <c r="I981" t="s">
        <v>16</v>
      </c>
      <c r="J981" t="s">
        <v>16</v>
      </c>
      <c r="K981" t="str">
        <f>VLOOKUP(C981,CheckName!A:B,2,0)</f>
        <v>Emp</v>
      </c>
      <c r="M981">
        <f>DAY(RejectionData[[#This Row],[RejectionDate]])</f>
        <v>26</v>
      </c>
    </row>
    <row r="982" spans="1:13">
      <c r="A982" t="s">
        <v>119</v>
      </c>
      <c r="B982" t="s">
        <v>1309</v>
      </c>
      <c r="C982" t="s">
        <v>93</v>
      </c>
      <c r="D982" t="s">
        <v>13</v>
      </c>
      <c r="E982" s="7">
        <v>45630</v>
      </c>
      <c r="F982" t="s">
        <v>1310</v>
      </c>
      <c r="G982">
        <v>0</v>
      </c>
      <c r="H982" t="s">
        <v>30</v>
      </c>
      <c r="I982" t="s">
        <v>16</v>
      </c>
      <c r="J982" t="s">
        <v>16</v>
      </c>
      <c r="K982" t="str">
        <f>VLOOKUP(C982,CheckName!A:B,2,0)</f>
        <v>Edu</v>
      </c>
      <c r="M982">
        <f>DAY(RejectionData[[#This Row],[RejectionDate]])</f>
        <v>4</v>
      </c>
    </row>
    <row r="983" spans="1:13">
      <c r="A983" t="s">
        <v>878</v>
      </c>
      <c r="B983" t="s">
        <v>1311</v>
      </c>
      <c r="C983" t="s">
        <v>54</v>
      </c>
      <c r="D983" t="s">
        <v>51</v>
      </c>
      <c r="E983" s="7">
        <v>45630</v>
      </c>
      <c r="F983" t="s">
        <v>52</v>
      </c>
      <c r="G983">
        <v>0</v>
      </c>
      <c r="H983" t="s">
        <v>53</v>
      </c>
      <c r="I983" t="s">
        <v>16</v>
      </c>
      <c r="J983" t="s">
        <v>16</v>
      </c>
      <c r="K983" t="str">
        <f>VLOOKUP(C983,CheckName!A:B,2,0)</f>
        <v>Edu</v>
      </c>
      <c r="M983">
        <f>DAY(RejectionData[[#This Row],[RejectionDate]])</f>
        <v>4</v>
      </c>
    </row>
    <row r="984" spans="1:13">
      <c r="A984" t="s">
        <v>142</v>
      </c>
      <c r="B984" t="s">
        <v>1312</v>
      </c>
      <c r="C984" t="s">
        <v>54</v>
      </c>
      <c r="D984" t="s">
        <v>26</v>
      </c>
      <c r="E984" s="7">
        <v>45630</v>
      </c>
      <c r="F984" t="s">
        <v>444</v>
      </c>
      <c r="G984">
        <v>0</v>
      </c>
      <c r="H984" t="s">
        <v>27</v>
      </c>
      <c r="I984" t="s">
        <v>16</v>
      </c>
      <c r="J984" t="s">
        <v>16</v>
      </c>
      <c r="K984" t="str">
        <f>VLOOKUP(C984,CheckName!A:B,2,0)</f>
        <v>Edu</v>
      </c>
      <c r="M984">
        <f>DAY(RejectionData[[#This Row],[RejectionDate]])</f>
        <v>4</v>
      </c>
    </row>
    <row r="985" spans="1:13">
      <c r="A985" t="s">
        <v>1313</v>
      </c>
      <c r="B985" t="s">
        <v>1314</v>
      </c>
      <c r="C985" t="s">
        <v>71</v>
      </c>
      <c r="D985" t="s">
        <v>13</v>
      </c>
      <c r="E985" s="7">
        <v>45630</v>
      </c>
      <c r="F985" t="s">
        <v>574</v>
      </c>
      <c r="G985">
        <v>0</v>
      </c>
      <c r="H985" t="s">
        <v>15</v>
      </c>
      <c r="I985" t="s">
        <v>16</v>
      </c>
      <c r="J985" t="s">
        <v>16</v>
      </c>
      <c r="K985" t="str">
        <f>VLOOKUP(C985,CheckName!A:B,2,0)</f>
        <v>CRC</v>
      </c>
      <c r="M985">
        <f>DAY(RejectionData[[#This Row],[RejectionDate]])</f>
        <v>4</v>
      </c>
    </row>
    <row r="986" spans="1:13">
      <c r="A986" t="s">
        <v>119</v>
      </c>
      <c r="B986" t="s">
        <v>1315</v>
      </c>
      <c r="C986" t="s">
        <v>54</v>
      </c>
      <c r="D986" t="s">
        <v>13</v>
      </c>
      <c r="E986" s="7">
        <v>45630</v>
      </c>
      <c r="F986" t="s">
        <v>530</v>
      </c>
      <c r="G986">
        <v>0</v>
      </c>
      <c r="H986" t="s">
        <v>30</v>
      </c>
      <c r="I986" t="s">
        <v>16</v>
      </c>
      <c r="J986" t="s">
        <v>16</v>
      </c>
      <c r="K986" t="str">
        <f>VLOOKUP(C986,CheckName!A:B,2,0)</f>
        <v>Edu</v>
      </c>
      <c r="M986">
        <f>DAY(RejectionData[[#This Row],[RejectionDate]])</f>
        <v>4</v>
      </c>
    </row>
    <row r="987" spans="1:13">
      <c r="A987" t="s">
        <v>1316</v>
      </c>
      <c r="B987" t="s">
        <v>1317</v>
      </c>
      <c r="C987" t="s">
        <v>54</v>
      </c>
      <c r="D987" t="s">
        <v>26</v>
      </c>
      <c r="E987" s="7">
        <v>45630</v>
      </c>
      <c r="F987" t="s">
        <v>94</v>
      </c>
      <c r="G987">
        <v>0</v>
      </c>
      <c r="H987" t="s">
        <v>27</v>
      </c>
      <c r="I987" t="s">
        <v>16</v>
      </c>
      <c r="J987" t="s">
        <v>16</v>
      </c>
      <c r="K987" t="str">
        <f>VLOOKUP(C987,CheckName!A:B,2,0)</f>
        <v>Edu</v>
      </c>
      <c r="M987">
        <f>DAY(RejectionData[[#This Row],[RejectionDate]])</f>
        <v>4</v>
      </c>
    </row>
    <row r="988" spans="1:13">
      <c r="A988" t="s">
        <v>73</v>
      </c>
      <c r="B988" t="s">
        <v>1318</v>
      </c>
      <c r="C988" t="s">
        <v>12</v>
      </c>
      <c r="D988" t="s">
        <v>26</v>
      </c>
      <c r="E988" s="7">
        <v>45630</v>
      </c>
      <c r="F988" t="s">
        <v>1139</v>
      </c>
      <c r="G988">
        <v>0</v>
      </c>
      <c r="H988" t="s">
        <v>27</v>
      </c>
      <c r="I988" t="s">
        <v>16</v>
      </c>
      <c r="J988" t="s">
        <v>16</v>
      </c>
      <c r="K988" t="str">
        <f>VLOOKUP(C988,CheckName!A:B,2,0)</f>
        <v>Emp</v>
      </c>
      <c r="M988">
        <f>DAY(RejectionData[[#This Row],[RejectionDate]])</f>
        <v>4</v>
      </c>
    </row>
    <row r="989" spans="1:13">
      <c r="A989" t="s">
        <v>432</v>
      </c>
      <c r="B989" t="s">
        <v>1319</v>
      </c>
      <c r="C989" t="s">
        <v>467</v>
      </c>
      <c r="D989" t="s">
        <v>13</v>
      </c>
      <c r="E989" s="7">
        <v>45630</v>
      </c>
      <c r="F989" t="s">
        <v>107</v>
      </c>
      <c r="G989">
        <v>0</v>
      </c>
      <c r="H989" t="s">
        <v>15</v>
      </c>
      <c r="I989" t="s">
        <v>16</v>
      </c>
      <c r="J989" t="s">
        <v>16</v>
      </c>
      <c r="K989" t="str">
        <f>VLOOKUP(C989,CheckName!A:B,2,0)</f>
        <v>Special Check</v>
      </c>
      <c r="M989">
        <f>DAY(RejectionData[[#This Row],[RejectionDate]])</f>
        <v>4</v>
      </c>
    </row>
    <row r="990" spans="1:13">
      <c r="A990" t="s">
        <v>67</v>
      </c>
      <c r="B990" t="s">
        <v>1320</v>
      </c>
      <c r="C990" t="s">
        <v>1321</v>
      </c>
      <c r="D990" t="s">
        <v>13</v>
      </c>
      <c r="E990" s="7">
        <v>45630</v>
      </c>
      <c r="F990" t="s">
        <v>540</v>
      </c>
      <c r="G990">
        <v>0</v>
      </c>
      <c r="H990" t="s">
        <v>15</v>
      </c>
      <c r="I990" t="s">
        <v>16</v>
      </c>
      <c r="J990" t="s">
        <v>16</v>
      </c>
      <c r="K990" t="str">
        <f>VLOOKUP(C990,CheckName!A:B,2,0)</f>
        <v>Special Check</v>
      </c>
      <c r="M990">
        <f>DAY(RejectionData[[#This Row],[RejectionDate]])</f>
        <v>4</v>
      </c>
    </row>
    <row r="991" spans="1:13">
      <c r="A991" t="s">
        <v>67</v>
      </c>
      <c r="B991" t="s">
        <v>1322</v>
      </c>
      <c r="C991" t="s">
        <v>1321</v>
      </c>
      <c r="D991" t="s">
        <v>13</v>
      </c>
      <c r="E991" s="7">
        <v>45630</v>
      </c>
      <c r="F991" t="s">
        <v>540</v>
      </c>
      <c r="G991">
        <v>0</v>
      </c>
      <c r="H991" t="s">
        <v>15</v>
      </c>
      <c r="I991" t="s">
        <v>16</v>
      </c>
      <c r="J991" t="s">
        <v>16</v>
      </c>
      <c r="K991" t="str">
        <f>VLOOKUP(C991,CheckName!A:B,2,0)</f>
        <v>Special Check</v>
      </c>
      <c r="M991">
        <f>DAY(RejectionData[[#This Row],[RejectionDate]])</f>
        <v>4</v>
      </c>
    </row>
    <row r="992" spans="1:13">
      <c r="A992" t="s">
        <v>45</v>
      </c>
      <c r="B992" t="s">
        <v>1323</v>
      </c>
      <c r="C992" t="s">
        <v>12</v>
      </c>
      <c r="D992" t="s">
        <v>26</v>
      </c>
      <c r="E992" s="7">
        <v>45630</v>
      </c>
      <c r="F992" t="s">
        <v>126</v>
      </c>
      <c r="G992">
        <v>0</v>
      </c>
      <c r="H992" t="s">
        <v>27</v>
      </c>
      <c r="I992" t="s">
        <v>16</v>
      </c>
      <c r="J992" t="s">
        <v>16</v>
      </c>
      <c r="K992" t="str">
        <f>VLOOKUP(C992,CheckName!A:B,2,0)</f>
        <v>Emp</v>
      </c>
      <c r="M992">
        <f>DAY(RejectionData[[#This Row],[RejectionDate]])</f>
        <v>4</v>
      </c>
    </row>
    <row r="993" spans="1:13">
      <c r="A993" t="s">
        <v>84</v>
      </c>
      <c r="B993" t="s">
        <v>1324</v>
      </c>
      <c r="C993" t="s">
        <v>125</v>
      </c>
      <c r="D993" t="s">
        <v>26</v>
      </c>
      <c r="E993" s="7">
        <v>45629</v>
      </c>
      <c r="F993" t="s">
        <v>126</v>
      </c>
      <c r="G993">
        <v>1</v>
      </c>
      <c r="H993" t="s">
        <v>130</v>
      </c>
      <c r="I993" t="s">
        <v>16</v>
      </c>
      <c r="J993" t="s">
        <v>16</v>
      </c>
      <c r="K993" t="str">
        <f>VLOOKUP(C993,CheckName!A:B,2,0)</f>
        <v>Emp</v>
      </c>
      <c r="M993">
        <f>DAY(RejectionData[[#This Row],[RejectionDate]])</f>
        <v>3</v>
      </c>
    </row>
    <row r="994" spans="1:13">
      <c r="A994" t="s">
        <v>45</v>
      </c>
      <c r="B994" t="s">
        <v>1325</v>
      </c>
      <c r="C994" t="s">
        <v>54</v>
      </c>
      <c r="D994" t="s">
        <v>13</v>
      </c>
      <c r="E994" s="7">
        <v>45629</v>
      </c>
      <c r="F994" t="s">
        <v>1013</v>
      </c>
      <c r="G994">
        <v>1</v>
      </c>
      <c r="H994" t="s">
        <v>15</v>
      </c>
      <c r="I994" t="s">
        <v>16</v>
      </c>
      <c r="J994" t="s">
        <v>16</v>
      </c>
      <c r="K994" t="str">
        <f>VLOOKUP(C994,CheckName!A:B,2,0)</f>
        <v>Edu</v>
      </c>
      <c r="M994">
        <f>DAY(RejectionData[[#This Row],[RejectionDate]])</f>
        <v>3</v>
      </c>
    </row>
    <row r="995" spans="1:13">
      <c r="A995" t="s">
        <v>100</v>
      </c>
      <c r="B995" t="s">
        <v>1326</v>
      </c>
      <c r="C995" t="s">
        <v>359</v>
      </c>
      <c r="D995" t="s">
        <v>13</v>
      </c>
      <c r="E995" s="7">
        <v>45629</v>
      </c>
      <c r="F995" t="s">
        <v>1013</v>
      </c>
      <c r="G995">
        <v>1</v>
      </c>
      <c r="H995" t="s">
        <v>505</v>
      </c>
      <c r="I995" t="s">
        <v>16</v>
      </c>
      <c r="J995" t="s">
        <v>16</v>
      </c>
      <c r="K995" t="str">
        <f>VLOOKUP(C995,CheckName!A:B,2,0)</f>
        <v>Emp</v>
      </c>
      <c r="M995">
        <f>DAY(RejectionData[[#This Row],[RejectionDate]])</f>
        <v>3</v>
      </c>
    </row>
    <row r="996" spans="1:13">
      <c r="A996" t="s">
        <v>96</v>
      </c>
      <c r="B996" t="s">
        <v>1327</v>
      </c>
      <c r="C996" t="s">
        <v>54</v>
      </c>
      <c r="D996" t="s">
        <v>26</v>
      </c>
      <c r="E996" s="7">
        <v>45629</v>
      </c>
      <c r="F996" t="s">
        <v>1304</v>
      </c>
      <c r="G996">
        <v>1</v>
      </c>
      <c r="H996" t="s">
        <v>22</v>
      </c>
      <c r="I996" t="s">
        <v>16</v>
      </c>
      <c r="J996" t="s">
        <v>16</v>
      </c>
      <c r="K996" t="str">
        <f>VLOOKUP(C996,CheckName!A:B,2,0)</f>
        <v>Edu</v>
      </c>
      <c r="M996">
        <f>DAY(RejectionData[[#This Row],[RejectionDate]])</f>
        <v>3</v>
      </c>
    </row>
    <row r="997" spans="1:13">
      <c r="A997" t="s">
        <v>133</v>
      </c>
      <c r="B997" t="s">
        <v>1328</v>
      </c>
      <c r="C997" t="s">
        <v>25</v>
      </c>
      <c r="D997" t="s">
        <v>20</v>
      </c>
      <c r="E997" s="7">
        <v>45629</v>
      </c>
      <c r="F997" t="s">
        <v>129</v>
      </c>
      <c r="G997">
        <v>1</v>
      </c>
      <c r="H997" t="s">
        <v>22</v>
      </c>
      <c r="I997" t="s">
        <v>16</v>
      </c>
      <c r="J997" t="s">
        <v>16</v>
      </c>
      <c r="K997" t="str">
        <f>VLOOKUP(C997,CheckName!A:B,2,0)</f>
        <v>Add</v>
      </c>
      <c r="M997">
        <f>DAY(RejectionData[[#This Row],[RejectionDate]])</f>
        <v>3</v>
      </c>
    </row>
    <row r="998" spans="1:13">
      <c r="A998" t="s">
        <v>312</v>
      </c>
      <c r="B998" t="s">
        <v>1329</v>
      </c>
      <c r="C998" t="s">
        <v>12</v>
      </c>
      <c r="D998" t="s">
        <v>38</v>
      </c>
      <c r="E998" s="7">
        <v>45629</v>
      </c>
      <c r="G998">
        <v>1</v>
      </c>
      <c r="H998" t="s">
        <v>42</v>
      </c>
      <c r="I998" t="s">
        <v>16</v>
      </c>
      <c r="J998" t="s">
        <v>16</v>
      </c>
      <c r="K998" t="str">
        <f>VLOOKUP(C998,CheckName!A:B,2,0)</f>
        <v>Emp</v>
      </c>
      <c r="M998">
        <f>DAY(RejectionData[[#This Row],[RejectionDate]])</f>
        <v>3</v>
      </c>
    </row>
    <row r="999" spans="1:13">
      <c r="A999" t="s">
        <v>47</v>
      </c>
      <c r="B999" t="s">
        <v>1330</v>
      </c>
      <c r="C999" t="s">
        <v>71</v>
      </c>
      <c r="D999" t="s">
        <v>13</v>
      </c>
      <c r="E999" s="7">
        <v>45629</v>
      </c>
      <c r="F999" t="s">
        <v>831</v>
      </c>
      <c r="G999">
        <v>1</v>
      </c>
      <c r="H999" t="s">
        <v>15</v>
      </c>
      <c r="I999" t="s">
        <v>16</v>
      </c>
      <c r="J999" t="s">
        <v>16</v>
      </c>
      <c r="K999" t="str">
        <f>VLOOKUP(C999,CheckName!A:B,2,0)</f>
        <v>CRC</v>
      </c>
      <c r="M999">
        <f>DAY(RejectionData[[#This Row],[RejectionDate]])</f>
        <v>3</v>
      </c>
    </row>
    <row r="1000" spans="1:13">
      <c r="A1000" t="s">
        <v>203</v>
      </c>
      <c r="B1000" t="s">
        <v>1331</v>
      </c>
      <c r="C1000" t="s">
        <v>36</v>
      </c>
      <c r="D1000" t="s">
        <v>26</v>
      </c>
      <c r="E1000" s="7">
        <v>45629</v>
      </c>
      <c r="F1000" t="s">
        <v>151</v>
      </c>
      <c r="G1000">
        <v>1</v>
      </c>
      <c r="H1000" t="s">
        <v>22</v>
      </c>
      <c r="I1000" t="s">
        <v>16</v>
      </c>
      <c r="J1000" t="s">
        <v>16</v>
      </c>
      <c r="K1000" t="str">
        <f>VLOOKUP(C1000,CheckName!A:B,2,0)</f>
        <v>Emp</v>
      </c>
      <c r="M1000">
        <f>DAY(RejectionData[[#This Row],[RejectionDate]])</f>
        <v>3</v>
      </c>
    </row>
    <row r="1001" spans="1:13">
      <c r="A1001" t="s">
        <v>100</v>
      </c>
      <c r="B1001" t="s">
        <v>1332</v>
      </c>
      <c r="C1001" t="s">
        <v>1333</v>
      </c>
      <c r="D1001" t="s">
        <v>26</v>
      </c>
      <c r="E1001" s="7">
        <v>45629</v>
      </c>
      <c r="F1001" t="s">
        <v>118</v>
      </c>
      <c r="G1001">
        <v>1</v>
      </c>
      <c r="H1001" t="s">
        <v>27</v>
      </c>
      <c r="I1001" t="s">
        <v>16</v>
      </c>
      <c r="J1001" t="s">
        <v>16</v>
      </c>
      <c r="K1001" t="str">
        <f>VLOOKUP(C1001,CheckName!A:B,2,0)</f>
        <v>CRC</v>
      </c>
      <c r="M1001">
        <f>DAY(RejectionData[[#This Row],[RejectionDate]])</f>
        <v>3</v>
      </c>
    </row>
    <row r="1002" spans="1:13">
      <c r="A1002" t="s">
        <v>100</v>
      </c>
      <c r="B1002" t="s">
        <v>1332</v>
      </c>
      <c r="C1002" t="s">
        <v>1334</v>
      </c>
      <c r="D1002" t="s">
        <v>26</v>
      </c>
      <c r="E1002" s="7">
        <v>45629</v>
      </c>
      <c r="F1002" t="s">
        <v>118</v>
      </c>
      <c r="G1002">
        <v>1</v>
      </c>
      <c r="H1002" t="s">
        <v>27</v>
      </c>
      <c r="I1002" t="s">
        <v>16</v>
      </c>
      <c r="J1002" t="s">
        <v>16</v>
      </c>
      <c r="K1002" t="str">
        <f>VLOOKUP(C1002,CheckName!A:B,2,0)</f>
        <v>CRC</v>
      </c>
      <c r="M1002">
        <f>DAY(RejectionData[[#This Row],[RejectionDate]])</f>
        <v>3</v>
      </c>
    </row>
    <row r="1003" spans="1:13">
      <c r="A1003" t="s">
        <v>100</v>
      </c>
      <c r="B1003" t="s">
        <v>1332</v>
      </c>
      <c r="C1003" t="s">
        <v>1335</v>
      </c>
      <c r="D1003" t="s">
        <v>26</v>
      </c>
      <c r="E1003" s="7">
        <v>45629</v>
      </c>
      <c r="F1003" t="s">
        <v>118</v>
      </c>
      <c r="G1003">
        <v>1</v>
      </c>
      <c r="H1003" t="s">
        <v>27</v>
      </c>
      <c r="I1003" t="s">
        <v>16</v>
      </c>
      <c r="J1003" t="s">
        <v>16</v>
      </c>
      <c r="K1003" t="str">
        <f>VLOOKUP(C1003,CheckName!A:B,2,0)</f>
        <v>CRC</v>
      </c>
      <c r="M1003">
        <f>DAY(RejectionData[[#This Row],[RejectionDate]])</f>
        <v>3</v>
      </c>
    </row>
    <row r="1004" spans="1:13">
      <c r="A1004" t="s">
        <v>160</v>
      </c>
      <c r="B1004" t="s">
        <v>1336</v>
      </c>
      <c r="C1004" t="s">
        <v>125</v>
      </c>
      <c r="D1004" t="s">
        <v>26</v>
      </c>
      <c r="E1004" s="7">
        <v>45629</v>
      </c>
      <c r="F1004" t="s">
        <v>141</v>
      </c>
      <c r="G1004">
        <v>1</v>
      </c>
      <c r="H1004" t="s">
        <v>27</v>
      </c>
      <c r="I1004" t="s">
        <v>16</v>
      </c>
      <c r="J1004" t="s">
        <v>16</v>
      </c>
      <c r="K1004" t="str">
        <f>VLOOKUP(C1004,CheckName!A:B,2,0)</f>
        <v>Emp</v>
      </c>
      <c r="M1004">
        <f>DAY(RejectionData[[#This Row],[RejectionDate]])</f>
        <v>3</v>
      </c>
    </row>
    <row r="1005" spans="1:13">
      <c r="A1005" t="s">
        <v>81</v>
      </c>
      <c r="B1005" t="s">
        <v>1337</v>
      </c>
      <c r="C1005" t="s">
        <v>12</v>
      </c>
      <c r="D1005" t="s">
        <v>26</v>
      </c>
      <c r="E1005" s="7">
        <v>45629</v>
      </c>
      <c r="F1005" t="s">
        <v>141</v>
      </c>
      <c r="G1005">
        <v>1</v>
      </c>
      <c r="H1005" t="s">
        <v>27</v>
      </c>
      <c r="I1005" t="s">
        <v>16</v>
      </c>
      <c r="J1005" t="s">
        <v>16</v>
      </c>
      <c r="K1005" t="str">
        <f>VLOOKUP(C1005,CheckName!A:B,2,0)</f>
        <v>Emp</v>
      </c>
      <c r="M1005">
        <f>DAY(RejectionData[[#This Row],[RejectionDate]])</f>
        <v>3</v>
      </c>
    </row>
    <row r="1006" spans="1:13">
      <c r="A1006" t="s">
        <v>45</v>
      </c>
      <c r="B1006" t="s">
        <v>1338</v>
      </c>
      <c r="C1006" t="s">
        <v>36</v>
      </c>
      <c r="D1006" t="s">
        <v>26</v>
      </c>
      <c r="E1006" s="7">
        <v>45629</v>
      </c>
      <c r="F1006" t="s">
        <v>926</v>
      </c>
      <c r="G1006">
        <v>1</v>
      </c>
      <c r="H1006" t="s">
        <v>27</v>
      </c>
      <c r="I1006" t="s">
        <v>16</v>
      </c>
      <c r="J1006" t="s">
        <v>16</v>
      </c>
      <c r="K1006" t="str">
        <f>VLOOKUP(C1006,CheckName!A:B,2,0)</f>
        <v>Emp</v>
      </c>
      <c r="M1006">
        <f>DAY(RejectionData[[#This Row],[RejectionDate]])</f>
        <v>3</v>
      </c>
    </row>
    <row r="1007" spans="1:13">
      <c r="A1007" t="s">
        <v>133</v>
      </c>
      <c r="B1007" t="s">
        <v>1339</v>
      </c>
      <c r="C1007" t="s">
        <v>19</v>
      </c>
      <c r="D1007" t="s">
        <v>13</v>
      </c>
      <c r="E1007" s="7">
        <v>45629</v>
      </c>
      <c r="F1007" t="s">
        <v>540</v>
      </c>
      <c r="G1007">
        <v>1</v>
      </c>
      <c r="H1007" t="s">
        <v>15</v>
      </c>
      <c r="I1007" t="s">
        <v>16</v>
      </c>
      <c r="J1007" t="s">
        <v>16</v>
      </c>
      <c r="K1007" t="str">
        <f>VLOOKUP(C1007,CheckName!A:B,2,0)</f>
        <v>Add</v>
      </c>
      <c r="M1007">
        <f>DAY(RejectionData[[#This Row],[RejectionDate]])</f>
        <v>3</v>
      </c>
    </row>
    <row r="1008" spans="1:13">
      <c r="A1008" t="s">
        <v>100</v>
      </c>
      <c r="B1008" t="s">
        <v>1340</v>
      </c>
      <c r="C1008" t="s">
        <v>255</v>
      </c>
      <c r="D1008" t="s">
        <v>38</v>
      </c>
      <c r="E1008" s="7">
        <v>45629</v>
      </c>
      <c r="F1008" t="s">
        <v>118</v>
      </c>
      <c r="G1008">
        <v>1</v>
      </c>
      <c r="H1008" t="s">
        <v>42</v>
      </c>
      <c r="I1008" t="s">
        <v>16</v>
      </c>
      <c r="J1008" t="s">
        <v>16</v>
      </c>
      <c r="K1008" t="str">
        <f>VLOOKUP(C1008,CheckName!A:B,2,0)</f>
        <v>Special Check</v>
      </c>
      <c r="M1008">
        <f>DAY(RejectionData[[#This Row],[RejectionDate]])</f>
        <v>3</v>
      </c>
    </row>
    <row r="1009" spans="1:13">
      <c r="A1009" t="s">
        <v>100</v>
      </c>
      <c r="B1009" t="s">
        <v>1340</v>
      </c>
      <c r="C1009" t="s">
        <v>235</v>
      </c>
      <c r="D1009" t="s">
        <v>38</v>
      </c>
      <c r="E1009" s="7">
        <v>45629</v>
      </c>
      <c r="F1009" t="s">
        <v>118</v>
      </c>
      <c r="G1009">
        <v>1</v>
      </c>
      <c r="H1009" t="s">
        <v>42</v>
      </c>
      <c r="I1009" t="s">
        <v>16</v>
      </c>
      <c r="J1009" t="s">
        <v>16</v>
      </c>
      <c r="K1009" t="str">
        <f>VLOOKUP(C1009,CheckName!A:B,2,0)</f>
        <v>Special Check</v>
      </c>
      <c r="M1009">
        <f>DAY(RejectionData[[#This Row],[RejectionDate]])</f>
        <v>3</v>
      </c>
    </row>
    <row r="1010" spans="1:13">
      <c r="A1010" t="s">
        <v>413</v>
      </c>
      <c r="B1010" t="s">
        <v>1341</v>
      </c>
      <c r="C1010" t="s">
        <v>220</v>
      </c>
      <c r="D1010" t="s">
        <v>26</v>
      </c>
      <c r="E1010" s="7">
        <v>45629</v>
      </c>
      <c r="F1010" t="s">
        <v>294</v>
      </c>
      <c r="G1010">
        <v>1</v>
      </c>
      <c r="H1010" t="s">
        <v>27</v>
      </c>
      <c r="I1010" t="s">
        <v>16</v>
      </c>
      <c r="J1010" t="s">
        <v>16</v>
      </c>
      <c r="K1010" t="str">
        <f>VLOOKUP(C1010,CheckName!A:B,2,0)</f>
        <v>Ref</v>
      </c>
      <c r="M1010">
        <f>DAY(RejectionData[[#This Row],[RejectionDate]])</f>
        <v>3</v>
      </c>
    </row>
    <row r="1011" spans="1:13">
      <c r="A1011" t="s">
        <v>281</v>
      </c>
      <c r="B1011" t="s">
        <v>1342</v>
      </c>
      <c r="C1011" t="s">
        <v>12</v>
      </c>
      <c r="D1011" t="s">
        <v>26</v>
      </c>
      <c r="E1011" s="7">
        <v>45629</v>
      </c>
      <c r="F1011" t="s">
        <v>162</v>
      </c>
      <c r="G1011">
        <v>1</v>
      </c>
      <c r="H1011" t="s">
        <v>27</v>
      </c>
      <c r="I1011" t="s">
        <v>16</v>
      </c>
      <c r="J1011" t="s">
        <v>16</v>
      </c>
      <c r="K1011" t="str">
        <f>VLOOKUP(C1011,CheckName!A:B,2,0)</f>
        <v>Emp</v>
      </c>
      <c r="M1011">
        <f>DAY(RejectionData[[#This Row],[RejectionDate]])</f>
        <v>3</v>
      </c>
    </row>
    <row r="1012" spans="1:13">
      <c r="A1012" t="s">
        <v>893</v>
      </c>
      <c r="B1012" t="s">
        <v>1343</v>
      </c>
      <c r="C1012" t="s">
        <v>123</v>
      </c>
      <c r="D1012" t="s">
        <v>13</v>
      </c>
      <c r="E1012" s="7">
        <v>45629</v>
      </c>
      <c r="F1012" t="s">
        <v>107</v>
      </c>
      <c r="G1012">
        <v>1</v>
      </c>
      <c r="H1012" t="s">
        <v>15</v>
      </c>
      <c r="I1012" t="s">
        <v>16</v>
      </c>
      <c r="J1012" t="s">
        <v>16</v>
      </c>
      <c r="K1012" t="str">
        <f>VLOOKUP(C1012,CheckName!A:B,2,0)</f>
        <v>Special Check</v>
      </c>
      <c r="M1012">
        <f>DAY(RejectionData[[#This Row],[RejectionDate]])</f>
        <v>3</v>
      </c>
    </row>
    <row r="1013" spans="1:13">
      <c r="A1013" t="s">
        <v>84</v>
      </c>
      <c r="B1013" t="s">
        <v>1344</v>
      </c>
      <c r="C1013" t="s">
        <v>49</v>
      </c>
      <c r="D1013" t="s">
        <v>38</v>
      </c>
      <c r="E1013" s="7">
        <v>45629</v>
      </c>
      <c r="F1013" t="s">
        <v>108</v>
      </c>
      <c r="G1013">
        <v>1</v>
      </c>
      <c r="H1013" t="s">
        <v>42</v>
      </c>
      <c r="I1013" t="s">
        <v>16</v>
      </c>
      <c r="J1013" t="s">
        <v>16</v>
      </c>
      <c r="K1013" t="str">
        <f>VLOOKUP(C1013,CheckName!A:B,2,0)</f>
        <v>CRC</v>
      </c>
      <c r="M1013">
        <f>DAY(RejectionData[[#This Row],[RejectionDate]])</f>
        <v>3</v>
      </c>
    </row>
    <row r="1014" spans="1:13">
      <c r="A1014" t="s">
        <v>383</v>
      </c>
      <c r="B1014" t="s">
        <v>1345</v>
      </c>
      <c r="C1014" t="s">
        <v>12</v>
      </c>
      <c r="D1014" t="s">
        <v>26</v>
      </c>
      <c r="E1014" s="7">
        <v>45629</v>
      </c>
      <c r="F1014" t="s">
        <v>721</v>
      </c>
      <c r="G1014">
        <v>1</v>
      </c>
      <c r="H1014" t="s">
        <v>27</v>
      </c>
      <c r="I1014" t="s">
        <v>16</v>
      </c>
      <c r="J1014" t="s">
        <v>16</v>
      </c>
      <c r="K1014" t="str">
        <f>VLOOKUP(C1014,CheckName!A:B,2,0)</f>
        <v>Emp</v>
      </c>
      <c r="M1014">
        <f>DAY(RejectionData[[#This Row],[RejectionDate]])</f>
        <v>3</v>
      </c>
    </row>
    <row r="1015" spans="1:13">
      <c r="A1015" t="s">
        <v>977</v>
      </c>
      <c r="B1015" t="s">
        <v>1346</v>
      </c>
      <c r="C1015" t="s">
        <v>1347</v>
      </c>
      <c r="D1015" t="s">
        <v>13</v>
      </c>
      <c r="E1015" s="7">
        <v>45629</v>
      </c>
      <c r="F1015" t="s">
        <v>530</v>
      </c>
      <c r="G1015">
        <v>1</v>
      </c>
      <c r="H1015" t="s">
        <v>15</v>
      </c>
      <c r="I1015" t="s">
        <v>16</v>
      </c>
      <c r="J1015" t="s">
        <v>16</v>
      </c>
      <c r="K1015" t="str">
        <f>VLOOKUP(C1015,CheckName!A:B,2,0)</f>
        <v>CRC</v>
      </c>
      <c r="M1015">
        <f>DAY(RejectionData[[#This Row],[RejectionDate]])</f>
        <v>3</v>
      </c>
    </row>
    <row r="1016" spans="1:13">
      <c r="A1016" t="s">
        <v>1348</v>
      </c>
      <c r="B1016" t="s">
        <v>1349</v>
      </c>
      <c r="C1016" t="s">
        <v>54</v>
      </c>
      <c r="D1016" t="s">
        <v>26</v>
      </c>
      <c r="E1016" s="7">
        <v>45629</v>
      </c>
      <c r="F1016" t="s">
        <v>94</v>
      </c>
      <c r="G1016">
        <v>1</v>
      </c>
      <c r="H1016" t="s">
        <v>27</v>
      </c>
      <c r="I1016" t="s">
        <v>16</v>
      </c>
      <c r="J1016" t="s">
        <v>16</v>
      </c>
      <c r="K1016" t="str">
        <f>VLOOKUP(C1016,CheckName!A:B,2,0)</f>
        <v>Edu</v>
      </c>
      <c r="M1016">
        <f>DAY(RejectionData[[#This Row],[RejectionDate]])</f>
        <v>3</v>
      </c>
    </row>
    <row r="1017" spans="1:13">
      <c r="A1017" t="s">
        <v>216</v>
      </c>
      <c r="B1017" t="s">
        <v>1350</v>
      </c>
      <c r="C1017" t="s">
        <v>25</v>
      </c>
      <c r="D1017" t="s">
        <v>13</v>
      </c>
      <c r="E1017" s="7">
        <v>45629</v>
      </c>
      <c r="F1017" t="s">
        <v>844</v>
      </c>
      <c r="G1017">
        <v>1</v>
      </c>
      <c r="H1017" t="s">
        <v>15</v>
      </c>
      <c r="I1017" t="s">
        <v>16</v>
      </c>
      <c r="J1017" t="s">
        <v>16</v>
      </c>
      <c r="K1017" t="str">
        <f>VLOOKUP(C1017,CheckName!A:B,2,0)</f>
        <v>Add</v>
      </c>
      <c r="M1017">
        <f>DAY(RejectionData[[#This Row],[RejectionDate]])</f>
        <v>3</v>
      </c>
    </row>
    <row r="1018" spans="1:13">
      <c r="A1018" t="s">
        <v>216</v>
      </c>
      <c r="B1018" t="s">
        <v>1351</v>
      </c>
      <c r="C1018" t="s">
        <v>71</v>
      </c>
      <c r="D1018" t="s">
        <v>13</v>
      </c>
      <c r="E1018" s="7">
        <v>45629</v>
      </c>
      <c r="F1018" t="s">
        <v>844</v>
      </c>
      <c r="G1018">
        <v>1</v>
      </c>
      <c r="H1018" t="s">
        <v>15</v>
      </c>
      <c r="I1018" t="s">
        <v>16</v>
      </c>
      <c r="J1018" t="s">
        <v>16</v>
      </c>
      <c r="K1018" t="str">
        <f>VLOOKUP(C1018,CheckName!A:B,2,0)</f>
        <v>CRC</v>
      </c>
      <c r="M1018">
        <f>DAY(RejectionData[[#This Row],[RejectionDate]])</f>
        <v>3</v>
      </c>
    </row>
    <row r="1019" spans="1:13">
      <c r="A1019" t="s">
        <v>47</v>
      </c>
      <c r="B1019" t="s">
        <v>1352</v>
      </c>
      <c r="C1019" t="s">
        <v>56</v>
      </c>
      <c r="D1019" t="s">
        <v>13</v>
      </c>
      <c r="E1019" s="7">
        <v>45629</v>
      </c>
      <c r="F1019" t="s">
        <v>606</v>
      </c>
      <c r="G1019">
        <v>1</v>
      </c>
      <c r="H1019" t="s">
        <v>15</v>
      </c>
      <c r="I1019" t="s">
        <v>16</v>
      </c>
      <c r="J1019" t="s">
        <v>16</v>
      </c>
      <c r="K1019" t="str">
        <f>VLOOKUP(C1019,CheckName!A:B,2,0)</f>
        <v>Special Check</v>
      </c>
      <c r="M1019">
        <f>DAY(RejectionData[[#This Row],[RejectionDate]])</f>
        <v>3</v>
      </c>
    </row>
    <row r="1020" spans="1:13">
      <c r="A1020" t="s">
        <v>47</v>
      </c>
      <c r="B1020" t="s">
        <v>1352</v>
      </c>
      <c r="C1020" t="s">
        <v>71</v>
      </c>
      <c r="D1020" t="s">
        <v>13</v>
      </c>
      <c r="E1020" s="7">
        <v>45629</v>
      </c>
      <c r="F1020" t="s">
        <v>606</v>
      </c>
      <c r="G1020">
        <v>1</v>
      </c>
      <c r="H1020" t="s">
        <v>15</v>
      </c>
      <c r="I1020" t="s">
        <v>16</v>
      </c>
      <c r="J1020" t="s">
        <v>16</v>
      </c>
      <c r="K1020" t="str">
        <f>VLOOKUP(C1020,CheckName!A:B,2,0)</f>
        <v>CRC</v>
      </c>
      <c r="M1020">
        <f>DAY(RejectionData[[#This Row],[RejectionDate]])</f>
        <v>3</v>
      </c>
    </row>
    <row r="1021" spans="1:13">
      <c r="A1021" t="s">
        <v>1353</v>
      </c>
      <c r="B1021" t="s">
        <v>1354</v>
      </c>
      <c r="C1021" t="s">
        <v>12</v>
      </c>
      <c r="D1021" t="s">
        <v>26</v>
      </c>
      <c r="E1021" s="7">
        <v>45629</v>
      </c>
      <c r="F1021" t="s">
        <v>721</v>
      </c>
      <c r="G1021">
        <v>1</v>
      </c>
      <c r="H1021" t="s">
        <v>27</v>
      </c>
      <c r="I1021" t="s">
        <v>16</v>
      </c>
      <c r="J1021" t="s">
        <v>16</v>
      </c>
      <c r="K1021" t="str">
        <f>VLOOKUP(C1021,CheckName!A:B,2,0)</f>
        <v>Emp</v>
      </c>
      <c r="M1021">
        <f>DAY(RejectionData[[#This Row],[RejectionDate]])</f>
        <v>3</v>
      </c>
    </row>
    <row r="1022" spans="1:13">
      <c r="A1022" t="s">
        <v>1197</v>
      </c>
      <c r="B1022" t="s">
        <v>1355</v>
      </c>
      <c r="C1022" t="s">
        <v>54</v>
      </c>
      <c r="D1022" t="s">
        <v>26</v>
      </c>
      <c r="E1022" s="7">
        <v>45629</v>
      </c>
      <c r="F1022" t="s">
        <v>94</v>
      </c>
      <c r="G1022">
        <v>1</v>
      </c>
      <c r="H1022" t="s">
        <v>290</v>
      </c>
      <c r="I1022" t="s">
        <v>16</v>
      </c>
      <c r="J1022" t="s">
        <v>16</v>
      </c>
      <c r="K1022" t="str">
        <f>VLOOKUP(C1022,CheckName!A:B,2,0)</f>
        <v>Edu</v>
      </c>
      <c r="M1022">
        <f>DAY(RejectionData[[#This Row],[RejectionDate]])</f>
        <v>3</v>
      </c>
    </row>
    <row r="1023" spans="1:13">
      <c r="A1023" t="s">
        <v>465</v>
      </c>
      <c r="B1023" t="s">
        <v>1356</v>
      </c>
      <c r="C1023" t="s">
        <v>12</v>
      </c>
      <c r="D1023" t="s">
        <v>26</v>
      </c>
      <c r="E1023" s="7">
        <v>45629</v>
      </c>
      <c r="F1023" t="s">
        <v>721</v>
      </c>
      <c r="G1023">
        <v>1</v>
      </c>
      <c r="H1023" t="s">
        <v>27</v>
      </c>
      <c r="I1023" t="s">
        <v>16</v>
      </c>
      <c r="J1023" t="s">
        <v>16</v>
      </c>
      <c r="K1023" t="str">
        <f>VLOOKUP(C1023,CheckName!A:B,2,0)</f>
        <v>Emp</v>
      </c>
      <c r="M1023">
        <f>DAY(RejectionData[[#This Row],[RejectionDate]])</f>
        <v>3</v>
      </c>
    </row>
    <row r="1024" spans="1:13">
      <c r="A1024" t="s">
        <v>362</v>
      </c>
      <c r="B1024" t="s">
        <v>1357</v>
      </c>
      <c r="C1024" t="s">
        <v>12</v>
      </c>
      <c r="D1024" t="s">
        <v>26</v>
      </c>
      <c r="E1024" s="7">
        <v>45629</v>
      </c>
      <c r="F1024" t="s">
        <v>721</v>
      </c>
      <c r="G1024">
        <v>1</v>
      </c>
      <c r="H1024" t="s">
        <v>27</v>
      </c>
      <c r="I1024" t="s">
        <v>16</v>
      </c>
      <c r="J1024" t="s">
        <v>16</v>
      </c>
      <c r="K1024" t="str">
        <f>VLOOKUP(C1024,CheckName!A:B,2,0)</f>
        <v>Emp</v>
      </c>
      <c r="M1024">
        <f>DAY(RejectionData[[#This Row],[RejectionDate]])</f>
        <v>3</v>
      </c>
    </row>
    <row r="1025" spans="1:13">
      <c r="A1025" t="s">
        <v>1358</v>
      </c>
      <c r="B1025" t="s">
        <v>1359</v>
      </c>
      <c r="C1025" t="s">
        <v>36</v>
      </c>
      <c r="D1025" t="s">
        <v>26</v>
      </c>
      <c r="E1025" s="7">
        <v>45629</v>
      </c>
      <c r="F1025" t="s">
        <v>169</v>
      </c>
      <c r="G1025">
        <v>1</v>
      </c>
      <c r="H1025" t="s">
        <v>27</v>
      </c>
      <c r="I1025" t="s">
        <v>16</v>
      </c>
      <c r="J1025" t="s">
        <v>16</v>
      </c>
      <c r="K1025" t="str">
        <f>VLOOKUP(C1025,CheckName!A:B,2,0)</f>
        <v>Emp</v>
      </c>
      <c r="M1025">
        <f>DAY(RejectionData[[#This Row],[RejectionDate]])</f>
        <v>3</v>
      </c>
    </row>
    <row r="1026" spans="1:13">
      <c r="A1026" t="s">
        <v>119</v>
      </c>
      <c r="B1026" t="s">
        <v>1360</v>
      </c>
      <c r="C1026" t="s">
        <v>12</v>
      </c>
      <c r="D1026" t="s">
        <v>26</v>
      </c>
      <c r="E1026" s="7">
        <v>45629</v>
      </c>
      <c r="F1026" t="s">
        <v>80</v>
      </c>
      <c r="G1026">
        <v>1</v>
      </c>
      <c r="H1026" t="s">
        <v>27</v>
      </c>
      <c r="I1026" t="s">
        <v>16</v>
      </c>
      <c r="J1026" t="s">
        <v>16</v>
      </c>
      <c r="K1026" t="str">
        <f>VLOOKUP(C1026,CheckName!A:B,2,0)</f>
        <v>Emp</v>
      </c>
      <c r="M1026">
        <f>DAY(RejectionData[[#This Row],[RejectionDate]])</f>
        <v>3</v>
      </c>
    </row>
    <row r="1027" spans="1:13">
      <c r="A1027" t="s">
        <v>353</v>
      </c>
      <c r="B1027" t="s">
        <v>1361</v>
      </c>
      <c r="C1027" t="s">
        <v>12</v>
      </c>
      <c r="D1027" t="s">
        <v>26</v>
      </c>
      <c r="E1027" s="7">
        <v>45629</v>
      </c>
      <c r="F1027" t="s">
        <v>80</v>
      </c>
      <c r="G1027">
        <v>1</v>
      </c>
      <c r="H1027" t="s">
        <v>27</v>
      </c>
      <c r="I1027" t="s">
        <v>16</v>
      </c>
      <c r="J1027" t="s">
        <v>16</v>
      </c>
      <c r="K1027" t="str">
        <f>VLOOKUP(C1027,CheckName!A:B,2,0)</f>
        <v>Emp</v>
      </c>
      <c r="M1027">
        <f>DAY(RejectionData[[#This Row],[RejectionDate]])</f>
        <v>3</v>
      </c>
    </row>
    <row r="1028" spans="1:13">
      <c r="A1028" t="s">
        <v>119</v>
      </c>
      <c r="B1028" t="s">
        <v>1362</v>
      </c>
      <c r="C1028" t="s">
        <v>12</v>
      </c>
      <c r="D1028" t="s">
        <v>51</v>
      </c>
      <c r="E1028" s="7">
        <v>45629</v>
      </c>
      <c r="F1028" t="s">
        <v>194</v>
      </c>
      <c r="G1028">
        <v>1</v>
      </c>
      <c r="H1028" t="s">
        <v>53</v>
      </c>
      <c r="I1028" t="s">
        <v>16</v>
      </c>
      <c r="J1028" t="s">
        <v>16</v>
      </c>
      <c r="K1028" t="str">
        <f>VLOOKUP(C1028,CheckName!A:B,2,0)</f>
        <v>Emp</v>
      </c>
      <c r="M1028">
        <f>DAY(RejectionData[[#This Row],[RejectionDate]])</f>
        <v>3</v>
      </c>
    </row>
    <row r="1029" spans="1:13">
      <c r="A1029" t="s">
        <v>119</v>
      </c>
      <c r="B1029" t="s">
        <v>1362</v>
      </c>
      <c r="C1029" t="s">
        <v>36</v>
      </c>
      <c r="D1029" t="s">
        <v>51</v>
      </c>
      <c r="E1029" s="7">
        <v>45629</v>
      </c>
      <c r="F1029" t="s">
        <v>194</v>
      </c>
      <c r="G1029">
        <v>1</v>
      </c>
      <c r="H1029" t="s">
        <v>53</v>
      </c>
      <c r="I1029" t="s">
        <v>16</v>
      </c>
      <c r="J1029" t="s">
        <v>16</v>
      </c>
      <c r="K1029" t="str">
        <f>VLOOKUP(C1029,CheckName!A:B,2,0)</f>
        <v>Emp</v>
      </c>
      <c r="M1029">
        <f>DAY(RejectionData[[#This Row],[RejectionDate]])</f>
        <v>3</v>
      </c>
    </row>
    <row r="1030" spans="1:13">
      <c r="A1030" t="s">
        <v>45</v>
      </c>
      <c r="B1030" t="s">
        <v>1363</v>
      </c>
      <c r="C1030" t="s">
        <v>36</v>
      </c>
      <c r="D1030" t="s">
        <v>26</v>
      </c>
      <c r="E1030" s="7">
        <v>45629</v>
      </c>
      <c r="F1030" t="s">
        <v>196</v>
      </c>
      <c r="G1030">
        <v>1</v>
      </c>
      <c r="H1030" t="s">
        <v>22</v>
      </c>
      <c r="I1030" t="s">
        <v>16</v>
      </c>
      <c r="J1030" t="s">
        <v>16</v>
      </c>
      <c r="K1030" t="str">
        <f>VLOOKUP(C1030,CheckName!A:B,2,0)</f>
        <v>Emp</v>
      </c>
      <c r="M1030">
        <f>DAY(RejectionData[[#This Row],[RejectionDate]])</f>
        <v>3</v>
      </c>
    </row>
    <row r="1031" spans="1:13">
      <c r="A1031" t="s">
        <v>510</v>
      </c>
      <c r="B1031" t="s">
        <v>1364</v>
      </c>
      <c r="C1031" t="s">
        <v>54</v>
      </c>
      <c r="D1031" t="s">
        <v>26</v>
      </c>
      <c r="E1031" s="7">
        <v>45629</v>
      </c>
      <c r="F1031" t="s">
        <v>504</v>
      </c>
      <c r="G1031">
        <v>1</v>
      </c>
      <c r="H1031" t="s">
        <v>27</v>
      </c>
      <c r="I1031" t="s">
        <v>16</v>
      </c>
      <c r="J1031" t="s">
        <v>16</v>
      </c>
      <c r="K1031" t="str">
        <f>VLOOKUP(C1031,CheckName!A:B,2,0)</f>
        <v>Edu</v>
      </c>
      <c r="M1031">
        <f>DAY(RejectionData[[#This Row],[RejectionDate]])</f>
        <v>3</v>
      </c>
    </row>
    <row r="1032" spans="1:13">
      <c r="A1032" t="s">
        <v>934</v>
      </c>
      <c r="B1032" t="s">
        <v>1365</v>
      </c>
      <c r="C1032" t="s">
        <v>12</v>
      </c>
      <c r="D1032" t="s">
        <v>26</v>
      </c>
      <c r="E1032" s="7">
        <v>45629</v>
      </c>
      <c r="F1032" t="s">
        <v>431</v>
      </c>
      <c r="G1032">
        <v>1</v>
      </c>
      <c r="H1032" t="s">
        <v>27</v>
      </c>
      <c r="I1032" t="s">
        <v>16</v>
      </c>
      <c r="J1032" t="s">
        <v>16</v>
      </c>
      <c r="K1032" t="str">
        <f>VLOOKUP(C1032,CheckName!A:B,2,0)</f>
        <v>Emp</v>
      </c>
      <c r="M1032">
        <f>DAY(RejectionData[[#This Row],[RejectionDate]])</f>
        <v>3</v>
      </c>
    </row>
    <row r="1033" spans="1:13">
      <c r="A1033" t="s">
        <v>337</v>
      </c>
      <c r="B1033" t="s">
        <v>1366</v>
      </c>
      <c r="C1033" t="s">
        <v>36</v>
      </c>
      <c r="D1033" t="s">
        <v>26</v>
      </c>
      <c r="E1033" s="7">
        <v>45629</v>
      </c>
      <c r="F1033" t="s">
        <v>182</v>
      </c>
      <c r="G1033">
        <v>1</v>
      </c>
      <c r="H1033" t="s">
        <v>27</v>
      </c>
      <c r="I1033" t="s">
        <v>16</v>
      </c>
      <c r="J1033" t="s">
        <v>16</v>
      </c>
      <c r="K1033" t="str">
        <f>VLOOKUP(C1033,CheckName!A:B,2,0)</f>
        <v>Emp</v>
      </c>
      <c r="M1033">
        <f>DAY(RejectionData[[#This Row],[RejectionDate]])</f>
        <v>3</v>
      </c>
    </row>
    <row r="1034" spans="1:13">
      <c r="A1034" t="s">
        <v>391</v>
      </c>
      <c r="B1034" t="s">
        <v>1367</v>
      </c>
      <c r="C1034" t="s">
        <v>12</v>
      </c>
      <c r="D1034" t="s">
        <v>26</v>
      </c>
      <c r="E1034" s="7">
        <v>45629</v>
      </c>
      <c r="F1034" t="s">
        <v>431</v>
      </c>
      <c r="G1034">
        <v>1</v>
      </c>
      <c r="H1034" t="s">
        <v>27</v>
      </c>
      <c r="I1034" t="s">
        <v>16</v>
      </c>
      <c r="J1034" t="s">
        <v>16</v>
      </c>
      <c r="K1034" t="str">
        <f>VLOOKUP(C1034,CheckName!A:B,2,0)</f>
        <v>Emp</v>
      </c>
      <c r="M1034">
        <f>DAY(RejectionData[[#This Row],[RejectionDate]])</f>
        <v>3</v>
      </c>
    </row>
    <row r="1035" spans="1:13">
      <c r="A1035" t="s">
        <v>697</v>
      </c>
      <c r="B1035" t="s">
        <v>1368</v>
      </c>
      <c r="C1035" t="s">
        <v>125</v>
      </c>
      <c r="D1035" t="s">
        <v>26</v>
      </c>
      <c r="E1035" s="7">
        <v>45629</v>
      </c>
      <c r="F1035" t="s">
        <v>614</v>
      </c>
      <c r="G1035">
        <v>1</v>
      </c>
      <c r="H1035" t="s">
        <v>27</v>
      </c>
      <c r="I1035" t="s">
        <v>16</v>
      </c>
      <c r="J1035" t="s">
        <v>16</v>
      </c>
      <c r="K1035" t="str">
        <f>VLOOKUP(C1035,CheckName!A:B,2,0)</f>
        <v>Emp</v>
      </c>
      <c r="M1035">
        <f>DAY(RejectionData[[#This Row],[RejectionDate]])</f>
        <v>3</v>
      </c>
    </row>
    <row r="1036" spans="1:13">
      <c r="A1036" t="s">
        <v>697</v>
      </c>
      <c r="B1036" t="s">
        <v>1369</v>
      </c>
      <c r="C1036" t="s">
        <v>125</v>
      </c>
      <c r="D1036" t="s">
        <v>26</v>
      </c>
      <c r="E1036" s="7">
        <v>45629</v>
      </c>
      <c r="F1036" t="s">
        <v>614</v>
      </c>
      <c r="G1036">
        <v>1</v>
      </c>
      <c r="H1036" t="s">
        <v>27</v>
      </c>
      <c r="I1036" t="s">
        <v>16</v>
      </c>
      <c r="J1036" t="s">
        <v>16</v>
      </c>
      <c r="K1036" t="str">
        <f>VLOOKUP(C1036,CheckName!A:B,2,0)</f>
        <v>Emp</v>
      </c>
      <c r="M1036">
        <f>DAY(RejectionData[[#This Row],[RejectionDate]])</f>
        <v>3</v>
      </c>
    </row>
    <row r="1037" spans="1:13">
      <c r="A1037" t="s">
        <v>228</v>
      </c>
      <c r="B1037" t="s">
        <v>1370</v>
      </c>
      <c r="C1037" t="s">
        <v>125</v>
      </c>
      <c r="D1037" t="s">
        <v>26</v>
      </c>
      <c r="E1037" s="7">
        <v>45629</v>
      </c>
      <c r="F1037" t="s">
        <v>182</v>
      </c>
      <c r="G1037">
        <v>1</v>
      </c>
      <c r="H1037" t="s">
        <v>27</v>
      </c>
      <c r="I1037" t="s">
        <v>16</v>
      </c>
      <c r="J1037" t="s">
        <v>16</v>
      </c>
      <c r="K1037" t="str">
        <f>VLOOKUP(C1037,CheckName!A:B,2,0)</f>
        <v>Emp</v>
      </c>
      <c r="M1037">
        <f>DAY(RejectionData[[#This Row],[RejectionDate]])</f>
        <v>3</v>
      </c>
    </row>
    <row r="1038" spans="1:13">
      <c r="A1038" t="s">
        <v>45</v>
      </c>
      <c r="B1038" t="s">
        <v>1371</v>
      </c>
      <c r="C1038" t="s">
        <v>36</v>
      </c>
      <c r="D1038" t="s">
        <v>26</v>
      </c>
      <c r="E1038" s="7">
        <v>45629</v>
      </c>
      <c r="F1038" t="s">
        <v>179</v>
      </c>
      <c r="G1038">
        <v>1</v>
      </c>
      <c r="H1038" t="s">
        <v>27</v>
      </c>
      <c r="I1038" t="s">
        <v>16</v>
      </c>
      <c r="J1038" t="s">
        <v>16</v>
      </c>
      <c r="K1038" t="str">
        <f>VLOOKUP(C1038,CheckName!A:B,2,0)</f>
        <v>Emp</v>
      </c>
      <c r="M1038">
        <f>DAY(RejectionData[[#This Row],[RejectionDate]])</f>
        <v>3</v>
      </c>
    </row>
    <row r="1039" spans="1:13">
      <c r="A1039" t="s">
        <v>45</v>
      </c>
      <c r="B1039" t="s">
        <v>1372</v>
      </c>
      <c r="C1039" t="s">
        <v>12</v>
      </c>
      <c r="D1039" t="s">
        <v>26</v>
      </c>
      <c r="E1039" s="7">
        <v>45629</v>
      </c>
      <c r="F1039" t="s">
        <v>179</v>
      </c>
      <c r="G1039">
        <v>1</v>
      </c>
      <c r="H1039" t="s">
        <v>27</v>
      </c>
      <c r="I1039" t="s">
        <v>16</v>
      </c>
      <c r="J1039" t="s">
        <v>16</v>
      </c>
      <c r="K1039" t="str">
        <f>VLOOKUP(C1039,CheckName!A:B,2,0)</f>
        <v>Emp</v>
      </c>
      <c r="M1039">
        <f>DAY(RejectionData[[#This Row],[RejectionDate]])</f>
        <v>3</v>
      </c>
    </row>
    <row r="1040" spans="1:13">
      <c r="A1040" t="s">
        <v>84</v>
      </c>
      <c r="B1040" t="s">
        <v>1373</v>
      </c>
      <c r="C1040" t="s">
        <v>12</v>
      </c>
      <c r="D1040" t="s">
        <v>26</v>
      </c>
      <c r="E1040" s="7">
        <v>45629</v>
      </c>
      <c r="F1040" t="s">
        <v>184</v>
      </c>
      <c r="G1040">
        <v>1</v>
      </c>
      <c r="H1040" t="s">
        <v>27</v>
      </c>
      <c r="I1040" t="s">
        <v>16</v>
      </c>
      <c r="J1040" t="s">
        <v>16</v>
      </c>
      <c r="K1040" t="str">
        <f>VLOOKUP(C1040,CheckName!A:B,2,0)</f>
        <v>Emp</v>
      </c>
      <c r="M1040">
        <f>DAY(RejectionData[[#This Row],[RejectionDate]])</f>
        <v>3</v>
      </c>
    </row>
    <row r="1041" spans="1:13">
      <c r="A1041" t="s">
        <v>461</v>
      </c>
      <c r="B1041" t="s">
        <v>1374</v>
      </c>
      <c r="C1041" t="s">
        <v>125</v>
      </c>
      <c r="D1041" t="s">
        <v>26</v>
      </c>
      <c r="E1041" s="7">
        <v>45629</v>
      </c>
      <c r="F1041" t="s">
        <v>277</v>
      </c>
      <c r="G1041">
        <v>1</v>
      </c>
      <c r="H1041" t="s">
        <v>27</v>
      </c>
      <c r="I1041" t="s">
        <v>16</v>
      </c>
      <c r="J1041" t="s">
        <v>16</v>
      </c>
      <c r="K1041" t="str">
        <f>VLOOKUP(C1041,CheckName!A:B,2,0)</f>
        <v>Emp</v>
      </c>
      <c r="M1041">
        <f>DAY(RejectionData[[#This Row],[RejectionDate]])</f>
        <v>3</v>
      </c>
    </row>
    <row r="1042" spans="1:13">
      <c r="A1042" t="s">
        <v>461</v>
      </c>
      <c r="B1042" t="s">
        <v>1270</v>
      </c>
      <c r="C1042" t="s">
        <v>125</v>
      </c>
      <c r="D1042" t="s">
        <v>26</v>
      </c>
      <c r="E1042" s="7">
        <v>45629</v>
      </c>
      <c r="F1042" t="s">
        <v>277</v>
      </c>
      <c r="G1042">
        <v>1</v>
      </c>
      <c r="H1042" t="s">
        <v>27</v>
      </c>
      <c r="I1042" t="s">
        <v>16</v>
      </c>
      <c r="J1042" t="s">
        <v>16</v>
      </c>
      <c r="K1042" t="str">
        <f>VLOOKUP(C1042,CheckName!A:B,2,0)</f>
        <v>Emp</v>
      </c>
      <c r="M1042">
        <f>DAY(RejectionData[[#This Row],[RejectionDate]])</f>
        <v>3</v>
      </c>
    </row>
    <row r="1043" spans="1:13">
      <c r="A1043" t="s">
        <v>84</v>
      </c>
      <c r="B1043" t="s">
        <v>1375</v>
      </c>
      <c r="C1043" t="s">
        <v>12</v>
      </c>
      <c r="D1043" t="s">
        <v>26</v>
      </c>
      <c r="E1043" s="7">
        <v>45629</v>
      </c>
      <c r="F1043" t="s">
        <v>184</v>
      </c>
      <c r="G1043">
        <v>1</v>
      </c>
      <c r="H1043" t="s">
        <v>27</v>
      </c>
      <c r="I1043" t="s">
        <v>16</v>
      </c>
      <c r="J1043" t="s">
        <v>16</v>
      </c>
      <c r="K1043" t="str">
        <f>VLOOKUP(C1043,CheckName!A:B,2,0)</f>
        <v>Emp</v>
      </c>
      <c r="M1043">
        <f>DAY(RejectionData[[#This Row],[RejectionDate]])</f>
        <v>3</v>
      </c>
    </row>
    <row r="1044" spans="1:13">
      <c r="A1044" t="s">
        <v>1376</v>
      </c>
      <c r="B1044" t="s">
        <v>1377</v>
      </c>
      <c r="C1044" t="s">
        <v>12</v>
      </c>
      <c r="D1044" t="s">
        <v>26</v>
      </c>
      <c r="E1044" s="7">
        <v>45629</v>
      </c>
      <c r="F1044" t="s">
        <v>608</v>
      </c>
      <c r="G1044">
        <v>1</v>
      </c>
      <c r="H1044" t="s">
        <v>27</v>
      </c>
      <c r="I1044" t="s">
        <v>16</v>
      </c>
      <c r="J1044" t="s">
        <v>16</v>
      </c>
      <c r="K1044" t="str">
        <f>VLOOKUP(C1044,CheckName!A:B,2,0)</f>
        <v>Emp</v>
      </c>
      <c r="M1044">
        <f>DAY(RejectionData[[#This Row],[RejectionDate]])</f>
        <v>3</v>
      </c>
    </row>
    <row r="1045" spans="1:13">
      <c r="A1045" t="s">
        <v>142</v>
      </c>
      <c r="B1045" t="s">
        <v>1378</v>
      </c>
      <c r="C1045" t="s">
        <v>19</v>
      </c>
      <c r="D1045" t="s">
        <v>26</v>
      </c>
      <c r="E1045" s="7">
        <v>45629</v>
      </c>
      <c r="F1045" t="s">
        <v>66</v>
      </c>
      <c r="G1045">
        <v>1</v>
      </c>
      <c r="H1045" t="s">
        <v>27</v>
      </c>
      <c r="I1045" t="s">
        <v>16</v>
      </c>
      <c r="J1045" t="s">
        <v>16</v>
      </c>
      <c r="K1045" t="str">
        <f>VLOOKUP(C1045,CheckName!A:B,2,0)</f>
        <v>Add</v>
      </c>
      <c r="M1045">
        <f>DAY(RejectionData[[#This Row],[RejectionDate]])</f>
        <v>3</v>
      </c>
    </row>
    <row r="1046" spans="1:13">
      <c r="A1046" t="s">
        <v>137</v>
      </c>
      <c r="B1046" t="s">
        <v>1379</v>
      </c>
      <c r="C1046" t="s">
        <v>25</v>
      </c>
      <c r="D1046" t="s">
        <v>20</v>
      </c>
      <c r="E1046" s="7">
        <v>45629</v>
      </c>
      <c r="F1046" t="s">
        <v>62</v>
      </c>
      <c r="G1046">
        <v>1</v>
      </c>
      <c r="H1046" t="s">
        <v>22</v>
      </c>
      <c r="I1046" t="s">
        <v>16</v>
      </c>
      <c r="J1046" t="s">
        <v>16</v>
      </c>
      <c r="K1046" t="str">
        <f>VLOOKUP(C1046,CheckName!A:B,2,0)</f>
        <v>Add</v>
      </c>
      <c r="M1046">
        <f>DAY(RejectionData[[#This Row],[RejectionDate]])</f>
        <v>3</v>
      </c>
    </row>
    <row r="1047" spans="1:13">
      <c r="A1047" t="s">
        <v>205</v>
      </c>
      <c r="B1047" t="s">
        <v>1380</v>
      </c>
      <c r="C1047" t="s">
        <v>25</v>
      </c>
      <c r="D1047" t="s">
        <v>26</v>
      </c>
      <c r="E1047" s="7">
        <v>45629</v>
      </c>
      <c r="F1047" t="s">
        <v>62</v>
      </c>
      <c r="G1047">
        <v>1</v>
      </c>
      <c r="H1047" t="s">
        <v>27</v>
      </c>
      <c r="I1047" t="s">
        <v>16</v>
      </c>
      <c r="J1047" t="s">
        <v>16</v>
      </c>
      <c r="K1047" t="str">
        <f>VLOOKUP(C1047,CheckName!A:B,2,0)</f>
        <v>Add</v>
      </c>
      <c r="M1047">
        <f>DAY(RejectionData[[#This Row],[RejectionDate]])</f>
        <v>3</v>
      </c>
    </row>
    <row r="1048" spans="1:13">
      <c r="A1048" t="s">
        <v>419</v>
      </c>
      <c r="B1048" t="s">
        <v>1381</v>
      </c>
      <c r="C1048" t="s">
        <v>54</v>
      </c>
      <c r="D1048" t="s">
        <v>13</v>
      </c>
      <c r="E1048" s="7">
        <v>45629</v>
      </c>
      <c r="F1048" t="s">
        <v>1219</v>
      </c>
      <c r="G1048">
        <v>1</v>
      </c>
      <c r="H1048" t="s">
        <v>15</v>
      </c>
      <c r="I1048" t="s">
        <v>16</v>
      </c>
      <c r="J1048" t="s">
        <v>16</v>
      </c>
      <c r="K1048" t="str">
        <f>VLOOKUP(C1048,CheckName!A:B,2,0)</f>
        <v>Edu</v>
      </c>
      <c r="M1048">
        <f>DAY(RejectionData[[#This Row],[RejectionDate]])</f>
        <v>3</v>
      </c>
    </row>
    <row r="1049" spans="1:13">
      <c r="A1049" t="s">
        <v>228</v>
      </c>
      <c r="B1049" t="s">
        <v>1382</v>
      </c>
      <c r="C1049" t="s">
        <v>12</v>
      </c>
      <c r="D1049" t="s">
        <v>13</v>
      </c>
      <c r="E1049" s="7">
        <v>45629</v>
      </c>
      <c r="F1049" t="s">
        <v>1219</v>
      </c>
      <c r="G1049">
        <v>1</v>
      </c>
      <c r="H1049" t="s">
        <v>15</v>
      </c>
      <c r="I1049" t="s">
        <v>16</v>
      </c>
      <c r="J1049" t="s">
        <v>16</v>
      </c>
      <c r="K1049" t="str">
        <f>VLOOKUP(C1049,CheckName!A:B,2,0)</f>
        <v>Emp</v>
      </c>
      <c r="M1049">
        <f>DAY(RejectionData[[#This Row],[RejectionDate]])</f>
        <v>3</v>
      </c>
    </row>
    <row r="1050" spans="1:13">
      <c r="A1050" t="s">
        <v>100</v>
      </c>
      <c r="B1050" t="s">
        <v>1383</v>
      </c>
      <c r="C1050" t="s">
        <v>1334</v>
      </c>
      <c r="D1050" t="s">
        <v>13</v>
      </c>
      <c r="E1050" s="7">
        <v>45629</v>
      </c>
      <c r="F1050" t="s">
        <v>1219</v>
      </c>
      <c r="G1050">
        <v>1</v>
      </c>
      <c r="H1050" t="s">
        <v>15</v>
      </c>
      <c r="I1050" t="s">
        <v>16</v>
      </c>
      <c r="J1050" t="s">
        <v>16</v>
      </c>
      <c r="K1050" t="str">
        <f>VLOOKUP(C1050,CheckName!A:B,2,0)</f>
        <v>CRC</v>
      </c>
      <c r="M1050">
        <f>DAY(RejectionData[[#This Row],[RejectionDate]])</f>
        <v>3</v>
      </c>
    </row>
    <row r="1051" spans="1:13">
      <c r="A1051" t="s">
        <v>28</v>
      </c>
      <c r="B1051" t="s">
        <v>1384</v>
      </c>
      <c r="C1051" t="s">
        <v>19</v>
      </c>
      <c r="D1051" t="s">
        <v>20</v>
      </c>
      <c r="E1051" s="7">
        <v>45629</v>
      </c>
      <c r="F1051" t="s">
        <v>62</v>
      </c>
      <c r="G1051">
        <v>1</v>
      </c>
      <c r="H1051" t="s">
        <v>30</v>
      </c>
      <c r="I1051" t="s">
        <v>16</v>
      </c>
      <c r="J1051" t="s">
        <v>16</v>
      </c>
      <c r="K1051" t="str">
        <f>VLOOKUP(C1051,CheckName!A:B,2,0)</f>
        <v>Add</v>
      </c>
      <c r="M1051">
        <f>DAY(RejectionData[[#This Row],[RejectionDate]])</f>
        <v>3</v>
      </c>
    </row>
    <row r="1052" spans="1:13">
      <c r="A1052" t="s">
        <v>64</v>
      </c>
      <c r="B1052" t="s">
        <v>1385</v>
      </c>
      <c r="C1052" t="s">
        <v>25</v>
      </c>
      <c r="D1052" t="s">
        <v>26</v>
      </c>
      <c r="E1052" s="7">
        <v>45629</v>
      </c>
      <c r="F1052" t="s">
        <v>66</v>
      </c>
      <c r="G1052">
        <v>1</v>
      </c>
      <c r="H1052" t="s">
        <v>27</v>
      </c>
      <c r="I1052" t="s">
        <v>16</v>
      </c>
      <c r="J1052" t="s">
        <v>16</v>
      </c>
      <c r="K1052" t="str">
        <f>VLOOKUP(C1052,CheckName!A:B,2,0)</f>
        <v>Add</v>
      </c>
      <c r="M1052">
        <f>DAY(RejectionData[[#This Row],[RejectionDate]])</f>
        <v>3</v>
      </c>
    </row>
    <row r="1053" spans="1:13">
      <c r="A1053" t="s">
        <v>893</v>
      </c>
      <c r="B1053" t="s">
        <v>1386</v>
      </c>
      <c r="C1053" t="s">
        <v>25</v>
      </c>
      <c r="D1053" t="s">
        <v>20</v>
      </c>
      <c r="E1053" s="7">
        <v>45629</v>
      </c>
      <c r="F1053" t="s">
        <v>62</v>
      </c>
      <c r="G1053">
        <v>1</v>
      </c>
      <c r="H1053" t="s">
        <v>22</v>
      </c>
      <c r="I1053" t="s">
        <v>16</v>
      </c>
      <c r="J1053" t="s">
        <v>16</v>
      </c>
      <c r="K1053" t="str">
        <f>VLOOKUP(C1053,CheckName!A:B,2,0)</f>
        <v>Add</v>
      </c>
      <c r="M1053">
        <f>DAY(RejectionData[[#This Row],[RejectionDate]])</f>
        <v>3</v>
      </c>
    </row>
    <row r="1054" spans="1:13">
      <c r="A1054" t="s">
        <v>893</v>
      </c>
      <c r="B1054" t="s">
        <v>1387</v>
      </c>
      <c r="C1054" t="s">
        <v>25</v>
      </c>
      <c r="D1054" t="s">
        <v>20</v>
      </c>
      <c r="E1054" s="7">
        <v>45629</v>
      </c>
      <c r="F1054" t="s">
        <v>62</v>
      </c>
      <c r="G1054">
        <v>1</v>
      </c>
      <c r="H1054" t="s">
        <v>22</v>
      </c>
      <c r="I1054" t="s">
        <v>16</v>
      </c>
      <c r="J1054" t="s">
        <v>16</v>
      </c>
      <c r="K1054" t="str">
        <f>VLOOKUP(C1054,CheckName!A:B,2,0)</f>
        <v>Add</v>
      </c>
      <c r="M1054">
        <f>DAY(RejectionData[[#This Row],[RejectionDate]])</f>
        <v>3</v>
      </c>
    </row>
    <row r="1055" spans="1:13">
      <c r="A1055" t="s">
        <v>1110</v>
      </c>
      <c r="B1055" t="s">
        <v>1388</v>
      </c>
      <c r="C1055" t="s">
        <v>965</v>
      </c>
      <c r="D1055" t="s">
        <v>20</v>
      </c>
      <c r="E1055" s="7">
        <v>45629</v>
      </c>
      <c r="F1055" t="s">
        <v>62</v>
      </c>
      <c r="G1055">
        <v>1</v>
      </c>
      <c r="H1055" t="s">
        <v>22</v>
      </c>
      <c r="I1055" t="s">
        <v>16</v>
      </c>
      <c r="J1055" t="s">
        <v>16</v>
      </c>
      <c r="K1055" t="str">
        <f>VLOOKUP(C1055,CheckName!A:B,2,0)</f>
        <v>Add</v>
      </c>
      <c r="M1055">
        <f>DAY(RejectionData[[#This Row],[RejectionDate]])</f>
        <v>3</v>
      </c>
    </row>
    <row r="1056" spans="1:13">
      <c r="A1056" t="s">
        <v>1110</v>
      </c>
      <c r="B1056" t="s">
        <v>1389</v>
      </c>
      <c r="C1056" t="s">
        <v>965</v>
      </c>
      <c r="D1056" t="s">
        <v>20</v>
      </c>
      <c r="E1056" s="7">
        <v>45629</v>
      </c>
      <c r="F1056" t="s">
        <v>62</v>
      </c>
      <c r="G1056">
        <v>1</v>
      </c>
      <c r="H1056" t="s">
        <v>22</v>
      </c>
      <c r="I1056" t="s">
        <v>16</v>
      </c>
      <c r="J1056" t="s">
        <v>16</v>
      </c>
      <c r="K1056" t="str">
        <f>VLOOKUP(C1056,CheckName!A:B,2,0)</f>
        <v>Add</v>
      </c>
      <c r="M1056">
        <f>DAY(RejectionData[[#This Row],[RejectionDate]])</f>
        <v>3</v>
      </c>
    </row>
    <row r="1057" spans="1:13">
      <c r="A1057" t="s">
        <v>1110</v>
      </c>
      <c r="B1057" t="s">
        <v>1390</v>
      </c>
      <c r="C1057" t="s">
        <v>965</v>
      </c>
      <c r="D1057" t="s">
        <v>20</v>
      </c>
      <c r="E1057" s="7">
        <v>45629</v>
      </c>
      <c r="F1057" t="s">
        <v>62</v>
      </c>
      <c r="G1057">
        <v>1</v>
      </c>
      <c r="H1057" t="s">
        <v>22</v>
      </c>
      <c r="I1057" t="s">
        <v>16</v>
      </c>
      <c r="J1057" t="s">
        <v>16</v>
      </c>
      <c r="K1057" t="str">
        <f>VLOOKUP(C1057,CheckName!A:B,2,0)</f>
        <v>Add</v>
      </c>
      <c r="M1057">
        <f>DAY(RejectionData[[#This Row],[RejectionDate]])</f>
        <v>3</v>
      </c>
    </row>
    <row r="1058" spans="1:13">
      <c r="A1058" t="s">
        <v>84</v>
      </c>
      <c r="B1058" t="s">
        <v>1391</v>
      </c>
      <c r="C1058" t="s">
        <v>54</v>
      </c>
      <c r="D1058" t="s">
        <v>26</v>
      </c>
      <c r="E1058" s="7">
        <v>45629</v>
      </c>
      <c r="F1058" t="s">
        <v>444</v>
      </c>
      <c r="G1058">
        <v>1</v>
      </c>
      <c r="H1058" t="s">
        <v>27</v>
      </c>
      <c r="I1058" t="s">
        <v>16</v>
      </c>
      <c r="J1058" t="s">
        <v>16</v>
      </c>
      <c r="K1058" t="str">
        <f>VLOOKUP(C1058,CheckName!A:B,2,0)</f>
        <v>Edu</v>
      </c>
      <c r="M1058">
        <f>DAY(RejectionData[[#This Row],[RejectionDate]])</f>
        <v>3</v>
      </c>
    </row>
    <row r="1059" spans="1:13">
      <c r="A1059" t="s">
        <v>84</v>
      </c>
      <c r="B1059" t="s">
        <v>1392</v>
      </c>
      <c r="C1059" t="s">
        <v>19</v>
      </c>
      <c r="D1059" t="s">
        <v>26</v>
      </c>
      <c r="E1059" s="7">
        <v>45629</v>
      </c>
      <c r="F1059" t="s">
        <v>66</v>
      </c>
      <c r="G1059">
        <v>1</v>
      </c>
      <c r="H1059" t="s">
        <v>22</v>
      </c>
      <c r="I1059" t="s">
        <v>16</v>
      </c>
      <c r="J1059" t="s">
        <v>16</v>
      </c>
      <c r="K1059" t="str">
        <f>VLOOKUP(C1059,CheckName!A:B,2,0)</f>
        <v>Add</v>
      </c>
      <c r="M1059">
        <f>DAY(RejectionData[[#This Row],[RejectionDate]])</f>
        <v>3</v>
      </c>
    </row>
    <row r="1060" spans="1:13">
      <c r="A1060" t="s">
        <v>47</v>
      </c>
      <c r="B1060" t="s">
        <v>1257</v>
      </c>
      <c r="C1060" t="s">
        <v>54</v>
      </c>
      <c r="D1060" t="s">
        <v>13</v>
      </c>
      <c r="E1060" s="7">
        <v>45629</v>
      </c>
      <c r="F1060" t="s">
        <v>759</v>
      </c>
      <c r="G1060">
        <v>1</v>
      </c>
      <c r="H1060" t="s">
        <v>15</v>
      </c>
      <c r="I1060" t="s">
        <v>16</v>
      </c>
      <c r="J1060" t="s">
        <v>16</v>
      </c>
      <c r="K1060" t="str">
        <f>VLOOKUP(C1060,CheckName!A:B,2,0)</f>
        <v>Edu</v>
      </c>
      <c r="M1060">
        <f>DAY(RejectionData[[#This Row],[RejectionDate]])</f>
        <v>3</v>
      </c>
    </row>
    <row r="1061" spans="1:13">
      <c r="A1061" t="s">
        <v>47</v>
      </c>
      <c r="B1061" t="s">
        <v>1257</v>
      </c>
      <c r="C1061" t="s">
        <v>56</v>
      </c>
      <c r="D1061" t="s">
        <v>13</v>
      </c>
      <c r="E1061" s="7">
        <v>45629</v>
      </c>
      <c r="F1061" t="s">
        <v>759</v>
      </c>
      <c r="G1061">
        <v>1</v>
      </c>
      <c r="H1061" t="s">
        <v>15</v>
      </c>
      <c r="I1061" t="s">
        <v>16</v>
      </c>
      <c r="J1061" t="s">
        <v>16</v>
      </c>
      <c r="K1061" t="str">
        <f>VLOOKUP(C1061,CheckName!A:B,2,0)</f>
        <v>Special Check</v>
      </c>
      <c r="M1061">
        <f>DAY(RejectionData[[#This Row],[RejectionDate]])</f>
        <v>3</v>
      </c>
    </row>
    <row r="1062" spans="1:13">
      <c r="A1062" t="s">
        <v>1393</v>
      </c>
      <c r="B1062" t="s">
        <v>1394</v>
      </c>
      <c r="C1062" t="s">
        <v>12</v>
      </c>
      <c r="D1062" t="s">
        <v>26</v>
      </c>
      <c r="E1062" s="7">
        <v>45629</v>
      </c>
      <c r="F1062" t="s">
        <v>1055</v>
      </c>
      <c r="G1062">
        <v>1</v>
      </c>
      <c r="H1062" t="s">
        <v>27</v>
      </c>
      <c r="I1062" t="s">
        <v>16</v>
      </c>
      <c r="J1062" t="s">
        <v>16</v>
      </c>
      <c r="K1062" t="str">
        <f>VLOOKUP(C1062,CheckName!A:B,2,0)</f>
        <v>Emp</v>
      </c>
      <c r="M1062">
        <f>DAY(RejectionData[[#This Row],[RejectionDate]])</f>
        <v>3</v>
      </c>
    </row>
    <row r="1063" spans="1:13">
      <c r="A1063" t="s">
        <v>119</v>
      </c>
      <c r="B1063" t="s">
        <v>1395</v>
      </c>
      <c r="C1063" t="s">
        <v>12</v>
      </c>
      <c r="D1063" t="s">
        <v>26</v>
      </c>
      <c r="E1063" s="7">
        <v>45629</v>
      </c>
      <c r="F1063" t="s">
        <v>222</v>
      </c>
      <c r="G1063">
        <v>1</v>
      </c>
      <c r="H1063" t="s">
        <v>27</v>
      </c>
      <c r="I1063" t="s">
        <v>16</v>
      </c>
      <c r="J1063" t="s">
        <v>16</v>
      </c>
      <c r="K1063" t="str">
        <f>VLOOKUP(C1063,CheckName!A:B,2,0)</f>
        <v>Emp</v>
      </c>
      <c r="M1063">
        <f>DAY(RejectionData[[#This Row],[RejectionDate]])</f>
        <v>3</v>
      </c>
    </row>
    <row r="1064" spans="1:13">
      <c r="A1064" t="s">
        <v>84</v>
      </c>
      <c r="B1064" t="s">
        <v>1396</v>
      </c>
      <c r="C1064" t="s">
        <v>12</v>
      </c>
      <c r="D1064" t="s">
        <v>26</v>
      </c>
      <c r="E1064" s="7">
        <v>45629</v>
      </c>
      <c r="F1064" t="s">
        <v>222</v>
      </c>
      <c r="G1064">
        <v>1</v>
      </c>
      <c r="H1064" t="s">
        <v>27</v>
      </c>
      <c r="I1064" t="s">
        <v>16</v>
      </c>
      <c r="J1064" t="s">
        <v>16</v>
      </c>
      <c r="K1064" t="str">
        <f>VLOOKUP(C1064,CheckName!A:B,2,0)</f>
        <v>Emp</v>
      </c>
      <c r="M1064">
        <f>DAY(RejectionData[[#This Row],[RejectionDate]])</f>
        <v>3</v>
      </c>
    </row>
    <row r="1065" spans="1:13">
      <c r="A1065" t="s">
        <v>142</v>
      </c>
      <c r="B1065" t="s">
        <v>1241</v>
      </c>
      <c r="C1065" t="s">
        <v>36</v>
      </c>
      <c r="D1065" t="s">
        <v>26</v>
      </c>
      <c r="E1065" s="7">
        <v>45629</v>
      </c>
      <c r="F1065" t="s">
        <v>222</v>
      </c>
      <c r="G1065">
        <v>1</v>
      </c>
      <c r="H1065" t="s">
        <v>22</v>
      </c>
      <c r="I1065" t="s">
        <v>16</v>
      </c>
      <c r="J1065" t="s">
        <v>16</v>
      </c>
      <c r="K1065" t="str">
        <f>VLOOKUP(C1065,CheckName!A:B,2,0)</f>
        <v>Emp</v>
      </c>
      <c r="M1065">
        <f>DAY(RejectionData[[#This Row],[RejectionDate]])</f>
        <v>3</v>
      </c>
    </row>
    <row r="1066" spans="1:13">
      <c r="A1066" t="s">
        <v>144</v>
      </c>
      <c r="B1066" t="s">
        <v>1397</v>
      </c>
      <c r="C1066" t="s">
        <v>19</v>
      </c>
      <c r="D1066" t="s">
        <v>20</v>
      </c>
      <c r="E1066" s="7">
        <v>45629</v>
      </c>
      <c r="F1066" t="s">
        <v>21</v>
      </c>
      <c r="G1066">
        <v>1</v>
      </c>
      <c r="H1066" t="s">
        <v>27</v>
      </c>
      <c r="I1066" t="s">
        <v>16</v>
      </c>
      <c r="J1066" t="s">
        <v>16</v>
      </c>
      <c r="K1066" t="str">
        <f>VLOOKUP(C1066,CheckName!A:B,2,0)</f>
        <v>Add</v>
      </c>
      <c r="M1066">
        <f>DAY(RejectionData[[#This Row],[RejectionDate]])</f>
        <v>3</v>
      </c>
    </row>
    <row r="1067" spans="1:13">
      <c r="A1067" t="s">
        <v>360</v>
      </c>
      <c r="B1067" t="s">
        <v>1398</v>
      </c>
      <c r="C1067" t="s">
        <v>980</v>
      </c>
      <c r="D1067" t="s">
        <v>20</v>
      </c>
      <c r="E1067" s="7">
        <v>45629</v>
      </c>
      <c r="F1067" t="s">
        <v>21</v>
      </c>
      <c r="G1067">
        <v>1</v>
      </c>
      <c r="H1067" t="s">
        <v>22</v>
      </c>
      <c r="I1067" t="s">
        <v>16</v>
      </c>
      <c r="J1067" t="s">
        <v>16</v>
      </c>
      <c r="K1067" t="str">
        <f>VLOOKUP(C1067,CheckName!A:B,2,0)</f>
        <v>Add</v>
      </c>
      <c r="M1067">
        <f>DAY(RejectionData[[#This Row],[RejectionDate]])</f>
        <v>3</v>
      </c>
    </row>
    <row r="1068" spans="1:13">
      <c r="A1068" t="s">
        <v>1110</v>
      </c>
      <c r="B1068" t="s">
        <v>1399</v>
      </c>
      <c r="C1068" t="s">
        <v>965</v>
      </c>
      <c r="D1068" t="s">
        <v>26</v>
      </c>
      <c r="E1068" s="7">
        <v>45629</v>
      </c>
      <c r="F1068" t="s">
        <v>21</v>
      </c>
      <c r="G1068">
        <v>1</v>
      </c>
      <c r="H1068" t="s">
        <v>27</v>
      </c>
      <c r="I1068" t="s">
        <v>16</v>
      </c>
      <c r="J1068" t="s">
        <v>16</v>
      </c>
      <c r="K1068" t="str">
        <f>VLOOKUP(C1068,CheckName!A:B,2,0)</f>
        <v>Add</v>
      </c>
      <c r="M1068">
        <f>DAY(RejectionData[[#This Row],[RejectionDate]])</f>
        <v>3</v>
      </c>
    </row>
    <row r="1069" spans="1:13">
      <c r="A1069" t="s">
        <v>1070</v>
      </c>
      <c r="B1069" t="s">
        <v>1400</v>
      </c>
      <c r="C1069" t="s">
        <v>25</v>
      </c>
      <c r="D1069" t="s">
        <v>20</v>
      </c>
      <c r="E1069" s="7">
        <v>45629</v>
      </c>
      <c r="F1069" t="s">
        <v>21</v>
      </c>
      <c r="G1069">
        <v>1</v>
      </c>
      <c r="H1069" t="s">
        <v>22</v>
      </c>
      <c r="I1069" t="s">
        <v>16</v>
      </c>
      <c r="J1069" t="s">
        <v>16</v>
      </c>
      <c r="K1069" t="str">
        <f>VLOOKUP(C1069,CheckName!A:B,2,0)</f>
        <v>Add</v>
      </c>
      <c r="M1069">
        <f>DAY(RejectionData[[#This Row],[RejectionDate]])</f>
        <v>3</v>
      </c>
    </row>
    <row r="1070" spans="1:13">
      <c r="A1070" t="s">
        <v>945</v>
      </c>
      <c r="B1070" t="s">
        <v>1401</v>
      </c>
      <c r="C1070" t="s">
        <v>25</v>
      </c>
      <c r="D1070" t="s">
        <v>20</v>
      </c>
      <c r="E1070" s="7">
        <v>45629</v>
      </c>
      <c r="F1070" t="s">
        <v>21</v>
      </c>
      <c r="G1070">
        <v>1</v>
      </c>
      <c r="H1070" t="s">
        <v>22</v>
      </c>
      <c r="I1070" t="s">
        <v>16</v>
      </c>
      <c r="J1070" t="s">
        <v>16</v>
      </c>
      <c r="K1070" t="str">
        <f>VLOOKUP(C1070,CheckName!A:B,2,0)</f>
        <v>Add</v>
      </c>
      <c r="M1070">
        <f>DAY(RejectionData[[#This Row],[RejectionDate]])</f>
        <v>3</v>
      </c>
    </row>
    <row r="1071" spans="1:13">
      <c r="A1071" t="s">
        <v>165</v>
      </c>
      <c r="B1071" t="s">
        <v>1402</v>
      </c>
      <c r="C1071" t="s">
        <v>689</v>
      </c>
      <c r="D1071" t="s">
        <v>26</v>
      </c>
      <c r="E1071" s="7">
        <v>45629</v>
      </c>
      <c r="F1071" t="s">
        <v>236</v>
      </c>
      <c r="G1071">
        <v>1</v>
      </c>
      <c r="H1071" t="s">
        <v>27</v>
      </c>
      <c r="I1071" t="s">
        <v>16</v>
      </c>
      <c r="J1071" t="s">
        <v>16</v>
      </c>
      <c r="K1071" t="str">
        <f>VLOOKUP(C1071,CheckName!A:B,2,0)</f>
        <v>Special Check</v>
      </c>
      <c r="M1071">
        <f>DAY(RejectionData[[#This Row],[RejectionDate]])</f>
        <v>3</v>
      </c>
    </row>
    <row r="1072" spans="1:13">
      <c r="A1072" t="s">
        <v>91</v>
      </c>
      <c r="B1072" t="s">
        <v>1403</v>
      </c>
      <c r="C1072" t="s">
        <v>587</v>
      </c>
      <c r="D1072" t="s">
        <v>13</v>
      </c>
      <c r="E1072" s="7">
        <v>45629</v>
      </c>
      <c r="F1072" t="s">
        <v>33</v>
      </c>
      <c r="G1072">
        <v>1</v>
      </c>
      <c r="H1072" t="s">
        <v>30</v>
      </c>
      <c r="I1072" t="s">
        <v>16</v>
      </c>
      <c r="J1072" t="s">
        <v>16</v>
      </c>
      <c r="K1072" t="str">
        <f>VLOOKUP(C1072,CheckName!A:B,2,0)</f>
        <v>Add</v>
      </c>
      <c r="M1072">
        <f>DAY(RejectionData[[#This Row],[RejectionDate]])</f>
        <v>3</v>
      </c>
    </row>
    <row r="1073" spans="1:13">
      <c r="A1073" t="s">
        <v>47</v>
      </c>
      <c r="B1073" t="s">
        <v>1404</v>
      </c>
      <c r="C1073" t="s">
        <v>56</v>
      </c>
      <c r="D1073" t="s">
        <v>13</v>
      </c>
      <c r="E1073" s="7">
        <v>45629</v>
      </c>
      <c r="F1073" t="s">
        <v>1228</v>
      </c>
      <c r="G1073">
        <v>1</v>
      </c>
      <c r="H1073" t="s">
        <v>15</v>
      </c>
      <c r="I1073" t="s">
        <v>16</v>
      </c>
      <c r="J1073" t="s">
        <v>16</v>
      </c>
      <c r="K1073" t="str">
        <f>VLOOKUP(C1073,CheckName!A:B,2,0)</f>
        <v>Special Check</v>
      </c>
      <c r="M1073">
        <f>DAY(RejectionData[[#This Row],[RejectionDate]])</f>
        <v>3</v>
      </c>
    </row>
    <row r="1074" spans="1:13">
      <c r="A1074" t="s">
        <v>432</v>
      </c>
      <c r="B1074" t="s">
        <v>1405</v>
      </c>
      <c r="C1074" t="s">
        <v>36</v>
      </c>
      <c r="D1074" t="s">
        <v>26</v>
      </c>
      <c r="E1074" s="7">
        <v>45629</v>
      </c>
      <c r="F1074" t="s">
        <v>37</v>
      </c>
      <c r="G1074">
        <v>1</v>
      </c>
      <c r="H1074" t="s">
        <v>27</v>
      </c>
      <c r="I1074" t="s">
        <v>16</v>
      </c>
      <c r="J1074" t="s">
        <v>16</v>
      </c>
      <c r="K1074" t="str">
        <f>VLOOKUP(C1074,CheckName!A:B,2,0)</f>
        <v>Emp</v>
      </c>
      <c r="M1074">
        <f>DAY(RejectionData[[#This Row],[RejectionDate]])</f>
        <v>3</v>
      </c>
    </row>
    <row r="1075" spans="1:13">
      <c r="A1075" t="s">
        <v>281</v>
      </c>
      <c r="B1075" t="s">
        <v>1406</v>
      </c>
      <c r="C1075" t="s">
        <v>36</v>
      </c>
      <c r="D1075" t="s">
        <v>26</v>
      </c>
      <c r="E1075" s="7">
        <v>45629</v>
      </c>
      <c r="F1075" t="s">
        <v>37</v>
      </c>
      <c r="G1075">
        <v>1</v>
      </c>
      <c r="H1075" t="s">
        <v>27</v>
      </c>
      <c r="I1075" t="s">
        <v>16</v>
      </c>
      <c r="J1075" t="s">
        <v>16</v>
      </c>
      <c r="K1075" t="str">
        <f>VLOOKUP(C1075,CheckName!A:B,2,0)</f>
        <v>Emp</v>
      </c>
      <c r="M1075">
        <f>DAY(RejectionData[[#This Row],[RejectionDate]])</f>
        <v>3</v>
      </c>
    </row>
    <row r="1076" spans="1:13">
      <c r="A1076" t="s">
        <v>306</v>
      </c>
      <c r="B1076" t="s">
        <v>1407</v>
      </c>
      <c r="C1076" t="s">
        <v>56</v>
      </c>
      <c r="D1076" t="s">
        <v>13</v>
      </c>
      <c r="E1076" s="7">
        <v>45628</v>
      </c>
      <c r="F1076" t="s">
        <v>844</v>
      </c>
      <c r="G1076">
        <v>2</v>
      </c>
      <c r="H1076" t="s">
        <v>130</v>
      </c>
      <c r="I1076" t="s">
        <v>16</v>
      </c>
      <c r="J1076" t="s">
        <v>16</v>
      </c>
      <c r="K1076" t="str">
        <f>VLOOKUP(C1076,CheckName!A:B,2,0)</f>
        <v>Special Check</v>
      </c>
      <c r="M1076">
        <f>DAY(RejectionData[[#This Row],[RejectionDate]])</f>
        <v>2</v>
      </c>
    </row>
    <row r="1077" spans="1:13">
      <c r="A1077" t="s">
        <v>1408</v>
      </c>
      <c r="B1077" t="s">
        <v>1409</v>
      </c>
      <c r="C1077" t="s">
        <v>12</v>
      </c>
      <c r="D1077" t="s">
        <v>26</v>
      </c>
      <c r="E1077" s="7">
        <v>45623</v>
      </c>
      <c r="F1077" t="s">
        <v>694</v>
      </c>
      <c r="G1077">
        <v>7</v>
      </c>
      <c r="H1077" t="s">
        <v>27</v>
      </c>
      <c r="I1077" t="s">
        <v>16</v>
      </c>
      <c r="J1077" t="s">
        <v>16</v>
      </c>
      <c r="K1077" t="str">
        <f>VLOOKUP(C1077,CheckName!A:B,2,0)</f>
        <v>Emp</v>
      </c>
      <c r="M1077">
        <f>DAY(RejectionData[[#This Row],[RejectionDate]])</f>
        <v>27</v>
      </c>
    </row>
    <row r="1078" spans="1:13">
      <c r="A1078" t="s">
        <v>100</v>
      </c>
      <c r="B1078" t="s">
        <v>1410</v>
      </c>
      <c r="C1078" t="s">
        <v>359</v>
      </c>
      <c r="D1078" t="s">
        <v>26</v>
      </c>
      <c r="E1078" s="7">
        <v>45621</v>
      </c>
      <c r="F1078" t="s">
        <v>380</v>
      </c>
      <c r="G1078">
        <v>9</v>
      </c>
      <c r="H1078" t="s">
        <v>30</v>
      </c>
      <c r="I1078" t="s">
        <v>16</v>
      </c>
      <c r="J1078" t="s">
        <v>16</v>
      </c>
      <c r="K1078" t="str">
        <f>VLOOKUP(C1078,CheckName!A:B,2,0)</f>
        <v>Emp</v>
      </c>
      <c r="M1078">
        <f>DAY(RejectionData[[#This Row],[RejectionDate]])</f>
        <v>25</v>
      </c>
    </row>
    <row r="1079" spans="1:13">
      <c r="A1079" t="s">
        <v>45</v>
      </c>
      <c r="B1079" t="s">
        <v>1411</v>
      </c>
      <c r="C1079" t="s">
        <v>54</v>
      </c>
      <c r="D1079" t="s">
        <v>26</v>
      </c>
      <c r="E1079" s="7">
        <v>45618</v>
      </c>
      <c r="F1079" t="s">
        <v>852</v>
      </c>
      <c r="G1079">
        <v>12</v>
      </c>
      <c r="H1079" t="s">
        <v>27</v>
      </c>
      <c r="I1079" t="s">
        <v>16</v>
      </c>
      <c r="J1079" t="s">
        <v>16</v>
      </c>
      <c r="K1079" t="str">
        <f>VLOOKUP(C1079,CheckName!A:B,2,0)</f>
        <v>Edu</v>
      </c>
      <c r="M1079">
        <f>DAY(RejectionData[[#This Row],[RejectionDate]])</f>
        <v>22</v>
      </c>
    </row>
    <row r="1080" spans="1:13">
      <c r="A1080" t="s">
        <v>216</v>
      </c>
      <c r="B1080" t="s">
        <v>864</v>
      </c>
      <c r="C1080" t="s">
        <v>25</v>
      </c>
      <c r="D1080" t="s">
        <v>26</v>
      </c>
      <c r="E1080" s="7">
        <v>45617</v>
      </c>
      <c r="F1080" t="s">
        <v>1206</v>
      </c>
      <c r="G1080">
        <v>13</v>
      </c>
      <c r="H1080" t="s">
        <v>425</v>
      </c>
      <c r="I1080" t="s">
        <v>16</v>
      </c>
      <c r="J1080" t="s">
        <v>16</v>
      </c>
      <c r="K1080" t="str">
        <f>VLOOKUP(C1080,CheckName!A:B,2,0)</f>
        <v>Add</v>
      </c>
      <c r="M1080">
        <f>DAY(RejectionData[[#This Row],[RejectionDate]])</f>
        <v>21</v>
      </c>
    </row>
    <row r="1081" spans="1:13">
      <c r="A1081" t="s">
        <v>100</v>
      </c>
      <c r="B1081" t="s">
        <v>1412</v>
      </c>
      <c r="C1081" t="s">
        <v>516</v>
      </c>
      <c r="D1081" t="s">
        <v>26</v>
      </c>
      <c r="E1081" s="7">
        <v>45617</v>
      </c>
      <c r="F1081" t="s">
        <v>126</v>
      </c>
      <c r="G1081">
        <v>13</v>
      </c>
      <c r="H1081" t="s">
        <v>22</v>
      </c>
      <c r="I1081" t="s">
        <v>16</v>
      </c>
      <c r="J1081" t="s">
        <v>16</v>
      </c>
      <c r="K1081" t="str">
        <f>VLOOKUP(C1081,CheckName!A:B,2,0)</f>
        <v>Emp</v>
      </c>
      <c r="M1081">
        <f>DAY(RejectionData[[#This Row],[RejectionDate]])</f>
        <v>21</v>
      </c>
    </row>
    <row r="1082" spans="1:13">
      <c r="A1082" t="s">
        <v>664</v>
      </c>
      <c r="B1082" t="s">
        <v>1413</v>
      </c>
      <c r="C1082" t="s">
        <v>36</v>
      </c>
      <c r="D1082" t="s">
        <v>26</v>
      </c>
      <c r="E1082" s="7">
        <v>45616</v>
      </c>
      <c r="F1082" t="s">
        <v>148</v>
      </c>
      <c r="G1082">
        <v>14</v>
      </c>
      <c r="H1082" t="s">
        <v>22</v>
      </c>
      <c r="I1082" t="s">
        <v>16</v>
      </c>
      <c r="J1082" t="s">
        <v>16</v>
      </c>
      <c r="K1082" t="str">
        <f>VLOOKUP(C1082,CheckName!A:B,2,0)</f>
        <v>Emp</v>
      </c>
      <c r="M1082">
        <f>DAY(RejectionData[[#This Row],[RejectionDate]])</f>
        <v>20</v>
      </c>
    </row>
    <row r="1083" spans="1:13">
      <c r="A1083" t="s">
        <v>160</v>
      </c>
      <c r="B1083" t="s">
        <v>1414</v>
      </c>
      <c r="C1083" t="s">
        <v>36</v>
      </c>
      <c r="D1083" t="s">
        <v>26</v>
      </c>
      <c r="E1083" s="7">
        <v>45611</v>
      </c>
      <c r="F1083" t="s">
        <v>694</v>
      </c>
      <c r="G1083">
        <v>19</v>
      </c>
      <c r="H1083" t="s">
        <v>27</v>
      </c>
      <c r="I1083" t="s">
        <v>16</v>
      </c>
      <c r="J1083" t="s">
        <v>16</v>
      </c>
      <c r="K1083" t="str">
        <f>VLOOKUP(C1083,CheckName!A:B,2,0)</f>
        <v>Emp</v>
      </c>
      <c r="M1083">
        <f>DAY(RejectionData[[#This Row],[RejectionDate]])</f>
        <v>15</v>
      </c>
    </row>
    <row r="1084" spans="1:13">
      <c r="A1084" t="s">
        <v>45</v>
      </c>
      <c r="B1084" t="s">
        <v>1415</v>
      </c>
      <c r="C1084" t="s">
        <v>36</v>
      </c>
      <c r="D1084" t="s">
        <v>38</v>
      </c>
      <c r="E1084" s="7">
        <v>45630</v>
      </c>
      <c r="F1084" t="s">
        <v>39</v>
      </c>
      <c r="G1084">
        <v>0</v>
      </c>
      <c r="H1084" t="s">
        <v>42</v>
      </c>
      <c r="I1084" t="s">
        <v>16</v>
      </c>
      <c r="J1084" t="s">
        <v>16</v>
      </c>
      <c r="K1084" t="str">
        <f>VLOOKUP(C1084,CheckName!A:B,2,0)</f>
        <v>Emp</v>
      </c>
      <c r="M1084">
        <f>DAY(RejectionData[[#This Row],[RejectionDate]])</f>
        <v>4</v>
      </c>
    </row>
    <row r="1085" spans="1:13">
      <c r="A1085" t="s">
        <v>203</v>
      </c>
      <c r="B1085" t="s">
        <v>1416</v>
      </c>
      <c r="C1085" t="s">
        <v>56</v>
      </c>
      <c r="D1085" t="s">
        <v>51</v>
      </c>
      <c r="E1085" s="7">
        <v>45630</v>
      </c>
      <c r="F1085" t="s">
        <v>194</v>
      </c>
      <c r="G1085">
        <v>0</v>
      </c>
      <c r="H1085" t="s">
        <v>53</v>
      </c>
      <c r="I1085" t="s">
        <v>16</v>
      </c>
      <c r="J1085" t="s">
        <v>16</v>
      </c>
      <c r="K1085" t="str">
        <f>VLOOKUP(C1085,CheckName!A:B,2,0)</f>
        <v>Special Check</v>
      </c>
      <c r="M1085">
        <f>DAY(RejectionData[[#This Row],[RejectionDate]])</f>
        <v>4</v>
      </c>
    </row>
    <row r="1086" spans="1:13">
      <c r="A1086" t="s">
        <v>45</v>
      </c>
      <c r="B1086" t="s">
        <v>1417</v>
      </c>
      <c r="C1086" t="s">
        <v>112</v>
      </c>
      <c r="D1086" t="s">
        <v>26</v>
      </c>
      <c r="E1086" s="7">
        <v>45630</v>
      </c>
      <c r="F1086" t="s">
        <v>83</v>
      </c>
      <c r="G1086">
        <v>0</v>
      </c>
      <c r="H1086" t="s">
        <v>27</v>
      </c>
      <c r="I1086" t="s">
        <v>16</v>
      </c>
      <c r="J1086" t="s">
        <v>16</v>
      </c>
      <c r="K1086" t="str">
        <f>VLOOKUP(C1086,CheckName!A:B,2,0)</f>
        <v>Emp</v>
      </c>
      <c r="M1086">
        <f>DAY(RejectionData[[#This Row],[RejectionDate]])</f>
        <v>4</v>
      </c>
    </row>
    <row r="1087" spans="1:13">
      <c r="A1087" t="s">
        <v>306</v>
      </c>
      <c r="B1087" t="s">
        <v>1418</v>
      </c>
      <c r="C1087" t="s">
        <v>533</v>
      </c>
      <c r="D1087" t="s">
        <v>13</v>
      </c>
      <c r="E1087" s="7">
        <v>45630</v>
      </c>
      <c r="F1087" t="s">
        <v>427</v>
      </c>
      <c r="G1087">
        <v>0</v>
      </c>
      <c r="H1087" t="s">
        <v>15</v>
      </c>
      <c r="I1087" t="s">
        <v>16</v>
      </c>
      <c r="J1087" t="s">
        <v>16</v>
      </c>
      <c r="K1087" t="str">
        <f>VLOOKUP(C1087,CheckName!A:B,2,0)</f>
        <v>CRC</v>
      </c>
      <c r="M1087">
        <f>DAY(RejectionData[[#This Row],[RejectionDate]])</f>
        <v>4</v>
      </c>
    </row>
    <row r="1088" spans="1:13">
      <c r="A1088" t="s">
        <v>1204</v>
      </c>
      <c r="B1088" t="s">
        <v>1419</v>
      </c>
      <c r="C1088" t="s">
        <v>533</v>
      </c>
      <c r="D1088" t="s">
        <v>13</v>
      </c>
      <c r="E1088" s="7">
        <v>45630</v>
      </c>
      <c r="F1088" t="s">
        <v>530</v>
      </c>
      <c r="G1088">
        <v>0</v>
      </c>
      <c r="H1088" t="s">
        <v>15</v>
      </c>
      <c r="I1088" t="s">
        <v>16</v>
      </c>
      <c r="J1088" t="s">
        <v>16</v>
      </c>
      <c r="K1088" t="str">
        <f>VLOOKUP(C1088,CheckName!A:B,2,0)</f>
        <v>CRC</v>
      </c>
      <c r="M1088">
        <f>DAY(RejectionData[[#This Row],[RejectionDate]])</f>
        <v>4</v>
      </c>
    </row>
    <row r="1089" spans="1:13">
      <c r="A1089" t="s">
        <v>96</v>
      </c>
      <c r="B1089" t="s">
        <v>1420</v>
      </c>
      <c r="C1089" t="s">
        <v>49</v>
      </c>
      <c r="D1089" t="s">
        <v>13</v>
      </c>
      <c r="E1089" s="7">
        <v>45630</v>
      </c>
      <c r="F1089" t="s">
        <v>1421</v>
      </c>
      <c r="G1089">
        <v>0</v>
      </c>
      <c r="H1089" t="s">
        <v>15</v>
      </c>
      <c r="I1089" t="s">
        <v>16</v>
      </c>
      <c r="J1089" t="s">
        <v>16</v>
      </c>
      <c r="K1089" t="str">
        <f>VLOOKUP(C1089,CheckName!A:B,2,0)</f>
        <v>CRC</v>
      </c>
      <c r="M1089">
        <f>DAY(RejectionData[[#This Row],[RejectionDate]])</f>
        <v>4</v>
      </c>
    </row>
    <row r="1090" spans="1:13">
      <c r="A1090" t="s">
        <v>189</v>
      </c>
      <c r="B1090" t="s">
        <v>1422</v>
      </c>
      <c r="C1090" t="s">
        <v>12</v>
      </c>
      <c r="D1090" t="s">
        <v>26</v>
      </c>
      <c r="E1090" s="7">
        <v>45630</v>
      </c>
      <c r="F1090" t="s">
        <v>1139</v>
      </c>
      <c r="G1090">
        <v>0</v>
      </c>
      <c r="H1090" t="s">
        <v>22</v>
      </c>
      <c r="I1090" t="s">
        <v>16</v>
      </c>
      <c r="J1090" t="s">
        <v>16</v>
      </c>
      <c r="K1090" t="str">
        <f>VLOOKUP(C1090,CheckName!A:B,2,0)</f>
        <v>Emp</v>
      </c>
      <c r="M1090">
        <f>DAY(RejectionData[[#This Row],[RejectionDate]])</f>
        <v>4</v>
      </c>
    </row>
    <row r="1091" spans="1:13">
      <c r="A1091" t="s">
        <v>10</v>
      </c>
      <c r="B1091" t="s">
        <v>11</v>
      </c>
      <c r="C1091" t="s">
        <v>54</v>
      </c>
      <c r="D1091" t="s">
        <v>26</v>
      </c>
      <c r="E1091" s="7">
        <v>45630</v>
      </c>
      <c r="F1091" t="s">
        <v>103</v>
      </c>
      <c r="G1091">
        <v>0</v>
      </c>
      <c r="H1091" t="s">
        <v>22</v>
      </c>
      <c r="I1091" t="s">
        <v>16</v>
      </c>
      <c r="J1091" t="s">
        <v>16</v>
      </c>
      <c r="K1091" t="str">
        <f>VLOOKUP(C1091,CheckName!A:B,2,0)</f>
        <v>Edu</v>
      </c>
      <c r="M1091">
        <f>DAY(RejectionData[[#This Row],[RejectionDate]])</f>
        <v>4</v>
      </c>
    </row>
    <row r="1092" spans="1:13">
      <c r="A1092" t="s">
        <v>306</v>
      </c>
      <c r="B1092" t="s">
        <v>1423</v>
      </c>
      <c r="C1092" t="s">
        <v>533</v>
      </c>
      <c r="D1092" t="s">
        <v>13</v>
      </c>
      <c r="E1092" s="7">
        <v>45630</v>
      </c>
      <c r="F1092" t="s">
        <v>819</v>
      </c>
      <c r="G1092">
        <v>0</v>
      </c>
      <c r="H1092" t="s">
        <v>15</v>
      </c>
      <c r="I1092" t="s">
        <v>16</v>
      </c>
      <c r="J1092" t="s">
        <v>16</v>
      </c>
      <c r="K1092" t="str">
        <f>VLOOKUP(C1092,CheckName!A:B,2,0)</f>
        <v>CRC</v>
      </c>
      <c r="M1092">
        <f>DAY(RejectionData[[#This Row],[RejectionDate]])</f>
        <v>4</v>
      </c>
    </row>
    <row r="1093" spans="1:13">
      <c r="A1093" t="s">
        <v>1424</v>
      </c>
      <c r="B1093" t="s">
        <v>1425</v>
      </c>
      <c r="C1093" t="s">
        <v>125</v>
      </c>
      <c r="D1093" t="s">
        <v>26</v>
      </c>
      <c r="E1093" s="7">
        <v>45629</v>
      </c>
      <c r="F1093" t="s">
        <v>126</v>
      </c>
      <c r="G1093">
        <v>1</v>
      </c>
      <c r="H1093" t="s">
        <v>27</v>
      </c>
      <c r="I1093" t="s">
        <v>16</v>
      </c>
      <c r="J1093" t="s">
        <v>16</v>
      </c>
      <c r="K1093" t="str">
        <f>VLOOKUP(C1093,CheckName!A:B,2,0)</f>
        <v>Emp</v>
      </c>
      <c r="M1093">
        <f>DAY(RejectionData[[#This Row],[RejectionDate]])</f>
        <v>3</v>
      </c>
    </row>
    <row r="1094" spans="1:13">
      <c r="A1094" t="s">
        <v>45</v>
      </c>
      <c r="B1094" t="s">
        <v>1426</v>
      </c>
      <c r="C1094" t="s">
        <v>12</v>
      </c>
      <c r="D1094" t="s">
        <v>38</v>
      </c>
      <c r="E1094" s="7">
        <v>45629</v>
      </c>
      <c r="F1094" t="s">
        <v>39</v>
      </c>
      <c r="G1094">
        <v>1</v>
      </c>
      <c r="H1094" t="s">
        <v>42</v>
      </c>
      <c r="I1094" t="s">
        <v>16</v>
      </c>
      <c r="J1094" t="s">
        <v>16</v>
      </c>
      <c r="K1094" t="str">
        <f>VLOOKUP(C1094,CheckName!A:B,2,0)</f>
        <v>Emp</v>
      </c>
      <c r="M1094">
        <f>DAY(RejectionData[[#This Row],[RejectionDate]])</f>
        <v>3</v>
      </c>
    </row>
    <row r="1095" spans="1:13">
      <c r="A1095" t="s">
        <v>1427</v>
      </c>
      <c r="B1095" t="s">
        <v>1428</v>
      </c>
      <c r="C1095" t="s">
        <v>36</v>
      </c>
      <c r="D1095" t="s">
        <v>26</v>
      </c>
      <c r="E1095" s="7">
        <v>45628</v>
      </c>
      <c r="F1095" t="s">
        <v>431</v>
      </c>
      <c r="G1095">
        <v>2</v>
      </c>
      <c r="H1095" t="s">
        <v>27</v>
      </c>
      <c r="I1095" t="s">
        <v>16</v>
      </c>
      <c r="J1095" t="s">
        <v>16</v>
      </c>
      <c r="K1095" t="str">
        <f>VLOOKUP(C1095,CheckName!A:B,2,0)</f>
        <v>Emp</v>
      </c>
      <c r="M1095">
        <f>DAY(RejectionData[[#This Row],[RejectionDate]])</f>
        <v>2</v>
      </c>
    </row>
    <row r="1096" spans="1:13">
      <c r="A1096" t="s">
        <v>45</v>
      </c>
      <c r="B1096" t="s">
        <v>1429</v>
      </c>
      <c r="C1096" t="s">
        <v>36</v>
      </c>
      <c r="D1096" t="s">
        <v>38</v>
      </c>
      <c r="E1096" s="7">
        <v>45621</v>
      </c>
      <c r="F1096" t="s">
        <v>39</v>
      </c>
      <c r="G1096">
        <v>9</v>
      </c>
      <c r="H1096" t="s">
        <v>42</v>
      </c>
      <c r="I1096" t="s">
        <v>16</v>
      </c>
      <c r="J1096" t="s">
        <v>16</v>
      </c>
      <c r="K1096" t="str">
        <f>VLOOKUP(C1096,CheckName!A:B,2,0)</f>
        <v>Emp</v>
      </c>
      <c r="M1096">
        <f>DAY(RejectionData[[#This Row],[RejectionDate]])</f>
        <v>25</v>
      </c>
    </row>
    <row r="1097" spans="1:13">
      <c r="A1097" t="s">
        <v>64</v>
      </c>
      <c r="B1097" t="s">
        <v>1430</v>
      </c>
      <c r="C1097" t="s">
        <v>54</v>
      </c>
      <c r="D1097" t="s">
        <v>26</v>
      </c>
      <c r="E1097" s="7">
        <v>45609</v>
      </c>
      <c r="F1097" t="s">
        <v>188</v>
      </c>
      <c r="G1097">
        <v>21</v>
      </c>
      <c r="H1097" t="s">
        <v>27</v>
      </c>
      <c r="I1097" t="s">
        <v>16</v>
      </c>
      <c r="J1097" t="s">
        <v>16</v>
      </c>
      <c r="K1097" t="str">
        <f>VLOOKUP(C1097,CheckName!A:B,2,0)</f>
        <v>Edu</v>
      </c>
      <c r="M1097">
        <f>DAY(RejectionData[[#This Row],[RejectionDate]])</f>
        <v>13</v>
      </c>
    </row>
    <row r="1098" spans="1:13">
      <c r="A1098" t="s">
        <v>47</v>
      </c>
      <c r="B1098" t="s">
        <v>1431</v>
      </c>
      <c r="C1098" t="s">
        <v>36</v>
      </c>
      <c r="D1098" t="s">
        <v>13</v>
      </c>
      <c r="E1098" s="7">
        <v>45630</v>
      </c>
      <c r="F1098" t="s">
        <v>14</v>
      </c>
      <c r="G1098">
        <v>0</v>
      </c>
      <c r="H1098" t="s">
        <v>130</v>
      </c>
      <c r="I1098" t="s">
        <v>16</v>
      </c>
      <c r="J1098" t="s">
        <v>16</v>
      </c>
      <c r="K1098" t="str">
        <f>VLOOKUP(C1098,CheckName!A:B,2,0)</f>
        <v>Emp</v>
      </c>
      <c r="M1098">
        <f>DAY(RejectionData[[#This Row],[RejectionDate]])</f>
        <v>4</v>
      </c>
    </row>
    <row r="1099" spans="1:13">
      <c r="A1099" t="s">
        <v>47</v>
      </c>
      <c r="B1099" t="s">
        <v>1432</v>
      </c>
      <c r="C1099" t="s">
        <v>54</v>
      </c>
      <c r="D1099" t="s">
        <v>13</v>
      </c>
      <c r="E1099" s="7">
        <v>45630</v>
      </c>
      <c r="F1099" t="s">
        <v>14</v>
      </c>
      <c r="G1099">
        <v>0</v>
      </c>
      <c r="H1099" t="s">
        <v>15</v>
      </c>
      <c r="I1099" t="s">
        <v>16</v>
      </c>
      <c r="J1099" t="s">
        <v>16</v>
      </c>
      <c r="K1099" t="str">
        <f>VLOOKUP(C1099,CheckName!A:B,2,0)</f>
        <v>Edu</v>
      </c>
      <c r="M1099">
        <f>DAY(RejectionData[[#This Row],[RejectionDate]])</f>
        <v>4</v>
      </c>
    </row>
    <row r="1100" spans="1:13">
      <c r="A1100" t="s">
        <v>263</v>
      </c>
      <c r="B1100" t="s">
        <v>1433</v>
      </c>
      <c r="C1100" t="s">
        <v>54</v>
      </c>
      <c r="D1100" t="s">
        <v>13</v>
      </c>
      <c r="E1100" s="7">
        <v>45630</v>
      </c>
      <c r="F1100" t="s">
        <v>249</v>
      </c>
      <c r="G1100">
        <v>0</v>
      </c>
      <c r="H1100" t="s">
        <v>15</v>
      </c>
      <c r="I1100" t="s">
        <v>16</v>
      </c>
      <c r="J1100" t="s">
        <v>16</v>
      </c>
      <c r="K1100" t="str">
        <f>VLOOKUP(C1100,CheckName!A:B,2,0)</f>
        <v>Edu</v>
      </c>
      <c r="M1100">
        <f>DAY(RejectionData[[#This Row],[RejectionDate]])</f>
        <v>4</v>
      </c>
    </row>
    <row r="1101" spans="1:13">
      <c r="A1101" t="s">
        <v>317</v>
      </c>
      <c r="B1101" t="s">
        <v>1434</v>
      </c>
      <c r="C1101" t="s">
        <v>19</v>
      </c>
      <c r="D1101" t="s">
        <v>20</v>
      </c>
      <c r="E1101" s="7">
        <v>45630</v>
      </c>
      <c r="F1101" t="s">
        <v>21</v>
      </c>
      <c r="G1101">
        <v>0</v>
      </c>
      <c r="H1101" t="s">
        <v>27</v>
      </c>
      <c r="I1101" t="s">
        <v>16</v>
      </c>
      <c r="J1101" t="s">
        <v>16</v>
      </c>
      <c r="K1101" t="str">
        <f>VLOOKUP(C1101,CheckName!A:B,2,0)</f>
        <v>Add</v>
      </c>
      <c r="M1101">
        <f>DAY(RejectionData[[#This Row],[RejectionDate]])</f>
        <v>4</v>
      </c>
    </row>
    <row r="1102" spans="1:13">
      <c r="A1102" t="s">
        <v>1435</v>
      </c>
      <c r="B1102" t="s">
        <v>1436</v>
      </c>
      <c r="C1102" t="s">
        <v>25</v>
      </c>
      <c r="D1102" t="s">
        <v>20</v>
      </c>
      <c r="E1102" s="7">
        <v>45630</v>
      </c>
      <c r="F1102" t="s">
        <v>21</v>
      </c>
      <c r="G1102">
        <v>0</v>
      </c>
      <c r="H1102" t="s">
        <v>27</v>
      </c>
      <c r="I1102" t="s">
        <v>16</v>
      </c>
      <c r="J1102" t="s">
        <v>16</v>
      </c>
      <c r="K1102" t="str">
        <f>VLOOKUP(C1102,CheckName!A:B,2,0)</f>
        <v>Add</v>
      </c>
      <c r="M1102">
        <f>DAY(RejectionData[[#This Row],[RejectionDate]])</f>
        <v>4</v>
      </c>
    </row>
    <row r="1103" spans="1:13">
      <c r="A1103" t="s">
        <v>1437</v>
      </c>
      <c r="B1103" t="s">
        <v>1438</v>
      </c>
      <c r="C1103" t="s">
        <v>269</v>
      </c>
      <c r="D1103" t="s">
        <v>26</v>
      </c>
      <c r="E1103" s="7">
        <v>45630</v>
      </c>
      <c r="F1103" t="s">
        <v>236</v>
      </c>
      <c r="G1103">
        <v>0</v>
      </c>
      <c r="H1103" t="s">
        <v>27</v>
      </c>
      <c r="I1103" t="s">
        <v>16</v>
      </c>
      <c r="J1103" t="s">
        <v>16</v>
      </c>
      <c r="K1103" t="str">
        <f>VLOOKUP(C1103,CheckName!A:B,2,0)</f>
        <v>Emp</v>
      </c>
      <c r="M1103">
        <f>DAY(RejectionData[[#This Row],[RejectionDate]])</f>
        <v>4</v>
      </c>
    </row>
    <row r="1104" spans="1:13">
      <c r="A1104" t="s">
        <v>1110</v>
      </c>
      <c r="B1104" t="s">
        <v>1439</v>
      </c>
      <c r="C1104" t="s">
        <v>965</v>
      </c>
      <c r="D1104" t="s">
        <v>26</v>
      </c>
      <c r="E1104" s="7">
        <v>45630</v>
      </c>
      <c r="F1104" t="s">
        <v>21</v>
      </c>
      <c r="G1104">
        <v>0</v>
      </c>
      <c r="H1104" t="s">
        <v>27</v>
      </c>
      <c r="I1104" t="s">
        <v>16</v>
      </c>
      <c r="J1104" t="s">
        <v>16</v>
      </c>
      <c r="K1104" t="str">
        <f>VLOOKUP(C1104,CheckName!A:B,2,0)</f>
        <v>Add</v>
      </c>
      <c r="M1104">
        <f>DAY(RejectionData[[#This Row],[RejectionDate]])</f>
        <v>4</v>
      </c>
    </row>
    <row r="1105" spans="1:13">
      <c r="A1105" t="s">
        <v>1110</v>
      </c>
      <c r="B1105" t="s">
        <v>1440</v>
      </c>
      <c r="C1105" t="s">
        <v>965</v>
      </c>
      <c r="D1105" t="s">
        <v>20</v>
      </c>
      <c r="E1105" s="7">
        <v>45630</v>
      </c>
      <c r="F1105" t="s">
        <v>21</v>
      </c>
      <c r="G1105">
        <v>0</v>
      </c>
      <c r="H1105" t="s">
        <v>22</v>
      </c>
      <c r="I1105" t="s">
        <v>16</v>
      </c>
      <c r="J1105" t="s">
        <v>16</v>
      </c>
      <c r="K1105" t="str">
        <f>VLOOKUP(C1105,CheckName!A:B,2,0)</f>
        <v>Add</v>
      </c>
      <c r="M1105">
        <f>DAY(RejectionData[[#This Row],[RejectionDate]])</f>
        <v>4</v>
      </c>
    </row>
    <row r="1106" spans="1:13">
      <c r="A1106" t="s">
        <v>1110</v>
      </c>
      <c r="B1106" t="s">
        <v>1441</v>
      </c>
      <c r="C1106" t="s">
        <v>965</v>
      </c>
      <c r="D1106" t="s">
        <v>20</v>
      </c>
      <c r="E1106" s="7">
        <v>45630</v>
      </c>
      <c r="F1106" t="s">
        <v>21</v>
      </c>
      <c r="G1106">
        <v>0</v>
      </c>
      <c r="H1106" t="s">
        <v>22</v>
      </c>
      <c r="I1106" t="s">
        <v>16</v>
      </c>
      <c r="J1106" t="s">
        <v>16</v>
      </c>
      <c r="K1106" t="str">
        <f>VLOOKUP(C1106,CheckName!A:B,2,0)</f>
        <v>Add</v>
      </c>
      <c r="M1106">
        <f>DAY(RejectionData[[#This Row],[RejectionDate]])</f>
        <v>4</v>
      </c>
    </row>
    <row r="1107" spans="1:13">
      <c r="A1107" t="s">
        <v>1442</v>
      </c>
      <c r="B1107" t="s">
        <v>1443</v>
      </c>
      <c r="C1107" t="s">
        <v>25</v>
      </c>
      <c r="D1107" t="s">
        <v>20</v>
      </c>
      <c r="E1107" s="7">
        <v>45630</v>
      </c>
      <c r="F1107" t="s">
        <v>21</v>
      </c>
      <c r="G1107">
        <v>0</v>
      </c>
      <c r="H1107" t="s">
        <v>22</v>
      </c>
      <c r="I1107" t="s">
        <v>16</v>
      </c>
      <c r="J1107" t="s">
        <v>16</v>
      </c>
      <c r="K1107" t="str">
        <f>VLOOKUP(C1107,CheckName!A:B,2,0)</f>
        <v>Add</v>
      </c>
      <c r="M1107">
        <f>DAY(RejectionData[[#This Row],[RejectionDate]])</f>
        <v>4</v>
      </c>
    </row>
    <row r="1108" spans="1:13">
      <c r="A1108" t="s">
        <v>510</v>
      </c>
      <c r="B1108" t="s">
        <v>1444</v>
      </c>
      <c r="C1108" t="s">
        <v>19</v>
      </c>
      <c r="D1108" t="s">
        <v>20</v>
      </c>
      <c r="E1108" s="7">
        <v>45630</v>
      </c>
      <c r="F1108" t="s">
        <v>21</v>
      </c>
      <c r="G1108">
        <v>0</v>
      </c>
      <c r="H1108" t="s">
        <v>22</v>
      </c>
      <c r="I1108" t="s">
        <v>16</v>
      </c>
      <c r="J1108" t="s">
        <v>16</v>
      </c>
      <c r="K1108" t="str">
        <f>VLOOKUP(C1108,CheckName!A:B,2,0)</f>
        <v>Add</v>
      </c>
      <c r="M1108">
        <f>DAY(RejectionData[[#This Row],[RejectionDate]])</f>
        <v>4</v>
      </c>
    </row>
    <row r="1109" spans="1:13">
      <c r="A1109" t="s">
        <v>47</v>
      </c>
      <c r="B1109" t="s">
        <v>1445</v>
      </c>
      <c r="C1109" t="s">
        <v>12</v>
      </c>
      <c r="D1109" t="s">
        <v>13</v>
      </c>
      <c r="E1109" s="7">
        <v>45630</v>
      </c>
      <c r="F1109" t="s">
        <v>1051</v>
      </c>
      <c r="G1109">
        <v>0</v>
      </c>
      <c r="H1109" t="s">
        <v>15</v>
      </c>
      <c r="I1109" t="s">
        <v>16</v>
      </c>
      <c r="J1109" t="s">
        <v>16</v>
      </c>
      <c r="K1109" t="str">
        <f>VLOOKUP(C1109,CheckName!A:B,2,0)</f>
        <v>Emp</v>
      </c>
      <c r="M1109">
        <f>DAY(RejectionData[[#This Row],[RejectionDate]])</f>
        <v>4</v>
      </c>
    </row>
    <row r="1110" spans="1:13">
      <c r="A1110" t="s">
        <v>96</v>
      </c>
      <c r="B1110" t="s">
        <v>1446</v>
      </c>
      <c r="C1110" t="s">
        <v>54</v>
      </c>
      <c r="D1110" t="s">
        <v>26</v>
      </c>
      <c r="E1110" s="7">
        <v>45630</v>
      </c>
      <c r="F1110" t="s">
        <v>458</v>
      </c>
      <c r="G1110">
        <v>0</v>
      </c>
      <c r="H1110" t="s">
        <v>22</v>
      </c>
      <c r="I1110" t="s">
        <v>16</v>
      </c>
      <c r="J1110" t="s">
        <v>16</v>
      </c>
      <c r="K1110" t="str">
        <f>VLOOKUP(C1110,CheckName!A:B,2,0)</f>
        <v>Edu</v>
      </c>
      <c r="M1110">
        <f>DAY(RejectionData[[#This Row],[RejectionDate]])</f>
        <v>4</v>
      </c>
    </row>
    <row r="1111" spans="1:13">
      <c r="A1111" t="s">
        <v>96</v>
      </c>
      <c r="B1111" t="s">
        <v>1447</v>
      </c>
      <c r="C1111" t="s">
        <v>12</v>
      </c>
      <c r="D1111" t="s">
        <v>13</v>
      </c>
      <c r="E1111" s="7">
        <v>45630</v>
      </c>
      <c r="F1111" t="s">
        <v>492</v>
      </c>
      <c r="G1111">
        <v>0</v>
      </c>
      <c r="H1111" t="s">
        <v>15</v>
      </c>
      <c r="I1111" t="s">
        <v>16</v>
      </c>
      <c r="J1111" t="s">
        <v>16</v>
      </c>
      <c r="K1111" t="str">
        <f>VLOOKUP(C1111,CheckName!A:B,2,0)</f>
        <v>Emp</v>
      </c>
      <c r="M1111">
        <f>DAY(RejectionData[[#This Row],[RejectionDate]])</f>
        <v>4</v>
      </c>
    </row>
    <row r="1112" spans="1:13">
      <c r="A1112" t="s">
        <v>119</v>
      </c>
      <c r="B1112" t="s">
        <v>1448</v>
      </c>
      <c r="C1112" t="s">
        <v>805</v>
      </c>
      <c r="D1112" t="s">
        <v>13</v>
      </c>
      <c r="E1112" s="7">
        <v>45630</v>
      </c>
      <c r="F1112" t="s">
        <v>759</v>
      </c>
      <c r="G1112">
        <v>0</v>
      </c>
      <c r="H1112" t="s">
        <v>15</v>
      </c>
      <c r="I1112" t="s">
        <v>16</v>
      </c>
      <c r="J1112" t="s">
        <v>16</v>
      </c>
      <c r="K1112" t="str">
        <f>VLOOKUP(C1112,CheckName!A:B,2,0)</f>
        <v>Edu</v>
      </c>
      <c r="M1112">
        <f>DAY(RejectionData[[#This Row],[RejectionDate]])</f>
        <v>4</v>
      </c>
    </row>
    <row r="1113" spans="1:13">
      <c r="A1113" t="s">
        <v>84</v>
      </c>
      <c r="B1113" t="s">
        <v>1449</v>
      </c>
      <c r="C1113" t="s">
        <v>12</v>
      </c>
      <c r="D1113" t="s">
        <v>26</v>
      </c>
      <c r="E1113" s="7">
        <v>45630</v>
      </c>
      <c r="F1113" t="s">
        <v>222</v>
      </c>
      <c r="G1113">
        <v>0</v>
      </c>
      <c r="H1113" t="s">
        <v>22</v>
      </c>
      <c r="I1113" t="s">
        <v>16</v>
      </c>
      <c r="J1113" t="s">
        <v>16</v>
      </c>
      <c r="K1113" t="str">
        <f>VLOOKUP(C1113,CheckName!A:B,2,0)</f>
        <v>Emp</v>
      </c>
      <c r="M1113">
        <f>DAY(RejectionData[[#This Row],[RejectionDate]])</f>
        <v>4</v>
      </c>
    </row>
    <row r="1114" spans="1:13">
      <c r="A1114" t="s">
        <v>47</v>
      </c>
      <c r="B1114" t="s">
        <v>1450</v>
      </c>
      <c r="C1114" t="s">
        <v>36</v>
      </c>
      <c r="D1114" t="s">
        <v>13</v>
      </c>
      <c r="E1114" s="7">
        <v>45630</v>
      </c>
      <c r="F1114" t="s">
        <v>1451</v>
      </c>
      <c r="G1114">
        <v>0</v>
      </c>
      <c r="H1114" t="s">
        <v>15</v>
      </c>
      <c r="I1114" t="s">
        <v>16</v>
      </c>
      <c r="J1114" t="s">
        <v>16</v>
      </c>
      <c r="K1114" t="str">
        <f>VLOOKUP(C1114,CheckName!A:B,2,0)</f>
        <v>Emp</v>
      </c>
      <c r="M1114">
        <f>DAY(RejectionData[[#This Row],[RejectionDate]])</f>
        <v>4</v>
      </c>
    </row>
    <row r="1115" spans="1:13">
      <c r="A1115" t="s">
        <v>45</v>
      </c>
      <c r="B1115" t="s">
        <v>1452</v>
      </c>
      <c r="C1115" t="s">
        <v>12</v>
      </c>
      <c r="D1115" t="s">
        <v>13</v>
      </c>
      <c r="E1115" s="7">
        <v>45630</v>
      </c>
      <c r="F1115" t="s">
        <v>1219</v>
      </c>
      <c r="G1115">
        <v>0</v>
      </c>
      <c r="H1115" t="s">
        <v>15</v>
      </c>
      <c r="I1115" t="s">
        <v>16</v>
      </c>
      <c r="J1115" t="s">
        <v>16</v>
      </c>
      <c r="K1115" t="str">
        <f>VLOOKUP(C1115,CheckName!A:B,2,0)</f>
        <v>Emp</v>
      </c>
      <c r="M1115">
        <f>DAY(RejectionData[[#This Row],[RejectionDate]])</f>
        <v>4</v>
      </c>
    </row>
    <row r="1116" spans="1:13">
      <c r="A1116" t="s">
        <v>687</v>
      </c>
      <c r="B1116" t="s">
        <v>1453</v>
      </c>
      <c r="C1116" t="s">
        <v>19</v>
      </c>
      <c r="D1116" t="s">
        <v>20</v>
      </c>
      <c r="E1116" s="7">
        <v>45630</v>
      </c>
      <c r="F1116" t="s">
        <v>62</v>
      </c>
      <c r="G1116">
        <v>0</v>
      </c>
      <c r="H1116" t="s">
        <v>22</v>
      </c>
      <c r="I1116" t="s">
        <v>16</v>
      </c>
      <c r="J1116" t="s">
        <v>16</v>
      </c>
      <c r="K1116" t="str">
        <f>VLOOKUP(C1116,CheckName!A:B,2,0)</f>
        <v>Add</v>
      </c>
      <c r="M1116">
        <f>DAY(RejectionData[[#This Row],[RejectionDate]])</f>
        <v>4</v>
      </c>
    </row>
    <row r="1117" spans="1:13">
      <c r="A1117" t="s">
        <v>142</v>
      </c>
      <c r="B1117" t="s">
        <v>1454</v>
      </c>
      <c r="C1117" t="s">
        <v>54</v>
      </c>
      <c r="D1117" t="s">
        <v>26</v>
      </c>
      <c r="E1117" s="7">
        <v>45630</v>
      </c>
      <c r="F1117" t="s">
        <v>444</v>
      </c>
      <c r="G1117">
        <v>0</v>
      </c>
      <c r="H1117" t="s">
        <v>290</v>
      </c>
      <c r="I1117" t="s">
        <v>16</v>
      </c>
      <c r="J1117" t="s">
        <v>16</v>
      </c>
      <c r="K1117" t="str">
        <f>VLOOKUP(C1117,CheckName!A:B,2,0)</f>
        <v>Edu</v>
      </c>
      <c r="M1117">
        <f>DAY(RejectionData[[#This Row],[RejectionDate]])</f>
        <v>4</v>
      </c>
    </row>
    <row r="1118" spans="1:13">
      <c r="A1118" t="s">
        <v>1455</v>
      </c>
      <c r="B1118" t="s">
        <v>1456</v>
      </c>
      <c r="C1118" t="s">
        <v>12</v>
      </c>
      <c r="D1118" t="s">
        <v>51</v>
      </c>
      <c r="E1118" s="7">
        <v>45630</v>
      </c>
      <c r="F1118" t="s">
        <v>194</v>
      </c>
      <c r="G1118">
        <v>0</v>
      </c>
      <c r="H1118" t="s">
        <v>53</v>
      </c>
      <c r="I1118" t="s">
        <v>16</v>
      </c>
      <c r="J1118" t="s">
        <v>16</v>
      </c>
      <c r="K1118" t="str">
        <f>VLOOKUP(C1118,CheckName!A:B,2,0)</f>
        <v>Emp</v>
      </c>
      <c r="M1118">
        <f>DAY(RejectionData[[#This Row],[RejectionDate]])</f>
        <v>4</v>
      </c>
    </row>
    <row r="1119" spans="1:13">
      <c r="A1119" t="s">
        <v>1455</v>
      </c>
      <c r="B1119" t="s">
        <v>1457</v>
      </c>
      <c r="C1119" t="s">
        <v>12</v>
      </c>
      <c r="D1119" t="s">
        <v>51</v>
      </c>
      <c r="E1119" s="7">
        <v>45630</v>
      </c>
      <c r="F1119" t="s">
        <v>194</v>
      </c>
      <c r="G1119">
        <v>0</v>
      </c>
      <c r="H1119" t="s">
        <v>53</v>
      </c>
      <c r="I1119" t="s">
        <v>16</v>
      </c>
      <c r="J1119" t="s">
        <v>16</v>
      </c>
      <c r="K1119" t="str">
        <f>VLOOKUP(C1119,CheckName!A:B,2,0)</f>
        <v>Emp</v>
      </c>
      <c r="M1119">
        <f>DAY(RejectionData[[#This Row],[RejectionDate]])</f>
        <v>4</v>
      </c>
    </row>
    <row r="1120" spans="1:13">
      <c r="A1120" t="s">
        <v>45</v>
      </c>
      <c r="B1120" t="s">
        <v>1458</v>
      </c>
      <c r="C1120" t="s">
        <v>12</v>
      </c>
      <c r="D1120" t="s">
        <v>13</v>
      </c>
      <c r="E1120" s="7">
        <v>45630</v>
      </c>
      <c r="F1120" t="s">
        <v>706</v>
      </c>
      <c r="G1120">
        <v>0</v>
      </c>
      <c r="H1120" t="s">
        <v>15</v>
      </c>
      <c r="I1120" t="s">
        <v>16</v>
      </c>
      <c r="J1120" t="s">
        <v>16</v>
      </c>
      <c r="K1120" t="str">
        <f>VLOOKUP(C1120,CheckName!A:B,2,0)</f>
        <v>Emp</v>
      </c>
      <c r="M1120">
        <f>DAY(RejectionData[[#This Row],[RejectionDate]])</f>
        <v>4</v>
      </c>
    </row>
    <row r="1121" spans="1:13">
      <c r="A1121" t="s">
        <v>281</v>
      </c>
      <c r="B1121" t="s">
        <v>1459</v>
      </c>
      <c r="C1121" t="s">
        <v>54</v>
      </c>
      <c r="D1121" t="s">
        <v>13</v>
      </c>
      <c r="E1121" s="7">
        <v>45630</v>
      </c>
      <c r="F1121" t="s">
        <v>706</v>
      </c>
      <c r="G1121">
        <v>0</v>
      </c>
      <c r="H1121" t="s">
        <v>15</v>
      </c>
      <c r="I1121" t="s">
        <v>16</v>
      </c>
      <c r="J1121" t="s">
        <v>16</v>
      </c>
      <c r="K1121" t="str">
        <f>VLOOKUP(C1121,CheckName!A:B,2,0)</f>
        <v>Edu</v>
      </c>
      <c r="M1121">
        <f>DAY(RejectionData[[#This Row],[RejectionDate]])</f>
        <v>4</v>
      </c>
    </row>
    <row r="1122" spans="1:13">
      <c r="A1122" t="s">
        <v>142</v>
      </c>
      <c r="B1122" t="s">
        <v>1460</v>
      </c>
      <c r="C1122" t="s">
        <v>54</v>
      </c>
      <c r="D1122" t="s">
        <v>13</v>
      </c>
      <c r="E1122" s="7">
        <v>45630</v>
      </c>
      <c r="F1122" t="s">
        <v>706</v>
      </c>
      <c r="G1122">
        <v>0</v>
      </c>
      <c r="H1122" t="s">
        <v>15</v>
      </c>
      <c r="I1122" t="s">
        <v>16</v>
      </c>
      <c r="J1122" t="s">
        <v>16</v>
      </c>
      <c r="K1122" t="str">
        <f>VLOOKUP(C1122,CheckName!A:B,2,0)</f>
        <v>Edu</v>
      </c>
      <c r="M1122">
        <f>DAY(RejectionData[[#This Row],[RejectionDate]])</f>
        <v>4</v>
      </c>
    </row>
    <row r="1123" spans="1:13">
      <c r="A1123" t="s">
        <v>45</v>
      </c>
      <c r="B1123" t="s">
        <v>1461</v>
      </c>
      <c r="C1123" t="s">
        <v>25</v>
      </c>
      <c r="D1123" t="s">
        <v>20</v>
      </c>
      <c r="E1123" s="7">
        <v>45630</v>
      </c>
      <c r="F1123" t="s">
        <v>76</v>
      </c>
      <c r="G1123">
        <v>0</v>
      </c>
      <c r="H1123" t="s">
        <v>22</v>
      </c>
      <c r="I1123" t="s">
        <v>16</v>
      </c>
      <c r="J1123" t="s">
        <v>16</v>
      </c>
      <c r="K1123" t="str">
        <f>VLOOKUP(C1123,CheckName!A:B,2,0)</f>
        <v>Add</v>
      </c>
      <c r="M1123">
        <f>DAY(RejectionData[[#This Row],[RejectionDate]])</f>
        <v>4</v>
      </c>
    </row>
    <row r="1124" spans="1:13">
      <c r="A1124" t="s">
        <v>1437</v>
      </c>
      <c r="B1124" t="s">
        <v>1462</v>
      </c>
      <c r="C1124" t="s">
        <v>54</v>
      </c>
      <c r="D1124" t="s">
        <v>26</v>
      </c>
      <c r="E1124" s="7">
        <v>45630</v>
      </c>
      <c r="F1124" t="s">
        <v>188</v>
      </c>
      <c r="G1124">
        <v>0</v>
      </c>
      <c r="H1124" t="s">
        <v>27</v>
      </c>
      <c r="I1124" t="s">
        <v>16</v>
      </c>
      <c r="J1124" t="s">
        <v>16</v>
      </c>
      <c r="K1124" t="str">
        <f>VLOOKUP(C1124,CheckName!A:B,2,0)</f>
        <v>Edu</v>
      </c>
      <c r="M1124">
        <f>DAY(RejectionData[[#This Row],[RejectionDate]])</f>
        <v>4</v>
      </c>
    </row>
    <row r="1125" spans="1:13">
      <c r="A1125" t="s">
        <v>160</v>
      </c>
      <c r="B1125" t="s">
        <v>1463</v>
      </c>
      <c r="C1125" t="s">
        <v>36</v>
      </c>
      <c r="D1125" t="s">
        <v>26</v>
      </c>
      <c r="E1125" s="7">
        <v>45630</v>
      </c>
      <c r="F1125" t="s">
        <v>83</v>
      </c>
      <c r="G1125">
        <v>0</v>
      </c>
      <c r="H1125" t="s">
        <v>27</v>
      </c>
      <c r="I1125" t="s">
        <v>16</v>
      </c>
      <c r="J1125" t="s">
        <v>16</v>
      </c>
      <c r="K1125" t="str">
        <f>VLOOKUP(C1125,CheckName!A:B,2,0)</f>
        <v>Emp</v>
      </c>
      <c r="M1125">
        <f>DAY(RejectionData[[#This Row],[RejectionDate]])</f>
        <v>4</v>
      </c>
    </row>
    <row r="1126" spans="1:13">
      <c r="A1126" t="s">
        <v>160</v>
      </c>
      <c r="B1126" t="s">
        <v>1464</v>
      </c>
      <c r="C1126" t="s">
        <v>36</v>
      </c>
      <c r="D1126" t="s">
        <v>26</v>
      </c>
      <c r="E1126" s="7">
        <v>45630</v>
      </c>
      <c r="F1126" t="s">
        <v>277</v>
      </c>
      <c r="G1126">
        <v>0</v>
      </c>
      <c r="H1126" t="s">
        <v>22</v>
      </c>
      <c r="I1126" t="s">
        <v>16</v>
      </c>
      <c r="J1126" t="s">
        <v>16</v>
      </c>
      <c r="K1126" t="str">
        <f>VLOOKUP(C1126,CheckName!A:B,2,0)</f>
        <v>Emp</v>
      </c>
      <c r="M1126">
        <f>DAY(RejectionData[[#This Row],[RejectionDate]])</f>
        <v>4</v>
      </c>
    </row>
    <row r="1127" spans="1:13">
      <c r="A1127" t="s">
        <v>100</v>
      </c>
      <c r="B1127" t="s">
        <v>1465</v>
      </c>
      <c r="C1127" t="s">
        <v>359</v>
      </c>
      <c r="D1127" t="s">
        <v>26</v>
      </c>
      <c r="E1127" s="7">
        <v>45630</v>
      </c>
      <c r="F1127" t="s">
        <v>380</v>
      </c>
      <c r="G1127">
        <v>0</v>
      </c>
      <c r="H1127" t="s">
        <v>30</v>
      </c>
      <c r="I1127" t="s">
        <v>16</v>
      </c>
      <c r="J1127" t="s">
        <v>16</v>
      </c>
      <c r="K1127" t="str">
        <f>VLOOKUP(C1127,CheckName!A:B,2,0)</f>
        <v>Emp</v>
      </c>
      <c r="M1127">
        <f>DAY(RejectionData[[#This Row],[RejectionDate]])</f>
        <v>4</v>
      </c>
    </row>
    <row r="1128" spans="1:13">
      <c r="A1128" t="s">
        <v>100</v>
      </c>
      <c r="B1128" t="s">
        <v>1466</v>
      </c>
      <c r="C1128" t="s">
        <v>357</v>
      </c>
      <c r="D1128" t="s">
        <v>26</v>
      </c>
      <c r="E1128" s="7">
        <v>45630</v>
      </c>
      <c r="F1128" t="s">
        <v>380</v>
      </c>
      <c r="G1128">
        <v>0</v>
      </c>
      <c r="H1128" t="s">
        <v>27</v>
      </c>
      <c r="I1128" t="s">
        <v>16</v>
      </c>
      <c r="J1128" t="s">
        <v>16</v>
      </c>
      <c r="K1128" t="str">
        <f>VLOOKUP(C1128,CheckName!A:B,2,0)</f>
        <v>Emp</v>
      </c>
      <c r="M1128">
        <f>DAY(RejectionData[[#This Row],[RejectionDate]])</f>
        <v>4</v>
      </c>
    </row>
    <row r="1129" spans="1:13">
      <c r="A1129" t="s">
        <v>299</v>
      </c>
      <c r="B1129" t="s">
        <v>1467</v>
      </c>
      <c r="C1129" t="s">
        <v>36</v>
      </c>
      <c r="D1129" t="s">
        <v>26</v>
      </c>
      <c r="E1129" s="7">
        <v>45630</v>
      </c>
      <c r="F1129" t="s">
        <v>431</v>
      </c>
      <c r="G1129">
        <v>0</v>
      </c>
      <c r="H1129" t="s">
        <v>27</v>
      </c>
      <c r="I1129" t="s">
        <v>16</v>
      </c>
      <c r="J1129" t="s">
        <v>16</v>
      </c>
      <c r="K1129" t="str">
        <f>VLOOKUP(C1129,CheckName!A:B,2,0)</f>
        <v>Emp</v>
      </c>
      <c r="M1129">
        <f>DAY(RejectionData[[#This Row],[RejectionDate]])</f>
        <v>4</v>
      </c>
    </row>
    <row r="1130" spans="1:13">
      <c r="A1130" t="s">
        <v>100</v>
      </c>
      <c r="B1130" t="s">
        <v>1468</v>
      </c>
      <c r="C1130" t="s">
        <v>357</v>
      </c>
      <c r="D1130" t="s">
        <v>26</v>
      </c>
      <c r="E1130" s="7">
        <v>45630</v>
      </c>
      <c r="F1130" t="s">
        <v>380</v>
      </c>
      <c r="G1130">
        <v>0</v>
      </c>
      <c r="H1130" t="s">
        <v>27</v>
      </c>
      <c r="I1130" t="s">
        <v>16</v>
      </c>
      <c r="J1130" t="s">
        <v>16</v>
      </c>
      <c r="K1130" t="str">
        <f>VLOOKUP(C1130,CheckName!A:B,2,0)</f>
        <v>Emp</v>
      </c>
      <c r="M1130">
        <f>DAY(RejectionData[[#This Row],[RejectionDate]])</f>
        <v>4</v>
      </c>
    </row>
    <row r="1131" spans="1:13">
      <c r="A1131" t="s">
        <v>137</v>
      </c>
      <c r="B1131" t="s">
        <v>1469</v>
      </c>
      <c r="C1131" t="s">
        <v>12</v>
      </c>
      <c r="D1131" t="s">
        <v>26</v>
      </c>
      <c r="E1131" s="7">
        <v>45630</v>
      </c>
      <c r="F1131" t="s">
        <v>83</v>
      </c>
      <c r="G1131">
        <v>0</v>
      </c>
      <c r="H1131" t="s">
        <v>27</v>
      </c>
      <c r="I1131" t="s">
        <v>16</v>
      </c>
      <c r="J1131" t="s">
        <v>16</v>
      </c>
      <c r="K1131" t="str">
        <f>VLOOKUP(C1131,CheckName!A:B,2,0)</f>
        <v>Emp</v>
      </c>
      <c r="M1131">
        <f>DAY(RejectionData[[#This Row],[RejectionDate]])</f>
        <v>4</v>
      </c>
    </row>
    <row r="1132" spans="1:13">
      <c r="A1132" t="s">
        <v>461</v>
      </c>
      <c r="B1132" t="s">
        <v>1470</v>
      </c>
      <c r="C1132" t="s">
        <v>125</v>
      </c>
      <c r="D1132" t="s">
        <v>26</v>
      </c>
      <c r="E1132" s="7">
        <v>45630</v>
      </c>
      <c r="F1132" t="s">
        <v>83</v>
      </c>
      <c r="G1132">
        <v>0</v>
      </c>
      <c r="H1132" t="s">
        <v>27</v>
      </c>
      <c r="I1132" t="s">
        <v>16</v>
      </c>
      <c r="J1132" t="s">
        <v>16</v>
      </c>
      <c r="K1132" t="str">
        <f>VLOOKUP(C1132,CheckName!A:B,2,0)</f>
        <v>Emp</v>
      </c>
      <c r="M1132">
        <f>DAY(RejectionData[[#This Row],[RejectionDate]])</f>
        <v>4</v>
      </c>
    </row>
    <row r="1133" spans="1:13">
      <c r="A1133" t="s">
        <v>306</v>
      </c>
      <c r="B1133" t="s">
        <v>1471</v>
      </c>
      <c r="C1133" t="s">
        <v>59</v>
      </c>
      <c r="D1133" t="s">
        <v>13</v>
      </c>
      <c r="E1133" s="7">
        <v>45630</v>
      </c>
      <c r="F1133" t="s">
        <v>844</v>
      </c>
      <c r="G1133">
        <v>0</v>
      </c>
      <c r="H1133" t="s">
        <v>15</v>
      </c>
      <c r="I1133" t="s">
        <v>16</v>
      </c>
      <c r="J1133" t="s">
        <v>16</v>
      </c>
      <c r="K1133" t="str">
        <f>VLOOKUP(C1133,CheckName!A:B,2,0)</f>
        <v>Special Check</v>
      </c>
      <c r="M1133">
        <f>DAY(RejectionData[[#This Row],[RejectionDate]])</f>
        <v>4</v>
      </c>
    </row>
    <row r="1134" spans="1:13">
      <c r="A1134" t="s">
        <v>667</v>
      </c>
      <c r="B1134" t="s">
        <v>1472</v>
      </c>
      <c r="C1134" t="s">
        <v>12</v>
      </c>
      <c r="D1134" t="s">
        <v>13</v>
      </c>
      <c r="E1134" s="7">
        <v>45630</v>
      </c>
      <c r="F1134" t="s">
        <v>1421</v>
      </c>
      <c r="G1134">
        <v>0</v>
      </c>
      <c r="H1134" t="s">
        <v>15</v>
      </c>
      <c r="I1134" t="s">
        <v>16</v>
      </c>
      <c r="J1134" t="s">
        <v>16</v>
      </c>
      <c r="K1134" t="str">
        <f>VLOOKUP(C1134,CheckName!A:B,2,0)</f>
        <v>Emp</v>
      </c>
      <c r="M1134">
        <f>DAY(RejectionData[[#This Row],[RejectionDate]])</f>
        <v>4</v>
      </c>
    </row>
    <row r="1135" spans="1:13">
      <c r="A1135" t="s">
        <v>47</v>
      </c>
      <c r="B1135" t="s">
        <v>1473</v>
      </c>
      <c r="C1135" t="s">
        <v>12</v>
      </c>
      <c r="D1135" t="s">
        <v>13</v>
      </c>
      <c r="E1135" s="7">
        <v>45630</v>
      </c>
      <c r="F1135" t="s">
        <v>530</v>
      </c>
      <c r="G1135">
        <v>0</v>
      </c>
      <c r="H1135" t="s">
        <v>15</v>
      </c>
      <c r="I1135" t="s">
        <v>16</v>
      </c>
      <c r="J1135" t="s">
        <v>16</v>
      </c>
      <c r="K1135" t="str">
        <f>VLOOKUP(C1135,CheckName!A:B,2,0)</f>
        <v>Emp</v>
      </c>
      <c r="M1135">
        <f>DAY(RejectionData[[#This Row],[RejectionDate]])</f>
        <v>4</v>
      </c>
    </row>
    <row r="1136" spans="1:13">
      <c r="A1136" t="s">
        <v>47</v>
      </c>
      <c r="B1136" t="s">
        <v>1473</v>
      </c>
      <c r="C1136" t="s">
        <v>36</v>
      </c>
      <c r="D1136" t="s">
        <v>13</v>
      </c>
      <c r="E1136" s="7">
        <v>45630</v>
      </c>
      <c r="F1136" t="s">
        <v>530</v>
      </c>
      <c r="G1136">
        <v>0</v>
      </c>
      <c r="H1136" t="s">
        <v>15</v>
      </c>
      <c r="I1136" t="s">
        <v>16</v>
      </c>
      <c r="J1136" t="s">
        <v>16</v>
      </c>
      <c r="K1136" t="str">
        <f>VLOOKUP(C1136,CheckName!A:B,2,0)</f>
        <v>Emp</v>
      </c>
      <c r="M1136">
        <f>DAY(RejectionData[[#This Row],[RejectionDate]])</f>
        <v>4</v>
      </c>
    </row>
    <row r="1137" spans="1:13">
      <c r="A1137" t="s">
        <v>866</v>
      </c>
      <c r="B1137" t="s">
        <v>1474</v>
      </c>
      <c r="C1137" t="s">
        <v>54</v>
      </c>
      <c r="D1137" t="s">
        <v>13</v>
      </c>
      <c r="E1137" s="7">
        <v>45630</v>
      </c>
      <c r="F1137" t="s">
        <v>530</v>
      </c>
      <c r="G1137">
        <v>0</v>
      </c>
      <c r="H1137" t="s">
        <v>15</v>
      </c>
      <c r="I1137" t="s">
        <v>16</v>
      </c>
      <c r="J1137" t="s">
        <v>16</v>
      </c>
      <c r="K1137" t="str">
        <f>VLOOKUP(C1137,CheckName!A:B,2,0)</f>
        <v>Edu</v>
      </c>
      <c r="M1137">
        <f>DAY(RejectionData[[#This Row],[RejectionDate]])</f>
        <v>4</v>
      </c>
    </row>
    <row r="1138" spans="1:13">
      <c r="A1138" t="s">
        <v>237</v>
      </c>
      <c r="B1138" t="s">
        <v>1475</v>
      </c>
      <c r="C1138" t="s">
        <v>12</v>
      </c>
      <c r="D1138" t="s">
        <v>13</v>
      </c>
      <c r="E1138" s="7">
        <v>45630</v>
      </c>
      <c r="F1138" t="s">
        <v>1421</v>
      </c>
      <c r="G1138">
        <v>0</v>
      </c>
      <c r="H1138" t="s">
        <v>15</v>
      </c>
      <c r="I1138" t="s">
        <v>16</v>
      </c>
      <c r="J1138" t="s">
        <v>16</v>
      </c>
      <c r="K1138" t="str">
        <f>VLOOKUP(C1138,CheckName!A:B,2,0)</f>
        <v>Emp</v>
      </c>
      <c r="M1138">
        <f>DAY(RejectionData[[#This Row],[RejectionDate]])</f>
        <v>4</v>
      </c>
    </row>
    <row r="1139" spans="1:13">
      <c r="A1139" t="s">
        <v>996</v>
      </c>
      <c r="B1139" t="s">
        <v>1476</v>
      </c>
      <c r="C1139" t="s">
        <v>54</v>
      </c>
      <c r="D1139" t="s">
        <v>13</v>
      </c>
      <c r="E1139" s="7">
        <v>45630</v>
      </c>
      <c r="F1139" t="s">
        <v>530</v>
      </c>
      <c r="G1139">
        <v>0</v>
      </c>
      <c r="H1139" t="s">
        <v>15</v>
      </c>
      <c r="I1139" t="s">
        <v>16</v>
      </c>
      <c r="J1139" t="s">
        <v>16</v>
      </c>
      <c r="K1139" t="str">
        <f>VLOOKUP(C1139,CheckName!A:B,2,0)</f>
        <v>Edu</v>
      </c>
      <c r="M1139">
        <f>DAY(RejectionData[[#This Row],[RejectionDate]])</f>
        <v>4</v>
      </c>
    </row>
    <row r="1140" spans="1:13">
      <c r="A1140" t="s">
        <v>866</v>
      </c>
      <c r="B1140" t="s">
        <v>1477</v>
      </c>
      <c r="C1140" t="s">
        <v>54</v>
      </c>
      <c r="D1140" t="s">
        <v>26</v>
      </c>
      <c r="E1140" s="7">
        <v>45630</v>
      </c>
      <c r="F1140" t="s">
        <v>103</v>
      </c>
      <c r="G1140">
        <v>0</v>
      </c>
      <c r="H1140" t="s">
        <v>27</v>
      </c>
      <c r="I1140" t="s">
        <v>16</v>
      </c>
      <c r="J1140" t="s">
        <v>16</v>
      </c>
      <c r="K1140" t="str">
        <f>VLOOKUP(C1140,CheckName!A:B,2,0)</f>
        <v>Edu</v>
      </c>
      <c r="M1140">
        <f>DAY(RejectionData[[#This Row],[RejectionDate]])</f>
        <v>4</v>
      </c>
    </row>
    <row r="1141" spans="1:13">
      <c r="A1141" t="s">
        <v>1024</v>
      </c>
      <c r="B1141" t="s">
        <v>1478</v>
      </c>
      <c r="C1141" t="s">
        <v>1479</v>
      </c>
      <c r="D1141" t="s">
        <v>13</v>
      </c>
      <c r="E1141" s="7">
        <v>45630</v>
      </c>
      <c r="F1141" t="s">
        <v>107</v>
      </c>
      <c r="G1141">
        <v>0</v>
      </c>
      <c r="H1141" t="s">
        <v>15</v>
      </c>
      <c r="I1141" t="s">
        <v>16</v>
      </c>
      <c r="J1141" t="s">
        <v>16</v>
      </c>
      <c r="K1141" t="str">
        <f>VLOOKUP(C1141,CheckName!A:B,2,0)</f>
        <v>Edu</v>
      </c>
      <c r="M1141">
        <f>DAY(RejectionData[[#This Row],[RejectionDate]])</f>
        <v>4</v>
      </c>
    </row>
    <row r="1142" spans="1:13">
      <c r="A1142" t="s">
        <v>96</v>
      </c>
      <c r="B1142" t="s">
        <v>1480</v>
      </c>
      <c r="C1142" t="s">
        <v>12</v>
      </c>
      <c r="D1142" t="s">
        <v>13</v>
      </c>
      <c r="E1142" s="7">
        <v>45630</v>
      </c>
      <c r="F1142" t="s">
        <v>819</v>
      </c>
      <c r="G1142">
        <v>0</v>
      </c>
      <c r="H1142" t="s">
        <v>15</v>
      </c>
      <c r="I1142" t="s">
        <v>16</v>
      </c>
      <c r="J1142" t="s">
        <v>16</v>
      </c>
      <c r="K1142" t="str">
        <f>VLOOKUP(C1142,CheckName!A:B,2,0)</f>
        <v>Emp</v>
      </c>
      <c r="M1142">
        <f>DAY(RejectionData[[#This Row],[RejectionDate]])</f>
        <v>4</v>
      </c>
    </row>
    <row r="1143" spans="1:13">
      <c r="A1143" t="s">
        <v>47</v>
      </c>
      <c r="B1143" t="s">
        <v>1481</v>
      </c>
      <c r="C1143" t="s">
        <v>54</v>
      </c>
      <c r="D1143" t="s">
        <v>13</v>
      </c>
      <c r="E1143" s="7">
        <v>45630</v>
      </c>
      <c r="F1143" t="s">
        <v>107</v>
      </c>
      <c r="G1143">
        <v>0</v>
      </c>
      <c r="H1143" t="s">
        <v>15</v>
      </c>
      <c r="I1143" t="s">
        <v>16</v>
      </c>
      <c r="J1143" t="s">
        <v>16</v>
      </c>
      <c r="K1143" t="str">
        <f>VLOOKUP(C1143,CheckName!A:B,2,0)</f>
        <v>Edu</v>
      </c>
      <c r="M1143">
        <f>DAY(RejectionData[[#This Row],[RejectionDate]])</f>
        <v>4</v>
      </c>
    </row>
    <row r="1144" spans="1:13">
      <c r="A1144" t="s">
        <v>211</v>
      </c>
      <c r="B1144" t="s">
        <v>1482</v>
      </c>
      <c r="C1144" t="s">
        <v>54</v>
      </c>
      <c r="D1144" t="s">
        <v>13</v>
      </c>
      <c r="E1144" s="7">
        <v>45630</v>
      </c>
      <c r="F1144" t="s">
        <v>540</v>
      </c>
      <c r="G1144">
        <v>0</v>
      </c>
      <c r="H1144" t="s">
        <v>15</v>
      </c>
      <c r="I1144" t="s">
        <v>16</v>
      </c>
      <c r="J1144" t="s">
        <v>16</v>
      </c>
      <c r="K1144" t="str">
        <f>VLOOKUP(C1144,CheckName!A:B,2,0)</f>
        <v>Edu</v>
      </c>
      <c r="M1144">
        <f>DAY(RejectionData[[#This Row],[RejectionDate]])</f>
        <v>4</v>
      </c>
    </row>
    <row r="1145" spans="1:13">
      <c r="A1145" t="s">
        <v>1483</v>
      </c>
      <c r="B1145" t="s">
        <v>1484</v>
      </c>
      <c r="C1145" t="s">
        <v>71</v>
      </c>
      <c r="D1145" t="s">
        <v>13</v>
      </c>
      <c r="E1145" s="7">
        <v>45630</v>
      </c>
      <c r="F1145" t="s">
        <v>540</v>
      </c>
      <c r="G1145">
        <v>0</v>
      </c>
      <c r="H1145" t="s">
        <v>15</v>
      </c>
      <c r="I1145" t="s">
        <v>16</v>
      </c>
      <c r="J1145" t="s">
        <v>16</v>
      </c>
      <c r="K1145" t="str">
        <f>VLOOKUP(C1145,CheckName!A:B,2,0)</f>
        <v>CRC</v>
      </c>
      <c r="M1145">
        <f>DAY(RejectionData[[#This Row],[RejectionDate]])</f>
        <v>4</v>
      </c>
    </row>
    <row r="1146" spans="1:13">
      <c r="A1146" t="s">
        <v>45</v>
      </c>
      <c r="B1146" t="s">
        <v>1485</v>
      </c>
      <c r="C1146" t="s">
        <v>12</v>
      </c>
      <c r="D1146" t="s">
        <v>26</v>
      </c>
      <c r="E1146" s="7">
        <v>45630</v>
      </c>
      <c r="F1146" t="s">
        <v>926</v>
      </c>
      <c r="G1146">
        <v>0</v>
      </c>
      <c r="H1146" t="s">
        <v>22</v>
      </c>
      <c r="I1146" t="s">
        <v>16</v>
      </c>
      <c r="J1146" t="s">
        <v>16</v>
      </c>
      <c r="K1146" t="str">
        <f>VLOOKUP(C1146,CheckName!A:B,2,0)</f>
        <v>Emp</v>
      </c>
      <c r="M1146">
        <f>DAY(RejectionData[[#This Row],[RejectionDate]])</f>
        <v>4</v>
      </c>
    </row>
    <row r="1147" spans="1:13">
      <c r="A1147" t="s">
        <v>84</v>
      </c>
      <c r="B1147" t="s">
        <v>1486</v>
      </c>
      <c r="C1147" t="s">
        <v>125</v>
      </c>
      <c r="D1147" t="s">
        <v>26</v>
      </c>
      <c r="E1147" s="7">
        <v>45630</v>
      </c>
      <c r="F1147" t="s">
        <v>115</v>
      </c>
      <c r="G1147">
        <v>0</v>
      </c>
      <c r="H1147" t="s">
        <v>27</v>
      </c>
      <c r="I1147" t="s">
        <v>16</v>
      </c>
      <c r="J1147" t="s">
        <v>16</v>
      </c>
      <c r="K1147" t="str">
        <f>VLOOKUP(C1147,CheckName!A:B,2,0)</f>
        <v>Emp</v>
      </c>
      <c r="M1147">
        <f>DAY(RejectionData[[#This Row],[RejectionDate]])</f>
        <v>4</v>
      </c>
    </row>
    <row r="1148" spans="1:13">
      <c r="A1148" t="s">
        <v>306</v>
      </c>
      <c r="B1148" t="s">
        <v>1487</v>
      </c>
      <c r="C1148" t="s">
        <v>59</v>
      </c>
      <c r="D1148" t="s">
        <v>13</v>
      </c>
      <c r="E1148" s="7">
        <v>45630</v>
      </c>
      <c r="F1148" t="s">
        <v>1013</v>
      </c>
      <c r="G1148">
        <v>0</v>
      </c>
      <c r="H1148" t="s">
        <v>15</v>
      </c>
      <c r="I1148" t="s">
        <v>16</v>
      </c>
      <c r="J1148" t="s">
        <v>16</v>
      </c>
      <c r="K1148" t="str">
        <f>VLOOKUP(C1148,CheckName!A:B,2,0)</f>
        <v>Special Check</v>
      </c>
      <c r="M1148">
        <f>DAY(RejectionData[[#This Row],[RejectionDate]])</f>
        <v>4</v>
      </c>
    </row>
    <row r="1149" spans="1:13">
      <c r="A1149" t="s">
        <v>216</v>
      </c>
      <c r="B1149" t="s">
        <v>1488</v>
      </c>
      <c r="C1149" t="s">
        <v>54</v>
      </c>
      <c r="D1149" t="s">
        <v>26</v>
      </c>
      <c r="E1149" s="7">
        <v>45630</v>
      </c>
      <c r="F1149" t="s">
        <v>309</v>
      </c>
      <c r="G1149">
        <v>0</v>
      </c>
      <c r="H1149" t="s">
        <v>27</v>
      </c>
      <c r="I1149" t="s">
        <v>16</v>
      </c>
      <c r="J1149" t="s">
        <v>16</v>
      </c>
      <c r="K1149" t="str">
        <f>VLOOKUP(C1149,CheckName!A:B,2,0)</f>
        <v>Edu</v>
      </c>
      <c r="M1149">
        <f>DAY(RejectionData[[#This Row],[RejectionDate]])</f>
        <v>4</v>
      </c>
    </row>
    <row r="1150" spans="1:13">
      <c r="A1150" t="s">
        <v>160</v>
      </c>
      <c r="B1150" t="s">
        <v>1489</v>
      </c>
      <c r="C1150" t="s">
        <v>19</v>
      </c>
      <c r="D1150" t="s">
        <v>20</v>
      </c>
      <c r="E1150" s="7">
        <v>45630</v>
      </c>
      <c r="F1150" t="s">
        <v>129</v>
      </c>
      <c r="G1150">
        <v>0</v>
      </c>
      <c r="H1150" t="s">
        <v>22</v>
      </c>
      <c r="I1150" t="s">
        <v>16</v>
      </c>
      <c r="J1150" t="s">
        <v>16</v>
      </c>
      <c r="K1150" t="str">
        <f>VLOOKUP(C1150,CheckName!A:B,2,0)</f>
        <v>Add</v>
      </c>
      <c r="M1150">
        <f>DAY(RejectionData[[#This Row],[RejectionDate]])</f>
        <v>4</v>
      </c>
    </row>
    <row r="1151" spans="1:13">
      <c r="A1151" t="s">
        <v>353</v>
      </c>
      <c r="B1151" t="s">
        <v>1490</v>
      </c>
      <c r="C1151" t="s">
        <v>25</v>
      </c>
      <c r="D1151" t="s">
        <v>20</v>
      </c>
      <c r="E1151" s="7">
        <v>45630</v>
      </c>
      <c r="F1151" t="s">
        <v>129</v>
      </c>
      <c r="G1151">
        <v>0</v>
      </c>
      <c r="H1151" t="s">
        <v>22</v>
      </c>
      <c r="I1151" t="s">
        <v>16</v>
      </c>
      <c r="J1151" t="s">
        <v>16</v>
      </c>
      <c r="K1151" t="str">
        <f>VLOOKUP(C1151,CheckName!A:B,2,0)</f>
        <v>Add</v>
      </c>
      <c r="M1151">
        <f>DAY(RejectionData[[#This Row],[RejectionDate]])</f>
        <v>4</v>
      </c>
    </row>
    <row r="1152" spans="1:13">
      <c r="A1152" t="s">
        <v>1491</v>
      </c>
      <c r="B1152" t="s">
        <v>1492</v>
      </c>
      <c r="C1152" t="s">
        <v>25</v>
      </c>
      <c r="D1152" t="s">
        <v>20</v>
      </c>
      <c r="E1152" s="7">
        <v>45630</v>
      </c>
      <c r="F1152" t="s">
        <v>129</v>
      </c>
      <c r="G1152">
        <v>0</v>
      </c>
      <c r="H1152" t="s">
        <v>22</v>
      </c>
      <c r="I1152" t="s">
        <v>16</v>
      </c>
      <c r="J1152" t="s">
        <v>16</v>
      </c>
      <c r="K1152" t="str">
        <f>VLOOKUP(C1152,CheckName!A:B,2,0)</f>
        <v>Add</v>
      </c>
      <c r="M1152">
        <f>DAY(RejectionData[[#This Row],[RejectionDate]])</f>
        <v>4</v>
      </c>
    </row>
    <row r="1153" spans="1:13">
      <c r="A1153" t="s">
        <v>245</v>
      </c>
      <c r="B1153" t="s">
        <v>1493</v>
      </c>
      <c r="C1153" t="s">
        <v>19</v>
      </c>
      <c r="D1153" t="s">
        <v>20</v>
      </c>
      <c r="E1153" s="7">
        <v>45630</v>
      </c>
      <c r="F1153" t="s">
        <v>129</v>
      </c>
      <c r="G1153">
        <v>0</v>
      </c>
      <c r="H1153" t="s">
        <v>22</v>
      </c>
      <c r="I1153" t="s">
        <v>16</v>
      </c>
      <c r="J1153" t="s">
        <v>16</v>
      </c>
      <c r="K1153" t="str">
        <f>VLOOKUP(C1153,CheckName!A:B,2,0)</f>
        <v>Add</v>
      </c>
      <c r="M1153">
        <f>DAY(RejectionData[[#This Row],[RejectionDate]])</f>
        <v>4</v>
      </c>
    </row>
    <row r="1154" spans="1:13">
      <c r="A1154" t="s">
        <v>1494</v>
      </c>
      <c r="B1154" t="s">
        <v>1495</v>
      </c>
      <c r="C1154" t="s">
        <v>36</v>
      </c>
      <c r="D1154" t="s">
        <v>26</v>
      </c>
      <c r="E1154" s="7">
        <v>45630</v>
      </c>
      <c r="F1154" t="s">
        <v>126</v>
      </c>
      <c r="G1154">
        <v>0</v>
      </c>
      <c r="H1154" t="s">
        <v>130</v>
      </c>
      <c r="I1154" t="s">
        <v>16</v>
      </c>
      <c r="J1154" t="s">
        <v>16</v>
      </c>
      <c r="K1154" t="str">
        <f>VLOOKUP(C1154,CheckName!A:B,2,0)</f>
        <v>Emp</v>
      </c>
      <c r="M1154">
        <f>DAY(RejectionData[[#This Row],[RejectionDate]])</f>
        <v>4</v>
      </c>
    </row>
    <row r="1155" spans="1:13">
      <c r="A1155" t="s">
        <v>45</v>
      </c>
      <c r="B1155" t="s">
        <v>1496</v>
      </c>
      <c r="C1155" t="s">
        <v>12</v>
      </c>
      <c r="D1155" t="s">
        <v>26</v>
      </c>
      <c r="E1155" s="7">
        <v>45630</v>
      </c>
      <c r="F1155" t="s">
        <v>126</v>
      </c>
      <c r="G1155">
        <v>0</v>
      </c>
      <c r="H1155" t="s">
        <v>27</v>
      </c>
      <c r="I1155" t="s">
        <v>16</v>
      </c>
      <c r="J1155" t="s">
        <v>16</v>
      </c>
      <c r="K1155" t="str">
        <f>VLOOKUP(C1155,CheckName!A:B,2,0)</f>
        <v>Emp</v>
      </c>
      <c r="M1155">
        <f>DAY(RejectionData[[#This Row],[RejectionDate]])</f>
        <v>4</v>
      </c>
    </row>
    <row r="1156" spans="1:13">
      <c r="A1156" t="s">
        <v>137</v>
      </c>
      <c r="B1156" t="s">
        <v>1497</v>
      </c>
      <c r="C1156" t="s">
        <v>25</v>
      </c>
      <c r="D1156" t="s">
        <v>20</v>
      </c>
      <c r="E1156" s="7">
        <v>45630</v>
      </c>
      <c r="F1156" t="s">
        <v>129</v>
      </c>
      <c r="G1156">
        <v>0</v>
      </c>
      <c r="H1156" t="s">
        <v>22</v>
      </c>
      <c r="I1156" t="s">
        <v>16</v>
      </c>
      <c r="J1156" t="s">
        <v>16</v>
      </c>
      <c r="K1156" t="str">
        <f>VLOOKUP(C1156,CheckName!A:B,2,0)</f>
        <v>Add</v>
      </c>
      <c r="M1156">
        <f>DAY(RejectionData[[#This Row],[RejectionDate]])</f>
        <v>4</v>
      </c>
    </row>
    <row r="1157" spans="1:13">
      <c r="A1157" t="s">
        <v>1088</v>
      </c>
      <c r="B1157" t="s">
        <v>1498</v>
      </c>
      <c r="C1157" t="s">
        <v>12</v>
      </c>
      <c r="D1157" t="s">
        <v>26</v>
      </c>
      <c r="E1157" s="7">
        <v>45629</v>
      </c>
      <c r="F1157" t="s">
        <v>311</v>
      </c>
      <c r="G1157">
        <v>1</v>
      </c>
      <c r="H1157" t="s">
        <v>22</v>
      </c>
      <c r="I1157" t="s">
        <v>16</v>
      </c>
      <c r="J1157" t="s">
        <v>16</v>
      </c>
      <c r="K1157" t="str">
        <f>VLOOKUP(C1157,CheckName!A:B,2,0)</f>
        <v>Emp</v>
      </c>
      <c r="M1157">
        <f>DAY(RejectionData[[#This Row],[RejectionDate]])</f>
        <v>3</v>
      </c>
    </row>
    <row r="1158" spans="1:13">
      <c r="A1158" t="s">
        <v>100</v>
      </c>
      <c r="B1158" t="s">
        <v>1499</v>
      </c>
      <c r="C1158" t="s">
        <v>359</v>
      </c>
      <c r="D1158" t="s">
        <v>26</v>
      </c>
      <c r="E1158" s="7">
        <v>45625</v>
      </c>
      <c r="F1158" t="s">
        <v>380</v>
      </c>
      <c r="G1158">
        <v>5</v>
      </c>
      <c r="H1158" t="s">
        <v>27</v>
      </c>
      <c r="I1158" t="s">
        <v>16</v>
      </c>
      <c r="J1158" t="s">
        <v>16</v>
      </c>
      <c r="K1158" t="str">
        <f>VLOOKUP(C1158,CheckName!A:B,2,0)</f>
        <v>Emp</v>
      </c>
      <c r="M1158">
        <f>DAY(RejectionData[[#This Row],[RejectionDate]])</f>
        <v>29</v>
      </c>
    </row>
    <row r="1159" spans="1:13">
      <c r="A1159" t="s">
        <v>45</v>
      </c>
      <c r="B1159" t="s">
        <v>1500</v>
      </c>
      <c r="C1159" t="s">
        <v>36</v>
      </c>
      <c r="D1159" t="s">
        <v>26</v>
      </c>
      <c r="E1159" s="7">
        <v>45621</v>
      </c>
      <c r="F1159" t="s">
        <v>179</v>
      </c>
      <c r="G1159">
        <v>9</v>
      </c>
      <c r="H1159" t="s">
        <v>27</v>
      </c>
      <c r="I1159" t="s">
        <v>16</v>
      </c>
      <c r="J1159" t="s">
        <v>16</v>
      </c>
      <c r="K1159" t="str">
        <f>VLOOKUP(C1159,CheckName!A:B,2,0)</f>
        <v>Emp</v>
      </c>
      <c r="M1159">
        <f>DAY(RejectionData[[#This Row],[RejectionDate]])</f>
        <v>25</v>
      </c>
    </row>
    <row r="1160" spans="1:13">
      <c r="A1160" t="s">
        <v>685</v>
      </c>
      <c r="B1160" t="s">
        <v>1501</v>
      </c>
      <c r="C1160" t="s">
        <v>54</v>
      </c>
      <c r="D1160" t="s">
        <v>26</v>
      </c>
      <c r="E1160" s="7">
        <v>45617</v>
      </c>
      <c r="F1160" t="s">
        <v>103</v>
      </c>
      <c r="G1160">
        <v>13</v>
      </c>
      <c r="H1160" t="s">
        <v>27</v>
      </c>
      <c r="I1160" t="s">
        <v>16</v>
      </c>
      <c r="J1160" t="s">
        <v>16</v>
      </c>
      <c r="K1160" t="str">
        <f>VLOOKUP(C1160,CheckName!A:B,2,0)</f>
        <v>Edu</v>
      </c>
      <c r="M1160">
        <f>DAY(RejectionData[[#This Row],[RejectionDate]])</f>
        <v>21</v>
      </c>
    </row>
    <row r="1161" spans="1:13">
      <c r="A1161" t="s">
        <v>180</v>
      </c>
      <c r="B1161" t="s">
        <v>1502</v>
      </c>
      <c r="C1161" t="s">
        <v>54</v>
      </c>
      <c r="D1161" t="s">
        <v>13</v>
      </c>
      <c r="E1161" s="7">
        <v>45631</v>
      </c>
      <c r="F1161" t="s">
        <v>14</v>
      </c>
      <c r="G1161">
        <v>0</v>
      </c>
      <c r="H1161" t="s">
        <v>15</v>
      </c>
      <c r="I1161" t="s">
        <v>16</v>
      </c>
      <c r="J1161" t="s">
        <v>16</v>
      </c>
      <c r="K1161" t="str">
        <f>VLOOKUP(C1161,CheckName!A:B,2,0)</f>
        <v>Edu</v>
      </c>
      <c r="M1161">
        <f>DAY(RejectionData[[#This Row],[RejectionDate]])</f>
        <v>5</v>
      </c>
    </row>
    <row r="1162" spans="1:13">
      <c r="A1162" t="s">
        <v>10</v>
      </c>
      <c r="B1162" t="s">
        <v>1503</v>
      </c>
      <c r="C1162" t="s">
        <v>36</v>
      </c>
      <c r="D1162" t="s">
        <v>13</v>
      </c>
      <c r="E1162" s="7">
        <v>45631</v>
      </c>
      <c r="F1162" t="s">
        <v>14</v>
      </c>
      <c r="G1162">
        <v>0</v>
      </c>
      <c r="H1162" t="s">
        <v>15</v>
      </c>
      <c r="I1162" t="s">
        <v>16</v>
      </c>
      <c r="J1162" t="s">
        <v>16</v>
      </c>
      <c r="K1162" t="str">
        <f>VLOOKUP(C1162,CheckName!A:B,2,0)</f>
        <v>Emp</v>
      </c>
      <c r="M1162">
        <f>DAY(RejectionData[[#This Row],[RejectionDate]])</f>
        <v>5</v>
      </c>
    </row>
    <row r="1163" spans="1:13">
      <c r="A1163" t="s">
        <v>10</v>
      </c>
      <c r="B1163" t="s">
        <v>1503</v>
      </c>
      <c r="C1163" t="s">
        <v>12</v>
      </c>
      <c r="D1163" t="s">
        <v>13</v>
      </c>
      <c r="E1163" s="7">
        <v>45631</v>
      </c>
      <c r="F1163" t="s">
        <v>14</v>
      </c>
      <c r="G1163">
        <v>0</v>
      </c>
      <c r="H1163" t="s">
        <v>15</v>
      </c>
      <c r="I1163" t="s">
        <v>16</v>
      </c>
      <c r="J1163" t="s">
        <v>16</v>
      </c>
      <c r="K1163" t="str">
        <f>VLOOKUP(C1163,CheckName!A:B,2,0)</f>
        <v>Emp</v>
      </c>
      <c r="M1163">
        <f>DAY(RejectionData[[#This Row],[RejectionDate]])</f>
        <v>5</v>
      </c>
    </row>
    <row r="1164" spans="1:13">
      <c r="A1164" t="s">
        <v>1237</v>
      </c>
      <c r="B1164" t="s">
        <v>1504</v>
      </c>
      <c r="C1164" t="s">
        <v>71</v>
      </c>
      <c r="D1164" t="s">
        <v>13</v>
      </c>
      <c r="E1164" s="7">
        <v>45631</v>
      </c>
      <c r="F1164" t="s">
        <v>1310</v>
      </c>
      <c r="G1164">
        <v>0</v>
      </c>
      <c r="H1164" t="s">
        <v>30</v>
      </c>
      <c r="I1164" t="s">
        <v>16</v>
      </c>
      <c r="J1164" t="s">
        <v>16</v>
      </c>
      <c r="K1164" t="str">
        <f>VLOOKUP(C1164,CheckName!A:B,2,0)</f>
        <v>CRC</v>
      </c>
      <c r="M1164">
        <f>DAY(RejectionData[[#This Row],[RejectionDate]])</f>
        <v>5</v>
      </c>
    </row>
    <row r="1165" spans="1:13">
      <c r="A1165" t="s">
        <v>100</v>
      </c>
      <c r="B1165" t="s">
        <v>1505</v>
      </c>
      <c r="C1165" t="s">
        <v>357</v>
      </c>
      <c r="D1165" t="s">
        <v>51</v>
      </c>
      <c r="E1165" s="7">
        <v>45631</v>
      </c>
      <c r="F1165" t="s">
        <v>555</v>
      </c>
      <c r="G1165">
        <v>0</v>
      </c>
      <c r="H1165" t="s">
        <v>53</v>
      </c>
      <c r="I1165" t="s">
        <v>16</v>
      </c>
      <c r="J1165" t="s">
        <v>16</v>
      </c>
      <c r="K1165" t="str">
        <f>VLOOKUP(C1165,CheckName!A:B,2,0)</f>
        <v>Emp</v>
      </c>
      <c r="M1165">
        <f>DAY(RejectionData[[#This Row],[RejectionDate]])</f>
        <v>5</v>
      </c>
    </row>
    <row r="1166" spans="1:13">
      <c r="A1166" t="s">
        <v>176</v>
      </c>
      <c r="B1166" t="s">
        <v>1506</v>
      </c>
      <c r="C1166" t="s">
        <v>12</v>
      </c>
      <c r="D1166" t="s">
        <v>51</v>
      </c>
      <c r="E1166" s="7">
        <v>45631</v>
      </c>
      <c r="F1166" t="s">
        <v>52</v>
      </c>
      <c r="G1166">
        <v>0</v>
      </c>
      <c r="H1166" t="s">
        <v>53</v>
      </c>
      <c r="I1166" t="s">
        <v>16</v>
      </c>
      <c r="J1166" t="s">
        <v>16</v>
      </c>
      <c r="K1166" t="str">
        <f>VLOOKUP(C1166,CheckName!A:B,2,0)</f>
        <v>Emp</v>
      </c>
      <c r="M1166">
        <f>DAY(RejectionData[[#This Row],[RejectionDate]])</f>
        <v>5</v>
      </c>
    </row>
    <row r="1167" spans="1:13">
      <c r="A1167" t="s">
        <v>45</v>
      </c>
      <c r="B1167" t="s">
        <v>1507</v>
      </c>
      <c r="C1167" t="s">
        <v>259</v>
      </c>
      <c r="D1167" t="s">
        <v>51</v>
      </c>
      <c r="E1167" s="7">
        <v>45631</v>
      </c>
      <c r="F1167" t="s">
        <v>509</v>
      </c>
      <c r="G1167">
        <v>0</v>
      </c>
      <c r="H1167" t="s">
        <v>53</v>
      </c>
      <c r="I1167" t="s">
        <v>16</v>
      </c>
      <c r="J1167" t="s">
        <v>16</v>
      </c>
      <c r="K1167" t="str">
        <f>VLOOKUP(C1167,CheckName!A:B,2,0)</f>
        <v>Emp</v>
      </c>
      <c r="M1167">
        <f>DAY(RejectionData[[#This Row],[RejectionDate]])</f>
        <v>5</v>
      </c>
    </row>
    <row r="1168" spans="1:13">
      <c r="A1168" t="s">
        <v>45</v>
      </c>
      <c r="B1168" t="s">
        <v>1507</v>
      </c>
      <c r="C1168" t="s">
        <v>259</v>
      </c>
      <c r="D1168" t="s">
        <v>51</v>
      </c>
      <c r="E1168" s="7">
        <v>45631</v>
      </c>
      <c r="F1168" t="s">
        <v>509</v>
      </c>
      <c r="G1168">
        <v>0</v>
      </c>
      <c r="H1168" t="s">
        <v>53</v>
      </c>
      <c r="I1168" t="s">
        <v>16</v>
      </c>
      <c r="J1168" t="s">
        <v>16</v>
      </c>
      <c r="K1168" t="str">
        <f>VLOOKUP(C1168,CheckName!A:B,2,0)</f>
        <v>Emp</v>
      </c>
      <c r="M1168">
        <f>DAY(RejectionData[[#This Row],[RejectionDate]])</f>
        <v>5</v>
      </c>
    </row>
    <row r="1169" spans="1:13">
      <c r="A1169" t="s">
        <v>45</v>
      </c>
      <c r="B1169" t="s">
        <v>1508</v>
      </c>
      <c r="C1169" t="s">
        <v>12</v>
      </c>
      <c r="D1169" t="s">
        <v>26</v>
      </c>
      <c r="E1169" s="7">
        <v>45631</v>
      </c>
      <c r="F1169" t="s">
        <v>184</v>
      </c>
      <c r="G1169">
        <v>0</v>
      </c>
      <c r="H1169" t="s">
        <v>27</v>
      </c>
      <c r="I1169" t="s">
        <v>16</v>
      </c>
      <c r="J1169" t="s">
        <v>16</v>
      </c>
      <c r="K1169" t="str">
        <f>VLOOKUP(C1169,CheckName!A:B,2,0)</f>
        <v>Emp</v>
      </c>
      <c r="M1169">
        <f>DAY(RejectionData[[#This Row],[RejectionDate]])</f>
        <v>5</v>
      </c>
    </row>
    <row r="1170" spans="1:13">
      <c r="A1170" t="s">
        <v>306</v>
      </c>
      <c r="B1170" t="s">
        <v>1509</v>
      </c>
      <c r="C1170" t="s">
        <v>1103</v>
      </c>
      <c r="D1170" t="s">
        <v>13</v>
      </c>
      <c r="E1170" s="7">
        <v>45631</v>
      </c>
      <c r="F1170" t="s">
        <v>844</v>
      </c>
      <c r="G1170">
        <v>0</v>
      </c>
      <c r="H1170" t="s">
        <v>15</v>
      </c>
      <c r="I1170" t="s">
        <v>16</v>
      </c>
      <c r="J1170" t="s">
        <v>16</v>
      </c>
      <c r="K1170" t="str">
        <f>VLOOKUP(C1170,CheckName!A:B,2,0)</f>
        <v>CRC</v>
      </c>
      <c r="M1170">
        <f>DAY(RejectionData[[#This Row],[RejectionDate]])</f>
        <v>5</v>
      </c>
    </row>
    <row r="1171" spans="1:13">
      <c r="A1171" t="s">
        <v>306</v>
      </c>
      <c r="B1171" t="s">
        <v>1509</v>
      </c>
      <c r="C1171" t="s">
        <v>1510</v>
      </c>
      <c r="D1171" t="s">
        <v>13</v>
      </c>
      <c r="E1171" s="7">
        <v>45631</v>
      </c>
      <c r="F1171" t="s">
        <v>844</v>
      </c>
      <c r="G1171">
        <v>0</v>
      </c>
      <c r="H1171" t="s">
        <v>15</v>
      </c>
      <c r="I1171" t="s">
        <v>16</v>
      </c>
      <c r="J1171" t="s">
        <v>16</v>
      </c>
      <c r="K1171" t="str">
        <f>VLOOKUP(C1171,CheckName!A:B,2,0)</f>
        <v>Add</v>
      </c>
      <c r="M1171">
        <f>DAY(RejectionData[[#This Row],[RejectionDate]])</f>
        <v>5</v>
      </c>
    </row>
    <row r="1172" spans="1:13">
      <c r="A1172" t="s">
        <v>432</v>
      </c>
      <c r="B1172" t="s">
        <v>1511</v>
      </c>
      <c r="C1172" t="s">
        <v>467</v>
      </c>
      <c r="D1172" t="s">
        <v>13</v>
      </c>
      <c r="E1172" s="7">
        <v>45631</v>
      </c>
      <c r="F1172" t="s">
        <v>1421</v>
      </c>
      <c r="G1172">
        <v>0</v>
      </c>
      <c r="H1172" t="s">
        <v>15</v>
      </c>
      <c r="I1172" t="s">
        <v>16</v>
      </c>
      <c r="J1172" t="s">
        <v>16</v>
      </c>
      <c r="K1172" t="str">
        <f>VLOOKUP(C1172,CheckName!A:B,2,0)</f>
        <v>Special Check</v>
      </c>
      <c r="M1172">
        <f>DAY(RejectionData[[#This Row],[RejectionDate]])</f>
        <v>5</v>
      </c>
    </row>
    <row r="1173" spans="1:13">
      <c r="A1173" t="s">
        <v>432</v>
      </c>
      <c r="B1173" t="s">
        <v>1512</v>
      </c>
      <c r="C1173" t="s">
        <v>36</v>
      </c>
      <c r="D1173" t="s">
        <v>13</v>
      </c>
      <c r="E1173" s="7">
        <v>45631</v>
      </c>
      <c r="F1173" t="s">
        <v>1421</v>
      </c>
      <c r="G1173">
        <v>0</v>
      </c>
      <c r="H1173" t="s">
        <v>15</v>
      </c>
      <c r="I1173" t="s">
        <v>16</v>
      </c>
      <c r="J1173" t="s">
        <v>16</v>
      </c>
      <c r="K1173" t="str">
        <f>VLOOKUP(C1173,CheckName!A:B,2,0)</f>
        <v>Emp</v>
      </c>
      <c r="M1173">
        <f>DAY(RejectionData[[#This Row],[RejectionDate]])</f>
        <v>5</v>
      </c>
    </row>
    <row r="1174" spans="1:13">
      <c r="A1174" t="s">
        <v>1358</v>
      </c>
      <c r="B1174" t="s">
        <v>1513</v>
      </c>
      <c r="C1174" t="s">
        <v>36</v>
      </c>
      <c r="D1174" t="s">
        <v>13</v>
      </c>
      <c r="E1174" s="7">
        <v>45631</v>
      </c>
      <c r="F1174" t="s">
        <v>107</v>
      </c>
      <c r="G1174">
        <v>0</v>
      </c>
      <c r="H1174" t="s">
        <v>15</v>
      </c>
      <c r="I1174" t="s">
        <v>16</v>
      </c>
      <c r="J1174" t="s">
        <v>16</v>
      </c>
      <c r="K1174" t="str">
        <f>VLOOKUP(C1174,CheckName!A:B,2,0)</f>
        <v>Emp</v>
      </c>
      <c r="M1174">
        <f>DAY(RejectionData[[#This Row],[RejectionDate]])</f>
        <v>5</v>
      </c>
    </row>
    <row r="1175" spans="1:13">
      <c r="A1175" t="s">
        <v>391</v>
      </c>
      <c r="B1175" t="s">
        <v>1514</v>
      </c>
      <c r="C1175" t="s">
        <v>54</v>
      </c>
      <c r="D1175" t="s">
        <v>13</v>
      </c>
      <c r="E1175" s="7">
        <v>45631</v>
      </c>
      <c r="F1175" t="s">
        <v>107</v>
      </c>
      <c r="G1175">
        <v>0</v>
      </c>
      <c r="H1175" t="s">
        <v>15</v>
      </c>
      <c r="I1175" t="s">
        <v>16</v>
      </c>
      <c r="J1175" t="s">
        <v>16</v>
      </c>
      <c r="K1175" t="str">
        <f>VLOOKUP(C1175,CheckName!A:B,2,0)</f>
        <v>Edu</v>
      </c>
      <c r="M1175">
        <f>DAY(RejectionData[[#This Row],[RejectionDate]])</f>
        <v>5</v>
      </c>
    </row>
    <row r="1176" spans="1:13">
      <c r="A1176" t="s">
        <v>84</v>
      </c>
      <c r="B1176" t="s">
        <v>1515</v>
      </c>
      <c r="C1176" t="s">
        <v>125</v>
      </c>
      <c r="D1176" t="s">
        <v>26</v>
      </c>
      <c r="E1176" s="7">
        <v>45631</v>
      </c>
      <c r="F1176" t="s">
        <v>110</v>
      </c>
      <c r="G1176">
        <v>0</v>
      </c>
      <c r="H1176" t="s">
        <v>27</v>
      </c>
      <c r="I1176" t="s">
        <v>16</v>
      </c>
      <c r="J1176" t="s">
        <v>16</v>
      </c>
      <c r="K1176" t="str">
        <f>VLOOKUP(C1176,CheckName!A:B,2,0)</f>
        <v>Emp</v>
      </c>
      <c r="M1176">
        <f>DAY(RejectionData[[#This Row],[RejectionDate]])</f>
        <v>5</v>
      </c>
    </row>
    <row r="1177" spans="1:13">
      <c r="A1177" t="s">
        <v>142</v>
      </c>
      <c r="B1177" t="s">
        <v>1516</v>
      </c>
      <c r="C1177" t="s">
        <v>12</v>
      </c>
      <c r="D1177" t="s">
        <v>26</v>
      </c>
      <c r="E1177" s="7">
        <v>45630</v>
      </c>
      <c r="F1177" t="s">
        <v>110</v>
      </c>
      <c r="G1177">
        <v>1</v>
      </c>
      <c r="H1177" t="s">
        <v>27</v>
      </c>
      <c r="I1177" t="s">
        <v>16</v>
      </c>
      <c r="J1177" t="s">
        <v>16</v>
      </c>
      <c r="K1177" t="str">
        <f>VLOOKUP(C1177,CheckName!A:B,2,0)</f>
        <v>Emp</v>
      </c>
      <c r="M1177">
        <f>DAY(RejectionData[[#This Row],[RejectionDate]])</f>
        <v>4</v>
      </c>
    </row>
    <row r="1178" spans="1:13">
      <c r="A1178" t="s">
        <v>237</v>
      </c>
      <c r="B1178" t="s">
        <v>1517</v>
      </c>
      <c r="C1178" t="s">
        <v>36</v>
      </c>
      <c r="D1178" t="s">
        <v>26</v>
      </c>
      <c r="E1178" s="7">
        <v>45630</v>
      </c>
      <c r="F1178" t="s">
        <v>301</v>
      </c>
      <c r="G1178">
        <v>1</v>
      </c>
      <c r="H1178" t="s">
        <v>130</v>
      </c>
      <c r="I1178" t="s">
        <v>16</v>
      </c>
      <c r="J1178" t="s">
        <v>16</v>
      </c>
      <c r="K1178" t="str">
        <f>VLOOKUP(C1178,CheckName!A:B,2,0)</f>
        <v>Emp</v>
      </c>
      <c r="M1178">
        <f>DAY(RejectionData[[#This Row],[RejectionDate]])</f>
        <v>4</v>
      </c>
    </row>
    <row r="1179" spans="1:13">
      <c r="A1179" t="s">
        <v>176</v>
      </c>
      <c r="B1179" t="s">
        <v>1518</v>
      </c>
      <c r="C1179" t="s">
        <v>106</v>
      </c>
      <c r="D1179" t="s">
        <v>26</v>
      </c>
      <c r="E1179" s="7">
        <v>45630</v>
      </c>
      <c r="F1179" t="s">
        <v>294</v>
      </c>
      <c r="G1179">
        <v>1</v>
      </c>
      <c r="H1179" t="s">
        <v>27</v>
      </c>
      <c r="I1179" t="s">
        <v>16</v>
      </c>
      <c r="J1179" t="s">
        <v>16</v>
      </c>
      <c r="K1179" t="str">
        <f>VLOOKUP(C1179,CheckName!A:B,2,0)</f>
        <v>Ref</v>
      </c>
      <c r="M1179">
        <f>DAY(RejectionData[[#This Row],[RejectionDate]])</f>
        <v>4</v>
      </c>
    </row>
    <row r="1180" spans="1:13">
      <c r="A1180" t="s">
        <v>186</v>
      </c>
      <c r="B1180" t="s">
        <v>1519</v>
      </c>
      <c r="C1180" t="s">
        <v>12</v>
      </c>
      <c r="D1180" t="s">
        <v>26</v>
      </c>
      <c r="E1180" s="7">
        <v>45630</v>
      </c>
      <c r="F1180" t="s">
        <v>162</v>
      </c>
      <c r="G1180">
        <v>1</v>
      </c>
      <c r="H1180" t="s">
        <v>27</v>
      </c>
      <c r="I1180" t="s">
        <v>16</v>
      </c>
      <c r="J1180" t="s">
        <v>16</v>
      </c>
      <c r="K1180" t="str">
        <f>VLOOKUP(C1180,CheckName!A:B,2,0)</f>
        <v>Emp</v>
      </c>
      <c r="M1180">
        <f>DAY(RejectionData[[#This Row],[RejectionDate]])</f>
        <v>4</v>
      </c>
    </row>
    <row r="1181" spans="1:13">
      <c r="A1181" t="s">
        <v>306</v>
      </c>
      <c r="B1181" t="s">
        <v>1520</v>
      </c>
      <c r="C1181" t="s">
        <v>71</v>
      </c>
      <c r="D1181" t="s">
        <v>38</v>
      </c>
      <c r="E1181" s="7">
        <v>45630</v>
      </c>
      <c r="F1181" t="s">
        <v>108</v>
      </c>
      <c r="G1181">
        <v>1</v>
      </c>
      <c r="H1181" t="s">
        <v>42</v>
      </c>
      <c r="I1181" t="s">
        <v>16</v>
      </c>
      <c r="J1181" t="s">
        <v>16</v>
      </c>
      <c r="K1181" t="str">
        <f>VLOOKUP(C1181,CheckName!A:B,2,0)</f>
        <v>CRC</v>
      </c>
      <c r="M1181">
        <f>DAY(RejectionData[[#This Row],[RejectionDate]])</f>
        <v>4</v>
      </c>
    </row>
    <row r="1182" spans="1:13">
      <c r="A1182" t="s">
        <v>133</v>
      </c>
      <c r="B1182" t="s">
        <v>1521</v>
      </c>
      <c r="C1182" t="s">
        <v>71</v>
      </c>
      <c r="D1182" t="s">
        <v>38</v>
      </c>
      <c r="E1182" s="7">
        <v>45630</v>
      </c>
      <c r="F1182" t="s">
        <v>108</v>
      </c>
      <c r="G1182">
        <v>1</v>
      </c>
      <c r="H1182" t="s">
        <v>42</v>
      </c>
      <c r="I1182" t="s">
        <v>16</v>
      </c>
      <c r="J1182" t="s">
        <v>16</v>
      </c>
      <c r="K1182" t="str">
        <f>VLOOKUP(C1182,CheckName!A:B,2,0)</f>
        <v>CRC</v>
      </c>
      <c r="M1182">
        <f>DAY(RejectionData[[#This Row],[RejectionDate]])</f>
        <v>4</v>
      </c>
    </row>
    <row r="1183" spans="1:13">
      <c r="A1183" t="s">
        <v>216</v>
      </c>
      <c r="B1183" t="s">
        <v>982</v>
      </c>
      <c r="C1183" t="s">
        <v>71</v>
      </c>
      <c r="D1183" t="s">
        <v>38</v>
      </c>
      <c r="E1183" s="7">
        <v>45630</v>
      </c>
      <c r="F1183" t="s">
        <v>108</v>
      </c>
      <c r="G1183">
        <v>1</v>
      </c>
      <c r="H1183" t="s">
        <v>42</v>
      </c>
      <c r="I1183" t="s">
        <v>16</v>
      </c>
      <c r="J1183" t="s">
        <v>16</v>
      </c>
      <c r="K1183" t="str">
        <f>VLOOKUP(C1183,CheckName!A:B,2,0)</f>
        <v>CRC</v>
      </c>
      <c r="M1183">
        <f>DAY(RejectionData[[#This Row],[RejectionDate]])</f>
        <v>4</v>
      </c>
    </row>
    <row r="1184" spans="1:13">
      <c r="A1184" t="s">
        <v>1140</v>
      </c>
      <c r="B1184" t="s">
        <v>1522</v>
      </c>
      <c r="C1184" t="s">
        <v>12</v>
      </c>
      <c r="D1184" t="s">
        <v>26</v>
      </c>
      <c r="E1184" s="7">
        <v>45630</v>
      </c>
      <c r="F1184" t="s">
        <v>148</v>
      </c>
      <c r="G1184">
        <v>1</v>
      </c>
      <c r="H1184" t="s">
        <v>27</v>
      </c>
      <c r="I1184" t="s">
        <v>16</v>
      </c>
      <c r="J1184" t="s">
        <v>16</v>
      </c>
      <c r="K1184" t="str">
        <f>VLOOKUP(C1184,CheckName!A:B,2,0)</f>
        <v>Emp</v>
      </c>
      <c r="M1184">
        <f>DAY(RejectionData[[#This Row],[RejectionDate]])</f>
        <v>4</v>
      </c>
    </row>
    <row r="1185" spans="1:13">
      <c r="A1185" t="s">
        <v>1408</v>
      </c>
      <c r="B1185" t="s">
        <v>1523</v>
      </c>
      <c r="C1185" t="s">
        <v>25</v>
      </c>
      <c r="D1185" t="s">
        <v>20</v>
      </c>
      <c r="E1185" s="7">
        <v>45630</v>
      </c>
      <c r="F1185" t="s">
        <v>129</v>
      </c>
      <c r="G1185">
        <v>1</v>
      </c>
      <c r="H1185" t="s">
        <v>22</v>
      </c>
      <c r="I1185" t="s">
        <v>16</v>
      </c>
      <c r="J1185" t="s">
        <v>16</v>
      </c>
      <c r="K1185" t="str">
        <f>VLOOKUP(C1185,CheckName!A:B,2,0)</f>
        <v>Add</v>
      </c>
      <c r="M1185">
        <f>DAY(RejectionData[[#This Row],[RejectionDate]])</f>
        <v>4</v>
      </c>
    </row>
    <row r="1186" spans="1:13">
      <c r="A1186" t="s">
        <v>176</v>
      </c>
      <c r="B1186" t="s">
        <v>1524</v>
      </c>
      <c r="C1186" t="s">
        <v>54</v>
      </c>
      <c r="D1186" t="s">
        <v>13</v>
      </c>
      <c r="E1186" s="7">
        <v>45630</v>
      </c>
      <c r="F1186" t="s">
        <v>530</v>
      </c>
      <c r="G1186">
        <v>1</v>
      </c>
      <c r="H1186" t="s">
        <v>15</v>
      </c>
      <c r="I1186" t="s">
        <v>16</v>
      </c>
      <c r="J1186" t="s">
        <v>16</v>
      </c>
      <c r="K1186" t="str">
        <f>VLOOKUP(C1186,CheckName!A:B,2,0)</f>
        <v>Edu</v>
      </c>
      <c r="M1186">
        <f>DAY(RejectionData[[#This Row],[RejectionDate]])</f>
        <v>4</v>
      </c>
    </row>
    <row r="1187" spans="1:13">
      <c r="A1187" t="s">
        <v>461</v>
      </c>
      <c r="B1187" t="s">
        <v>1525</v>
      </c>
      <c r="C1187" t="s">
        <v>12</v>
      </c>
      <c r="D1187" t="s">
        <v>13</v>
      </c>
      <c r="E1187" s="7">
        <v>45630</v>
      </c>
      <c r="F1187" t="s">
        <v>530</v>
      </c>
      <c r="G1187">
        <v>1</v>
      </c>
      <c r="H1187" t="s">
        <v>15</v>
      </c>
      <c r="I1187" t="s">
        <v>16</v>
      </c>
      <c r="J1187" t="s">
        <v>16</v>
      </c>
      <c r="K1187" t="str">
        <f>VLOOKUP(C1187,CheckName!A:B,2,0)</f>
        <v>Emp</v>
      </c>
      <c r="M1187">
        <f>DAY(RejectionData[[#This Row],[RejectionDate]])</f>
        <v>4</v>
      </c>
    </row>
    <row r="1188" spans="1:13">
      <c r="A1188" t="s">
        <v>91</v>
      </c>
      <c r="B1188" t="s">
        <v>1526</v>
      </c>
      <c r="C1188" t="s">
        <v>587</v>
      </c>
      <c r="D1188" t="s">
        <v>13</v>
      </c>
      <c r="E1188" s="7">
        <v>45630</v>
      </c>
      <c r="F1188" t="s">
        <v>530</v>
      </c>
      <c r="G1188">
        <v>1</v>
      </c>
      <c r="H1188" t="s">
        <v>30</v>
      </c>
      <c r="I1188" t="s">
        <v>16</v>
      </c>
      <c r="J1188" t="s">
        <v>16</v>
      </c>
      <c r="K1188" t="str">
        <f>VLOOKUP(C1188,CheckName!A:B,2,0)</f>
        <v>Add</v>
      </c>
      <c r="M1188">
        <f>DAY(RejectionData[[#This Row],[RejectionDate]])</f>
        <v>4</v>
      </c>
    </row>
    <row r="1189" spans="1:13">
      <c r="A1189" t="s">
        <v>385</v>
      </c>
      <c r="B1189" t="s">
        <v>1527</v>
      </c>
      <c r="C1189" t="s">
        <v>1528</v>
      </c>
      <c r="D1189" t="s">
        <v>13</v>
      </c>
      <c r="E1189" s="7">
        <v>45630</v>
      </c>
      <c r="F1189" t="s">
        <v>1421</v>
      </c>
      <c r="G1189">
        <v>1</v>
      </c>
      <c r="H1189" t="s">
        <v>15</v>
      </c>
      <c r="I1189" t="s">
        <v>16</v>
      </c>
      <c r="J1189" t="s">
        <v>16</v>
      </c>
      <c r="K1189" t="str">
        <f>VLOOKUP(C1189,CheckName!A:B,2,0)</f>
        <v>Special Check</v>
      </c>
      <c r="M1189">
        <f>DAY(RejectionData[[#This Row],[RejectionDate]])</f>
        <v>4</v>
      </c>
    </row>
    <row r="1190" spans="1:13">
      <c r="A1190" t="s">
        <v>1529</v>
      </c>
      <c r="B1190" t="s">
        <v>1530</v>
      </c>
      <c r="C1190" t="s">
        <v>93</v>
      </c>
      <c r="D1190" t="s">
        <v>13</v>
      </c>
      <c r="E1190" s="7">
        <v>45630</v>
      </c>
      <c r="F1190" t="s">
        <v>1421</v>
      </c>
      <c r="G1190">
        <v>1</v>
      </c>
      <c r="H1190" t="s">
        <v>15</v>
      </c>
      <c r="I1190" t="s">
        <v>16</v>
      </c>
      <c r="J1190" t="s">
        <v>16</v>
      </c>
      <c r="K1190" t="str">
        <f>VLOOKUP(C1190,CheckName!A:B,2,0)</f>
        <v>Edu</v>
      </c>
      <c r="M1190">
        <f>DAY(RejectionData[[#This Row],[RejectionDate]])</f>
        <v>4</v>
      </c>
    </row>
    <row r="1191" spans="1:13">
      <c r="A1191" t="s">
        <v>119</v>
      </c>
      <c r="B1191" t="s">
        <v>707</v>
      </c>
      <c r="C1191" t="s">
        <v>36</v>
      </c>
      <c r="D1191" t="s">
        <v>26</v>
      </c>
      <c r="E1191" s="7">
        <v>45630</v>
      </c>
      <c r="F1191" t="s">
        <v>311</v>
      </c>
      <c r="G1191">
        <v>1</v>
      </c>
      <c r="H1191" t="s">
        <v>130</v>
      </c>
      <c r="I1191" t="s">
        <v>16</v>
      </c>
      <c r="J1191" t="s">
        <v>16</v>
      </c>
      <c r="K1191" t="str">
        <f>VLOOKUP(C1191,CheckName!A:B,2,0)</f>
        <v>Emp</v>
      </c>
      <c r="M1191">
        <f>DAY(RejectionData[[#This Row],[RejectionDate]])</f>
        <v>4</v>
      </c>
    </row>
    <row r="1192" spans="1:13">
      <c r="A1192" t="s">
        <v>461</v>
      </c>
      <c r="B1192" t="s">
        <v>1531</v>
      </c>
      <c r="C1192" t="s">
        <v>54</v>
      </c>
      <c r="D1192" t="s">
        <v>26</v>
      </c>
      <c r="E1192" s="7">
        <v>45630</v>
      </c>
      <c r="F1192" t="s">
        <v>94</v>
      </c>
      <c r="G1192">
        <v>1</v>
      </c>
      <c r="H1192" t="s">
        <v>27</v>
      </c>
      <c r="I1192" t="s">
        <v>16</v>
      </c>
      <c r="J1192" t="s">
        <v>16</v>
      </c>
      <c r="K1192" t="str">
        <f>VLOOKUP(C1192,CheckName!A:B,2,0)</f>
        <v>Edu</v>
      </c>
      <c r="M1192">
        <f>DAY(RejectionData[[#This Row],[RejectionDate]])</f>
        <v>4</v>
      </c>
    </row>
    <row r="1193" spans="1:13">
      <c r="A1193" t="s">
        <v>281</v>
      </c>
      <c r="B1193" t="s">
        <v>1532</v>
      </c>
      <c r="C1193" t="s">
        <v>106</v>
      </c>
      <c r="D1193" t="s">
        <v>26</v>
      </c>
      <c r="E1193" s="7">
        <v>45630</v>
      </c>
      <c r="F1193" t="s">
        <v>330</v>
      </c>
      <c r="G1193">
        <v>1</v>
      </c>
      <c r="H1193" t="s">
        <v>27</v>
      </c>
      <c r="I1193" t="s">
        <v>16</v>
      </c>
      <c r="J1193" t="s">
        <v>16</v>
      </c>
      <c r="K1193" t="str">
        <f>VLOOKUP(C1193,CheckName!A:B,2,0)</f>
        <v>Ref</v>
      </c>
      <c r="M1193">
        <f>DAY(RejectionData[[#This Row],[RejectionDate]])</f>
        <v>4</v>
      </c>
    </row>
    <row r="1194" spans="1:13">
      <c r="A1194" t="s">
        <v>281</v>
      </c>
      <c r="B1194" t="s">
        <v>1533</v>
      </c>
      <c r="C1194" t="s">
        <v>106</v>
      </c>
      <c r="D1194" t="s">
        <v>26</v>
      </c>
      <c r="E1194" s="7">
        <v>45630</v>
      </c>
      <c r="F1194" t="s">
        <v>330</v>
      </c>
      <c r="G1194">
        <v>1</v>
      </c>
      <c r="H1194" t="s">
        <v>27</v>
      </c>
      <c r="I1194" t="s">
        <v>16</v>
      </c>
      <c r="J1194" t="s">
        <v>16</v>
      </c>
      <c r="K1194" t="str">
        <f>VLOOKUP(C1194,CheckName!A:B,2,0)</f>
        <v>Ref</v>
      </c>
      <c r="M1194">
        <f>DAY(RejectionData[[#This Row],[RejectionDate]])</f>
        <v>4</v>
      </c>
    </row>
    <row r="1195" spans="1:13">
      <c r="A1195" t="s">
        <v>1534</v>
      </c>
      <c r="B1195" t="s">
        <v>1535</v>
      </c>
      <c r="C1195" t="s">
        <v>422</v>
      </c>
      <c r="D1195" t="s">
        <v>26</v>
      </c>
      <c r="E1195" s="7">
        <v>45630</v>
      </c>
      <c r="F1195" t="s">
        <v>330</v>
      </c>
      <c r="G1195">
        <v>1</v>
      </c>
      <c r="H1195" t="s">
        <v>95</v>
      </c>
      <c r="I1195" t="s">
        <v>16</v>
      </c>
      <c r="J1195" t="s">
        <v>16</v>
      </c>
      <c r="K1195" t="str">
        <f>VLOOKUP(C1195,CheckName!A:B,2,0)</f>
        <v>Ref</v>
      </c>
      <c r="M1195">
        <f>DAY(RejectionData[[#This Row],[RejectionDate]])</f>
        <v>4</v>
      </c>
    </row>
    <row r="1196" spans="1:13">
      <c r="A1196" t="s">
        <v>999</v>
      </c>
      <c r="B1196" t="s">
        <v>1536</v>
      </c>
      <c r="C1196" t="s">
        <v>12</v>
      </c>
      <c r="D1196" t="s">
        <v>26</v>
      </c>
      <c r="E1196" s="7">
        <v>45630</v>
      </c>
      <c r="F1196" t="s">
        <v>184</v>
      </c>
      <c r="G1196">
        <v>1</v>
      </c>
      <c r="H1196" t="s">
        <v>27</v>
      </c>
      <c r="I1196" t="s">
        <v>16</v>
      </c>
      <c r="J1196" t="s">
        <v>16</v>
      </c>
      <c r="K1196" t="str">
        <f>VLOOKUP(C1196,CheckName!A:B,2,0)</f>
        <v>Emp</v>
      </c>
      <c r="M1196">
        <f>DAY(RejectionData[[#This Row],[RejectionDate]])</f>
        <v>4</v>
      </c>
    </row>
    <row r="1197" spans="1:13">
      <c r="A1197" t="s">
        <v>45</v>
      </c>
      <c r="B1197" t="s">
        <v>1537</v>
      </c>
      <c r="C1197" t="s">
        <v>112</v>
      </c>
      <c r="D1197" t="s">
        <v>26</v>
      </c>
      <c r="E1197" s="7">
        <v>45630</v>
      </c>
      <c r="F1197" t="s">
        <v>179</v>
      </c>
      <c r="G1197">
        <v>1</v>
      </c>
      <c r="H1197" t="s">
        <v>27</v>
      </c>
      <c r="I1197" t="s">
        <v>16</v>
      </c>
      <c r="J1197" t="s">
        <v>16</v>
      </c>
      <c r="K1197" t="str">
        <f>VLOOKUP(C1197,CheckName!A:B,2,0)</f>
        <v>Emp</v>
      </c>
      <c r="M1197">
        <f>DAY(RejectionData[[#This Row],[RejectionDate]])</f>
        <v>4</v>
      </c>
    </row>
    <row r="1198" spans="1:13">
      <c r="A1198" t="s">
        <v>1538</v>
      </c>
      <c r="B1198" t="s">
        <v>1539</v>
      </c>
      <c r="C1198" t="s">
        <v>12</v>
      </c>
      <c r="D1198" t="s">
        <v>26</v>
      </c>
      <c r="E1198" s="7">
        <v>45630</v>
      </c>
      <c r="F1198" t="s">
        <v>431</v>
      </c>
      <c r="G1198">
        <v>1</v>
      </c>
      <c r="H1198" t="s">
        <v>27</v>
      </c>
      <c r="I1198" t="s">
        <v>16</v>
      </c>
      <c r="J1198" t="s">
        <v>16</v>
      </c>
      <c r="K1198" t="str">
        <f>VLOOKUP(C1198,CheckName!A:B,2,0)</f>
        <v>Emp</v>
      </c>
      <c r="M1198">
        <f>DAY(RejectionData[[#This Row],[RejectionDate]])</f>
        <v>4</v>
      </c>
    </row>
    <row r="1199" spans="1:13">
      <c r="A1199" t="s">
        <v>211</v>
      </c>
      <c r="B1199" t="s">
        <v>1540</v>
      </c>
      <c r="C1199" t="s">
        <v>12</v>
      </c>
      <c r="D1199" t="s">
        <v>26</v>
      </c>
      <c r="E1199" s="7">
        <v>45630</v>
      </c>
      <c r="F1199" t="s">
        <v>184</v>
      </c>
      <c r="G1199">
        <v>1</v>
      </c>
      <c r="H1199" t="s">
        <v>27</v>
      </c>
      <c r="I1199" t="s">
        <v>16</v>
      </c>
      <c r="J1199" t="s">
        <v>16</v>
      </c>
      <c r="K1199" t="str">
        <f>VLOOKUP(C1199,CheckName!A:B,2,0)</f>
        <v>Emp</v>
      </c>
      <c r="M1199">
        <f>DAY(RejectionData[[#This Row],[RejectionDate]])</f>
        <v>4</v>
      </c>
    </row>
    <row r="1200" spans="1:13">
      <c r="A1200" t="s">
        <v>1541</v>
      </c>
      <c r="B1200" t="s">
        <v>1542</v>
      </c>
      <c r="C1200" t="s">
        <v>12</v>
      </c>
      <c r="D1200" t="s">
        <v>26</v>
      </c>
      <c r="E1200" s="7">
        <v>45630</v>
      </c>
      <c r="F1200" t="s">
        <v>182</v>
      </c>
      <c r="G1200">
        <v>1</v>
      </c>
      <c r="H1200" t="s">
        <v>27</v>
      </c>
      <c r="I1200" t="s">
        <v>16</v>
      </c>
      <c r="J1200" t="s">
        <v>16</v>
      </c>
      <c r="K1200" t="str">
        <f>VLOOKUP(C1200,CheckName!A:B,2,0)</f>
        <v>Emp</v>
      </c>
      <c r="M1200">
        <f>DAY(RejectionData[[#This Row],[RejectionDate]])</f>
        <v>4</v>
      </c>
    </row>
    <row r="1201" spans="1:13">
      <c r="A1201" t="s">
        <v>45</v>
      </c>
      <c r="B1201" t="s">
        <v>1543</v>
      </c>
      <c r="C1201" t="s">
        <v>54</v>
      </c>
      <c r="D1201" t="s">
        <v>26</v>
      </c>
      <c r="E1201" s="7">
        <v>45630</v>
      </c>
      <c r="F1201" t="s">
        <v>852</v>
      </c>
      <c r="G1201">
        <v>1</v>
      </c>
      <c r="H1201" t="s">
        <v>27</v>
      </c>
      <c r="I1201" t="s">
        <v>16</v>
      </c>
      <c r="J1201" t="s">
        <v>16</v>
      </c>
      <c r="K1201" t="str">
        <f>VLOOKUP(C1201,CheckName!A:B,2,0)</f>
        <v>Edu</v>
      </c>
      <c r="M1201">
        <f>DAY(RejectionData[[#This Row],[RejectionDate]])</f>
        <v>4</v>
      </c>
    </row>
    <row r="1202" spans="1:13">
      <c r="A1202" t="s">
        <v>1271</v>
      </c>
      <c r="B1202" t="s">
        <v>1544</v>
      </c>
      <c r="C1202" t="s">
        <v>12</v>
      </c>
      <c r="D1202" t="s">
        <v>26</v>
      </c>
      <c r="E1202" s="7">
        <v>45630</v>
      </c>
      <c r="F1202" t="s">
        <v>182</v>
      </c>
      <c r="G1202">
        <v>1</v>
      </c>
      <c r="H1202" t="s">
        <v>27</v>
      </c>
      <c r="I1202" t="s">
        <v>16</v>
      </c>
      <c r="J1202" t="s">
        <v>16</v>
      </c>
      <c r="K1202" t="str">
        <f>VLOOKUP(C1202,CheckName!A:B,2,0)</f>
        <v>Emp</v>
      </c>
      <c r="M1202">
        <f>DAY(RejectionData[[#This Row],[RejectionDate]])</f>
        <v>4</v>
      </c>
    </row>
    <row r="1203" spans="1:13">
      <c r="A1203" t="s">
        <v>69</v>
      </c>
      <c r="B1203" t="s">
        <v>1545</v>
      </c>
      <c r="C1203" t="s">
        <v>54</v>
      </c>
      <c r="D1203" t="s">
        <v>51</v>
      </c>
      <c r="E1203" s="7">
        <v>45630</v>
      </c>
      <c r="F1203" t="s">
        <v>194</v>
      </c>
      <c r="G1203">
        <v>1</v>
      </c>
      <c r="H1203" t="s">
        <v>53</v>
      </c>
      <c r="I1203" t="s">
        <v>16</v>
      </c>
      <c r="J1203" t="s">
        <v>16</v>
      </c>
      <c r="K1203" t="str">
        <f>VLOOKUP(C1203,CheckName!A:B,2,0)</f>
        <v>Edu</v>
      </c>
      <c r="M1203">
        <f>DAY(RejectionData[[#This Row],[RejectionDate]])</f>
        <v>4</v>
      </c>
    </row>
    <row r="1204" spans="1:13">
      <c r="A1204" t="s">
        <v>69</v>
      </c>
      <c r="B1204" t="s">
        <v>1545</v>
      </c>
      <c r="C1204" t="s">
        <v>49</v>
      </c>
      <c r="D1204" t="s">
        <v>51</v>
      </c>
      <c r="E1204" s="7">
        <v>45630</v>
      </c>
      <c r="F1204" t="s">
        <v>194</v>
      </c>
      <c r="G1204">
        <v>1</v>
      </c>
      <c r="H1204" t="s">
        <v>53</v>
      </c>
      <c r="I1204" t="s">
        <v>16</v>
      </c>
      <c r="J1204" t="s">
        <v>16</v>
      </c>
      <c r="K1204" t="str">
        <f>VLOOKUP(C1204,CheckName!A:B,2,0)</f>
        <v>CRC</v>
      </c>
      <c r="M1204">
        <f>DAY(RejectionData[[#This Row],[RejectionDate]])</f>
        <v>4</v>
      </c>
    </row>
    <row r="1205" spans="1:13">
      <c r="A1205" t="s">
        <v>69</v>
      </c>
      <c r="B1205" t="s">
        <v>1545</v>
      </c>
      <c r="C1205" t="s">
        <v>125</v>
      </c>
      <c r="D1205" t="s">
        <v>51</v>
      </c>
      <c r="E1205" s="7">
        <v>45630</v>
      </c>
      <c r="F1205" t="s">
        <v>194</v>
      </c>
      <c r="G1205">
        <v>1</v>
      </c>
      <c r="H1205" t="s">
        <v>53</v>
      </c>
      <c r="I1205" t="s">
        <v>16</v>
      </c>
      <c r="J1205" t="s">
        <v>16</v>
      </c>
      <c r="K1205" t="str">
        <f>VLOOKUP(C1205,CheckName!A:B,2,0)</f>
        <v>Emp</v>
      </c>
      <c r="M1205">
        <f>DAY(RejectionData[[#This Row],[RejectionDate]])</f>
        <v>4</v>
      </c>
    </row>
    <row r="1206" spans="1:13">
      <c r="A1206" t="s">
        <v>69</v>
      </c>
      <c r="B1206" t="s">
        <v>1545</v>
      </c>
      <c r="C1206" t="s">
        <v>12</v>
      </c>
      <c r="D1206" t="s">
        <v>51</v>
      </c>
      <c r="E1206" s="7">
        <v>45630</v>
      </c>
      <c r="F1206" t="s">
        <v>194</v>
      </c>
      <c r="G1206">
        <v>1</v>
      </c>
      <c r="H1206" t="s">
        <v>53</v>
      </c>
      <c r="I1206" t="s">
        <v>16</v>
      </c>
      <c r="J1206" t="s">
        <v>16</v>
      </c>
      <c r="K1206" t="str">
        <f>VLOOKUP(C1206,CheckName!A:B,2,0)</f>
        <v>Emp</v>
      </c>
      <c r="M1206">
        <f>DAY(RejectionData[[#This Row],[RejectionDate]])</f>
        <v>4</v>
      </c>
    </row>
    <row r="1207" spans="1:13">
      <c r="A1207" t="s">
        <v>69</v>
      </c>
      <c r="B1207" t="s">
        <v>1545</v>
      </c>
      <c r="C1207" t="s">
        <v>56</v>
      </c>
      <c r="D1207" t="s">
        <v>51</v>
      </c>
      <c r="E1207" s="7">
        <v>45630</v>
      </c>
      <c r="F1207" t="s">
        <v>194</v>
      </c>
      <c r="G1207">
        <v>1</v>
      </c>
      <c r="H1207" t="s">
        <v>53</v>
      </c>
      <c r="I1207" t="s">
        <v>16</v>
      </c>
      <c r="J1207" t="s">
        <v>16</v>
      </c>
      <c r="K1207" t="str">
        <f>VLOOKUP(C1207,CheckName!A:B,2,0)</f>
        <v>Special Check</v>
      </c>
      <c r="M1207">
        <f>DAY(RejectionData[[#This Row],[RejectionDate]])</f>
        <v>4</v>
      </c>
    </row>
    <row r="1208" spans="1:13">
      <c r="A1208" t="s">
        <v>69</v>
      </c>
      <c r="B1208" t="s">
        <v>1545</v>
      </c>
      <c r="C1208" t="s">
        <v>71</v>
      </c>
      <c r="D1208" t="s">
        <v>51</v>
      </c>
      <c r="E1208" s="7">
        <v>45630</v>
      </c>
      <c r="F1208" t="s">
        <v>194</v>
      </c>
      <c r="G1208">
        <v>1</v>
      </c>
      <c r="H1208" t="s">
        <v>53</v>
      </c>
      <c r="I1208" t="s">
        <v>16</v>
      </c>
      <c r="J1208" t="s">
        <v>16</v>
      </c>
      <c r="K1208" t="str">
        <f>VLOOKUP(C1208,CheckName!A:B,2,0)</f>
        <v>CRC</v>
      </c>
      <c r="M1208">
        <f>DAY(RejectionData[[#This Row],[RejectionDate]])</f>
        <v>4</v>
      </c>
    </row>
    <row r="1209" spans="1:13">
      <c r="A1209" t="s">
        <v>69</v>
      </c>
      <c r="B1209" t="s">
        <v>1545</v>
      </c>
      <c r="C1209" t="s">
        <v>122</v>
      </c>
      <c r="D1209" t="s">
        <v>51</v>
      </c>
      <c r="E1209" s="7">
        <v>45630</v>
      </c>
      <c r="F1209" t="s">
        <v>194</v>
      </c>
      <c r="G1209">
        <v>1</v>
      </c>
      <c r="H1209" t="s">
        <v>53</v>
      </c>
      <c r="I1209" t="s">
        <v>16</v>
      </c>
      <c r="J1209" t="s">
        <v>16</v>
      </c>
      <c r="K1209" t="str">
        <f>VLOOKUP(C1209,CheckName!A:B,2,0)</f>
        <v>Special Check</v>
      </c>
      <c r="M1209">
        <f>DAY(RejectionData[[#This Row],[RejectionDate]])</f>
        <v>4</v>
      </c>
    </row>
    <row r="1210" spans="1:13">
      <c r="A1210" t="s">
        <v>69</v>
      </c>
      <c r="B1210" t="s">
        <v>1545</v>
      </c>
      <c r="C1210" t="s">
        <v>36</v>
      </c>
      <c r="D1210" t="s">
        <v>51</v>
      </c>
      <c r="E1210" s="7">
        <v>45630</v>
      </c>
      <c r="F1210" t="s">
        <v>194</v>
      </c>
      <c r="G1210">
        <v>1</v>
      </c>
      <c r="H1210" t="s">
        <v>53</v>
      </c>
      <c r="I1210" t="s">
        <v>16</v>
      </c>
      <c r="J1210" t="s">
        <v>16</v>
      </c>
      <c r="K1210" t="str">
        <f>VLOOKUP(C1210,CheckName!A:B,2,0)</f>
        <v>Emp</v>
      </c>
      <c r="M1210">
        <f>DAY(RejectionData[[#This Row],[RejectionDate]])</f>
        <v>4</v>
      </c>
    </row>
    <row r="1211" spans="1:13">
      <c r="A1211" t="s">
        <v>69</v>
      </c>
      <c r="B1211" t="s">
        <v>1545</v>
      </c>
      <c r="C1211" t="s">
        <v>59</v>
      </c>
      <c r="D1211" t="s">
        <v>51</v>
      </c>
      <c r="E1211" s="7">
        <v>45630</v>
      </c>
      <c r="F1211" t="s">
        <v>194</v>
      </c>
      <c r="G1211">
        <v>1</v>
      </c>
      <c r="H1211" t="s">
        <v>53</v>
      </c>
      <c r="I1211" t="s">
        <v>16</v>
      </c>
      <c r="J1211" t="s">
        <v>16</v>
      </c>
      <c r="K1211" t="str">
        <f>VLOOKUP(C1211,CheckName!A:B,2,0)</f>
        <v>Special Check</v>
      </c>
      <c r="M1211">
        <f>DAY(RejectionData[[#This Row],[RejectionDate]])</f>
        <v>4</v>
      </c>
    </row>
    <row r="1212" spans="1:13">
      <c r="A1212" t="s">
        <v>131</v>
      </c>
      <c r="B1212" t="s">
        <v>1546</v>
      </c>
      <c r="C1212" t="s">
        <v>36</v>
      </c>
      <c r="D1212" t="s">
        <v>51</v>
      </c>
      <c r="E1212" s="7">
        <v>45630</v>
      </c>
      <c r="F1212" t="s">
        <v>194</v>
      </c>
      <c r="G1212">
        <v>1</v>
      </c>
      <c r="H1212" t="s">
        <v>53</v>
      </c>
      <c r="I1212" t="s">
        <v>16</v>
      </c>
      <c r="J1212" t="s">
        <v>16</v>
      </c>
      <c r="K1212" t="str">
        <f>VLOOKUP(C1212,CheckName!A:B,2,0)</f>
        <v>Emp</v>
      </c>
      <c r="M1212">
        <f>DAY(RejectionData[[#This Row],[RejectionDate]])</f>
        <v>4</v>
      </c>
    </row>
    <row r="1213" spans="1:13">
      <c r="A1213" t="s">
        <v>131</v>
      </c>
      <c r="B1213" t="s">
        <v>1546</v>
      </c>
      <c r="C1213" t="s">
        <v>12</v>
      </c>
      <c r="D1213" t="s">
        <v>51</v>
      </c>
      <c r="E1213" s="7">
        <v>45630</v>
      </c>
      <c r="F1213" t="s">
        <v>194</v>
      </c>
      <c r="G1213">
        <v>1</v>
      </c>
      <c r="H1213" t="s">
        <v>53</v>
      </c>
      <c r="I1213" t="s">
        <v>16</v>
      </c>
      <c r="J1213" t="s">
        <v>16</v>
      </c>
      <c r="K1213" t="str">
        <f>VLOOKUP(C1213,CheckName!A:B,2,0)</f>
        <v>Emp</v>
      </c>
      <c r="M1213">
        <f>DAY(RejectionData[[#This Row],[RejectionDate]])</f>
        <v>4</v>
      </c>
    </row>
    <row r="1214" spans="1:13">
      <c r="A1214" t="s">
        <v>160</v>
      </c>
      <c r="B1214" t="s">
        <v>1547</v>
      </c>
      <c r="C1214" t="s">
        <v>125</v>
      </c>
      <c r="D1214" t="s">
        <v>26</v>
      </c>
      <c r="E1214" s="7">
        <v>45630</v>
      </c>
      <c r="F1214" t="s">
        <v>196</v>
      </c>
      <c r="G1214">
        <v>1</v>
      </c>
      <c r="H1214" t="s">
        <v>27</v>
      </c>
      <c r="I1214" t="s">
        <v>16</v>
      </c>
      <c r="J1214" t="s">
        <v>16</v>
      </c>
      <c r="K1214" t="str">
        <f>VLOOKUP(C1214,CheckName!A:B,2,0)</f>
        <v>Emp</v>
      </c>
      <c r="M1214">
        <f>DAY(RejectionData[[#This Row],[RejectionDate]])</f>
        <v>4</v>
      </c>
    </row>
    <row r="1215" spans="1:13">
      <c r="A1215" t="s">
        <v>1548</v>
      </c>
      <c r="B1215" t="s">
        <v>1549</v>
      </c>
      <c r="C1215" t="s">
        <v>36</v>
      </c>
      <c r="D1215" t="s">
        <v>51</v>
      </c>
      <c r="E1215" s="7">
        <v>45630</v>
      </c>
      <c r="F1215" t="s">
        <v>52</v>
      </c>
      <c r="G1215">
        <v>1</v>
      </c>
      <c r="H1215" t="s">
        <v>53</v>
      </c>
      <c r="I1215" t="s">
        <v>16</v>
      </c>
      <c r="J1215" t="s">
        <v>16</v>
      </c>
      <c r="K1215" t="str">
        <f>VLOOKUP(C1215,CheckName!A:B,2,0)</f>
        <v>Emp</v>
      </c>
      <c r="M1215">
        <f>DAY(RejectionData[[#This Row],[RejectionDate]])</f>
        <v>4</v>
      </c>
    </row>
    <row r="1216" spans="1:13">
      <c r="A1216" t="s">
        <v>45</v>
      </c>
      <c r="B1216" t="s">
        <v>1550</v>
      </c>
      <c r="C1216" t="s">
        <v>36</v>
      </c>
      <c r="D1216" t="s">
        <v>26</v>
      </c>
      <c r="E1216" s="7">
        <v>45630</v>
      </c>
      <c r="F1216" t="s">
        <v>224</v>
      </c>
      <c r="G1216">
        <v>1</v>
      </c>
      <c r="H1216" t="s">
        <v>27</v>
      </c>
      <c r="I1216" t="s">
        <v>16</v>
      </c>
      <c r="J1216" t="s">
        <v>16</v>
      </c>
      <c r="K1216" t="str">
        <f>VLOOKUP(C1216,CheckName!A:B,2,0)</f>
        <v>Emp</v>
      </c>
      <c r="M1216">
        <f>DAY(RejectionData[[#This Row],[RejectionDate]])</f>
        <v>4</v>
      </c>
    </row>
    <row r="1217" spans="1:13">
      <c r="A1217" t="s">
        <v>45</v>
      </c>
      <c r="B1217" t="s">
        <v>1551</v>
      </c>
      <c r="C1217" t="s">
        <v>12</v>
      </c>
      <c r="D1217" t="s">
        <v>26</v>
      </c>
      <c r="E1217" s="7">
        <v>45630</v>
      </c>
      <c r="F1217" t="s">
        <v>224</v>
      </c>
      <c r="G1217">
        <v>1</v>
      </c>
      <c r="H1217" t="s">
        <v>27</v>
      </c>
      <c r="I1217" t="s">
        <v>16</v>
      </c>
      <c r="J1217" t="s">
        <v>16</v>
      </c>
      <c r="K1217" t="str">
        <f>VLOOKUP(C1217,CheckName!A:B,2,0)</f>
        <v>Emp</v>
      </c>
      <c r="M1217">
        <f>DAY(RejectionData[[#This Row],[RejectionDate]])</f>
        <v>4</v>
      </c>
    </row>
    <row r="1218" spans="1:13">
      <c r="A1218" t="s">
        <v>1552</v>
      </c>
      <c r="B1218" t="s">
        <v>1553</v>
      </c>
      <c r="C1218" t="s">
        <v>25</v>
      </c>
      <c r="D1218" t="s">
        <v>20</v>
      </c>
      <c r="E1218" s="7">
        <v>45630</v>
      </c>
      <c r="F1218" t="s">
        <v>62</v>
      </c>
      <c r="G1218">
        <v>1</v>
      </c>
      <c r="H1218" t="s">
        <v>22</v>
      </c>
      <c r="I1218" t="s">
        <v>16</v>
      </c>
      <c r="J1218" t="s">
        <v>16</v>
      </c>
      <c r="K1218" t="str">
        <f>VLOOKUP(C1218,CheckName!A:B,2,0)</f>
        <v>Add</v>
      </c>
      <c r="M1218">
        <f>DAY(RejectionData[[#This Row],[RejectionDate]])</f>
        <v>4</v>
      </c>
    </row>
    <row r="1219" spans="1:13">
      <c r="A1219" t="s">
        <v>517</v>
      </c>
      <c r="B1219" t="s">
        <v>1554</v>
      </c>
      <c r="C1219" t="s">
        <v>19</v>
      </c>
      <c r="D1219" t="s">
        <v>20</v>
      </c>
      <c r="E1219" s="7">
        <v>45630</v>
      </c>
      <c r="F1219" t="s">
        <v>62</v>
      </c>
      <c r="G1219">
        <v>1</v>
      </c>
      <c r="H1219" t="s">
        <v>22</v>
      </c>
      <c r="I1219" t="s">
        <v>16</v>
      </c>
      <c r="J1219" t="s">
        <v>16</v>
      </c>
      <c r="K1219" t="str">
        <f>VLOOKUP(C1219,CheckName!A:B,2,0)</f>
        <v>Add</v>
      </c>
      <c r="M1219">
        <f>DAY(RejectionData[[#This Row],[RejectionDate]])</f>
        <v>4</v>
      </c>
    </row>
    <row r="1220" spans="1:13">
      <c r="A1220" t="s">
        <v>45</v>
      </c>
      <c r="B1220" t="s">
        <v>1555</v>
      </c>
      <c r="C1220" t="s">
        <v>19</v>
      </c>
      <c r="D1220" t="s">
        <v>26</v>
      </c>
      <c r="E1220" s="7">
        <v>45630</v>
      </c>
      <c r="F1220" t="s">
        <v>62</v>
      </c>
      <c r="G1220">
        <v>1</v>
      </c>
      <c r="H1220" t="s">
        <v>27</v>
      </c>
      <c r="I1220" t="s">
        <v>16</v>
      </c>
      <c r="J1220" t="s">
        <v>16</v>
      </c>
      <c r="K1220" t="str">
        <f>VLOOKUP(C1220,CheckName!A:B,2,0)</f>
        <v>Add</v>
      </c>
      <c r="M1220">
        <f>DAY(RejectionData[[#This Row],[RejectionDate]])</f>
        <v>4</v>
      </c>
    </row>
    <row r="1221" spans="1:13">
      <c r="A1221" t="s">
        <v>320</v>
      </c>
      <c r="B1221" t="s">
        <v>1556</v>
      </c>
      <c r="C1221" t="s">
        <v>322</v>
      </c>
      <c r="D1221" t="s">
        <v>20</v>
      </c>
      <c r="E1221" s="7">
        <v>45630</v>
      </c>
      <c r="F1221" t="s">
        <v>66</v>
      </c>
      <c r="G1221">
        <v>1</v>
      </c>
      <c r="H1221" t="s">
        <v>425</v>
      </c>
      <c r="I1221" t="s">
        <v>16</v>
      </c>
      <c r="J1221" t="s">
        <v>16</v>
      </c>
      <c r="K1221" t="str">
        <f>VLOOKUP(C1221,CheckName!A:B,2,0)</f>
        <v>Add</v>
      </c>
      <c r="M1221">
        <f>DAY(RejectionData[[#This Row],[RejectionDate]])</f>
        <v>4</v>
      </c>
    </row>
    <row r="1222" spans="1:13">
      <c r="A1222" t="s">
        <v>461</v>
      </c>
      <c r="B1222" t="s">
        <v>1557</v>
      </c>
      <c r="C1222" t="s">
        <v>19</v>
      </c>
      <c r="D1222" t="s">
        <v>20</v>
      </c>
      <c r="E1222" s="7">
        <v>45630</v>
      </c>
      <c r="F1222" t="s">
        <v>62</v>
      </c>
      <c r="G1222">
        <v>1</v>
      </c>
      <c r="H1222" t="s">
        <v>22</v>
      </c>
      <c r="I1222" t="s">
        <v>16</v>
      </c>
      <c r="J1222" t="s">
        <v>16</v>
      </c>
      <c r="K1222" t="str">
        <f>VLOOKUP(C1222,CheckName!A:B,2,0)</f>
        <v>Add</v>
      </c>
      <c r="M1222">
        <f>DAY(RejectionData[[#This Row],[RejectionDate]])</f>
        <v>4</v>
      </c>
    </row>
    <row r="1223" spans="1:13">
      <c r="A1223" t="s">
        <v>84</v>
      </c>
      <c r="B1223" t="s">
        <v>1558</v>
      </c>
      <c r="C1223" t="s">
        <v>19</v>
      </c>
      <c r="D1223" t="s">
        <v>26</v>
      </c>
      <c r="E1223" s="7">
        <v>45630</v>
      </c>
      <c r="F1223" t="s">
        <v>66</v>
      </c>
      <c r="G1223">
        <v>1</v>
      </c>
      <c r="H1223" t="s">
        <v>27</v>
      </c>
      <c r="I1223" t="s">
        <v>16</v>
      </c>
      <c r="J1223" t="s">
        <v>16</v>
      </c>
      <c r="K1223" t="str">
        <f>VLOOKUP(C1223,CheckName!A:B,2,0)</f>
        <v>Add</v>
      </c>
      <c r="M1223">
        <f>DAY(RejectionData[[#This Row],[RejectionDate]])</f>
        <v>4</v>
      </c>
    </row>
    <row r="1224" spans="1:13">
      <c r="A1224" t="s">
        <v>131</v>
      </c>
      <c r="B1224" t="s">
        <v>1559</v>
      </c>
      <c r="C1224" t="s">
        <v>19</v>
      </c>
      <c r="D1224" t="s">
        <v>20</v>
      </c>
      <c r="E1224" s="7">
        <v>45630</v>
      </c>
      <c r="F1224" t="s">
        <v>62</v>
      </c>
      <c r="G1224">
        <v>1</v>
      </c>
      <c r="H1224" t="s">
        <v>22</v>
      </c>
      <c r="I1224" t="s">
        <v>16</v>
      </c>
      <c r="J1224" t="s">
        <v>16</v>
      </c>
      <c r="K1224" t="str">
        <f>VLOOKUP(C1224,CheckName!A:B,2,0)</f>
        <v>Add</v>
      </c>
      <c r="M1224">
        <f>DAY(RejectionData[[#This Row],[RejectionDate]])</f>
        <v>4</v>
      </c>
    </row>
    <row r="1225" spans="1:13">
      <c r="A1225" t="s">
        <v>1040</v>
      </c>
      <c r="B1225" t="s">
        <v>1560</v>
      </c>
      <c r="C1225" t="s">
        <v>25</v>
      </c>
      <c r="D1225" t="s">
        <v>20</v>
      </c>
      <c r="E1225" s="7">
        <v>45630</v>
      </c>
      <c r="F1225" t="s">
        <v>62</v>
      </c>
      <c r="G1225">
        <v>1</v>
      </c>
      <c r="H1225" t="s">
        <v>22</v>
      </c>
      <c r="I1225" t="s">
        <v>16</v>
      </c>
      <c r="J1225" t="s">
        <v>16</v>
      </c>
      <c r="K1225" t="str">
        <f>VLOOKUP(C1225,CheckName!A:B,2,0)</f>
        <v>Add</v>
      </c>
      <c r="M1225">
        <f>DAY(RejectionData[[#This Row],[RejectionDate]])</f>
        <v>4</v>
      </c>
    </row>
    <row r="1226" spans="1:13">
      <c r="A1226" t="s">
        <v>402</v>
      </c>
      <c r="B1226" t="s">
        <v>1561</v>
      </c>
      <c r="C1226" t="s">
        <v>25</v>
      </c>
      <c r="D1226" t="s">
        <v>26</v>
      </c>
      <c r="E1226" s="7">
        <v>45630</v>
      </c>
      <c r="F1226" t="s">
        <v>62</v>
      </c>
      <c r="G1226">
        <v>1</v>
      </c>
      <c r="H1226" t="s">
        <v>27</v>
      </c>
      <c r="I1226" t="s">
        <v>16</v>
      </c>
      <c r="J1226" t="s">
        <v>16</v>
      </c>
      <c r="K1226" t="str">
        <f>VLOOKUP(C1226,CheckName!A:B,2,0)</f>
        <v>Add</v>
      </c>
      <c r="M1226">
        <f>DAY(RejectionData[[#This Row],[RejectionDate]])</f>
        <v>4</v>
      </c>
    </row>
    <row r="1227" spans="1:13">
      <c r="A1227" t="s">
        <v>1110</v>
      </c>
      <c r="B1227" t="s">
        <v>1562</v>
      </c>
      <c r="C1227" t="s">
        <v>965</v>
      </c>
      <c r="D1227" t="s">
        <v>20</v>
      </c>
      <c r="E1227" s="7">
        <v>45630</v>
      </c>
      <c r="F1227" t="s">
        <v>62</v>
      </c>
      <c r="G1227">
        <v>1</v>
      </c>
      <c r="H1227" t="s">
        <v>22</v>
      </c>
      <c r="I1227" t="s">
        <v>16</v>
      </c>
      <c r="J1227" t="s">
        <v>16</v>
      </c>
      <c r="K1227" t="str">
        <f>VLOOKUP(C1227,CheckName!A:B,2,0)</f>
        <v>Add</v>
      </c>
      <c r="M1227">
        <f>DAY(RejectionData[[#This Row],[RejectionDate]])</f>
        <v>4</v>
      </c>
    </row>
    <row r="1228" spans="1:13">
      <c r="A1228" t="s">
        <v>1110</v>
      </c>
      <c r="B1228" t="s">
        <v>1563</v>
      </c>
      <c r="C1228" t="s">
        <v>965</v>
      </c>
      <c r="D1228" t="s">
        <v>20</v>
      </c>
      <c r="E1228" s="7">
        <v>45630</v>
      </c>
      <c r="F1228" t="s">
        <v>62</v>
      </c>
      <c r="G1228">
        <v>1</v>
      </c>
      <c r="H1228" t="s">
        <v>22</v>
      </c>
      <c r="I1228" t="s">
        <v>16</v>
      </c>
      <c r="J1228" t="s">
        <v>16</v>
      </c>
      <c r="K1228" t="str">
        <f>VLOOKUP(C1228,CheckName!A:B,2,0)</f>
        <v>Add</v>
      </c>
      <c r="M1228">
        <f>DAY(RejectionData[[#This Row],[RejectionDate]])</f>
        <v>4</v>
      </c>
    </row>
    <row r="1229" spans="1:13">
      <c r="A1229" t="s">
        <v>1564</v>
      </c>
      <c r="B1229" t="s">
        <v>1565</v>
      </c>
      <c r="C1229" t="s">
        <v>25</v>
      </c>
      <c r="D1229" t="s">
        <v>20</v>
      </c>
      <c r="E1229" s="7">
        <v>45630</v>
      </c>
      <c r="F1229" t="s">
        <v>62</v>
      </c>
      <c r="G1229">
        <v>1</v>
      </c>
      <c r="H1229" t="s">
        <v>22</v>
      </c>
      <c r="I1229" t="s">
        <v>16</v>
      </c>
      <c r="J1229" t="s">
        <v>16</v>
      </c>
      <c r="K1229" t="str">
        <f>VLOOKUP(C1229,CheckName!A:B,2,0)</f>
        <v>Add</v>
      </c>
      <c r="M1229">
        <f>DAY(RejectionData[[#This Row],[RejectionDate]])</f>
        <v>4</v>
      </c>
    </row>
    <row r="1230" spans="1:13">
      <c r="A1230" t="s">
        <v>1566</v>
      </c>
      <c r="B1230" t="s">
        <v>1567</v>
      </c>
      <c r="C1230" t="s">
        <v>220</v>
      </c>
      <c r="D1230" t="s">
        <v>13</v>
      </c>
      <c r="E1230" s="7">
        <v>45630</v>
      </c>
      <c r="F1230" t="s">
        <v>230</v>
      </c>
      <c r="G1230">
        <v>1</v>
      </c>
      <c r="H1230" t="s">
        <v>15</v>
      </c>
      <c r="I1230" t="s">
        <v>16</v>
      </c>
      <c r="J1230" t="s">
        <v>16</v>
      </c>
      <c r="K1230" t="str">
        <f>VLOOKUP(C1230,CheckName!A:B,2,0)</f>
        <v>Ref</v>
      </c>
      <c r="M1230">
        <f>DAY(RejectionData[[#This Row],[RejectionDate]])</f>
        <v>4</v>
      </c>
    </row>
    <row r="1231" spans="1:13">
      <c r="A1231" t="s">
        <v>1566</v>
      </c>
      <c r="B1231" t="s">
        <v>1567</v>
      </c>
      <c r="C1231" t="s">
        <v>36</v>
      </c>
      <c r="D1231" t="s">
        <v>13</v>
      </c>
      <c r="E1231" s="7">
        <v>45630</v>
      </c>
      <c r="F1231" t="s">
        <v>230</v>
      </c>
      <c r="G1231">
        <v>1</v>
      </c>
      <c r="H1231" t="s">
        <v>15</v>
      </c>
      <c r="I1231" t="s">
        <v>16</v>
      </c>
      <c r="J1231" t="s">
        <v>16</v>
      </c>
      <c r="K1231" t="str">
        <f>VLOOKUP(C1231,CheckName!A:B,2,0)</f>
        <v>Emp</v>
      </c>
      <c r="M1231">
        <f>DAY(RejectionData[[#This Row],[RejectionDate]])</f>
        <v>4</v>
      </c>
    </row>
    <row r="1232" spans="1:13">
      <c r="A1232" t="s">
        <v>142</v>
      </c>
      <c r="B1232" t="s">
        <v>1568</v>
      </c>
      <c r="C1232" t="s">
        <v>12</v>
      </c>
      <c r="D1232" t="s">
        <v>38</v>
      </c>
      <c r="E1232" s="7">
        <v>45630</v>
      </c>
      <c r="F1232" t="s">
        <v>39</v>
      </c>
      <c r="G1232">
        <v>1</v>
      </c>
      <c r="H1232" t="s">
        <v>42</v>
      </c>
      <c r="I1232" t="s">
        <v>16</v>
      </c>
      <c r="J1232" t="s">
        <v>16</v>
      </c>
      <c r="K1232" t="str">
        <f>VLOOKUP(C1232,CheckName!A:B,2,0)</f>
        <v>Emp</v>
      </c>
      <c r="M1232">
        <f>DAY(RejectionData[[#This Row],[RejectionDate]])</f>
        <v>4</v>
      </c>
    </row>
    <row r="1233" spans="1:13">
      <c r="A1233" t="s">
        <v>1173</v>
      </c>
      <c r="B1233" t="s">
        <v>1569</v>
      </c>
      <c r="C1233" t="s">
        <v>54</v>
      </c>
      <c r="D1233" t="s">
        <v>13</v>
      </c>
      <c r="E1233" s="7">
        <v>45630</v>
      </c>
      <c r="F1233" t="s">
        <v>1310</v>
      </c>
      <c r="G1233">
        <v>1</v>
      </c>
      <c r="H1233" t="s">
        <v>15</v>
      </c>
      <c r="I1233" t="s">
        <v>16</v>
      </c>
      <c r="J1233" t="s">
        <v>16</v>
      </c>
      <c r="K1233" t="str">
        <f>VLOOKUP(C1233,CheckName!A:B,2,0)</f>
        <v>Edu</v>
      </c>
      <c r="M1233">
        <f>DAY(RejectionData[[#This Row],[RejectionDate]])</f>
        <v>4</v>
      </c>
    </row>
    <row r="1234" spans="1:13">
      <c r="A1234" t="s">
        <v>1570</v>
      </c>
      <c r="B1234" t="s">
        <v>1571</v>
      </c>
      <c r="C1234" t="s">
        <v>19</v>
      </c>
      <c r="D1234" t="s">
        <v>20</v>
      </c>
      <c r="E1234" s="7">
        <v>45630</v>
      </c>
      <c r="F1234" t="s">
        <v>21</v>
      </c>
      <c r="G1234">
        <v>1</v>
      </c>
      <c r="H1234" t="s">
        <v>22</v>
      </c>
      <c r="I1234" t="s">
        <v>16</v>
      </c>
      <c r="J1234" t="s">
        <v>16</v>
      </c>
      <c r="K1234" t="str">
        <f>VLOOKUP(C1234,CheckName!A:B,2,0)</f>
        <v>Add</v>
      </c>
      <c r="M1234">
        <f>DAY(RejectionData[[#This Row],[RejectionDate]])</f>
        <v>4</v>
      </c>
    </row>
    <row r="1235" spans="1:13">
      <c r="A1235" t="s">
        <v>1110</v>
      </c>
      <c r="B1235" t="s">
        <v>1572</v>
      </c>
      <c r="C1235" t="s">
        <v>965</v>
      </c>
      <c r="D1235" t="s">
        <v>26</v>
      </c>
      <c r="E1235" s="7">
        <v>45630</v>
      </c>
      <c r="F1235" t="s">
        <v>21</v>
      </c>
      <c r="G1235">
        <v>1</v>
      </c>
      <c r="H1235" t="s">
        <v>27</v>
      </c>
      <c r="I1235" t="s">
        <v>16</v>
      </c>
      <c r="J1235" t="s">
        <v>16</v>
      </c>
      <c r="K1235" t="str">
        <f>VLOOKUP(C1235,CheckName!A:B,2,0)</f>
        <v>Add</v>
      </c>
      <c r="M1235">
        <f>DAY(RejectionData[[#This Row],[RejectionDate]])</f>
        <v>4</v>
      </c>
    </row>
    <row r="1236" spans="1:13">
      <c r="A1236" t="s">
        <v>1573</v>
      </c>
      <c r="B1236" t="s">
        <v>1574</v>
      </c>
      <c r="C1236" t="s">
        <v>12</v>
      </c>
      <c r="D1236" t="s">
        <v>26</v>
      </c>
      <c r="E1236" s="7">
        <v>45629</v>
      </c>
      <c r="F1236" t="s">
        <v>380</v>
      </c>
      <c r="G1236">
        <v>2</v>
      </c>
      <c r="H1236" t="s">
        <v>27</v>
      </c>
      <c r="I1236" t="s">
        <v>16</v>
      </c>
      <c r="J1236" t="s">
        <v>16</v>
      </c>
      <c r="K1236" t="str">
        <f>VLOOKUP(C1236,CheckName!A:B,2,0)</f>
        <v>Emp</v>
      </c>
      <c r="M1236">
        <f>DAY(RejectionData[[#This Row],[RejectionDate]])</f>
        <v>3</v>
      </c>
    </row>
    <row r="1237" spans="1:13">
      <c r="A1237" t="s">
        <v>160</v>
      </c>
      <c r="B1237" t="s">
        <v>1575</v>
      </c>
      <c r="C1237" t="s">
        <v>125</v>
      </c>
      <c r="D1237" t="s">
        <v>26</v>
      </c>
      <c r="E1237" s="7">
        <v>45629</v>
      </c>
      <c r="F1237" t="s">
        <v>159</v>
      </c>
      <c r="G1237">
        <v>2</v>
      </c>
      <c r="H1237" t="s">
        <v>22</v>
      </c>
      <c r="I1237" t="s">
        <v>16</v>
      </c>
      <c r="J1237" t="s">
        <v>16</v>
      </c>
      <c r="K1237" t="str">
        <f>VLOOKUP(C1237,CheckName!A:B,2,0)</f>
        <v>Emp</v>
      </c>
      <c r="M1237">
        <f>DAY(RejectionData[[#This Row],[RejectionDate]])</f>
        <v>3</v>
      </c>
    </row>
    <row r="1238" spans="1:13">
      <c r="A1238" t="s">
        <v>81</v>
      </c>
      <c r="B1238" t="s">
        <v>1576</v>
      </c>
      <c r="C1238" t="s">
        <v>54</v>
      </c>
      <c r="D1238" t="s">
        <v>26</v>
      </c>
      <c r="E1238" s="7">
        <v>45628</v>
      </c>
      <c r="F1238" t="s">
        <v>458</v>
      </c>
      <c r="G1238">
        <v>3</v>
      </c>
      <c r="H1238" t="s">
        <v>27</v>
      </c>
      <c r="I1238" t="s">
        <v>16</v>
      </c>
      <c r="J1238" t="s">
        <v>16</v>
      </c>
      <c r="K1238" t="str">
        <f>VLOOKUP(C1238,CheckName!A:B,2,0)</f>
        <v>Edu</v>
      </c>
      <c r="M1238">
        <f>DAY(RejectionData[[#This Row],[RejectionDate]])</f>
        <v>2</v>
      </c>
    </row>
    <row r="1239" spans="1:13">
      <c r="A1239" t="s">
        <v>45</v>
      </c>
      <c r="B1239" t="s">
        <v>1577</v>
      </c>
      <c r="C1239" t="s">
        <v>19</v>
      </c>
      <c r="D1239" t="s">
        <v>26</v>
      </c>
      <c r="E1239" s="7">
        <v>45618</v>
      </c>
      <c r="F1239" t="s">
        <v>76</v>
      </c>
      <c r="G1239">
        <v>13</v>
      </c>
      <c r="H1239" t="s">
        <v>27</v>
      </c>
      <c r="I1239" t="s">
        <v>16</v>
      </c>
      <c r="J1239" t="s">
        <v>16</v>
      </c>
      <c r="K1239" t="str">
        <f>VLOOKUP(C1239,CheckName!A:B,2,0)</f>
        <v>Add</v>
      </c>
      <c r="M1239">
        <f>DAY(RejectionData[[#This Row],[RejectionDate]])</f>
        <v>22</v>
      </c>
    </row>
    <row r="1240" spans="1:13">
      <c r="A1240" t="s">
        <v>142</v>
      </c>
      <c r="B1240" t="s">
        <v>1578</v>
      </c>
      <c r="C1240" t="s">
        <v>12</v>
      </c>
      <c r="D1240" t="s">
        <v>38</v>
      </c>
      <c r="E1240" s="7">
        <v>45617</v>
      </c>
      <c r="F1240" t="s">
        <v>39</v>
      </c>
      <c r="G1240">
        <v>14</v>
      </c>
      <c r="H1240" t="s">
        <v>42</v>
      </c>
      <c r="I1240" t="s">
        <v>16</v>
      </c>
      <c r="J1240" t="s">
        <v>16</v>
      </c>
      <c r="K1240" t="str">
        <f>VLOOKUP(C1240,CheckName!A:B,2,0)</f>
        <v>Emp</v>
      </c>
      <c r="M1240">
        <f>DAY(RejectionData[[#This Row],[RejectionDate]])</f>
        <v>21</v>
      </c>
    </row>
    <row r="1241" spans="1:13">
      <c r="A1241" t="s">
        <v>91</v>
      </c>
      <c r="B1241" t="s">
        <v>1579</v>
      </c>
      <c r="C1241" t="s">
        <v>587</v>
      </c>
      <c r="D1241" t="s">
        <v>26</v>
      </c>
      <c r="E1241" s="7">
        <v>45631</v>
      </c>
      <c r="F1241" t="s">
        <v>21</v>
      </c>
      <c r="G1241">
        <v>0</v>
      </c>
      <c r="H1241" t="s">
        <v>27</v>
      </c>
      <c r="I1241" t="s">
        <v>16</v>
      </c>
      <c r="J1241" t="s">
        <v>16</v>
      </c>
      <c r="K1241" t="str">
        <f>VLOOKUP(C1241,CheckName!A:B,2,0)</f>
        <v>Add</v>
      </c>
      <c r="M1241">
        <f>DAY(RejectionData[[#This Row],[RejectionDate]])</f>
        <v>5</v>
      </c>
    </row>
    <row r="1242" spans="1:13">
      <c r="A1242" t="s">
        <v>461</v>
      </c>
      <c r="B1242" t="s">
        <v>1580</v>
      </c>
      <c r="C1242" t="s">
        <v>19</v>
      </c>
      <c r="D1242" t="s">
        <v>20</v>
      </c>
      <c r="E1242" s="7">
        <v>45631</v>
      </c>
      <c r="F1242" t="s">
        <v>21</v>
      </c>
      <c r="G1242">
        <v>0</v>
      </c>
      <c r="H1242" t="s">
        <v>27</v>
      </c>
      <c r="I1242" t="s">
        <v>16</v>
      </c>
      <c r="J1242" t="s">
        <v>16</v>
      </c>
      <c r="K1242" t="str">
        <f>VLOOKUP(C1242,CheckName!A:B,2,0)</f>
        <v>Add</v>
      </c>
      <c r="M1242">
        <f>DAY(RejectionData[[#This Row],[RejectionDate]])</f>
        <v>5</v>
      </c>
    </row>
    <row r="1243" spans="1:13">
      <c r="A1243" t="s">
        <v>1581</v>
      </c>
      <c r="B1243" t="s">
        <v>1582</v>
      </c>
      <c r="C1243" t="s">
        <v>71</v>
      </c>
      <c r="D1243" t="s">
        <v>13</v>
      </c>
      <c r="E1243" s="7">
        <v>45631</v>
      </c>
      <c r="F1243" t="s">
        <v>33</v>
      </c>
      <c r="G1243">
        <v>0</v>
      </c>
      <c r="H1243" t="s">
        <v>15</v>
      </c>
      <c r="I1243" t="s">
        <v>16</v>
      </c>
      <c r="J1243" t="s">
        <v>16</v>
      </c>
      <c r="K1243" t="str">
        <f>VLOOKUP(C1243,CheckName!A:B,2,0)</f>
        <v>CRC</v>
      </c>
      <c r="M1243">
        <f>DAY(RejectionData[[#This Row],[RejectionDate]])</f>
        <v>5</v>
      </c>
    </row>
    <row r="1244" spans="1:13">
      <c r="A1244" t="s">
        <v>73</v>
      </c>
      <c r="B1244" t="s">
        <v>1583</v>
      </c>
      <c r="C1244" t="s">
        <v>59</v>
      </c>
      <c r="D1244" t="s">
        <v>13</v>
      </c>
      <c r="E1244" s="7">
        <v>45631</v>
      </c>
      <c r="F1244" t="s">
        <v>33</v>
      </c>
      <c r="G1244">
        <v>0</v>
      </c>
      <c r="H1244" t="s">
        <v>15</v>
      </c>
      <c r="I1244" t="s">
        <v>16</v>
      </c>
      <c r="J1244" t="s">
        <v>16</v>
      </c>
      <c r="K1244" t="str">
        <f>VLOOKUP(C1244,CheckName!A:B,2,0)</f>
        <v>Special Check</v>
      </c>
      <c r="M1244">
        <f>DAY(RejectionData[[#This Row],[RejectionDate]])</f>
        <v>5</v>
      </c>
    </row>
    <row r="1245" spans="1:13">
      <c r="A1245" t="s">
        <v>73</v>
      </c>
      <c r="B1245" t="s">
        <v>1583</v>
      </c>
      <c r="C1245" t="s">
        <v>71</v>
      </c>
      <c r="D1245" t="s">
        <v>13</v>
      </c>
      <c r="E1245" s="7">
        <v>45631</v>
      </c>
      <c r="F1245" t="s">
        <v>33</v>
      </c>
      <c r="G1245">
        <v>0</v>
      </c>
      <c r="H1245" t="s">
        <v>15</v>
      </c>
      <c r="I1245" t="s">
        <v>16</v>
      </c>
      <c r="J1245" t="s">
        <v>16</v>
      </c>
      <c r="K1245" t="str">
        <f>VLOOKUP(C1245,CheckName!A:B,2,0)</f>
        <v>CRC</v>
      </c>
      <c r="M1245">
        <f>DAY(RejectionData[[#This Row],[RejectionDate]])</f>
        <v>5</v>
      </c>
    </row>
    <row r="1246" spans="1:13">
      <c r="A1246" t="s">
        <v>84</v>
      </c>
      <c r="B1246" t="s">
        <v>1179</v>
      </c>
      <c r="C1246" t="s">
        <v>36</v>
      </c>
      <c r="D1246" t="s">
        <v>38</v>
      </c>
      <c r="E1246" s="7">
        <v>45631</v>
      </c>
      <c r="F1246" t="s">
        <v>39</v>
      </c>
      <c r="G1246">
        <v>0</v>
      </c>
      <c r="H1246" t="s">
        <v>22</v>
      </c>
      <c r="I1246" t="s">
        <v>16</v>
      </c>
      <c r="J1246" t="s">
        <v>16</v>
      </c>
      <c r="K1246" t="str">
        <f>VLOOKUP(C1246,CheckName!A:B,2,0)</f>
        <v>Emp</v>
      </c>
      <c r="M1246">
        <f>DAY(RejectionData[[#This Row],[RejectionDate]])</f>
        <v>5</v>
      </c>
    </row>
    <row r="1247" spans="1:13">
      <c r="A1247" t="s">
        <v>1584</v>
      </c>
      <c r="B1247" t="s">
        <v>1585</v>
      </c>
      <c r="C1247" t="s">
        <v>12</v>
      </c>
      <c r="D1247" t="s">
        <v>38</v>
      </c>
      <c r="E1247" s="7">
        <v>45631</v>
      </c>
      <c r="F1247" t="s">
        <v>39</v>
      </c>
      <c r="G1247">
        <v>0</v>
      </c>
      <c r="H1247" t="s">
        <v>42</v>
      </c>
      <c r="I1247" t="s">
        <v>16</v>
      </c>
      <c r="J1247" t="s">
        <v>16</v>
      </c>
      <c r="K1247" t="str">
        <f>VLOOKUP(C1247,CheckName!A:B,2,0)</f>
        <v>Emp</v>
      </c>
      <c r="M1247">
        <f>DAY(RejectionData[[#This Row],[RejectionDate]])</f>
        <v>5</v>
      </c>
    </row>
    <row r="1248" spans="1:13">
      <c r="A1248" t="s">
        <v>160</v>
      </c>
      <c r="B1248" t="s">
        <v>1586</v>
      </c>
      <c r="C1248" t="s">
        <v>36</v>
      </c>
      <c r="D1248" t="s">
        <v>38</v>
      </c>
      <c r="E1248" s="7">
        <v>45631</v>
      </c>
      <c r="F1248" t="s">
        <v>39</v>
      </c>
      <c r="G1248">
        <v>0</v>
      </c>
      <c r="H1248" t="s">
        <v>42</v>
      </c>
      <c r="I1248" t="s">
        <v>16</v>
      </c>
      <c r="J1248" t="s">
        <v>16</v>
      </c>
      <c r="K1248" t="str">
        <f>VLOOKUP(C1248,CheckName!A:B,2,0)</f>
        <v>Emp</v>
      </c>
      <c r="M1248">
        <f>DAY(RejectionData[[#This Row],[RejectionDate]])</f>
        <v>5</v>
      </c>
    </row>
    <row r="1249" spans="1:13">
      <c r="A1249" t="s">
        <v>45</v>
      </c>
      <c r="B1249" t="s">
        <v>1587</v>
      </c>
      <c r="C1249" t="s">
        <v>12</v>
      </c>
      <c r="D1249" t="s">
        <v>38</v>
      </c>
      <c r="E1249" s="7">
        <v>45631</v>
      </c>
      <c r="F1249" t="s">
        <v>39</v>
      </c>
      <c r="G1249">
        <v>0</v>
      </c>
      <c r="H1249" t="s">
        <v>42</v>
      </c>
      <c r="I1249" t="s">
        <v>16</v>
      </c>
      <c r="J1249" t="s">
        <v>16</v>
      </c>
      <c r="K1249" t="str">
        <f>VLOOKUP(C1249,CheckName!A:B,2,0)</f>
        <v>Emp</v>
      </c>
      <c r="M1249">
        <f>DAY(RejectionData[[#This Row],[RejectionDate]])</f>
        <v>5</v>
      </c>
    </row>
    <row r="1250" spans="1:13">
      <c r="A1250" t="s">
        <v>45</v>
      </c>
      <c r="B1250" t="s">
        <v>1588</v>
      </c>
      <c r="C1250" t="s">
        <v>36</v>
      </c>
      <c r="D1250" t="s">
        <v>26</v>
      </c>
      <c r="E1250" s="7">
        <v>45631</v>
      </c>
      <c r="F1250" t="s">
        <v>224</v>
      </c>
      <c r="G1250">
        <v>0</v>
      </c>
      <c r="H1250" t="s">
        <v>27</v>
      </c>
      <c r="I1250" t="s">
        <v>16</v>
      </c>
      <c r="J1250" t="s">
        <v>16</v>
      </c>
      <c r="K1250" t="str">
        <f>VLOOKUP(C1250,CheckName!A:B,2,0)</f>
        <v>Emp</v>
      </c>
      <c r="M1250">
        <f>DAY(RejectionData[[#This Row],[RejectionDate]])</f>
        <v>5</v>
      </c>
    </row>
    <row r="1251" spans="1:13">
      <c r="A1251" t="s">
        <v>119</v>
      </c>
      <c r="B1251" t="s">
        <v>1589</v>
      </c>
      <c r="C1251" t="s">
        <v>54</v>
      </c>
      <c r="D1251" t="s">
        <v>26</v>
      </c>
      <c r="E1251" s="7">
        <v>45631</v>
      </c>
      <c r="F1251" t="s">
        <v>63</v>
      </c>
      <c r="G1251">
        <v>0</v>
      </c>
      <c r="H1251" t="s">
        <v>30</v>
      </c>
      <c r="I1251" t="s">
        <v>16</v>
      </c>
      <c r="J1251" t="s">
        <v>16</v>
      </c>
      <c r="K1251" t="str">
        <f>VLOOKUP(C1251,CheckName!A:B,2,0)</f>
        <v>Edu</v>
      </c>
      <c r="M1251">
        <f>DAY(RejectionData[[#This Row],[RejectionDate]])</f>
        <v>5</v>
      </c>
    </row>
    <row r="1252" spans="1:13">
      <c r="A1252" t="s">
        <v>91</v>
      </c>
      <c r="B1252" t="s">
        <v>1590</v>
      </c>
      <c r="C1252" t="s">
        <v>587</v>
      </c>
      <c r="D1252" t="s">
        <v>26</v>
      </c>
      <c r="E1252" s="7">
        <v>45631</v>
      </c>
      <c r="F1252" t="s">
        <v>62</v>
      </c>
      <c r="G1252">
        <v>0</v>
      </c>
      <c r="H1252" t="s">
        <v>27</v>
      </c>
      <c r="I1252" t="s">
        <v>16</v>
      </c>
      <c r="J1252" t="s">
        <v>16</v>
      </c>
      <c r="K1252" t="str">
        <f>VLOOKUP(C1252,CheckName!A:B,2,0)</f>
        <v>Add</v>
      </c>
      <c r="M1252">
        <f>DAY(RejectionData[[#This Row],[RejectionDate]])</f>
        <v>5</v>
      </c>
    </row>
    <row r="1253" spans="1:13">
      <c r="A1253" t="s">
        <v>91</v>
      </c>
      <c r="B1253" t="s">
        <v>1591</v>
      </c>
      <c r="C1253" t="s">
        <v>587</v>
      </c>
      <c r="D1253" t="s">
        <v>26</v>
      </c>
      <c r="E1253" s="7">
        <v>45631</v>
      </c>
      <c r="F1253" t="s">
        <v>62</v>
      </c>
      <c r="G1253">
        <v>0</v>
      </c>
      <c r="H1253" t="s">
        <v>27</v>
      </c>
      <c r="I1253" t="s">
        <v>16</v>
      </c>
      <c r="J1253" t="s">
        <v>16</v>
      </c>
      <c r="K1253" t="str">
        <f>VLOOKUP(C1253,CheckName!A:B,2,0)</f>
        <v>Add</v>
      </c>
      <c r="M1253">
        <f>DAY(RejectionData[[#This Row],[RejectionDate]])</f>
        <v>5</v>
      </c>
    </row>
    <row r="1254" spans="1:13">
      <c r="A1254" t="s">
        <v>1491</v>
      </c>
      <c r="B1254" t="s">
        <v>1592</v>
      </c>
      <c r="C1254" t="s">
        <v>54</v>
      </c>
      <c r="D1254" t="s">
        <v>26</v>
      </c>
      <c r="E1254" s="7">
        <v>45631</v>
      </c>
      <c r="F1254" t="s">
        <v>63</v>
      </c>
      <c r="G1254">
        <v>0</v>
      </c>
      <c r="H1254" t="s">
        <v>95</v>
      </c>
      <c r="I1254" t="s">
        <v>16</v>
      </c>
      <c r="J1254" t="s">
        <v>16</v>
      </c>
      <c r="K1254" t="str">
        <f>VLOOKUP(C1254,CheckName!A:B,2,0)</f>
        <v>Edu</v>
      </c>
      <c r="M1254">
        <f>DAY(RejectionData[[#This Row],[RejectionDate]])</f>
        <v>5</v>
      </c>
    </row>
    <row r="1255" spans="1:13">
      <c r="A1255" t="s">
        <v>84</v>
      </c>
      <c r="B1255" t="s">
        <v>1593</v>
      </c>
      <c r="C1255" t="s">
        <v>36</v>
      </c>
      <c r="D1255" t="s">
        <v>26</v>
      </c>
      <c r="E1255" s="7">
        <v>45631</v>
      </c>
      <c r="F1255" t="s">
        <v>191</v>
      </c>
      <c r="G1255">
        <v>0</v>
      </c>
      <c r="H1255" t="s">
        <v>27</v>
      </c>
      <c r="I1255" t="s">
        <v>16</v>
      </c>
      <c r="J1255" t="s">
        <v>16</v>
      </c>
      <c r="K1255" t="str">
        <f>VLOOKUP(C1255,CheckName!A:B,2,0)</f>
        <v>Emp</v>
      </c>
      <c r="M1255">
        <f>DAY(RejectionData[[#This Row],[RejectionDate]])</f>
        <v>5</v>
      </c>
    </row>
    <row r="1256" spans="1:13">
      <c r="A1256" t="s">
        <v>88</v>
      </c>
      <c r="B1256" t="s">
        <v>1594</v>
      </c>
      <c r="C1256" t="s">
        <v>36</v>
      </c>
      <c r="D1256" t="s">
        <v>26</v>
      </c>
      <c r="E1256" s="7">
        <v>45631</v>
      </c>
      <c r="F1256" t="s">
        <v>1139</v>
      </c>
      <c r="G1256">
        <v>0</v>
      </c>
      <c r="H1256" t="s">
        <v>27</v>
      </c>
      <c r="I1256" t="s">
        <v>16</v>
      </c>
      <c r="J1256" t="s">
        <v>16</v>
      </c>
      <c r="K1256" t="str">
        <f>VLOOKUP(C1256,CheckName!A:B,2,0)</f>
        <v>Emp</v>
      </c>
      <c r="M1256">
        <f>DAY(RejectionData[[#This Row],[RejectionDate]])</f>
        <v>5</v>
      </c>
    </row>
    <row r="1257" spans="1:13">
      <c r="A1257" t="s">
        <v>211</v>
      </c>
      <c r="B1257" t="s">
        <v>1595</v>
      </c>
      <c r="C1257" t="s">
        <v>54</v>
      </c>
      <c r="D1257" t="s">
        <v>26</v>
      </c>
      <c r="E1257" s="7">
        <v>45631</v>
      </c>
      <c r="F1257" t="s">
        <v>103</v>
      </c>
      <c r="G1257">
        <v>0</v>
      </c>
      <c r="H1257" t="s">
        <v>27</v>
      </c>
      <c r="I1257" t="s">
        <v>16</v>
      </c>
      <c r="J1257" t="s">
        <v>16</v>
      </c>
      <c r="K1257" t="str">
        <f>VLOOKUP(C1257,CheckName!A:B,2,0)</f>
        <v>Edu</v>
      </c>
      <c r="M1257">
        <f>DAY(RejectionData[[#This Row],[RejectionDate]])</f>
        <v>5</v>
      </c>
    </row>
    <row r="1258" spans="1:13">
      <c r="A1258" t="s">
        <v>1596</v>
      </c>
      <c r="B1258" t="s">
        <v>1597</v>
      </c>
      <c r="C1258" t="s">
        <v>54</v>
      </c>
      <c r="D1258" t="s">
        <v>26</v>
      </c>
      <c r="E1258" s="7">
        <v>45631</v>
      </c>
      <c r="F1258" t="s">
        <v>103</v>
      </c>
      <c r="G1258">
        <v>0</v>
      </c>
      <c r="H1258" t="s">
        <v>130</v>
      </c>
      <c r="I1258" t="s">
        <v>16</v>
      </c>
      <c r="J1258" t="s">
        <v>16</v>
      </c>
      <c r="K1258" t="str">
        <f>VLOOKUP(C1258,CheckName!A:B,2,0)</f>
        <v>Edu</v>
      </c>
      <c r="M1258">
        <f>DAY(RejectionData[[#This Row],[RejectionDate]])</f>
        <v>5</v>
      </c>
    </row>
    <row r="1259" spans="1:13">
      <c r="A1259" t="s">
        <v>495</v>
      </c>
      <c r="B1259" t="s">
        <v>1598</v>
      </c>
      <c r="C1259" t="s">
        <v>71</v>
      </c>
      <c r="D1259" t="s">
        <v>38</v>
      </c>
      <c r="E1259" s="7">
        <v>45631</v>
      </c>
      <c r="F1259" t="s">
        <v>108</v>
      </c>
      <c r="G1259">
        <v>0</v>
      </c>
      <c r="H1259" t="s">
        <v>42</v>
      </c>
      <c r="I1259" t="s">
        <v>16</v>
      </c>
      <c r="J1259" t="s">
        <v>16</v>
      </c>
      <c r="K1259" t="str">
        <f>VLOOKUP(C1259,CheckName!A:B,2,0)</f>
        <v>CRC</v>
      </c>
      <c r="M1259">
        <f>DAY(RejectionData[[#This Row],[RejectionDate]])</f>
        <v>5</v>
      </c>
    </row>
    <row r="1260" spans="1:13">
      <c r="A1260" t="s">
        <v>1599</v>
      </c>
      <c r="B1260" t="s">
        <v>1600</v>
      </c>
      <c r="C1260" t="s">
        <v>1601</v>
      </c>
      <c r="D1260" t="s">
        <v>26</v>
      </c>
      <c r="E1260" s="7">
        <v>45631</v>
      </c>
      <c r="F1260" t="s">
        <v>118</v>
      </c>
      <c r="G1260">
        <v>0</v>
      </c>
      <c r="H1260" t="s">
        <v>27</v>
      </c>
      <c r="I1260" t="s">
        <v>16</v>
      </c>
      <c r="J1260" t="s">
        <v>16</v>
      </c>
      <c r="K1260" t="str">
        <f>VLOOKUP(C1260,CheckName!A:B,2,0)</f>
        <v>CRC</v>
      </c>
      <c r="M1260">
        <f>DAY(RejectionData[[#This Row],[RejectionDate]])</f>
        <v>5</v>
      </c>
    </row>
    <row r="1261" spans="1:13">
      <c r="A1261" t="s">
        <v>1599</v>
      </c>
      <c r="B1261" t="s">
        <v>1600</v>
      </c>
      <c r="C1261" t="s">
        <v>1103</v>
      </c>
      <c r="D1261" t="s">
        <v>26</v>
      </c>
      <c r="E1261" s="7">
        <v>45631</v>
      </c>
      <c r="F1261" t="s">
        <v>118</v>
      </c>
      <c r="G1261">
        <v>0</v>
      </c>
      <c r="H1261" t="s">
        <v>27</v>
      </c>
      <c r="I1261" t="s">
        <v>16</v>
      </c>
      <c r="J1261" t="s">
        <v>16</v>
      </c>
      <c r="K1261" t="str">
        <f>VLOOKUP(C1261,CheckName!A:B,2,0)</f>
        <v>CRC</v>
      </c>
      <c r="M1261">
        <f>DAY(RejectionData[[#This Row],[RejectionDate]])</f>
        <v>5</v>
      </c>
    </row>
    <row r="1262" spans="1:13">
      <c r="A1262" t="s">
        <v>1599</v>
      </c>
      <c r="B1262" t="s">
        <v>1600</v>
      </c>
      <c r="C1262" t="s">
        <v>1104</v>
      </c>
      <c r="D1262" t="s">
        <v>26</v>
      </c>
      <c r="E1262" s="7">
        <v>45631</v>
      </c>
      <c r="F1262" t="s">
        <v>118</v>
      </c>
      <c r="G1262">
        <v>0</v>
      </c>
      <c r="H1262" t="s">
        <v>27</v>
      </c>
      <c r="I1262" t="s">
        <v>16</v>
      </c>
      <c r="J1262" t="s">
        <v>16</v>
      </c>
      <c r="K1262" t="str">
        <f>VLOOKUP(C1262,CheckName!A:B,2,0)</f>
        <v>CRC</v>
      </c>
      <c r="M1262">
        <f>DAY(RejectionData[[#This Row],[RejectionDate]])</f>
        <v>5</v>
      </c>
    </row>
    <row r="1263" spans="1:13">
      <c r="A1263" t="s">
        <v>1599</v>
      </c>
      <c r="B1263" t="s">
        <v>1600</v>
      </c>
      <c r="C1263" t="s">
        <v>49</v>
      </c>
      <c r="D1263" t="s">
        <v>26</v>
      </c>
      <c r="E1263" s="7">
        <v>45631</v>
      </c>
      <c r="F1263" t="s">
        <v>118</v>
      </c>
      <c r="G1263">
        <v>0</v>
      </c>
      <c r="H1263" t="s">
        <v>27</v>
      </c>
      <c r="I1263" t="s">
        <v>16</v>
      </c>
      <c r="J1263" t="s">
        <v>16</v>
      </c>
      <c r="K1263" t="str">
        <f>VLOOKUP(C1263,CheckName!A:B,2,0)</f>
        <v>CRC</v>
      </c>
      <c r="M1263">
        <f>DAY(RejectionData[[#This Row],[RejectionDate]])</f>
        <v>5</v>
      </c>
    </row>
    <row r="1264" spans="1:13">
      <c r="A1264" t="s">
        <v>84</v>
      </c>
      <c r="B1264" t="s">
        <v>1602</v>
      </c>
      <c r="C1264" t="s">
        <v>12</v>
      </c>
      <c r="D1264" t="s">
        <v>26</v>
      </c>
      <c r="E1264" s="7">
        <v>45631</v>
      </c>
      <c r="F1264" t="s">
        <v>151</v>
      </c>
      <c r="G1264">
        <v>0</v>
      </c>
      <c r="H1264" t="s">
        <v>27</v>
      </c>
      <c r="I1264" t="s">
        <v>16</v>
      </c>
      <c r="J1264" t="s">
        <v>16</v>
      </c>
      <c r="K1264" t="str">
        <f>VLOOKUP(C1264,CheckName!A:B,2,0)</f>
        <v>Emp</v>
      </c>
      <c r="M1264">
        <f>DAY(RejectionData[[#This Row],[RejectionDate]])</f>
        <v>5</v>
      </c>
    </row>
    <row r="1265" spans="1:13">
      <c r="A1265" t="s">
        <v>91</v>
      </c>
      <c r="B1265" t="s">
        <v>1603</v>
      </c>
      <c r="C1265" t="s">
        <v>587</v>
      </c>
      <c r="D1265" t="s">
        <v>26</v>
      </c>
      <c r="E1265" s="7">
        <v>45631</v>
      </c>
      <c r="F1265" t="s">
        <v>1604</v>
      </c>
      <c r="G1265">
        <v>0</v>
      </c>
      <c r="H1265" t="s">
        <v>27</v>
      </c>
      <c r="I1265" t="s">
        <v>16</v>
      </c>
      <c r="J1265" t="s">
        <v>16</v>
      </c>
      <c r="K1265" t="str">
        <f>VLOOKUP(C1265,CheckName!A:B,2,0)</f>
        <v>Add</v>
      </c>
      <c r="M1265">
        <f>DAY(RejectionData[[#This Row],[RejectionDate]])</f>
        <v>5</v>
      </c>
    </row>
    <row r="1266" spans="1:13">
      <c r="A1266" t="s">
        <v>91</v>
      </c>
      <c r="B1266" t="s">
        <v>1605</v>
      </c>
      <c r="C1266" t="s">
        <v>587</v>
      </c>
      <c r="D1266" t="s">
        <v>26</v>
      </c>
      <c r="E1266" s="7">
        <v>45631</v>
      </c>
      <c r="F1266" t="s">
        <v>1604</v>
      </c>
      <c r="G1266">
        <v>0</v>
      </c>
      <c r="H1266" t="s">
        <v>27</v>
      </c>
      <c r="I1266" t="s">
        <v>16</v>
      </c>
      <c r="J1266" t="s">
        <v>16</v>
      </c>
      <c r="K1266" t="str">
        <f>VLOOKUP(C1266,CheckName!A:B,2,0)</f>
        <v>Add</v>
      </c>
      <c r="M1266">
        <f>DAY(RejectionData[[#This Row],[RejectionDate]])</f>
        <v>5</v>
      </c>
    </row>
    <row r="1267" spans="1:13">
      <c r="A1267" t="s">
        <v>91</v>
      </c>
      <c r="B1267" t="s">
        <v>1606</v>
      </c>
      <c r="C1267" t="s">
        <v>587</v>
      </c>
      <c r="D1267" t="s">
        <v>26</v>
      </c>
      <c r="E1267" s="7">
        <v>45631</v>
      </c>
      <c r="F1267" t="s">
        <v>1604</v>
      </c>
      <c r="G1267">
        <v>0</v>
      </c>
      <c r="H1267" t="s">
        <v>27</v>
      </c>
      <c r="I1267" t="s">
        <v>16</v>
      </c>
      <c r="J1267" t="s">
        <v>16</v>
      </c>
      <c r="K1267" t="str">
        <f>VLOOKUP(C1267,CheckName!A:B,2,0)</f>
        <v>Add</v>
      </c>
      <c r="M1267">
        <f>DAY(RejectionData[[#This Row],[RejectionDate]])</f>
        <v>5</v>
      </c>
    </row>
    <row r="1268" spans="1:13">
      <c r="A1268" t="s">
        <v>1107</v>
      </c>
      <c r="B1268" t="s">
        <v>1607</v>
      </c>
      <c r="C1268" t="s">
        <v>54</v>
      </c>
      <c r="D1268" t="s">
        <v>26</v>
      </c>
      <c r="E1268" s="7">
        <v>45630</v>
      </c>
      <c r="F1268" t="s">
        <v>210</v>
      </c>
      <c r="G1268">
        <v>1</v>
      </c>
      <c r="H1268" t="s">
        <v>95</v>
      </c>
      <c r="I1268" t="s">
        <v>16</v>
      </c>
      <c r="J1268" t="s">
        <v>16</v>
      </c>
      <c r="K1268" t="str">
        <f>VLOOKUP(C1268,CheckName!A:B,2,0)</f>
        <v>Edu</v>
      </c>
      <c r="M1268">
        <f>DAY(RejectionData[[#This Row],[RejectionDate]])</f>
        <v>4</v>
      </c>
    </row>
    <row r="1269" spans="1:13">
      <c r="A1269" t="s">
        <v>1608</v>
      </c>
      <c r="B1269" t="s">
        <v>1609</v>
      </c>
      <c r="C1269" t="s">
        <v>12</v>
      </c>
      <c r="D1269" t="s">
        <v>26</v>
      </c>
      <c r="E1269" s="7">
        <v>45628</v>
      </c>
      <c r="F1269" t="s">
        <v>542</v>
      </c>
      <c r="G1269">
        <v>3</v>
      </c>
      <c r="H1269" t="s">
        <v>27</v>
      </c>
      <c r="I1269" t="s">
        <v>16</v>
      </c>
      <c r="J1269" t="s">
        <v>16</v>
      </c>
      <c r="K1269" t="str">
        <f>VLOOKUP(C1269,CheckName!A:B,2,0)</f>
        <v>Emp</v>
      </c>
      <c r="M1269">
        <f>DAY(RejectionData[[#This Row],[RejectionDate]])</f>
        <v>2</v>
      </c>
    </row>
    <row r="1270" spans="1:13">
      <c r="A1270" t="s">
        <v>1610</v>
      </c>
      <c r="B1270" t="s">
        <v>1611</v>
      </c>
      <c r="C1270" t="s">
        <v>54</v>
      </c>
      <c r="D1270" t="s">
        <v>26</v>
      </c>
      <c r="E1270" s="7">
        <v>45608</v>
      </c>
      <c r="F1270" t="s">
        <v>215</v>
      </c>
      <c r="G1270">
        <v>23</v>
      </c>
      <c r="H1270" t="s">
        <v>27</v>
      </c>
      <c r="I1270" t="s">
        <v>16</v>
      </c>
      <c r="J1270" t="s">
        <v>16</v>
      </c>
      <c r="K1270" t="str">
        <f>VLOOKUP(C1270,CheckName!A:B,2,0)</f>
        <v>Edu</v>
      </c>
      <c r="M1270">
        <f>DAY(RejectionData[[#This Row],[RejectionDate]])</f>
        <v>12</v>
      </c>
    </row>
    <row r="1271" spans="1:13">
      <c r="A1271" t="s">
        <v>142</v>
      </c>
      <c r="B1271" t="s">
        <v>1612</v>
      </c>
      <c r="C1271" t="s">
        <v>12</v>
      </c>
      <c r="D1271" t="s">
        <v>26</v>
      </c>
      <c r="E1271" s="7">
        <v>45608</v>
      </c>
      <c r="F1271" t="s">
        <v>110</v>
      </c>
      <c r="G1271">
        <v>23</v>
      </c>
      <c r="H1271" t="s">
        <v>27</v>
      </c>
      <c r="I1271" t="s">
        <v>16</v>
      </c>
      <c r="J1271" t="s">
        <v>16</v>
      </c>
      <c r="K1271" t="str">
        <f>VLOOKUP(C1271,CheckName!A:B,2,0)</f>
        <v>Emp</v>
      </c>
      <c r="M1271">
        <f>DAY(RejectionData[[#This Row],[RejectionDate]])</f>
        <v>12</v>
      </c>
    </row>
    <row r="1272" spans="1:13">
      <c r="A1272" t="s">
        <v>281</v>
      </c>
      <c r="B1272" t="s">
        <v>1613</v>
      </c>
      <c r="C1272" t="s">
        <v>54</v>
      </c>
      <c r="D1272" t="s">
        <v>26</v>
      </c>
      <c r="E1272" s="7">
        <v>45607</v>
      </c>
      <c r="F1272" t="s">
        <v>188</v>
      </c>
      <c r="G1272">
        <v>24</v>
      </c>
      <c r="H1272" t="s">
        <v>27</v>
      </c>
      <c r="I1272" t="s">
        <v>16</v>
      </c>
      <c r="J1272" t="s">
        <v>16</v>
      </c>
      <c r="K1272" t="str">
        <f>VLOOKUP(C1272,CheckName!A:B,2,0)</f>
        <v>Edu</v>
      </c>
      <c r="M1272">
        <f>DAY(RejectionData[[#This Row],[RejectionDate]])</f>
        <v>11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450"/>
  <sheetViews>
    <sheetView workbookViewId="0">
      <selection activeCell="E5" sqref="E5"/>
    </sheetView>
  </sheetViews>
  <sheetFormatPr defaultRowHeight="14.25"/>
  <cols>
    <col min="1" max="1" width="74.25" bestFit="1" customWidth="1"/>
    <col min="2" max="2" width="12" bestFit="1" customWidth="1"/>
  </cols>
  <sheetData>
    <row r="1" spans="1:5">
      <c r="A1" s="1" t="s">
        <v>1614</v>
      </c>
      <c r="B1" s="3" t="s">
        <v>1615</v>
      </c>
    </row>
    <row r="2" spans="1:5" ht="15">
      <c r="A2" s="2" t="s">
        <v>1616</v>
      </c>
      <c r="B2" s="3" t="s">
        <v>50</v>
      </c>
      <c r="E2" t="s">
        <v>2306</v>
      </c>
    </row>
    <row r="3" spans="1:5" ht="15">
      <c r="A3" s="2" t="s">
        <v>49</v>
      </c>
      <c r="B3" s="3" t="s">
        <v>50</v>
      </c>
      <c r="E3" t="s">
        <v>2307</v>
      </c>
    </row>
    <row r="4" spans="1:5" ht="15">
      <c r="A4" s="2" t="s">
        <v>71</v>
      </c>
      <c r="B4" s="3" t="s">
        <v>50</v>
      </c>
      <c r="E4" t="s">
        <v>2308</v>
      </c>
    </row>
    <row r="5" spans="1:5" ht="15">
      <c r="A5" s="2" t="s">
        <v>491</v>
      </c>
      <c r="B5" s="3" t="s">
        <v>50</v>
      </c>
      <c r="E5" t="s">
        <v>2309</v>
      </c>
    </row>
    <row r="6" spans="1:5" ht="15">
      <c r="A6" s="2" t="s">
        <v>1617</v>
      </c>
      <c r="B6" s="3" t="s">
        <v>50</v>
      </c>
      <c r="E6" t="s">
        <v>2310</v>
      </c>
    </row>
    <row r="7" spans="1:5" ht="15">
      <c r="A7" s="2" t="s">
        <v>1618</v>
      </c>
      <c r="B7" s="3" t="s">
        <v>50</v>
      </c>
    </row>
    <row r="8" spans="1:5" ht="15">
      <c r="A8" s="2" t="s">
        <v>1619</v>
      </c>
      <c r="B8" s="3" t="s">
        <v>50</v>
      </c>
    </row>
    <row r="9" spans="1:5" ht="15">
      <c r="A9" s="2" t="s">
        <v>1620</v>
      </c>
      <c r="B9" s="3" t="s">
        <v>50</v>
      </c>
    </row>
    <row r="10" spans="1:5" ht="15">
      <c r="A10" s="2" t="s">
        <v>1334</v>
      </c>
      <c r="B10" s="3" t="s">
        <v>50</v>
      </c>
    </row>
    <row r="11" spans="1:5" ht="15">
      <c r="A11" s="2" t="s">
        <v>1335</v>
      </c>
      <c r="B11" s="3" t="s">
        <v>50</v>
      </c>
    </row>
    <row r="12" spans="1:5" ht="15">
      <c r="A12" s="2" t="s">
        <v>1621</v>
      </c>
      <c r="B12" s="3" t="s">
        <v>50</v>
      </c>
    </row>
    <row r="13" spans="1:5" ht="15">
      <c r="A13" s="2" t="s">
        <v>1622</v>
      </c>
      <c r="B13" s="3" t="s">
        <v>50</v>
      </c>
    </row>
    <row r="14" spans="1:5" ht="15">
      <c r="A14" s="2" t="s">
        <v>1333</v>
      </c>
      <c r="B14" s="3" t="s">
        <v>50</v>
      </c>
    </row>
    <row r="15" spans="1:5" ht="15">
      <c r="A15" s="2" t="s">
        <v>1623</v>
      </c>
      <c r="B15" s="3" t="s">
        <v>50</v>
      </c>
    </row>
    <row r="16" spans="1:5" ht="15">
      <c r="A16" s="2" t="s">
        <v>1624</v>
      </c>
      <c r="B16" s="3" t="s">
        <v>50</v>
      </c>
    </row>
    <row r="17" spans="1:2" ht="15">
      <c r="A17" s="2" t="s">
        <v>1625</v>
      </c>
      <c r="B17" s="3" t="s">
        <v>50</v>
      </c>
    </row>
    <row r="18" spans="1:2" ht="15">
      <c r="A18" s="2" t="s">
        <v>1103</v>
      </c>
      <c r="B18" s="3" t="s">
        <v>50</v>
      </c>
    </row>
    <row r="19" spans="1:2" ht="15">
      <c r="A19" s="2" t="s">
        <v>1626</v>
      </c>
      <c r="B19" s="3" t="s">
        <v>50</v>
      </c>
    </row>
    <row r="20" spans="1:2" ht="15">
      <c r="A20" s="2" t="s">
        <v>1627</v>
      </c>
      <c r="B20" s="3" t="s">
        <v>50</v>
      </c>
    </row>
    <row r="21" spans="1:2" ht="15">
      <c r="A21" s="2" t="s">
        <v>1628</v>
      </c>
      <c r="B21" s="3" t="s">
        <v>50</v>
      </c>
    </row>
    <row r="22" spans="1:2" ht="15">
      <c r="A22" s="2" t="s">
        <v>1104</v>
      </c>
      <c r="B22" s="3" t="s">
        <v>50</v>
      </c>
    </row>
    <row r="23" spans="1:2" ht="15">
      <c r="A23" s="2" t="s">
        <v>1629</v>
      </c>
      <c r="B23" s="3" t="s">
        <v>50</v>
      </c>
    </row>
    <row r="24" spans="1:2" ht="15">
      <c r="A24" s="2" t="s">
        <v>1601</v>
      </c>
      <c r="B24" s="3" t="s">
        <v>50</v>
      </c>
    </row>
    <row r="25" spans="1:2" ht="15">
      <c r="A25" s="2" t="s">
        <v>1347</v>
      </c>
      <c r="B25" s="3" t="s">
        <v>50</v>
      </c>
    </row>
    <row r="26" spans="1:2" ht="15">
      <c r="A26" s="2" t="s">
        <v>1630</v>
      </c>
      <c r="B26" s="3" t="s">
        <v>50</v>
      </c>
    </row>
    <row r="27" spans="1:2" ht="15">
      <c r="A27" s="2" t="s">
        <v>50</v>
      </c>
      <c r="B27" s="3" t="s">
        <v>50</v>
      </c>
    </row>
    <row r="28" spans="1:2" ht="15">
      <c r="A28" s="2" t="s">
        <v>1631</v>
      </c>
      <c r="B28" s="3" t="s">
        <v>50</v>
      </c>
    </row>
    <row r="29" spans="1:2" ht="15">
      <c r="A29" s="2" t="s">
        <v>1632</v>
      </c>
      <c r="B29" s="3" t="s">
        <v>50</v>
      </c>
    </row>
    <row r="30" spans="1:2" ht="15">
      <c r="A30" s="2" t="s">
        <v>533</v>
      </c>
      <c r="B30" s="3" t="s">
        <v>50</v>
      </c>
    </row>
    <row r="31" spans="1:2">
      <c r="A31" s="3" t="s">
        <v>1633</v>
      </c>
      <c r="B31" s="3" t="s">
        <v>50</v>
      </c>
    </row>
    <row r="32" spans="1:2">
      <c r="A32" s="3" t="s">
        <v>1634</v>
      </c>
      <c r="B32" s="3" t="s">
        <v>50</v>
      </c>
    </row>
    <row r="33" spans="1:2">
      <c r="A33" s="3" t="s">
        <v>1635</v>
      </c>
      <c r="B33" s="3" t="s">
        <v>50</v>
      </c>
    </row>
    <row r="34" spans="1:2">
      <c r="A34" s="3" t="s">
        <v>1636</v>
      </c>
      <c r="B34" s="3" t="s">
        <v>50</v>
      </c>
    </row>
    <row r="35" spans="1:2" ht="15">
      <c r="A35" s="2" t="s">
        <v>1637</v>
      </c>
      <c r="B35" s="3" t="s">
        <v>50</v>
      </c>
    </row>
    <row r="36" spans="1:2" ht="15">
      <c r="A36" s="2" t="s">
        <v>1638</v>
      </c>
      <c r="B36" s="3" t="s">
        <v>50</v>
      </c>
    </row>
    <row r="37" spans="1:2" ht="15">
      <c r="A37" s="2" t="s">
        <v>1639</v>
      </c>
      <c r="B37" s="3" t="s">
        <v>50</v>
      </c>
    </row>
    <row r="38" spans="1:2" ht="15">
      <c r="A38" s="2" t="s">
        <v>1640</v>
      </c>
      <c r="B38" s="3" t="s">
        <v>50</v>
      </c>
    </row>
    <row r="39" spans="1:2" ht="15">
      <c r="A39" s="2" t="s">
        <v>1641</v>
      </c>
      <c r="B39" s="3" t="s">
        <v>50</v>
      </c>
    </row>
    <row r="40" spans="1:2" ht="15">
      <c r="A40" s="2" t="s">
        <v>1642</v>
      </c>
      <c r="B40" s="3" t="s">
        <v>50</v>
      </c>
    </row>
    <row r="41" spans="1:2" ht="15">
      <c r="A41" s="2" t="s">
        <v>1643</v>
      </c>
      <c r="B41" s="3" t="s">
        <v>50</v>
      </c>
    </row>
    <row r="42" spans="1:2" ht="15">
      <c r="A42" s="2" t="s">
        <v>1644</v>
      </c>
      <c r="B42" s="3" t="s">
        <v>50</v>
      </c>
    </row>
    <row r="43" spans="1:2" ht="15">
      <c r="A43" s="2" t="s">
        <v>1645</v>
      </c>
      <c r="B43" s="3" t="s">
        <v>50</v>
      </c>
    </row>
    <row r="44" spans="1:2" ht="15">
      <c r="A44" s="2" t="s">
        <v>1646</v>
      </c>
      <c r="B44" s="3" t="s">
        <v>50</v>
      </c>
    </row>
    <row r="45" spans="1:2" ht="15">
      <c r="A45" s="2" t="s">
        <v>1647</v>
      </c>
      <c r="B45" s="3" t="s">
        <v>50</v>
      </c>
    </row>
    <row r="46" spans="1:2">
      <c r="A46" s="4" t="s">
        <v>19</v>
      </c>
      <c r="B46" s="3" t="s">
        <v>2045</v>
      </c>
    </row>
    <row r="47" spans="1:2">
      <c r="A47" s="4" t="s">
        <v>25</v>
      </c>
      <c r="B47" s="3" t="s">
        <v>2045</v>
      </c>
    </row>
    <row r="48" spans="1:2">
      <c r="A48" s="4" t="s">
        <v>790</v>
      </c>
      <c r="B48" s="3" t="s">
        <v>2045</v>
      </c>
    </row>
    <row r="49" spans="1:2">
      <c r="A49" s="4" t="s">
        <v>1510</v>
      </c>
      <c r="B49" s="3" t="s">
        <v>2045</v>
      </c>
    </row>
    <row r="50" spans="1:2">
      <c r="A50" s="4" t="s">
        <v>587</v>
      </c>
      <c r="B50" s="3" t="s">
        <v>2045</v>
      </c>
    </row>
    <row r="51" spans="1:2">
      <c r="A51" s="4" t="s">
        <v>965</v>
      </c>
      <c r="B51" s="3" t="s">
        <v>2045</v>
      </c>
    </row>
    <row r="52" spans="1:2">
      <c r="A52" s="4" t="s">
        <v>1648</v>
      </c>
      <c r="B52" s="3" t="s">
        <v>2045</v>
      </c>
    </row>
    <row r="53" spans="1:2">
      <c r="A53" s="4" t="s">
        <v>980</v>
      </c>
      <c r="B53" s="3" t="s">
        <v>2045</v>
      </c>
    </row>
    <row r="54" spans="1:2">
      <c r="A54" s="4" t="s">
        <v>1649</v>
      </c>
      <c r="B54" s="3" t="s">
        <v>2045</v>
      </c>
    </row>
    <row r="55" spans="1:2">
      <c r="A55" s="3" t="s">
        <v>1650</v>
      </c>
      <c r="B55" s="3" t="s">
        <v>2045</v>
      </c>
    </row>
    <row r="56" spans="1:2">
      <c r="A56" s="3" t="s">
        <v>322</v>
      </c>
      <c r="B56" s="3" t="s">
        <v>2045</v>
      </c>
    </row>
    <row r="57" spans="1:2">
      <c r="A57" s="3" t="s">
        <v>1651</v>
      </c>
      <c r="B57" s="3" t="s">
        <v>2045</v>
      </c>
    </row>
    <row r="58" spans="1:2">
      <c r="A58" s="3" t="s">
        <v>1652</v>
      </c>
      <c r="B58" s="3" t="s">
        <v>2045</v>
      </c>
    </row>
    <row r="59" spans="1:2">
      <c r="A59" s="3" t="s">
        <v>1653</v>
      </c>
      <c r="B59" s="3" t="s">
        <v>2045</v>
      </c>
    </row>
    <row r="60" spans="1:2">
      <c r="A60" s="3" t="s">
        <v>1654</v>
      </c>
      <c r="B60" s="3" t="s">
        <v>2045</v>
      </c>
    </row>
    <row r="61" spans="1:2">
      <c r="A61" s="3" t="s">
        <v>1655</v>
      </c>
      <c r="B61" s="3" t="s">
        <v>2045</v>
      </c>
    </row>
    <row r="62" spans="1:2">
      <c r="A62" s="3" t="s">
        <v>1656</v>
      </c>
      <c r="B62" s="3" t="s">
        <v>2045</v>
      </c>
    </row>
    <row r="63" spans="1:2">
      <c r="A63" s="3" t="s">
        <v>1657</v>
      </c>
      <c r="B63" s="3" t="s">
        <v>2045</v>
      </c>
    </row>
    <row r="64" spans="1:2">
      <c r="A64" s="3" t="s">
        <v>1658</v>
      </c>
      <c r="B64" s="3" t="s">
        <v>2045</v>
      </c>
    </row>
    <row r="65" spans="1:2">
      <c r="A65" s="3" t="s">
        <v>1659</v>
      </c>
      <c r="B65" s="3" t="s">
        <v>2045</v>
      </c>
    </row>
    <row r="66" spans="1:2">
      <c r="A66" s="3" t="s">
        <v>1660</v>
      </c>
      <c r="B66" s="3" t="s">
        <v>2045</v>
      </c>
    </row>
    <row r="67" spans="1:2">
      <c r="A67" s="3" t="s">
        <v>1661</v>
      </c>
      <c r="B67" s="3" t="s">
        <v>2045</v>
      </c>
    </row>
    <row r="68" spans="1:2">
      <c r="A68" s="3" t="s">
        <v>1662</v>
      </c>
      <c r="B68" s="3" t="s">
        <v>2045</v>
      </c>
    </row>
    <row r="69" spans="1:2">
      <c r="A69" s="3" t="s">
        <v>1663</v>
      </c>
      <c r="B69" s="3" t="s">
        <v>2045</v>
      </c>
    </row>
    <row r="70" spans="1:2">
      <c r="A70" s="3" t="s">
        <v>1660</v>
      </c>
      <c r="B70" s="3" t="s">
        <v>2045</v>
      </c>
    </row>
    <row r="71" spans="1:2">
      <c r="A71" s="3" t="s">
        <v>1661</v>
      </c>
      <c r="B71" s="3" t="s">
        <v>2045</v>
      </c>
    </row>
    <row r="72" spans="1:2">
      <c r="A72" s="3" t="s">
        <v>1662</v>
      </c>
      <c r="B72" s="3" t="s">
        <v>2045</v>
      </c>
    </row>
    <row r="73" spans="1:2">
      <c r="A73" s="3" t="s">
        <v>1663</v>
      </c>
      <c r="B73" s="3" t="s">
        <v>2045</v>
      </c>
    </row>
    <row r="74" spans="1:2">
      <c r="A74" s="3" t="s">
        <v>54</v>
      </c>
      <c r="B74" s="3" t="s">
        <v>2047</v>
      </c>
    </row>
    <row r="75" spans="1:2">
      <c r="A75" s="3" t="s">
        <v>805</v>
      </c>
      <c r="B75" s="3" t="s">
        <v>2047</v>
      </c>
    </row>
    <row r="76" spans="1:2">
      <c r="A76" s="3" t="s">
        <v>439</v>
      </c>
      <c r="B76" s="3" t="s">
        <v>2047</v>
      </c>
    </row>
    <row r="77" spans="1:2">
      <c r="A77" s="3" t="s">
        <v>102</v>
      </c>
      <c r="B77" s="3" t="s">
        <v>2047</v>
      </c>
    </row>
    <row r="78" spans="1:2">
      <c r="A78" s="3" t="s">
        <v>1098</v>
      </c>
      <c r="B78" s="3" t="s">
        <v>2047</v>
      </c>
    </row>
    <row r="79" spans="1:2">
      <c r="A79" s="3" t="s">
        <v>93</v>
      </c>
      <c r="B79" s="3" t="s">
        <v>2047</v>
      </c>
    </row>
    <row r="80" spans="1:2">
      <c r="A80" s="3" t="s">
        <v>1664</v>
      </c>
      <c r="B80" s="3" t="s">
        <v>2047</v>
      </c>
    </row>
    <row r="81" spans="1:2">
      <c r="A81" s="3" t="s">
        <v>1665</v>
      </c>
      <c r="B81" s="3" t="s">
        <v>2047</v>
      </c>
    </row>
    <row r="82" spans="1:2">
      <c r="A82" s="3" t="s">
        <v>1666</v>
      </c>
      <c r="B82" s="3" t="s">
        <v>2047</v>
      </c>
    </row>
    <row r="83" spans="1:2">
      <c r="A83" s="3" t="s">
        <v>1667</v>
      </c>
      <c r="B83" s="3" t="s">
        <v>2047</v>
      </c>
    </row>
    <row r="84" spans="1:2">
      <c r="A84" s="3" t="s">
        <v>1293</v>
      </c>
      <c r="B84" s="3" t="s">
        <v>2047</v>
      </c>
    </row>
    <row r="85" spans="1:2">
      <c r="A85" s="3" t="s">
        <v>1668</v>
      </c>
      <c r="B85" s="3" t="s">
        <v>2047</v>
      </c>
    </row>
    <row r="86" spans="1:2">
      <c r="A86" s="3" t="s">
        <v>2258</v>
      </c>
      <c r="B86" s="3" t="s">
        <v>2047</v>
      </c>
    </row>
    <row r="87" spans="1:2">
      <c r="A87" s="3" t="s">
        <v>55</v>
      </c>
      <c r="B87" s="3" t="s">
        <v>2047</v>
      </c>
    </row>
    <row r="88" spans="1:2">
      <c r="A88" s="3" t="s">
        <v>308</v>
      </c>
      <c r="B88" s="3" t="s">
        <v>2047</v>
      </c>
    </row>
    <row r="89" spans="1:2">
      <c r="A89" s="3" t="s">
        <v>1669</v>
      </c>
      <c r="B89" s="3" t="s">
        <v>2047</v>
      </c>
    </row>
    <row r="90" spans="1:2">
      <c r="A90" s="3" t="s">
        <v>1670</v>
      </c>
      <c r="B90" s="3" t="s">
        <v>2047</v>
      </c>
    </row>
    <row r="91" spans="1:2">
      <c r="A91" s="3" t="s">
        <v>1671</v>
      </c>
      <c r="B91" s="3" t="s">
        <v>2047</v>
      </c>
    </row>
    <row r="92" spans="1:2">
      <c r="A92" s="3" t="s">
        <v>1672</v>
      </c>
      <c r="B92" s="3" t="s">
        <v>2047</v>
      </c>
    </row>
    <row r="93" spans="1:2">
      <c r="A93" s="3" t="s">
        <v>1673</v>
      </c>
      <c r="B93" s="3" t="s">
        <v>2047</v>
      </c>
    </row>
    <row r="94" spans="1:2">
      <c r="A94" s="3" t="s">
        <v>1671</v>
      </c>
      <c r="B94" s="3" t="s">
        <v>2047</v>
      </c>
    </row>
    <row r="95" spans="1:2">
      <c r="A95" s="3" t="s">
        <v>1672</v>
      </c>
      <c r="B95" s="3" t="s">
        <v>2047</v>
      </c>
    </row>
    <row r="96" spans="1:2">
      <c r="A96" s="3" t="s">
        <v>1673</v>
      </c>
      <c r="B96" s="3" t="s">
        <v>2047</v>
      </c>
    </row>
    <row r="97" spans="1:2">
      <c r="A97" s="3" t="s">
        <v>12</v>
      </c>
      <c r="B97" s="3" t="s">
        <v>2046</v>
      </c>
    </row>
    <row r="98" spans="1:2">
      <c r="A98" s="3" t="s">
        <v>125</v>
      </c>
      <c r="B98" s="3" t="s">
        <v>2046</v>
      </c>
    </row>
    <row r="99" spans="1:2">
      <c r="A99" s="3" t="s">
        <v>36</v>
      </c>
      <c r="B99" s="3" t="s">
        <v>2046</v>
      </c>
    </row>
    <row r="100" spans="1:2">
      <c r="A100" s="5" t="s">
        <v>112</v>
      </c>
      <c r="B100" s="3" t="s">
        <v>2046</v>
      </c>
    </row>
    <row r="101" spans="1:2">
      <c r="A101" s="3" t="s">
        <v>775</v>
      </c>
      <c r="B101" s="3" t="s">
        <v>2046</v>
      </c>
    </row>
    <row r="102" spans="1:2">
      <c r="A102" s="3" t="s">
        <v>1674</v>
      </c>
      <c r="B102" s="3" t="s">
        <v>2046</v>
      </c>
    </row>
    <row r="103" spans="1:2">
      <c r="A103" s="3" t="s">
        <v>259</v>
      </c>
      <c r="B103" s="3" t="s">
        <v>2046</v>
      </c>
    </row>
    <row r="104" spans="1:2">
      <c r="A104" s="3" t="s">
        <v>357</v>
      </c>
      <c r="B104" s="3" t="s">
        <v>2046</v>
      </c>
    </row>
    <row r="105" spans="1:2">
      <c r="A105" s="3" t="s">
        <v>1675</v>
      </c>
      <c r="B105" s="3" t="s">
        <v>2046</v>
      </c>
    </row>
    <row r="106" spans="1:2">
      <c r="A106" s="3" t="s">
        <v>516</v>
      </c>
      <c r="B106" s="3" t="s">
        <v>2046</v>
      </c>
    </row>
    <row r="107" spans="1:2">
      <c r="A107" s="3" t="s">
        <v>359</v>
      </c>
      <c r="B107" s="3" t="s">
        <v>2046</v>
      </c>
    </row>
    <row r="108" spans="1:2">
      <c r="A108" s="3" t="s">
        <v>1676</v>
      </c>
      <c r="B108" s="3" t="s">
        <v>2046</v>
      </c>
    </row>
    <row r="109" spans="1:2">
      <c r="A109" s="3" t="s">
        <v>1677</v>
      </c>
      <c r="B109" s="3" t="s">
        <v>2046</v>
      </c>
    </row>
    <row r="110" spans="1:2">
      <c r="A110" s="3" t="s">
        <v>1678</v>
      </c>
      <c r="B110" s="3" t="s">
        <v>2046</v>
      </c>
    </row>
    <row r="111" spans="1:2">
      <c r="A111" s="3" t="s">
        <v>1679</v>
      </c>
      <c r="B111" s="3" t="s">
        <v>2046</v>
      </c>
    </row>
    <row r="112" spans="1:2">
      <c r="A112" s="3" t="s">
        <v>269</v>
      </c>
      <c r="B112" s="3" t="s">
        <v>2046</v>
      </c>
    </row>
    <row r="113" spans="1:2">
      <c r="A113" s="3" t="s">
        <v>1680</v>
      </c>
      <c r="B113" s="3" t="s">
        <v>2046</v>
      </c>
    </row>
    <row r="114" spans="1:2">
      <c r="A114" s="3" t="s">
        <v>1681</v>
      </c>
      <c r="B114" s="3" t="s">
        <v>2046</v>
      </c>
    </row>
    <row r="115" spans="1:2">
      <c r="A115" s="3" t="s">
        <v>481</v>
      </c>
      <c r="B115" s="3" t="s">
        <v>2046</v>
      </c>
    </row>
    <row r="116" spans="1:2">
      <c r="A116" s="3" t="s">
        <v>1682</v>
      </c>
      <c r="B116" s="3" t="s">
        <v>2046</v>
      </c>
    </row>
    <row r="117" spans="1:2">
      <c r="A117" s="3" t="s">
        <v>324</v>
      </c>
      <c r="B117" s="3" t="s">
        <v>2046</v>
      </c>
    </row>
    <row r="118" spans="1:2">
      <c r="A118" s="3" t="s">
        <v>1683</v>
      </c>
      <c r="B118" s="3" t="s">
        <v>2046</v>
      </c>
    </row>
    <row r="119" spans="1:2">
      <c r="A119" s="3" t="s">
        <v>1684</v>
      </c>
      <c r="B119" s="3" t="s">
        <v>2046</v>
      </c>
    </row>
    <row r="120" spans="1:2">
      <c r="A120" s="3" t="s">
        <v>1685</v>
      </c>
      <c r="B120" s="3" t="s">
        <v>2046</v>
      </c>
    </row>
    <row r="121" spans="1:2">
      <c r="A121" s="3" t="s">
        <v>324</v>
      </c>
      <c r="B121" s="3" t="s">
        <v>2046</v>
      </c>
    </row>
    <row r="122" spans="1:2">
      <c r="A122" s="3" t="s">
        <v>1683</v>
      </c>
      <c r="B122" s="3" t="s">
        <v>2046</v>
      </c>
    </row>
    <row r="123" spans="1:2">
      <c r="A123" s="3" t="s">
        <v>1684</v>
      </c>
      <c r="B123" s="3" t="s">
        <v>2046</v>
      </c>
    </row>
    <row r="124" spans="1:2">
      <c r="A124" s="3" t="s">
        <v>1685</v>
      </c>
      <c r="B124" s="3" t="s">
        <v>2046</v>
      </c>
    </row>
    <row r="125" spans="1:2">
      <c r="A125" s="3" t="s">
        <v>1686</v>
      </c>
      <c r="B125" s="3" t="s">
        <v>50</v>
      </c>
    </row>
    <row r="126" spans="1:2">
      <c r="A126" s="3" t="s">
        <v>1687</v>
      </c>
      <c r="B126" s="3" t="s">
        <v>50</v>
      </c>
    </row>
    <row r="127" spans="1:2">
      <c r="A127" s="3" t="s">
        <v>1688</v>
      </c>
      <c r="B127" s="3" t="s">
        <v>50</v>
      </c>
    </row>
    <row r="128" spans="1:2">
      <c r="A128" s="3" t="s">
        <v>1689</v>
      </c>
      <c r="B128" s="3" t="s">
        <v>50</v>
      </c>
    </row>
    <row r="129" spans="1:2">
      <c r="A129" s="3" t="s">
        <v>1690</v>
      </c>
      <c r="B129" s="3" t="s">
        <v>50</v>
      </c>
    </row>
    <row r="130" spans="1:2">
      <c r="A130" s="3" t="s">
        <v>1691</v>
      </c>
      <c r="B130" s="3" t="s">
        <v>50</v>
      </c>
    </row>
    <row r="131" spans="1:2">
      <c r="A131" s="3" t="s">
        <v>1692</v>
      </c>
      <c r="B131" s="3" t="s">
        <v>50</v>
      </c>
    </row>
    <row r="132" spans="1:2">
      <c r="A132" s="3" t="s">
        <v>1693</v>
      </c>
      <c r="B132" s="3" t="s">
        <v>50</v>
      </c>
    </row>
    <row r="133" spans="1:2">
      <c r="A133" s="3" t="s">
        <v>1694</v>
      </c>
      <c r="B133" s="3" t="s">
        <v>50</v>
      </c>
    </row>
    <row r="134" spans="1:2">
      <c r="A134" s="3" t="s">
        <v>1695</v>
      </c>
      <c r="B134" s="3" t="s">
        <v>50</v>
      </c>
    </row>
    <row r="135" spans="1:2">
      <c r="A135" s="3" t="s">
        <v>1696</v>
      </c>
      <c r="B135" s="3" t="s">
        <v>50</v>
      </c>
    </row>
    <row r="136" spans="1:2">
      <c r="A136" s="3" t="s">
        <v>1697</v>
      </c>
      <c r="B136" s="3" t="s">
        <v>50</v>
      </c>
    </row>
    <row r="137" spans="1:2">
      <c r="A137" s="3" t="s">
        <v>1698</v>
      </c>
      <c r="B137" s="3" t="s">
        <v>50</v>
      </c>
    </row>
    <row r="138" spans="1:2">
      <c r="A138" s="3" t="s">
        <v>1699</v>
      </c>
      <c r="B138" s="3" t="s">
        <v>50</v>
      </c>
    </row>
    <row r="139" spans="1:2">
      <c r="A139" s="3" t="s">
        <v>1700</v>
      </c>
      <c r="B139" s="3" t="s">
        <v>50</v>
      </c>
    </row>
    <row r="140" spans="1:2">
      <c r="A140" s="3" t="s">
        <v>1701</v>
      </c>
      <c r="B140" s="3" t="s">
        <v>50</v>
      </c>
    </row>
    <row r="141" spans="1:2">
      <c r="A141" s="3" t="s">
        <v>1702</v>
      </c>
      <c r="B141" s="3" t="s">
        <v>50</v>
      </c>
    </row>
    <row r="142" spans="1:2">
      <c r="A142" s="3" t="s">
        <v>1703</v>
      </c>
      <c r="B142" s="3" t="s">
        <v>50</v>
      </c>
    </row>
    <row r="143" spans="1:2">
      <c r="A143" s="3" t="s">
        <v>1704</v>
      </c>
      <c r="B143" s="3" t="s">
        <v>50</v>
      </c>
    </row>
    <row r="144" spans="1:2">
      <c r="A144" s="3" t="s">
        <v>1705</v>
      </c>
      <c r="B144" s="3" t="s">
        <v>50</v>
      </c>
    </row>
    <row r="145" spans="1:2">
      <c r="A145" s="3" t="s">
        <v>1706</v>
      </c>
      <c r="B145" s="3" t="s">
        <v>50</v>
      </c>
    </row>
    <row r="146" spans="1:2">
      <c r="A146" s="3" t="s">
        <v>1707</v>
      </c>
      <c r="B146" s="3" t="s">
        <v>50</v>
      </c>
    </row>
    <row r="147" spans="1:2">
      <c r="A147" s="3" t="s">
        <v>1708</v>
      </c>
      <c r="B147" s="3" t="s">
        <v>50</v>
      </c>
    </row>
    <row r="148" spans="1:2">
      <c r="A148" s="3" t="s">
        <v>1709</v>
      </c>
      <c r="B148" s="3" t="s">
        <v>50</v>
      </c>
    </row>
    <row r="149" spans="1:2">
      <c r="A149" s="3" t="s">
        <v>220</v>
      </c>
      <c r="B149" s="3" t="s">
        <v>2048</v>
      </c>
    </row>
    <row r="150" spans="1:2">
      <c r="A150" s="3" t="s">
        <v>106</v>
      </c>
      <c r="B150" s="3" t="s">
        <v>2048</v>
      </c>
    </row>
    <row r="151" spans="1:2">
      <c r="A151" s="3" t="s">
        <v>1710</v>
      </c>
      <c r="B151" s="3" t="s">
        <v>2048</v>
      </c>
    </row>
    <row r="152" spans="1:2">
      <c r="A152" s="3" t="s">
        <v>422</v>
      </c>
      <c r="B152" s="3" t="s">
        <v>2048</v>
      </c>
    </row>
    <row r="153" spans="1:2">
      <c r="A153" s="3" t="s">
        <v>1711</v>
      </c>
      <c r="B153" s="3" t="s">
        <v>2048</v>
      </c>
    </row>
    <row r="154" spans="1:2">
      <c r="A154" s="3" t="s">
        <v>1712</v>
      </c>
      <c r="B154" s="3" t="s">
        <v>2048</v>
      </c>
    </row>
    <row r="155" spans="1:2">
      <c r="A155" s="3" t="s">
        <v>1713</v>
      </c>
      <c r="B155" s="3" t="s">
        <v>2048</v>
      </c>
    </row>
    <row r="156" spans="1:2">
      <c r="A156" s="3" t="s">
        <v>1714</v>
      </c>
      <c r="B156" s="3" t="s">
        <v>2048</v>
      </c>
    </row>
    <row r="157" spans="1:2">
      <c r="A157" s="3" t="s">
        <v>418</v>
      </c>
      <c r="B157" s="3" t="s">
        <v>2048</v>
      </c>
    </row>
    <row r="158" spans="1:2">
      <c r="A158" s="3" t="s">
        <v>387</v>
      </c>
      <c r="B158" s="3" t="s">
        <v>2048</v>
      </c>
    </row>
    <row r="159" spans="1:2">
      <c r="A159" s="3" t="s">
        <v>1715</v>
      </c>
      <c r="B159" s="3" t="s">
        <v>2048</v>
      </c>
    </row>
    <row r="160" spans="1:2">
      <c r="A160" s="3" t="s">
        <v>1716</v>
      </c>
      <c r="B160" s="3" t="s">
        <v>2048</v>
      </c>
    </row>
    <row r="161" spans="1:2">
      <c r="A161" s="3" t="s">
        <v>1717</v>
      </c>
      <c r="B161" s="3" t="s">
        <v>50</v>
      </c>
    </row>
    <row r="162" spans="1:2">
      <c r="A162" s="3" t="s">
        <v>1718</v>
      </c>
      <c r="B162" s="3" t="s">
        <v>50</v>
      </c>
    </row>
    <row r="163" spans="1:2">
      <c r="A163" s="3" t="s">
        <v>1719</v>
      </c>
      <c r="B163" s="3" t="s">
        <v>50</v>
      </c>
    </row>
    <row r="164" spans="1:2">
      <c r="A164" s="3" t="s">
        <v>1720</v>
      </c>
      <c r="B164" s="3" t="s">
        <v>2049</v>
      </c>
    </row>
    <row r="165" spans="1:2">
      <c r="A165" s="3" t="s">
        <v>122</v>
      </c>
      <c r="B165" s="3" t="s">
        <v>57</v>
      </c>
    </row>
    <row r="166" spans="1:2">
      <c r="A166" s="3" t="s">
        <v>59</v>
      </c>
      <c r="B166" s="3" t="s">
        <v>57</v>
      </c>
    </row>
    <row r="167" spans="1:2">
      <c r="A167" s="3" t="s">
        <v>123</v>
      </c>
      <c r="B167" s="3" t="s">
        <v>57</v>
      </c>
    </row>
    <row r="168" spans="1:2">
      <c r="A168" s="3" t="s">
        <v>1068</v>
      </c>
      <c r="B168" s="3" t="s">
        <v>57</v>
      </c>
    </row>
    <row r="169" spans="1:2">
      <c r="A169" s="3" t="s">
        <v>467</v>
      </c>
      <c r="B169" s="3" t="s">
        <v>57</v>
      </c>
    </row>
    <row r="170" spans="1:2">
      <c r="A170" s="3" t="s">
        <v>1721</v>
      </c>
      <c r="B170" s="3" t="s">
        <v>57</v>
      </c>
    </row>
    <row r="171" spans="1:2">
      <c r="A171" s="3" t="s">
        <v>1321</v>
      </c>
      <c r="B171" s="3" t="s">
        <v>57</v>
      </c>
    </row>
    <row r="172" spans="1:2">
      <c r="A172" s="3" t="s">
        <v>1722</v>
      </c>
      <c r="B172" s="3" t="s">
        <v>57</v>
      </c>
    </row>
    <row r="173" spans="1:2">
      <c r="A173" s="3" t="s">
        <v>1723</v>
      </c>
      <c r="B173" s="3" t="s">
        <v>57</v>
      </c>
    </row>
    <row r="174" spans="1:2">
      <c r="A174" s="3" t="s">
        <v>235</v>
      </c>
      <c r="B174" s="3" t="s">
        <v>57</v>
      </c>
    </row>
    <row r="175" spans="1:2">
      <c r="A175" s="3" t="s">
        <v>1724</v>
      </c>
      <c r="B175" s="3" t="s">
        <v>930</v>
      </c>
    </row>
    <row r="176" spans="1:2">
      <c r="A176" s="3" t="s">
        <v>56</v>
      </c>
      <c r="B176" s="3" t="s">
        <v>57</v>
      </c>
    </row>
    <row r="177" spans="1:2">
      <c r="A177" s="3" t="s">
        <v>1725</v>
      </c>
      <c r="B177" s="3" t="s">
        <v>57</v>
      </c>
    </row>
    <row r="178" spans="1:2">
      <c r="A178" s="3" t="s">
        <v>1726</v>
      </c>
      <c r="B178" s="3" t="s">
        <v>930</v>
      </c>
    </row>
    <row r="179" spans="1:2">
      <c r="A179" s="3" t="s">
        <v>255</v>
      </c>
      <c r="B179" s="3" t="s">
        <v>57</v>
      </c>
    </row>
    <row r="180" spans="1:2">
      <c r="A180" s="3" t="s">
        <v>792</v>
      </c>
      <c r="B180" s="3" t="s">
        <v>2049</v>
      </c>
    </row>
    <row r="181" spans="1:2">
      <c r="A181" s="3" t="s">
        <v>929</v>
      </c>
      <c r="B181" s="3" t="s">
        <v>930</v>
      </c>
    </row>
    <row r="182" spans="1:2">
      <c r="A182" s="3" t="s">
        <v>531</v>
      </c>
      <c r="B182" s="3" t="s">
        <v>57</v>
      </c>
    </row>
    <row r="183" spans="1:2">
      <c r="A183" s="3" t="s">
        <v>1727</v>
      </c>
      <c r="B183" s="3" t="s">
        <v>930</v>
      </c>
    </row>
    <row r="184" spans="1:2">
      <c r="A184" s="3" t="s">
        <v>1728</v>
      </c>
      <c r="B184" s="3" t="s">
        <v>2049</v>
      </c>
    </row>
    <row r="185" spans="1:2">
      <c r="A185" s="3" t="s">
        <v>529</v>
      </c>
      <c r="B185" s="3" t="s">
        <v>57</v>
      </c>
    </row>
    <row r="186" spans="1:2">
      <c r="A186" s="3" t="s">
        <v>1729</v>
      </c>
      <c r="B186" s="3" t="s">
        <v>2049</v>
      </c>
    </row>
    <row r="187" spans="1:2">
      <c r="A187" s="3" t="s">
        <v>1730</v>
      </c>
      <c r="B187" s="3" t="s">
        <v>57</v>
      </c>
    </row>
    <row r="188" spans="1:2">
      <c r="A188" s="3" t="s">
        <v>1731</v>
      </c>
      <c r="B188" s="3" t="s">
        <v>57</v>
      </c>
    </row>
    <row r="189" spans="1:2">
      <c r="A189" s="3" t="s">
        <v>1732</v>
      </c>
      <c r="B189" s="3" t="s">
        <v>57</v>
      </c>
    </row>
    <row r="190" spans="1:2">
      <c r="A190" s="3" t="s">
        <v>1184</v>
      </c>
      <c r="B190" s="3" t="s">
        <v>930</v>
      </c>
    </row>
    <row r="191" spans="1:2">
      <c r="A191" s="3" t="s">
        <v>1733</v>
      </c>
      <c r="B191" s="3" t="s">
        <v>57</v>
      </c>
    </row>
    <row r="192" spans="1:2">
      <c r="A192" s="3" t="s">
        <v>1734</v>
      </c>
      <c r="B192" s="3" t="s">
        <v>57</v>
      </c>
    </row>
    <row r="193" spans="1:2">
      <c r="A193" s="3" t="s">
        <v>1735</v>
      </c>
      <c r="B193" s="3" t="s">
        <v>57</v>
      </c>
    </row>
    <row r="194" spans="1:2">
      <c r="A194" s="3" t="s">
        <v>1736</v>
      </c>
      <c r="B194" s="3" t="s">
        <v>57</v>
      </c>
    </row>
    <row r="195" spans="1:2">
      <c r="A195" s="3" t="s">
        <v>1737</v>
      </c>
      <c r="B195" s="3" t="s">
        <v>57</v>
      </c>
    </row>
    <row r="196" spans="1:2">
      <c r="A196" s="3" t="s">
        <v>1738</v>
      </c>
      <c r="B196" s="3" t="s">
        <v>57</v>
      </c>
    </row>
    <row r="197" spans="1:2">
      <c r="A197" s="3" t="s">
        <v>1739</v>
      </c>
      <c r="B197" s="3" t="s">
        <v>930</v>
      </c>
    </row>
    <row r="198" spans="1:2">
      <c r="A198" s="3" t="s">
        <v>1740</v>
      </c>
      <c r="B198" s="3" t="s">
        <v>930</v>
      </c>
    </row>
    <row r="199" spans="1:2">
      <c r="A199" s="3" t="s">
        <v>1741</v>
      </c>
      <c r="B199" s="3" t="s">
        <v>57</v>
      </c>
    </row>
    <row r="200" spans="1:2">
      <c r="A200" s="6" t="s">
        <v>253</v>
      </c>
      <c r="B200" s="3" t="s">
        <v>57</v>
      </c>
    </row>
    <row r="201" spans="1:2">
      <c r="A201" s="3" t="s">
        <v>689</v>
      </c>
      <c r="B201" s="3" t="s">
        <v>57</v>
      </c>
    </row>
    <row r="202" spans="1:2">
      <c r="A202" s="6" t="s">
        <v>755</v>
      </c>
      <c r="B202" s="3" t="s">
        <v>50</v>
      </c>
    </row>
    <row r="203" spans="1:2">
      <c r="A203" s="6" t="s">
        <v>1026</v>
      </c>
      <c r="B203" s="3" t="s">
        <v>2047</v>
      </c>
    </row>
    <row r="204" spans="1:2">
      <c r="A204" s="6" t="s">
        <v>989</v>
      </c>
      <c r="B204" s="3" t="s">
        <v>57</v>
      </c>
    </row>
    <row r="205" spans="1:2">
      <c r="A205" s="6" t="s">
        <v>1218</v>
      </c>
      <c r="B205" s="3" t="s">
        <v>57</v>
      </c>
    </row>
    <row r="206" spans="1:2">
      <c r="A206" s="6" t="s">
        <v>1479</v>
      </c>
      <c r="B206" s="3" t="s">
        <v>2047</v>
      </c>
    </row>
    <row r="207" spans="1:2">
      <c r="A207" s="3" t="s">
        <v>1528</v>
      </c>
      <c r="B207" s="3" t="s">
        <v>57</v>
      </c>
    </row>
    <row r="208" spans="1:2">
      <c r="A208" s="6" t="s">
        <v>1818</v>
      </c>
      <c r="B208" s="3" t="s">
        <v>57</v>
      </c>
    </row>
    <row r="209" spans="1:2">
      <c r="A209" s="6" t="s">
        <v>1843</v>
      </c>
      <c r="B209" s="3" t="s">
        <v>57</v>
      </c>
    </row>
    <row r="210" spans="1:2">
      <c r="A210" s="6" t="s">
        <v>1856</v>
      </c>
      <c r="B210" s="3" t="s">
        <v>57</v>
      </c>
    </row>
    <row r="211" spans="1:2">
      <c r="A211" s="3" t="s">
        <v>1857</v>
      </c>
      <c r="B211" s="3" t="s">
        <v>50</v>
      </c>
    </row>
    <row r="212" spans="1:2">
      <c r="A212" s="6" t="s">
        <v>1869</v>
      </c>
      <c r="B212" s="3" t="s">
        <v>57</v>
      </c>
    </row>
    <row r="213" spans="1:2">
      <c r="A213" s="6" t="s">
        <v>1873</v>
      </c>
      <c r="B213" s="3" t="s">
        <v>2047</v>
      </c>
    </row>
    <row r="214" spans="1:2">
      <c r="A214" s="3" t="s">
        <v>1883</v>
      </c>
      <c r="B214" s="3" t="s">
        <v>2045</v>
      </c>
    </row>
    <row r="215" spans="1:2">
      <c r="A215" s="3" t="s">
        <v>1898</v>
      </c>
      <c r="B215" s="3" t="s">
        <v>57</v>
      </c>
    </row>
    <row r="216" spans="1:2">
      <c r="A216" s="3" t="s">
        <v>1964</v>
      </c>
      <c r="B216" s="3" t="s">
        <v>57</v>
      </c>
    </row>
    <row r="217" spans="1:2">
      <c r="A217" s="3" t="s">
        <v>1964</v>
      </c>
      <c r="B217" s="3" t="s">
        <v>57</v>
      </c>
    </row>
    <row r="218" spans="1:2">
      <c r="A218" s="3" t="s">
        <v>2097</v>
      </c>
      <c r="B218" s="3" t="s">
        <v>57</v>
      </c>
    </row>
    <row r="219" spans="1:2">
      <c r="A219" s="3" t="s">
        <v>2093</v>
      </c>
      <c r="B219" s="3" t="s">
        <v>57</v>
      </c>
    </row>
    <row r="220" spans="1:2">
      <c r="A220" s="3" t="s">
        <v>2094</v>
      </c>
      <c r="B220" s="3" t="s">
        <v>57</v>
      </c>
    </row>
    <row r="221" spans="1:2">
      <c r="A221" s="3" t="s">
        <v>2102</v>
      </c>
      <c r="B221" s="3" t="s">
        <v>57</v>
      </c>
    </row>
    <row r="222" spans="1:2">
      <c r="A222" s="3" t="s">
        <v>2103</v>
      </c>
      <c r="B222" s="3" t="s">
        <v>57</v>
      </c>
    </row>
    <row r="223" spans="1:2">
      <c r="A223" s="3" t="s">
        <v>2104</v>
      </c>
      <c r="B223" s="3" t="s">
        <v>57</v>
      </c>
    </row>
    <row r="224" spans="1:2">
      <c r="A224" s="3" t="s">
        <v>2105</v>
      </c>
      <c r="B224" s="3" t="s">
        <v>2049</v>
      </c>
    </row>
    <row r="225" spans="1:2">
      <c r="A225" s="3" t="s">
        <v>2106</v>
      </c>
      <c r="B225" s="3" t="s">
        <v>57</v>
      </c>
    </row>
    <row r="226" spans="1:2">
      <c r="A226" s="3" t="s">
        <v>2107</v>
      </c>
      <c r="B226" s="3" t="s">
        <v>57</v>
      </c>
    </row>
    <row r="227" spans="1:2">
      <c r="A227" s="3" t="s">
        <v>236</v>
      </c>
      <c r="B227" s="3" t="s">
        <v>57</v>
      </c>
    </row>
    <row r="228" spans="1:2">
      <c r="A228" s="3" t="s">
        <v>2108</v>
      </c>
      <c r="B228" s="3" t="s">
        <v>57</v>
      </c>
    </row>
    <row r="229" spans="1:2">
      <c r="A229" s="3" t="s">
        <v>2109</v>
      </c>
      <c r="B229" s="3" t="s">
        <v>57</v>
      </c>
    </row>
    <row r="230" spans="1:2">
      <c r="A230" s="3" t="s">
        <v>2110</v>
      </c>
      <c r="B230" s="3" t="s">
        <v>57</v>
      </c>
    </row>
    <row r="231" spans="1:2">
      <c r="A231" s="3" t="s">
        <v>2111</v>
      </c>
      <c r="B231" s="3" t="s">
        <v>57</v>
      </c>
    </row>
    <row r="232" spans="1:2">
      <c r="A232" s="3" t="s">
        <v>2112</v>
      </c>
      <c r="B232" s="3" t="s">
        <v>2047</v>
      </c>
    </row>
    <row r="233" spans="1:2">
      <c r="A233" s="3" t="s">
        <v>2113</v>
      </c>
      <c r="B233" s="3" t="s">
        <v>2046</v>
      </c>
    </row>
    <row r="234" spans="1:2">
      <c r="A234" s="3" t="s">
        <v>2114</v>
      </c>
      <c r="B234" s="3" t="s">
        <v>57</v>
      </c>
    </row>
    <row r="235" spans="1:2">
      <c r="A235" s="3" t="s">
        <v>2259</v>
      </c>
      <c r="B235" s="3" t="s">
        <v>57</v>
      </c>
    </row>
    <row r="236" spans="1:2">
      <c r="A236" s="3" t="s">
        <v>2115</v>
      </c>
      <c r="B236" s="3" t="s">
        <v>57</v>
      </c>
    </row>
    <row r="237" spans="1:2">
      <c r="A237" s="3" t="s">
        <v>2116</v>
      </c>
      <c r="B237" s="3" t="s">
        <v>57</v>
      </c>
    </row>
    <row r="238" spans="1:2">
      <c r="A238" s="3" t="s">
        <v>2117</v>
      </c>
      <c r="B238" s="3" t="s">
        <v>2256</v>
      </c>
    </row>
    <row r="239" spans="1:2">
      <c r="A239" s="3" t="s">
        <v>2118</v>
      </c>
      <c r="B239" s="3" t="s">
        <v>2256</v>
      </c>
    </row>
    <row r="240" spans="1:2">
      <c r="A240" s="3" t="s">
        <v>2119</v>
      </c>
      <c r="B240" s="3" t="s">
        <v>57</v>
      </c>
    </row>
    <row r="241" spans="1:2">
      <c r="A241" s="3" t="s">
        <v>2260</v>
      </c>
      <c r="B241" s="3" t="s">
        <v>57</v>
      </c>
    </row>
    <row r="242" spans="1:2">
      <c r="A242" s="3" t="s">
        <v>2120</v>
      </c>
      <c r="B242" s="3" t="s">
        <v>2256</v>
      </c>
    </row>
    <row r="243" spans="1:2">
      <c r="A243" s="3" t="s">
        <v>2121</v>
      </c>
      <c r="B243" s="3" t="s">
        <v>57</v>
      </c>
    </row>
    <row r="244" spans="1:2">
      <c r="A244" s="3" t="s">
        <v>2122</v>
      </c>
      <c r="B244" s="3" t="s">
        <v>2045</v>
      </c>
    </row>
    <row r="245" spans="1:2">
      <c r="A245" s="3" t="s">
        <v>2123</v>
      </c>
      <c r="B245" s="3" t="s">
        <v>2046</v>
      </c>
    </row>
    <row r="246" spans="1:2">
      <c r="A246" s="3" t="s">
        <v>2124</v>
      </c>
      <c r="B246" s="3" t="s">
        <v>2046</v>
      </c>
    </row>
    <row r="247" spans="1:2">
      <c r="A247" s="3" t="s">
        <v>2125</v>
      </c>
      <c r="B247" s="3" t="s">
        <v>57</v>
      </c>
    </row>
    <row r="248" spans="1:2">
      <c r="A248" s="3" t="s">
        <v>2126</v>
      </c>
      <c r="B248" s="3" t="s">
        <v>50</v>
      </c>
    </row>
    <row r="249" spans="1:2">
      <c r="A249" s="3" t="s">
        <v>2127</v>
      </c>
      <c r="B249" s="3" t="s">
        <v>57</v>
      </c>
    </row>
    <row r="250" spans="1:2">
      <c r="A250" s="3" t="s">
        <v>2128</v>
      </c>
      <c r="B250" s="3" t="s">
        <v>57</v>
      </c>
    </row>
    <row r="251" spans="1:2">
      <c r="A251" s="3" t="s">
        <v>2261</v>
      </c>
      <c r="B251" s="3" t="s">
        <v>2049</v>
      </c>
    </row>
    <row r="252" spans="1:2">
      <c r="A252" s="3" t="s">
        <v>2129</v>
      </c>
      <c r="B252" s="3" t="s">
        <v>50</v>
      </c>
    </row>
    <row r="253" spans="1:2">
      <c r="A253" s="3" t="s">
        <v>2130</v>
      </c>
      <c r="B253" s="3" t="s">
        <v>2046</v>
      </c>
    </row>
    <row r="254" spans="1:2">
      <c r="A254" s="3" t="s">
        <v>2131</v>
      </c>
      <c r="B254" s="3" t="s">
        <v>57</v>
      </c>
    </row>
    <row r="255" spans="1:2">
      <c r="A255" s="3" t="s">
        <v>2132</v>
      </c>
      <c r="B255" s="3" t="s">
        <v>57</v>
      </c>
    </row>
    <row r="256" spans="1:2">
      <c r="A256" s="3" t="s">
        <v>2133</v>
      </c>
      <c r="B256" s="3" t="s">
        <v>50</v>
      </c>
    </row>
    <row r="257" spans="1:2">
      <c r="A257" s="3" t="s">
        <v>2134</v>
      </c>
      <c r="B257" s="3" t="s">
        <v>57</v>
      </c>
    </row>
    <row r="258" spans="1:2">
      <c r="A258" s="3" t="s">
        <v>2135</v>
      </c>
      <c r="B258" s="3" t="s">
        <v>57</v>
      </c>
    </row>
    <row r="259" spans="1:2">
      <c r="A259" s="3" t="s">
        <v>2136</v>
      </c>
      <c r="B259" s="3" t="s">
        <v>57</v>
      </c>
    </row>
    <row r="260" spans="1:2">
      <c r="A260" s="3" t="s">
        <v>2137</v>
      </c>
      <c r="B260" s="3" t="s">
        <v>57</v>
      </c>
    </row>
    <row r="261" spans="1:2">
      <c r="A261" s="3" t="s">
        <v>2262</v>
      </c>
      <c r="B261" s="3" t="s">
        <v>57</v>
      </c>
    </row>
    <row r="262" spans="1:2">
      <c r="A262" s="3" t="s">
        <v>2138</v>
      </c>
      <c r="B262" s="3" t="s">
        <v>50</v>
      </c>
    </row>
    <row r="263" spans="1:2">
      <c r="A263" s="3" t="s">
        <v>2139</v>
      </c>
      <c r="B263" s="3" t="s">
        <v>50</v>
      </c>
    </row>
    <row r="264" spans="1:2">
      <c r="A264" s="3" t="s">
        <v>2140</v>
      </c>
      <c r="B264" s="3" t="s">
        <v>50</v>
      </c>
    </row>
    <row r="265" spans="1:2">
      <c r="A265" s="3" t="s">
        <v>2141</v>
      </c>
      <c r="B265" s="3" t="s">
        <v>50</v>
      </c>
    </row>
    <row r="266" spans="1:2">
      <c r="A266" s="3" t="s">
        <v>2142</v>
      </c>
      <c r="B266" s="3" t="s">
        <v>2046</v>
      </c>
    </row>
    <row r="267" spans="1:2">
      <c r="A267" s="3" t="s">
        <v>2143</v>
      </c>
      <c r="B267" s="3" t="s">
        <v>50</v>
      </c>
    </row>
    <row r="268" spans="1:2">
      <c r="A268" s="3" t="s">
        <v>2144</v>
      </c>
      <c r="B268" s="3" t="s">
        <v>2046</v>
      </c>
    </row>
    <row r="269" spans="1:2">
      <c r="A269" s="3" t="s">
        <v>2145</v>
      </c>
      <c r="B269" s="3" t="s">
        <v>50</v>
      </c>
    </row>
    <row r="270" spans="1:2">
      <c r="A270" s="3" t="s">
        <v>2146</v>
      </c>
      <c r="B270" s="3" t="s">
        <v>50</v>
      </c>
    </row>
    <row r="271" spans="1:2">
      <c r="A271" s="3" t="s">
        <v>2147</v>
      </c>
      <c r="B271" s="3" t="s">
        <v>50</v>
      </c>
    </row>
    <row r="272" spans="1:2">
      <c r="A272" s="3" t="s">
        <v>2148</v>
      </c>
      <c r="B272" s="3" t="s">
        <v>50</v>
      </c>
    </row>
    <row r="273" spans="1:2">
      <c r="A273" s="3" t="s">
        <v>2149</v>
      </c>
      <c r="B273" s="3" t="s">
        <v>2045</v>
      </c>
    </row>
    <row r="274" spans="1:2">
      <c r="A274" s="3" t="s">
        <v>2150</v>
      </c>
      <c r="B274" s="3" t="s">
        <v>57</v>
      </c>
    </row>
    <row r="275" spans="1:2">
      <c r="A275" s="3" t="s">
        <v>2263</v>
      </c>
      <c r="B275" s="3" t="s">
        <v>2045</v>
      </c>
    </row>
    <row r="276" spans="1:2">
      <c r="A276" s="3" t="s">
        <v>2151</v>
      </c>
      <c r="B276" s="3" t="s">
        <v>50</v>
      </c>
    </row>
    <row r="277" spans="1:2">
      <c r="A277" s="3" t="s">
        <v>2264</v>
      </c>
      <c r="B277" s="3" t="s">
        <v>2045</v>
      </c>
    </row>
    <row r="278" spans="1:2">
      <c r="A278" s="3" t="s">
        <v>2265</v>
      </c>
      <c r="B278" s="3" t="s">
        <v>2046</v>
      </c>
    </row>
    <row r="279" spans="1:2">
      <c r="A279" s="3" t="s">
        <v>2152</v>
      </c>
      <c r="B279" s="3" t="s">
        <v>57</v>
      </c>
    </row>
    <row r="280" spans="1:2">
      <c r="A280" s="3" t="s">
        <v>2153</v>
      </c>
      <c r="B280" s="3" t="s">
        <v>50</v>
      </c>
    </row>
    <row r="281" spans="1:2">
      <c r="A281" s="3" t="s">
        <v>2154</v>
      </c>
      <c r="B281" s="3" t="s">
        <v>50</v>
      </c>
    </row>
    <row r="282" spans="1:2">
      <c r="A282" s="3" t="s">
        <v>2155</v>
      </c>
      <c r="B282" s="3" t="s">
        <v>50</v>
      </c>
    </row>
    <row r="283" spans="1:2">
      <c r="A283" s="3" t="s">
        <v>2266</v>
      </c>
      <c r="B283" s="3" t="s">
        <v>2045</v>
      </c>
    </row>
    <row r="284" spans="1:2">
      <c r="A284" s="3" t="s">
        <v>2267</v>
      </c>
      <c r="B284" s="3" t="s">
        <v>2045</v>
      </c>
    </row>
    <row r="285" spans="1:2">
      <c r="A285" s="3" t="s">
        <v>2268</v>
      </c>
      <c r="B285" s="3" t="s">
        <v>2045</v>
      </c>
    </row>
    <row r="286" spans="1:2">
      <c r="A286" s="3" t="s">
        <v>2156</v>
      </c>
      <c r="B286" s="3" t="s">
        <v>50</v>
      </c>
    </row>
    <row r="287" spans="1:2">
      <c r="A287" s="3" t="s">
        <v>2157</v>
      </c>
      <c r="B287" s="3" t="s">
        <v>50</v>
      </c>
    </row>
    <row r="288" spans="1:2">
      <c r="A288" s="3" t="s">
        <v>2158</v>
      </c>
      <c r="B288" s="3" t="s">
        <v>2046</v>
      </c>
    </row>
    <row r="289" spans="1:2">
      <c r="A289" s="3" t="s">
        <v>2159</v>
      </c>
      <c r="B289" s="3" t="s">
        <v>50</v>
      </c>
    </row>
    <row r="290" spans="1:2">
      <c r="A290" s="3" t="s">
        <v>2269</v>
      </c>
      <c r="B290" s="3" t="s">
        <v>50</v>
      </c>
    </row>
    <row r="291" spans="1:2">
      <c r="A291" s="3" t="s">
        <v>2160</v>
      </c>
      <c r="B291" s="3" t="s">
        <v>50</v>
      </c>
    </row>
    <row r="292" spans="1:2">
      <c r="A292" s="3" t="s">
        <v>2161</v>
      </c>
      <c r="B292" s="3" t="s">
        <v>50</v>
      </c>
    </row>
    <row r="293" spans="1:2">
      <c r="A293" s="3" t="s">
        <v>2162</v>
      </c>
      <c r="B293" s="3" t="s">
        <v>57</v>
      </c>
    </row>
    <row r="294" spans="1:2">
      <c r="A294" s="3" t="s">
        <v>2270</v>
      </c>
      <c r="B294" s="3" t="s">
        <v>2045</v>
      </c>
    </row>
    <row r="295" spans="1:2">
      <c r="A295" s="3" t="s">
        <v>2271</v>
      </c>
      <c r="B295" s="3" t="s">
        <v>2045</v>
      </c>
    </row>
    <row r="296" spans="1:2">
      <c r="A296" s="3" t="s">
        <v>2163</v>
      </c>
      <c r="B296" s="3" t="s">
        <v>50</v>
      </c>
    </row>
    <row r="297" spans="1:2">
      <c r="A297" s="3" t="s">
        <v>2164</v>
      </c>
      <c r="B297" s="3" t="s">
        <v>50</v>
      </c>
    </row>
    <row r="298" spans="1:2">
      <c r="A298" s="3" t="s">
        <v>2165</v>
      </c>
      <c r="B298" s="3" t="s">
        <v>50</v>
      </c>
    </row>
    <row r="299" spans="1:2">
      <c r="A299" s="3" t="s">
        <v>2166</v>
      </c>
      <c r="B299" s="3" t="s">
        <v>50</v>
      </c>
    </row>
    <row r="300" spans="1:2">
      <c r="A300" s="3" t="s">
        <v>2167</v>
      </c>
      <c r="B300" s="3" t="s">
        <v>50</v>
      </c>
    </row>
    <row r="301" spans="1:2">
      <c r="A301" s="3" t="s">
        <v>2168</v>
      </c>
      <c r="B301" s="3" t="s">
        <v>57</v>
      </c>
    </row>
    <row r="302" spans="1:2">
      <c r="A302" s="3" t="s">
        <v>2169</v>
      </c>
      <c r="B302" s="3" t="s">
        <v>2046</v>
      </c>
    </row>
    <row r="303" spans="1:2">
      <c r="A303" s="3" t="s">
        <v>2170</v>
      </c>
      <c r="B303" s="3" t="s">
        <v>2046</v>
      </c>
    </row>
    <row r="304" spans="1:2">
      <c r="A304" s="3" t="s">
        <v>2171</v>
      </c>
      <c r="B304" s="3" t="s">
        <v>2049</v>
      </c>
    </row>
    <row r="305" spans="1:2">
      <c r="A305" s="3" t="s">
        <v>2172</v>
      </c>
      <c r="B305" s="3" t="s">
        <v>57</v>
      </c>
    </row>
    <row r="306" spans="1:2">
      <c r="A306" s="3" t="s">
        <v>2173</v>
      </c>
      <c r="B306" s="3" t="s">
        <v>2049</v>
      </c>
    </row>
    <row r="307" spans="1:2">
      <c r="A307" s="3" t="s">
        <v>2174</v>
      </c>
      <c r="B307" s="3" t="s">
        <v>2045</v>
      </c>
    </row>
    <row r="308" spans="1:2">
      <c r="A308" s="3" t="s">
        <v>2258</v>
      </c>
      <c r="B308" s="3" t="s">
        <v>2047</v>
      </c>
    </row>
    <row r="309" spans="1:2">
      <c r="A309" s="3" t="s">
        <v>2175</v>
      </c>
      <c r="B309" s="3" t="s">
        <v>57</v>
      </c>
    </row>
    <row r="310" spans="1:2">
      <c r="A310" s="3" t="s">
        <v>2176</v>
      </c>
      <c r="B310" s="3" t="s">
        <v>50</v>
      </c>
    </row>
    <row r="311" spans="1:2">
      <c r="A311" s="3" t="s">
        <v>2177</v>
      </c>
      <c r="B311" s="3" t="s">
        <v>57</v>
      </c>
    </row>
    <row r="312" spans="1:2">
      <c r="A312" s="3" t="s">
        <v>2178</v>
      </c>
      <c r="B312" s="3" t="s">
        <v>57</v>
      </c>
    </row>
    <row r="313" spans="1:2">
      <c r="A313" s="3" t="s">
        <v>2179</v>
      </c>
      <c r="B313" s="3" t="s">
        <v>57</v>
      </c>
    </row>
    <row r="314" spans="1:2">
      <c r="A314" s="3" t="s">
        <v>2180</v>
      </c>
      <c r="B314" s="3" t="s">
        <v>57</v>
      </c>
    </row>
    <row r="315" spans="1:2">
      <c r="A315" s="3" t="s">
        <v>2257</v>
      </c>
      <c r="B315" s="3"/>
    </row>
    <row r="316" spans="1:2">
      <c r="A316" s="3" t="s">
        <v>2181</v>
      </c>
      <c r="B316" s="3" t="s">
        <v>57</v>
      </c>
    </row>
    <row r="317" spans="1:2">
      <c r="A317" s="3" t="s">
        <v>2182</v>
      </c>
      <c r="B317" s="3" t="s">
        <v>57</v>
      </c>
    </row>
    <row r="318" spans="1:2">
      <c r="A318" s="3" t="s">
        <v>2183</v>
      </c>
      <c r="B318" s="3" t="s">
        <v>57</v>
      </c>
    </row>
    <row r="319" spans="1:2">
      <c r="A319" s="3" t="s">
        <v>2184</v>
      </c>
      <c r="B319" s="3" t="s">
        <v>50</v>
      </c>
    </row>
    <row r="320" spans="1:2">
      <c r="A320" s="3" t="s">
        <v>2185</v>
      </c>
      <c r="B320" s="3" t="s">
        <v>2048</v>
      </c>
    </row>
    <row r="321" spans="1:2">
      <c r="A321" s="3" t="s">
        <v>2186</v>
      </c>
      <c r="B321" s="3" t="s">
        <v>57</v>
      </c>
    </row>
    <row r="322" spans="1:2">
      <c r="A322" s="3" t="s">
        <v>2187</v>
      </c>
      <c r="B322" s="3" t="s">
        <v>2049</v>
      </c>
    </row>
    <row r="323" spans="1:2">
      <c r="A323" s="3" t="s">
        <v>2188</v>
      </c>
      <c r="B323" s="3" t="s">
        <v>57</v>
      </c>
    </row>
    <row r="324" spans="1:2">
      <c r="A324" s="3" t="s">
        <v>2189</v>
      </c>
      <c r="B324" s="3" t="s">
        <v>57</v>
      </c>
    </row>
    <row r="325" spans="1:2">
      <c r="A325" s="3" t="s">
        <v>2190</v>
      </c>
      <c r="B325" s="3" t="s">
        <v>57</v>
      </c>
    </row>
    <row r="326" spans="1:2">
      <c r="A326" s="3" t="s">
        <v>2191</v>
      </c>
      <c r="B326" s="3" t="s">
        <v>57</v>
      </c>
    </row>
    <row r="327" spans="1:2">
      <c r="A327" s="3" t="s">
        <v>2192</v>
      </c>
      <c r="B327" s="3" t="s">
        <v>57</v>
      </c>
    </row>
    <row r="328" spans="1:2">
      <c r="A328" s="3" t="s">
        <v>2193</v>
      </c>
      <c r="B328" s="3" t="s">
        <v>50</v>
      </c>
    </row>
    <row r="329" spans="1:2">
      <c r="A329" s="3" t="s">
        <v>2194</v>
      </c>
      <c r="B329" s="3" t="s">
        <v>50</v>
      </c>
    </row>
    <row r="330" spans="1:2">
      <c r="A330" s="3" t="s">
        <v>2195</v>
      </c>
      <c r="B330" s="3" t="s">
        <v>2049</v>
      </c>
    </row>
    <row r="331" spans="1:2">
      <c r="A331" s="3" t="s">
        <v>2196</v>
      </c>
      <c r="B331" s="3" t="s">
        <v>2049</v>
      </c>
    </row>
    <row r="332" spans="1:2">
      <c r="A332" s="3" t="s">
        <v>2197</v>
      </c>
      <c r="B332" s="3" t="s">
        <v>2045</v>
      </c>
    </row>
    <row r="333" spans="1:2">
      <c r="A333" s="3" t="s">
        <v>2272</v>
      </c>
      <c r="B333" s="3" t="s">
        <v>2049</v>
      </c>
    </row>
    <row r="334" spans="1:2">
      <c r="A334" s="3" t="s">
        <v>2198</v>
      </c>
      <c r="B334" s="3" t="s">
        <v>57</v>
      </c>
    </row>
    <row r="335" spans="1:2">
      <c r="A335" s="3" t="s">
        <v>2199</v>
      </c>
      <c r="B335" s="3" t="s">
        <v>57</v>
      </c>
    </row>
    <row r="336" spans="1:2">
      <c r="A336" s="3" t="s">
        <v>2200</v>
      </c>
      <c r="B336" s="3" t="s">
        <v>57</v>
      </c>
    </row>
    <row r="337" spans="1:2">
      <c r="A337" s="3" t="s">
        <v>2201</v>
      </c>
      <c r="B337" s="3" t="s">
        <v>57</v>
      </c>
    </row>
    <row r="338" spans="1:2">
      <c r="A338" s="3" t="s">
        <v>2202</v>
      </c>
      <c r="B338" s="3" t="s">
        <v>57</v>
      </c>
    </row>
    <row r="339" spans="1:2">
      <c r="A339" s="3" t="s">
        <v>118</v>
      </c>
      <c r="B339" s="3" t="s">
        <v>57</v>
      </c>
    </row>
    <row r="340" spans="1:2">
      <c r="A340" s="3" t="s">
        <v>2203</v>
      </c>
      <c r="B340" s="3" t="s">
        <v>57</v>
      </c>
    </row>
    <row r="341" spans="1:2">
      <c r="A341" s="3" t="s">
        <v>2204</v>
      </c>
      <c r="B341" s="3" t="s">
        <v>50</v>
      </c>
    </row>
    <row r="342" spans="1:2">
      <c r="A342" s="3" t="s">
        <v>2205</v>
      </c>
      <c r="B342" s="3" t="s">
        <v>57</v>
      </c>
    </row>
    <row r="343" spans="1:2">
      <c r="A343" s="3" t="s">
        <v>2206</v>
      </c>
      <c r="B343" s="3" t="s">
        <v>57</v>
      </c>
    </row>
    <row r="344" spans="1:2">
      <c r="A344" s="3" t="s">
        <v>2207</v>
      </c>
      <c r="B344" s="3" t="s">
        <v>2046</v>
      </c>
    </row>
    <row r="345" spans="1:2">
      <c r="A345" s="3" t="s">
        <v>2257</v>
      </c>
      <c r="B345" s="3"/>
    </row>
    <row r="346" spans="1:2">
      <c r="A346" s="3" t="s">
        <v>2208</v>
      </c>
      <c r="B346" s="3" t="s">
        <v>50</v>
      </c>
    </row>
    <row r="347" spans="1:2">
      <c r="A347" s="3" t="s">
        <v>2209</v>
      </c>
      <c r="B347" s="3" t="s">
        <v>50</v>
      </c>
    </row>
    <row r="348" spans="1:2">
      <c r="A348" s="3" t="s">
        <v>2210</v>
      </c>
      <c r="B348" s="3" t="s">
        <v>57</v>
      </c>
    </row>
    <row r="349" spans="1:2">
      <c r="A349" s="3" t="s">
        <v>2211</v>
      </c>
      <c r="B349" s="3" t="s">
        <v>50</v>
      </c>
    </row>
    <row r="350" spans="1:2">
      <c r="A350" s="3" t="s">
        <v>2212</v>
      </c>
      <c r="B350" s="3" t="s">
        <v>50</v>
      </c>
    </row>
    <row r="351" spans="1:2">
      <c r="A351" s="3" t="s">
        <v>2213</v>
      </c>
      <c r="B351" s="3" t="s">
        <v>2047</v>
      </c>
    </row>
    <row r="352" spans="1:2">
      <c r="A352" s="3" t="s">
        <v>2214</v>
      </c>
      <c r="B352" s="3" t="s">
        <v>57</v>
      </c>
    </row>
    <row r="353" spans="1:2">
      <c r="A353" s="3" t="s">
        <v>2215</v>
      </c>
      <c r="B353" s="3" t="s">
        <v>57</v>
      </c>
    </row>
    <row r="354" spans="1:2">
      <c r="A354" s="3" t="s">
        <v>2216</v>
      </c>
      <c r="B354" s="3" t="s">
        <v>57</v>
      </c>
    </row>
    <row r="355" spans="1:2">
      <c r="A355" s="3" t="s">
        <v>2217</v>
      </c>
      <c r="B355" s="3" t="s">
        <v>50</v>
      </c>
    </row>
    <row r="356" spans="1:2">
      <c r="A356" s="3" t="s">
        <v>2218</v>
      </c>
      <c r="B356" s="3" t="s">
        <v>50</v>
      </c>
    </row>
    <row r="357" spans="1:2">
      <c r="A357" s="3" t="s">
        <v>2273</v>
      </c>
      <c r="B357" s="3" t="s">
        <v>50</v>
      </c>
    </row>
    <row r="358" spans="1:2">
      <c r="A358" s="3" t="s">
        <v>2219</v>
      </c>
      <c r="B358" s="3" t="s">
        <v>57</v>
      </c>
    </row>
    <row r="359" spans="1:2">
      <c r="A359" s="3" t="s">
        <v>2220</v>
      </c>
      <c r="B359" s="3" t="s">
        <v>57</v>
      </c>
    </row>
    <row r="360" spans="1:2">
      <c r="A360" s="3" t="s">
        <v>2221</v>
      </c>
      <c r="B360" s="3" t="s">
        <v>2048</v>
      </c>
    </row>
    <row r="361" spans="1:2">
      <c r="A361" s="3" t="s">
        <v>2222</v>
      </c>
      <c r="B361" s="3" t="s">
        <v>2048</v>
      </c>
    </row>
    <row r="362" spans="1:2">
      <c r="A362" s="3" t="s">
        <v>2223</v>
      </c>
      <c r="B362" s="3" t="s">
        <v>57</v>
      </c>
    </row>
    <row r="363" spans="1:2">
      <c r="A363" s="3" t="s">
        <v>2224</v>
      </c>
      <c r="B363" s="3" t="s">
        <v>57</v>
      </c>
    </row>
    <row r="364" spans="1:2">
      <c r="A364" s="3" t="s">
        <v>2225</v>
      </c>
      <c r="B364" s="3" t="s">
        <v>57</v>
      </c>
    </row>
    <row r="365" spans="1:2">
      <c r="A365" s="3" t="s">
        <v>2274</v>
      </c>
      <c r="B365" s="3" t="s">
        <v>50</v>
      </c>
    </row>
    <row r="366" spans="1:2">
      <c r="A366" s="3" t="s">
        <v>2226</v>
      </c>
      <c r="B366" s="3" t="s">
        <v>57</v>
      </c>
    </row>
    <row r="367" spans="1:2">
      <c r="A367" s="3" t="s">
        <v>2227</v>
      </c>
      <c r="B367" s="3" t="s">
        <v>57</v>
      </c>
    </row>
    <row r="368" spans="1:2">
      <c r="A368" s="3" t="s">
        <v>2228</v>
      </c>
      <c r="B368" s="3" t="s">
        <v>57</v>
      </c>
    </row>
    <row r="369" spans="1:2">
      <c r="A369" s="3" t="s">
        <v>2229</v>
      </c>
      <c r="B369" s="3" t="s">
        <v>57</v>
      </c>
    </row>
    <row r="370" spans="1:2">
      <c r="A370" s="3" t="s">
        <v>2230</v>
      </c>
      <c r="B370" s="3" t="s">
        <v>57</v>
      </c>
    </row>
    <row r="371" spans="1:2">
      <c r="A371" s="3" t="s">
        <v>2231</v>
      </c>
      <c r="B371" s="3" t="s">
        <v>2046</v>
      </c>
    </row>
    <row r="372" spans="1:2">
      <c r="A372" s="3" t="s">
        <v>2232</v>
      </c>
      <c r="B372" s="3" t="s">
        <v>57</v>
      </c>
    </row>
    <row r="373" spans="1:2">
      <c r="A373" s="3" t="s">
        <v>2233</v>
      </c>
      <c r="B373" s="3" t="s">
        <v>57</v>
      </c>
    </row>
    <row r="374" spans="1:2">
      <c r="A374" s="3" t="s">
        <v>2234</v>
      </c>
      <c r="B374" s="3" t="s">
        <v>57</v>
      </c>
    </row>
    <row r="375" spans="1:2">
      <c r="A375" s="3" t="s">
        <v>2235</v>
      </c>
      <c r="B375" s="3" t="s">
        <v>57</v>
      </c>
    </row>
    <row r="376" spans="1:2">
      <c r="A376" s="3" t="s">
        <v>2236</v>
      </c>
      <c r="B376" s="3" t="s">
        <v>57</v>
      </c>
    </row>
    <row r="377" spans="1:2">
      <c r="A377" s="3" t="s">
        <v>2237</v>
      </c>
      <c r="B377" s="3" t="s">
        <v>57</v>
      </c>
    </row>
    <row r="378" spans="1:2">
      <c r="A378" s="3" t="s">
        <v>2238</v>
      </c>
      <c r="B378" s="3" t="s">
        <v>57</v>
      </c>
    </row>
    <row r="379" spans="1:2">
      <c r="A379" s="3" t="s">
        <v>2239</v>
      </c>
      <c r="B379" s="3" t="s">
        <v>57</v>
      </c>
    </row>
    <row r="380" spans="1:2">
      <c r="A380" s="3" t="s">
        <v>2240</v>
      </c>
      <c r="B380" s="3" t="s">
        <v>2256</v>
      </c>
    </row>
    <row r="381" spans="1:2">
      <c r="A381" s="3" t="s">
        <v>2241</v>
      </c>
      <c r="B381" s="3" t="s">
        <v>57</v>
      </c>
    </row>
    <row r="382" spans="1:2">
      <c r="A382" s="3" t="s">
        <v>2242</v>
      </c>
      <c r="B382" s="3" t="s">
        <v>50</v>
      </c>
    </row>
    <row r="383" spans="1:2">
      <c r="A383" s="3" t="s">
        <v>2243</v>
      </c>
      <c r="B383" s="3" t="s">
        <v>50</v>
      </c>
    </row>
    <row r="384" spans="1:2">
      <c r="A384" s="3" t="s">
        <v>2244</v>
      </c>
      <c r="B384" s="3" t="s">
        <v>50</v>
      </c>
    </row>
    <row r="385" spans="1:2">
      <c r="A385" s="3" t="s">
        <v>2245</v>
      </c>
      <c r="B385" s="3" t="s">
        <v>50</v>
      </c>
    </row>
    <row r="386" spans="1:2">
      <c r="A386" s="3" t="s">
        <v>2246</v>
      </c>
      <c r="B386" s="3" t="s">
        <v>50</v>
      </c>
    </row>
    <row r="387" spans="1:2">
      <c r="A387" s="3" t="s">
        <v>2247</v>
      </c>
      <c r="B387" s="3" t="s">
        <v>50</v>
      </c>
    </row>
    <row r="388" spans="1:2">
      <c r="A388" s="3" t="s">
        <v>2248</v>
      </c>
      <c r="B388" s="3" t="s">
        <v>50</v>
      </c>
    </row>
    <row r="389" spans="1:2">
      <c r="A389" s="3" t="s">
        <v>2249</v>
      </c>
      <c r="B389" s="3" t="s">
        <v>57</v>
      </c>
    </row>
    <row r="390" spans="1:2">
      <c r="A390" s="3" t="s">
        <v>2250</v>
      </c>
      <c r="B390" s="3" t="s">
        <v>57</v>
      </c>
    </row>
    <row r="391" spans="1:2">
      <c r="A391" s="3" t="s">
        <v>2251</v>
      </c>
      <c r="B391" s="3" t="s">
        <v>50</v>
      </c>
    </row>
    <row r="392" spans="1:2">
      <c r="A392" s="3" t="s">
        <v>2252</v>
      </c>
      <c r="B392" s="3" t="s">
        <v>57</v>
      </c>
    </row>
    <row r="393" spans="1:2">
      <c r="A393" s="3" t="s">
        <v>2253</v>
      </c>
      <c r="B393" s="3" t="s">
        <v>57</v>
      </c>
    </row>
    <row r="394" spans="1:2">
      <c r="A394" s="3" t="s">
        <v>2254</v>
      </c>
      <c r="B394" s="3" t="s">
        <v>57</v>
      </c>
    </row>
    <row r="395" spans="1:2">
      <c r="A395" s="3" t="s">
        <v>2255</v>
      </c>
      <c r="B395" s="3" t="s">
        <v>57</v>
      </c>
    </row>
    <row r="396" spans="1:2">
      <c r="A396" s="3" t="s">
        <v>2257</v>
      </c>
      <c r="B396" s="3"/>
    </row>
    <row r="397" spans="1:2">
      <c r="A397" s="3" t="s">
        <v>175</v>
      </c>
      <c r="B397" s="3" t="s">
        <v>2046</v>
      </c>
    </row>
    <row r="398" spans="1:2">
      <c r="A398" s="3" t="s">
        <v>2259</v>
      </c>
      <c r="B398" s="3" t="s">
        <v>57</v>
      </c>
    </row>
    <row r="399" spans="1:2">
      <c r="A399" s="3" t="s">
        <v>2260</v>
      </c>
      <c r="B399" s="3" t="s">
        <v>57</v>
      </c>
    </row>
    <row r="400" spans="1:2">
      <c r="A400" s="3" t="s">
        <v>2261</v>
      </c>
      <c r="B400" s="3" t="s">
        <v>2049</v>
      </c>
    </row>
    <row r="401" spans="1:2">
      <c r="A401" s="3" t="s">
        <v>2262</v>
      </c>
      <c r="B401" s="3" t="s">
        <v>57</v>
      </c>
    </row>
    <row r="402" spans="1:2">
      <c r="A402" s="3" t="s">
        <v>2263</v>
      </c>
      <c r="B402" s="3" t="s">
        <v>2045</v>
      </c>
    </row>
    <row r="403" spans="1:2">
      <c r="A403" s="3" t="s">
        <v>2264</v>
      </c>
      <c r="B403" s="3" t="s">
        <v>2045</v>
      </c>
    </row>
    <row r="404" spans="1:2">
      <c r="A404" s="3" t="s">
        <v>2265</v>
      </c>
      <c r="B404" s="3" t="s">
        <v>930</v>
      </c>
    </row>
    <row r="405" spans="1:2">
      <c r="A405" s="3" t="s">
        <v>2266</v>
      </c>
      <c r="B405" s="3" t="s">
        <v>2045</v>
      </c>
    </row>
    <row r="406" spans="1:2">
      <c r="A406" s="3" t="s">
        <v>2267</v>
      </c>
      <c r="B406" s="3" t="s">
        <v>2045</v>
      </c>
    </row>
    <row r="407" spans="1:2">
      <c r="A407" s="3" t="s">
        <v>2268</v>
      </c>
      <c r="B407" s="3" t="s">
        <v>2045</v>
      </c>
    </row>
    <row r="408" spans="1:2">
      <c r="A408" s="3" t="s">
        <v>2269</v>
      </c>
      <c r="B408" s="3" t="s">
        <v>50</v>
      </c>
    </row>
    <row r="409" spans="1:2">
      <c r="A409" s="3" t="s">
        <v>2270</v>
      </c>
      <c r="B409" s="3" t="s">
        <v>2045</v>
      </c>
    </row>
    <row r="410" spans="1:2">
      <c r="A410" s="3" t="s">
        <v>2271</v>
      </c>
      <c r="B410" s="3" t="s">
        <v>2045</v>
      </c>
    </row>
    <row r="411" spans="1:2">
      <c r="A411" s="3" t="s">
        <v>2258</v>
      </c>
      <c r="B411" s="3" t="s">
        <v>2047</v>
      </c>
    </row>
    <row r="412" spans="1:2">
      <c r="A412" s="3" t="s">
        <v>2257</v>
      </c>
      <c r="B412" s="3"/>
    </row>
    <row r="413" spans="1:2">
      <c r="A413" s="3" t="s">
        <v>2272</v>
      </c>
      <c r="B413" s="3" t="s">
        <v>2049</v>
      </c>
    </row>
    <row r="414" spans="1:2">
      <c r="A414" s="3" t="s">
        <v>2257</v>
      </c>
      <c r="B414" s="3"/>
    </row>
    <row r="415" spans="1:2">
      <c r="A415" s="3" t="s">
        <v>2257</v>
      </c>
      <c r="B415" s="3"/>
    </row>
    <row r="416" spans="1:2">
      <c r="A416" s="3" t="s">
        <v>2273</v>
      </c>
      <c r="B416" s="3" t="s">
        <v>50</v>
      </c>
    </row>
    <row r="417" spans="1:2">
      <c r="A417" s="3" t="s">
        <v>2274</v>
      </c>
      <c r="B417" s="3" t="s">
        <v>50</v>
      </c>
    </row>
    <row r="418" spans="1:2">
      <c r="A418" s="3" t="s">
        <v>2275</v>
      </c>
      <c r="B418" s="3" t="s">
        <v>57</v>
      </c>
    </row>
    <row r="419" spans="1:2">
      <c r="A419" s="3"/>
      <c r="B419" s="3"/>
    </row>
    <row r="420" spans="1:2">
      <c r="A420" s="3" t="s">
        <v>2276</v>
      </c>
      <c r="B420" s="3" t="s">
        <v>57</v>
      </c>
    </row>
    <row r="421" spans="1:2">
      <c r="A421" s="3" t="s">
        <v>2277</v>
      </c>
      <c r="B421" s="3" t="s">
        <v>57</v>
      </c>
    </row>
    <row r="422" spans="1:2">
      <c r="A422" s="3" t="s">
        <v>2278</v>
      </c>
      <c r="B422" s="3" t="s">
        <v>57</v>
      </c>
    </row>
    <row r="423" spans="1:2">
      <c r="A423" s="3"/>
      <c r="B423" s="3"/>
    </row>
    <row r="424" spans="1:2">
      <c r="A424" s="3" t="s">
        <v>2279</v>
      </c>
      <c r="B424" s="3" t="s">
        <v>57</v>
      </c>
    </row>
    <row r="425" spans="1:2">
      <c r="A425" s="3" t="s">
        <v>2280</v>
      </c>
      <c r="B425" s="3" t="s">
        <v>2045</v>
      </c>
    </row>
    <row r="426" spans="1:2">
      <c r="A426" s="3" t="s">
        <v>2281</v>
      </c>
      <c r="B426" s="3" t="s">
        <v>2046</v>
      </c>
    </row>
    <row r="427" spans="1:2">
      <c r="A427" s="3" t="s">
        <v>2282</v>
      </c>
      <c r="B427" s="3" t="s">
        <v>50</v>
      </c>
    </row>
    <row r="428" spans="1:2">
      <c r="A428" s="3" t="s">
        <v>2283</v>
      </c>
      <c r="B428" s="3" t="s">
        <v>50</v>
      </c>
    </row>
    <row r="429" spans="1:2">
      <c r="A429" s="3" t="s">
        <v>2284</v>
      </c>
      <c r="B429" s="3" t="s">
        <v>50</v>
      </c>
    </row>
    <row r="430" spans="1:2">
      <c r="A430" s="3" t="s">
        <v>2285</v>
      </c>
      <c r="B430" s="3" t="s">
        <v>50</v>
      </c>
    </row>
    <row r="431" spans="1:2">
      <c r="A431" s="3" t="s">
        <v>2286</v>
      </c>
      <c r="B431" s="3" t="s">
        <v>50</v>
      </c>
    </row>
    <row r="432" spans="1:2">
      <c r="A432" s="3" t="s">
        <v>2287</v>
      </c>
      <c r="B432" s="3" t="s">
        <v>50</v>
      </c>
    </row>
    <row r="433" spans="1:2">
      <c r="A433" s="3" t="s">
        <v>2288</v>
      </c>
      <c r="B433" s="3" t="s">
        <v>50</v>
      </c>
    </row>
    <row r="434" spans="1:2">
      <c r="A434" s="3" t="s">
        <v>2289</v>
      </c>
      <c r="B434" s="3" t="s">
        <v>50</v>
      </c>
    </row>
    <row r="435" spans="1:2">
      <c r="A435" s="3" t="s">
        <v>2290</v>
      </c>
      <c r="B435" s="3" t="s">
        <v>50</v>
      </c>
    </row>
    <row r="436" spans="1:2">
      <c r="A436" s="3" t="s">
        <v>2291</v>
      </c>
      <c r="B436" s="3" t="s">
        <v>50</v>
      </c>
    </row>
    <row r="437" spans="1:2">
      <c r="A437" s="3" t="s">
        <v>2292</v>
      </c>
      <c r="B437" s="3" t="s">
        <v>50</v>
      </c>
    </row>
    <row r="438" spans="1:2">
      <c r="A438" s="3" t="s">
        <v>2293</v>
      </c>
      <c r="B438" s="3" t="s">
        <v>50</v>
      </c>
    </row>
    <row r="439" spans="1:2">
      <c r="A439" s="3" t="s">
        <v>2294</v>
      </c>
      <c r="B439" s="3" t="s">
        <v>50</v>
      </c>
    </row>
    <row r="440" spans="1:2">
      <c r="A440" s="3" t="s">
        <v>2295</v>
      </c>
      <c r="B440" s="3" t="s">
        <v>57</v>
      </c>
    </row>
    <row r="441" spans="1:2">
      <c r="A441" s="3" t="s">
        <v>2296</v>
      </c>
      <c r="B441" s="3" t="s">
        <v>57</v>
      </c>
    </row>
    <row r="442" spans="1:2">
      <c r="A442" s="3" t="s">
        <v>2297</v>
      </c>
      <c r="B442" s="3" t="s">
        <v>57</v>
      </c>
    </row>
    <row r="443" spans="1:2">
      <c r="A443" s="3" t="s">
        <v>2298</v>
      </c>
      <c r="B443" s="3" t="s">
        <v>50</v>
      </c>
    </row>
    <row r="444" spans="1:2">
      <c r="A444" s="3" t="s">
        <v>2299</v>
      </c>
      <c r="B444" s="3" t="s">
        <v>57</v>
      </c>
    </row>
    <row r="445" spans="1:2">
      <c r="A445" s="3" t="s">
        <v>2300</v>
      </c>
      <c r="B445" s="3" t="s">
        <v>50</v>
      </c>
    </row>
    <row r="446" spans="1:2">
      <c r="A446" s="3" t="s">
        <v>2301</v>
      </c>
      <c r="B446" s="3" t="s">
        <v>57</v>
      </c>
    </row>
    <row r="447" spans="1:2">
      <c r="A447" s="3" t="s">
        <v>2302</v>
      </c>
      <c r="B447" s="3" t="s">
        <v>50</v>
      </c>
    </row>
    <row r="448" spans="1:2">
      <c r="A448" s="3" t="s">
        <v>2303</v>
      </c>
      <c r="B448" s="3" t="s">
        <v>2047</v>
      </c>
    </row>
    <row r="449" spans="1:2">
      <c r="A449" s="3" t="s">
        <v>2304</v>
      </c>
      <c r="B449" s="3" t="s">
        <v>2046</v>
      </c>
    </row>
    <row r="450" spans="1:2">
      <c r="A450" s="3" t="s">
        <v>2305</v>
      </c>
      <c r="B450" s="3" t="s">
        <v>2046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129FB0C6-0BF5-49CC-8B34-27DDF18CB99E}">
  <ds:schemaRefs/>
</ds:datastoreItem>
</file>

<file path=customXml/itemProps2.xml><?xml version="1.0" encoding="utf-8"?>
<ds:datastoreItem xmlns:ds="http://schemas.openxmlformats.org/officeDocument/2006/customXml" ds:itemID="{56EBA4AF-336E-4F93-B7CE-DB88BF4DB031}">
  <ds:schemaRefs/>
</ds:datastoreItem>
</file>

<file path=customXml/itemProps3.xml><?xml version="1.0" encoding="utf-8"?>
<ds:datastoreItem xmlns:ds="http://schemas.openxmlformats.org/officeDocument/2006/customXml" ds:itemID="{3CD4A8C4-C5AC-4082-A0CC-EA4326158D57}">
  <ds:schemaRefs>
    <ds:schemaRef ds:uri="http://schemas.microsoft.com/DataMashup"/>
  </ds:schemaRefs>
</ds:datastoreItem>
</file>

<file path=customXml/itemProps4.xml><?xml version="1.0" encoding="utf-8"?>
<ds:datastoreItem xmlns:ds="http://schemas.openxmlformats.org/officeDocument/2006/customXml" ds:itemID="{6C74B0E6-A902-4352-85A3-4BED5C306AF1}">
  <ds:schemaRefs/>
</ds:datastoreItem>
</file>

<file path=customXml/itemProps5.xml><?xml version="1.0" encoding="utf-8"?>
<ds:datastoreItem xmlns:ds="http://schemas.openxmlformats.org/officeDocument/2006/customXml" ds:itemID="{C6FFE07E-F942-4897-8DA9-4CFBAFC84E66}">
  <ds:schemaRefs/>
</ds:datastoreItem>
</file>

<file path=customXml/itemProps6.xml><?xml version="1.0" encoding="utf-8"?>
<ds:datastoreItem xmlns:ds="http://schemas.openxmlformats.org/officeDocument/2006/customXml" ds:itemID="{E60B41DC-9007-4A61-BA97-C3CFE5BDBA7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Dashboard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Vinod Kumar</dc:creator>
  <cp:lastModifiedBy>Rsap</cp:lastModifiedBy>
  <dcterms:created xsi:type="dcterms:W3CDTF">2024-12-05T06:52:26Z</dcterms:created>
  <dcterms:modified xsi:type="dcterms:W3CDTF">2025-02-12T15:26:10Z</dcterms:modified>
</cp:coreProperties>
</file>